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145fbb94f930e6ec/Documents/"/>
    </mc:Choice>
  </mc:AlternateContent>
  <xr:revisionPtr revIDLastSave="952" documentId="8_{F10A19C5-EC33-4EA1-841A-05B64FB034C2}" xr6:coauthVersionLast="47" xr6:coauthVersionMax="47" xr10:uidLastSave="{D995139E-0894-4FED-8FF7-389AD28B2DA9}"/>
  <bookViews>
    <workbookView xWindow="-108" yWindow="-108" windowWidth="23256" windowHeight="12456" activeTab="7" xr2:uid="{00000000-000D-0000-FFFF-FFFF00000000}"/>
  </bookViews>
  <sheets>
    <sheet name="Healthcare" sheetId="2" r:id="rId1"/>
    <sheet name="Business Problem" sheetId="9" r:id="rId2"/>
    <sheet name="Doctor" sheetId="10" r:id="rId3"/>
    <sheet name="Department" sheetId="3" r:id="rId4"/>
    <sheet name="Patient" sheetId="11" r:id="rId5"/>
    <sheet name="Admission" sheetId="12" r:id="rId6"/>
    <sheet name="Insurance" sheetId="13" r:id="rId7"/>
    <sheet name="Payment" sheetId="14" r:id="rId8"/>
    <sheet name="Raw_Healthcare_Data" sheetId="1" r:id="rId9"/>
  </sheets>
  <definedNames>
    <definedName name="_xlnm._FilterDatabase" localSheetId="3" hidden="1">Department!$A$2:$B$256</definedName>
    <definedName name="_xlnm._FilterDatabase" localSheetId="8" hidden="1">Raw_Healthcare_Data!$A$1:$T$2002</definedName>
    <definedName name="ExternalData_1" localSheetId="5" hidden="1">Admission!$A$1:$G$2001</definedName>
    <definedName name="ExternalData_1" localSheetId="2" hidden="1">Doctor!$A$1:$B$8</definedName>
    <definedName name="ExternalData_1" localSheetId="0" hidden="1">Healthcare!$A$1:$T$2001</definedName>
    <definedName name="ExternalData_1" localSheetId="6" hidden="1">Insurance!$A$1:$B$9</definedName>
    <definedName name="ExternalData_1" localSheetId="4" hidden="1">Patient!$A$1:$G$2001</definedName>
    <definedName name="ExternalData_1" localSheetId="7" hidden="1">Payment!$A$1:$B$7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2" i="2" l="1"/>
  <c r="X15" i="2"/>
  <c r="X31" i="2"/>
  <c r="X36" i="2"/>
  <c r="X53" i="2"/>
  <c r="X55" i="2"/>
  <c r="X56" i="2"/>
  <c r="X70" i="2"/>
  <c r="X73" i="2"/>
  <c r="X75" i="2"/>
  <c r="X91" i="2"/>
  <c r="X94" i="2"/>
  <c r="X95" i="2"/>
  <c r="X107" i="2"/>
  <c r="X108" i="2"/>
  <c r="X109" i="2"/>
  <c r="X123" i="2"/>
  <c r="X124" i="2"/>
  <c r="X126" i="2"/>
  <c r="X140" i="2"/>
  <c r="X143" i="2"/>
  <c r="X144" i="2"/>
  <c r="X145" i="2"/>
  <c r="X157" i="2"/>
  <c r="X158" i="2"/>
  <c r="X187" i="2"/>
  <c r="X188" i="2"/>
  <c r="X190" i="2"/>
  <c r="X191" i="2"/>
  <c r="X204" i="2"/>
  <c r="X205" i="2"/>
  <c r="X209" i="2"/>
  <c r="X216" i="2"/>
  <c r="X217" i="2"/>
  <c r="X224" i="2"/>
  <c r="X225" i="2"/>
  <c r="X241" i="2"/>
  <c r="X256" i="2"/>
  <c r="X260" i="2"/>
  <c r="X261" i="2"/>
  <c r="X273" i="2"/>
  <c r="X276" i="2"/>
  <c r="X281" i="2"/>
  <c r="X286" i="2"/>
  <c r="X287" i="2"/>
  <c r="X298" i="2"/>
  <c r="X299" i="2"/>
  <c r="X302" i="2"/>
  <c r="X325" i="2"/>
  <c r="X341" i="2"/>
  <c r="X342" i="2"/>
  <c r="X343" i="2"/>
  <c r="X356" i="2"/>
  <c r="X357" i="2"/>
  <c r="X358" i="2"/>
  <c r="X360" i="2"/>
  <c r="X361" i="2"/>
  <c r="X363" i="2"/>
  <c r="X396" i="2"/>
  <c r="X397" i="2"/>
  <c r="X408" i="2"/>
  <c r="X409" i="2"/>
  <c r="X410" i="2"/>
  <c r="X411" i="2"/>
  <c r="X413" i="2"/>
  <c r="X414" i="2"/>
  <c r="X415" i="2"/>
  <c r="X422" i="2"/>
  <c r="X446" i="2"/>
  <c r="X448" i="2"/>
  <c r="X449" i="2"/>
  <c r="X459" i="2"/>
  <c r="X460" i="2"/>
  <c r="X465" i="2"/>
  <c r="X471" i="2"/>
  <c r="X476" i="2"/>
  <c r="X488" i="2"/>
  <c r="X491" i="2"/>
  <c r="X497" i="2"/>
  <c r="X510" i="2"/>
  <c r="X512" i="2"/>
  <c r="X516" i="2"/>
  <c r="X528" i="2"/>
  <c r="X532" i="2"/>
  <c r="X542" i="2"/>
  <c r="X543" i="2"/>
  <c r="X548" i="2"/>
  <c r="X549" i="2"/>
  <c r="X564" i="2"/>
  <c r="X565" i="2"/>
  <c r="X601" i="2"/>
  <c r="X602" i="2"/>
  <c r="X609" i="2"/>
  <c r="X613" i="2"/>
  <c r="X614" i="2"/>
  <c r="X617" i="2"/>
  <c r="X629" i="2"/>
  <c r="X630" i="2"/>
  <c r="X648" i="2"/>
  <c r="X649" i="2"/>
  <c r="X650" i="2"/>
  <c r="X651" i="2"/>
  <c r="X653" i="2"/>
  <c r="X662" i="2"/>
  <c r="X665" i="2"/>
  <c r="X667" i="2"/>
  <c r="X668" i="2"/>
  <c r="X680" i="2"/>
  <c r="X683" i="2"/>
  <c r="X684" i="2"/>
  <c r="X698" i="2"/>
  <c r="X701" i="2"/>
  <c r="X702" i="2"/>
  <c r="X703" i="2"/>
  <c r="X704" i="2"/>
  <c r="X717" i="2"/>
  <c r="X718" i="2"/>
  <c r="X720" i="2"/>
  <c r="X721" i="2"/>
  <c r="X727" i="2"/>
  <c r="X736" i="2"/>
  <c r="X747" i="2"/>
  <c r="X753" i="2"/>
  <c r="X764" i="2"/>
  <c r="X767" i="2"/>
  <c r="X768" i="2"/>
  <c r="X769" i="2"/>
  <c r="X782" i="2"/>
  <c r="X785" i="2"/>
  <c r="X788" i="2"/>
  <c r="X801" i="2"/>
  <c r="X804" i="2"/>
  <c r="X809" i="2"/>
  <c r="X814" i="2"/>
  <c r="X820" i="2"/>
  <c r="X836" i="2"/>
  <c r="X837" i="2"/>
  <c r="X852" i="2"/>
  <c r="X856" i="2"/>
  <c r="X864" i="2"/>
  <c r="X865" i="2"/>
  <c r="X870" i="2"/>
  <c r="X881" i="2"/>
  <c r="X903" i="2"/>
  <c r="X904" i="2"/>
  <c r="X905" i="2"/>
  <c r="X918" i="2"/>
  <c r="X920" i="2"/>
  <c r="X921" i="2"/>
  <c r="X922" i="2"/>
  <c r="X929" i="2"/>
  <c r="X939" i="2"/>
  <c r="X955" i="2"/>
  <c r="X956" i="2"/>
  <c r="X957" i="2"/>
  <c r="X958" i="2"/>
  <c r="X969" i="2"/>
  <c r="X972" i="2"/>
  <c r="X974" i="2"/>
  <c r="X975" i="2"/>
  <c r="X981" i="2"/>
  <c r="X982" i="2"/>
  <c r="X990" i="2"/>
  <c r="X992" i="2"/>
  <c r="X993" i="2"/>
  <c r="X1024" i="2"/>
  <c r="X1039" i="2"/>
  <c r="X1045" i="2"/>
  <c r="X1046" i="2"/>
  <c r="X1062" i="2"/>
  <c r="X1063" i="2"/>
  <c r="X1068" i="2"/>
  <c r="X1077" i="2"/>
  <c r="X1078" i="2"/>
  <c r="X1079" i="2"/>
  <c r="X1096" i="2"/>
  <c r="X1111" i="2"/>
  <c r="X1112" i="2"/>
  <c r="X1113" i="2"/>
  <c r="X1126" i="2"/>
  <c r="X1127" i="2"/>
  <c r="X1128" i="2"/>
  <c r="X1130" i="2"/>
  <c r="X1131" i="2"/>
  <c r="X1136" i="2"/>
  <c r="X1143" i="2"/>
  <c r="X1144" i="2"/>
  <c r="X1148" i="2"/>
  <c r="X1149" i="2"/>
  <c r="X1161" i="2"/>
  <c r="X1165" i="2"/>
  <c r="X1166" i="2"/>
  <c r="X1167" i="2"/>
  <c r="X1182" i="2"/>
  <c r="X1184" i="2"/>
  <c r="X1185" i="2"/>
  <c r="X1197" i="2"/>
  <c r="X1200" i="2"/>
  <c r="X1205" i="2"/>
  <c r="X1217" i="2"/>
  <c r="X1220" i="2"/>
  <c r="X1221" i="2"/>
  <c r="X1236" i="2"/>
  <c r="X1238" i="2"/>
  <c r="X1239" i="2"/>
  <c r="X1254" i="2"/>
  <c r="X1256" i="2"/>
  <c r="X1257" i="2"/>
  <c r="X1262" i="2"/>
  <c r="X1264" i="2"/>
  <c r="X1272" i="2"/>
  <c r="X1293" i="2"/>
  <c r="X1308" i="2"/>
  <c r="X1309" i="2"/>
  <c r="X1311" i="2"/>
  <c r="X1312" i="2"/>
  <c r="X1313" i="2"/>
  <c r="X1325" i="2"/>
  <c r="X1329" i="2"/>
  <c r="X1336" i="2"/>
  <c r="X1339" i="2"/>
  <c r="X1353" i="2"/>
  <c r="X1358" i="2"/>
  <c r="X1364" i="2"/>
  <c r="X1376" i="2"/>
  <c r="X1377" i="2"/>
  <c r="X1393" i="2"/>
  <c r="X1403" i="2"/>
  <c r="X1405" i="2"/>
  <c r="X1406" i="2"/>
  <c r="X1408" i="2"/>
  <c r="X1412" i="2"/>
  <c r="X1413" i="2"/>
  <c r="X1428" i="2"/>
  <c r="X1430" i="2"/>
  <c r="X1444" i="2"/>
  <c r="X1448" i="2"/>
  <c r="X1461" i="2"/>
  <c r="X1462" i="2"/>
  <c r="X1463" i="2"/>
  <c r="X1479" i="2"/>
  <c r="X1480" i="2"/>
  <c r="X1496" i="2"/>
  <c r="X1500" i="2"/>
  <c r="X1502" i="2"/>
  <c r="X1511" i="2"/>
  <c r="X1512" i="2"/>
  <c r="X1514" i="2"/>
  <c r="X1515" i="2"/>
  <c r="X1516" i="2"/>
  <c r="X1522" i="2"/>
  <c r="X1532" i="2"/>
  <c r="X1546" i="2"/>
  <c r="X1548" i="2"/>
  <c r="X1549" i="2"/>
  <c r="X1559" i="2"/>
  <c r="X1564" i="2"/>
  <c r="X1565" i="2"/>
  <c r="X1576" i="2"/>
  <c r="X1580" i="2"/>
  <c r="X1581" i="2"/>
  <c r="X1598" i="2"/>
  <c r="X1614" i="2"/>
  <c r="X1615" i="2"/>
  <c r="X1626" i="2"/>
  <c r="X1627" i="2"/>
  <c r="X1628" i="2"/>
  <c r="X1639" i="2"/>
  <c r="X1648" i="2"/>
  <c r="X1650" i="2"/>
  <c r="X1664" i="2"/>
  <c r="X1666" i="2"/>
  <c r="X1667" i="2"/>
  <c r="X1680" i="2"/>
  <c r="X1682" i="2"/>
  <c r="X1693" i="2"/>
  <c r="X1696" i="2"/>
  <c r="X1697" i="2"/>
  <c r="X1698" i="2"/>
  <c r="X1712" i="2"/>
  <c r="X1714" i="2"/>
  <c r="X1715" i="2"/>
  <c r="X1729" i="2"/>
  <c r="X1730" i="2"/>
  <c r="X1731" i="2"/>
  <c r="X1732" i="2"/>
  <c r="X1733" i="2"/>
  <c r="X1745" i="2"/>
  <c r="X1746" i="2"/>
  <c r="X1747" i="2"/>
  <c r="X1749" i="2"/>
  <c r="X1762" i="2"/>
  <c r="X1763" i="2"/>
  <c r="X1765" i="2"/>
  <c r="X1778" i="2"/>
  <c r="X1781" i="2"/>
  <c r="X1782" i="2"/>
  <c r="X1783" i="2"/>
  <c r="X1784" i="2"/>
  <c r="X1785" i="2"/>
  <c r="X1787" i="2"/>
  <c r="X1795" i="2"/>
  <c r="X1796" i="2"/>
  <c r="X1799" i="2"/>
  <c r="X1805" i="2"/>
  <c r="X1809" i="2"/>
  <c r="X1811" i="2"/>
  <c r="X1827" i="2"/>
  <c r="X1829" i="2"/>
  <c r="X1830" i="2"/>
  <c r="X1831" i="2"/>
  <c r="X1832" i="2"/>
  <c r="X1833" i="2"/>
  <c r="X1835" i="2"/>
  <c r="X1849" i="2"/>
  <c r="X1850" i="2"/>
  <c r="X1856" i="2"/>
  <c r="X1863" i="2"/>
  <c r="X1864" i="2"/>
  <c r="X1868" i="2"/>
  <c r="X1884" i="2"/>
  <c r="X1901" i="2"/>
  <c r="X1904" i="2"/>
  <c r="X1916" i="2"/>
  <c r="X1920" i="2"/>
  <c r="X1921" i="2"/>
  <c r="X1932" i="2"/>
  <c r="X1938" i="2"/>
  <c r="X1954" i="2"/>
  <c r="X1955" i="2"/>
  <c r="X1965" i="2"/>
  <c r="X1968" i="2"/>
  <c r="X1970" i="2"/>
  <c r="X1971" i="2"/>
  <c r="X1974" i="2"/>
  <c r="X1981" i="2"/>
  <c r="X1984" i="2"/>
  <c r="X1985" i="2"/>
  <c r="X2001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V2" i="2"/>
  <c r="V3" i="2"/>
  <c r="V4" i="2"/>
  <c r="V5" i="2"/>
  <c r="V6" i="2"/>
  <c r="V8" i="2"/>
  <c r="V9" i="2"/>
  <c r="V10" i="2"/>
  <c r="V12" i="2"/>
  <c r="V13" i="2"/>
  <c r="V14" i="2"/>
  <c r="V15" i="2"/>
  <c r="V16" i="2"/>
  <c r="V17" i="2"/>
  <c r="V18" i="2"/>
  <c r="V20" i="2"/>
  <c r="V21" i="2"/>
  <c r="V23" i="2"/>
  <c r="V24" i="2"/>
  <c r="V25" i="2"/>
  <c r="V26" i="2"/>
  <c r="V28" i="2"/>
  <c r="V29" i="2"/>
  <c r="V30" i="2"/>
  <c r="V32" i="2"/>
  <c r="V33" i="2"/>
  <c r="V34" i="2"/>
  <c r="V35" i="2"/>
  <c r="V36" i="2"/>
  <c r="V37" i="2"/>
  <c r="V38" i="2"/>
  <c r="V40" i="2"/>
  <c r="V41" i="2"/>
  <c r="V42" i="2"/>
  <c r="V43" i="2"/>
  <c r="V44" i="2"/>
  <c r="V45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7" i="2"/>
  <c r="V68" i="2"/>
  <c r="V69" i="2"/>
  <c r="V70" i="2"/>
  <c r="V72" i="2"/>
  <c r="V73" i="2"/>
  <c r="V74" i="2"/>
  <c r="V75" i="2"/>
  <c r="V76" i="2"/>
  <c r="V77" i="2"/>
  <c r="V78" i="2"/>
  <c r="V80" i="2"/>
  <c r="V81" i="2"/>
  <c r="V82" i="2"/>
  <c r="V83" i="2"/>
  <c r="V84" i="2"/>
  <c r="V85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8" i="2"/>
  <c r="V149" i="2"/>
  <c r="V150" i="2"/>
  <c r="V151" i="2"/>
  <c r="V152" i="2"/>
  <c r="V153" i="2"/>
  <c r="V154" i="2"/>
  <c r="V155" i="2"/>
  <c r="V157" i="2"/>
  <c r="V158" i="2"/>
  <c r="V160" i="2"/>
  <c r="V161" i="2"/>
  <c r="V163" i="2"/>
  <c r="V164" i="2"/>
  <c r="V165" i="2"/>
  <c r="V166" i="2"/>
  <c r="V167" i="2"/>
  <c r="V168" i="2"/>
  <c r="V169" i="2"/>
  <c r="V170" i="2"/>
  <c r="V171" i="2"/>
  <c r="V172" i="2"/>
  <c r="V174" i="2"/>
  <c r="V177" i="2"/>
  <c r="V178" i="2"/>
  <c r="V179" i="2"/>
  <c r="V180" i="2"/>
  <c r="V181" i="2"/>
  <c r="V182" i="2"/>
  <c r="V183" i="2"/>
  <c r="V184" i="2"/>
  <c r="V186" i="2"/>
  <c r="V187" i="2"/>
  <c r="V188" i="2"/>
  <c r="V189" i="2"/>
  <c r="V191" i="2"/>
  <c r="V193" i="2"/>
  <c r="V194" i="2"/>
  <c r="V195" i="2"/>
  <c r="V197" i="2"/>
  <c r="V198" i="2"/>
  <c r="V199" i="2"/>
  <c r="V200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3" i="2"/>
  <c r="V224" i="2"/>
  <c r="V225" i="2"/>
  <c r="V227" i="2"/>
  <c r="V228" i="2"/>
  <c r="V229" i="2"/>
  <c r="V230" i="2"/>
  <c r="V231" i="2"/>
  <c r="V232" i="2"/>
  <c r="V233" i="2"/>
  <c r="V234" i="2"/>
  <c r="V235" i="2"/>
  <c r="V236" i="2"/>
  <c r="V237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3" i="2"/>
  <c r="V254" i="2"/>
  <c r="V256" i="2"/>
  <c r="V257" i="2"/>
  <c r="V259" i="2"/>
  <c r="V260" i="2"/>
  <c r="V261" i="2"/>
  <c r="V262" i="2"/>
  <c r="V263" i="2"/>
  <c r="V264" i="2"/>
  <c r="V265" i="2"/>
  <c r="V266" i="2"/>
  <c r="V267" i="2"/>
  <c r="V268" i="2"/>
  <c r="V270" i="2"/>
  <c r="V272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4" i="2"/>
  <c r="V305" i="2"/>
  <c r="V306" i="2"/>
  <c r="V307" i="2"/>
  <c r="V308" i="2"/>
  <c r="V310" i="2"/>
  <c r="V311" i="2"/>
  <c r="V312" i="2"/>
  <c r="V313" i="2"/>
  <c r="V315" i="2"/>
  <c r="V317" i="2"/>
  <c r="V318" i="2"/>
  <c r="V319" i="2"/>
  <c r="V320" i="2"/>
  <c r="V321" i="2"/>
  <c r="V322" i="2"/>
  <c r="V323" i="2"/>
  <c r="V324" i="2"/>
  <c r="V325" i="2"/>
  <c r="V326" i="2"/>
  <c r="V327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3" i="2"/>
  <c r="V344" i="2"/>
  <c r="V345" i="2"/>
  <c r="V346" i="2"/>
  <c r="V347" i="2"/>
  <c r="V349" i="2"/>
  <c r="V350" i="2"/>
  <c r="V351" i="2"/>
  <c r="V352" i="2"/>
  <c r="V353" i="2"/>
  <c r="V355" i="2"/>
  <c r="V356" i="2"/>
  <c r="V357" i="2"/>
  <c r="V358" i="2"/>
  <c r="V360" i="2"/>
  <c r="V361" i="2"/>
  <c r="V362" i="2"/>
  <c r="V363" i="2"/>
  <c r="V364" i="2"/>
  <c r="V365" i="2"/>
  <c r="V367" i="2"/>
  <c r="V368" i="2"/>
  <c r="V369" i="2"/>
  <c r="V371" i="2"/>
  <c r="V372" i="2"/>
  <c r="V373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10" i="2"/>
  <c r="V411" i="2"/>
  <c r="V412" i="2"/>
  <c r="V414" i="2"/>
  <c r="V415" i="2"/>
  <c r="V416" i="2"/>
  <c r="V417" i="2"/>
  <c r="V418" i="2"/>
  <c r="V419" i="2"/>
  <c r="V420" i="2"/>
  <c r="V422" i="2"/>
  <c r="V423" i="2"/>
  <c r="V424" i="2"/>
  <c r="V425" i="2"/>
  <c r="V426" i="2"/>
  <c r="V427" i="2"/>
  <c r="V428" i="2"/>
  <c r="V429" i="2"/>
  <c r="V430" i="2"/>
  <c r="V431" i="2"/>
  <c r="V432" i="2"/>
  <c r="V434" i="2"/>
  <c r="V435" i="2"/>
  <c r="V437" i="2"/>
  <c r="V438" i="2"/>
  <c r="V439" i="2"/>
  <c r="V440" i="2"/>
  <c r="V441" i="2"/>
  <c r="V442" i="2"/>
  <c r="V444" i="2"/>
  <c r="V446" i="2"/>
  <c r="V447" i="2"/>
  <c r="V448" i="2"/>
  <c r="V449" i="2"/>
  <c r="V450" i="2"/>
  <c r="V452" i="2"/>
  <c r="V453" i="2"/>
  <c r="V454" i="2"/>
  <c r="V455" i="2"/>
  <c r="V457" i="2"/>
  <c r="V458" i="2"/>
  <c r="V459" i="2"/>
  <c r="V460" i="2"/>
  <c r="V461" i="2"/>
  <c r="V462" i="2"/>
  <c r="V464" i="2"/>
  <c r="V465" i="2"/>
  <c r="V466" i="2"/>
  <c r="V467" i="2"/>
  <c r="V468" i="2"/>
  <c r="V469" i="2"/>
  <c r="V470" i="2"/>
  <c r="V471" i="2"/>
  <c r="V473" i="2"/>
  <c r="V474" i="2"/>
  <c r="V475" i="2"/>
  <c r="V477" i="2"/>
  <c r="V478" i="2"/>
  <c r="V479" i="2"/>
  <c r="V481" i="2"/>
  <c r="V482" i="2"/>
  <c r="V484" i="2"/>
  <c r="V485" i="2"/>
  <c r="V486" i="2"/>
  <c r="V487" i="2"/>
  <c r="V488" i="2"/>
  <c r="V489" i="2"/>
  <c r="V490" i="2"/>
  <c r="V491" i="2"/>
  <c r="V492" i="2"/>
  <c r="V493" i="2"/>
  <c r="V494" i="2"/>
  <c r="V496" i="2"/>
  <c r="V497" i="2"/>
  <c r="V498" i="2"/>
  <c r="V499" i="2"/>
  <c r="V500" i="2"/>
  <c r="V501" i="2"/>
  <c r="V503" i="2"/>
  <c r="V505" i="2"/>
  <c r="V507" i="2"/>
  <c r="V508" i="2"/>
  <c r="V510" i="2"/>
  <c r="V511" i="2"/>
  <c r="V513" i="2"/>
  <c r="V514" i="2"/>
  <c r="V516" i="2"/>
  <c r="V518" i="2"/>
  <c r="V519" i="2"/>
  <c r="V520" i="2"/>
  <c r="V521" i="2"/>
  <c r="V522" i="2"/>
  <c r="V524" i="2"/>
  <c r="V525" i="2"/>
  <c r="V526" i="2"/>
  <c r="V527" i="2"/>
  <c r="V528" i="2"/>
  <c r="V529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7" i="2"/>
  <c r="V559" i="2"/>
  <c r="V560" i="2"/>
  <c r="V561" i="2"/>
  <c r="V564" i="2"/>
  <c r="V565" i="2"/>
  <c r="V566" i="2"/>
  <c r="V567" i="2"/>
  <c r="V568" i="2"/>
  <c r="V569" i="2"/>
  <c r="V570" i="2"/>
  <c r="V571" i="2"/>
  <c r="V573" i="2"/>
  <c r="V574" i="2"/>
  <c r="V575" i="2"/>
  <c r="V576" i="2"/>
  <c r="V577" i="2"/>
  <c r="V578" i="2"/>
  <c r="V580" i="2"/>
  <c r="V581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7" i="2"/>
  <c r="V608" i="2"/>
  <c r="V609" i="2"/>
  <c r="V610" i="2"/>
  <c r="V611" i="2"/>
  <c r="V612" i="2"/>
  <c r="V613" i="2"/>
  <c r="V614" i="2"/>
  <c r="V615" i="2"/>
  <c r="V616" i="2"/>
  <c r="V617" i="2"/>
  <c r="V619" i="2"/>
  <c r="V620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2" i="2"/>
  <c r="V663" i="2"/>
  <c r="V664" i="2"/>
  <c r="V665" i="2"/>
  <c r="V666" i="2"/>
  <c r="V667" i="2"/>
  <c r="V668" i="2"/>
  <c r="V669" i="2"/>
  <c r="V670" i="2"/>
  <c r="V671" i="2"/>
  <c r="V673" i="2"/>
  <c r="V674" i="2"/>
  <c r="V675" i="2"/>
  <c r="V676" i="2"/>
  <c r="V678" i="2"/>
  <c r="V679" i="2"/>
  <c r="V680" i="2"/>
  <c r="V681" i="2"/>
  <c r="V682" i="2"/>
  <c r="V684" i="2"/>
  <c r="V685" i="2"/>
  <c r="V686" i="2"/>
  <c r="V687" i="2"/>
  <c r="V688" i="2"/>
  <c r="V690" i="2"/>
  <c r="V691" i="2"/>
  <c r="V692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7" i="2"/>
  <c r="V708" i="2"/>
  <c r="V709" i="2"/>
  <c r="V710" i="2"/>
  <c r="V713" i="2"/>
  <c r="V714" i="2"/>
  <c r="V715" i="2"/>
  <c r="V716" i="2"/>
  <c r="V718" i="2"/>
  <c r="V719" i="2"/>
  <c r="V720" i="2"/>
  <c r="V721" i="2"/>
  <c r="V722" i="2"/>
  <c r="V724" i="2"/>
  <c r="V725" i="2"/>
  <c r="V726" i="2"/>
  <c r="V727" i="2"/>
  <c r="V728" i="2"/>
  <c r="V730" i="2"/>
  <c r="V731" i="2"/>
  <c r="V732" i="2"/>
  <c r="V733" i="2"/>
  <c r="V734" i="2"/>
  <c r="V736" i="2"/>
  <c r="V737" i="2"/>
  <c r="V738" i="2"/>
  <c r="V740" i="2"/>
  <c r="V743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9" i="2"/>
  <c r="V760" i="2"/>
  <c r="V761" i="2"/>
  <c r="V762" i="2"/>
  <c r="V763" i="2"/>
  <c r="V764" i="2"/>
  <c r="V765" i="2"/>
  <c r="V766" i="2"/>
  <c r="V767" i="2"/>
  <c r="V768" i="2"/>
  <c r="V769" i="2"/>
  <c r="V771" i="2"/>
  <c r="V772" i="2"/>
  <c r="V773" i="2"/>
  <c r="V774" i="2"/>
  <c r="V775" i="2"/>
  <c r="V776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2" i="2"/>
  <c r="V793" i="2"/>
  <c r="V794" i="2"/>
  <c r="V796" i="2"/>
  <c r="V797" i="2"/>
  <c r="V798" i="2"/>
  <c r="V799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20" i="2"/>
  <c r="V821" i="2"/>
  <c r="V822" i="2"/>
  <c r="V823" i="2"/>
  <c r="V824" i="2"/>
  <c r="V825" i="2"/>
  <c r="V827" i="2"/>
  <c r="V828" i="2"/>
  <c r="V829" i="2"/>
  <c r="V830" i="2"/>
  <c r="V831" i="2"/>
  <c r="V832" i="2"/>
  <c r="V833" i="2"/>
  <c r="V834" i="2"/>
  <c r="V835" i="2"/>
  <c r="V836" i="2"/>
  <c r="V837" i="2"/>
  <c r="V839" i="2"/>
  <c r="V840" i="2"/>
  <c r="V841" i="2"/>
  <c r="V842" i="2"/>
  <c r="V843" i="2"/>
  <c r="V844" i="2"/>
  <c r="V846" i="2"/>
  <c r="V847" i="2"/>
  <c r="V848" i="2"/>
  <c r="V849" i="2"/>
  <c r="V850" i="2"/>
  <c r="V851" i="2"/>
  <c r="V852" i="2"/>
  <c r="V854" i="2"/>
  <c r="V856" i="2"/>
  <c r="V857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6" i="2"/>
  <c r="V917" i="2"/>
  <c r="V918" i="2"/>
  <c r="V920" i="2"/>
  <c r="V922" i="2"/>
  <c r="V923" i="2"/>
  <c r="V924" i="2"/>
  <c r="V925" i="2"/>
  <c r="V926" i="2"/>
  <c r="V927" i="2"/>
  <c r="V929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1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5" i="2"/>
  <c r="V976" i="2"/>
  <c r="V977" i="2"/>
  <c r="V978" i="2"/>
  <c r="V979" i="2"/>
  <c r="V981" i="2"/>
  <c r="V982" i="2"/>
  <c r="V983" i="2"/>
  <c r="V984" i="2"/>
  <c r="V985" i="2"/>
  <c r="V986" i="2"/>
  <c r="V987" i="2"/>
  <c r="V988" i="2"/>
  <c r="V989" i="2"/>
  <c r="V990" i="2"/>
  <c r="V992" i="2"/>
  <c r="V993" i="2"/>
  <c r="V995" i="2"/>
  <c r="V996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3" i="2"/>
  <c r="V1014" i="2"/>
  <c r="V1015" i="2"/>
  <c r="V1016" i="2"/>
  <c r="V1018" i="2"/>
  <c r="V1019" i="2"/>
  <c r="V1021" i="2"/>
  <c r="V1022" i="2"/>
  <c r="V1023" i="2"/>
  <c r="V1024" i="2"/>
  <c r="V1025" i="2"/>
  <c r="V1026" i="2"/>
  <c r="V1027" i="2"/>
  <c r="V1028" i="2"/>
  <c r="V1030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5" i="2"/>
  <c r="V1048" i="2"/>
  <c r="V1049" i="2"/>
  <c r="V1050" i="2"/>
  <c r="V1051" i="2"/>
  <c r="V1052" i="2"/>
  <c r="V1053" i="2"/>
  <c r="V1056" i="2"/>
  <c r="V1057" i="2"/>
  <c r="V1058" i="2"/>
  <c r="V1060" i="2"/>
  <c r="V1061" i="2"/>
  <c r="V1062" i="2"/>
  <c r="V1063" i="2"/>
  <c r="V1064" i="2"/>
  <c r="V1065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1" i="2"/>
  <c r="V1082" i="2"/>
  <c r="V1083" i="2"/>
  <c r="V1084" i="2"/>
  <c r="V1085" i="2"/>
  <c r="V1086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1" i="2"/>
  <c r="V1112" i="2"/>
  <c r="V1113" i="2"/>
  <c r="V1115" i="2"/>
  <c r="V1116" i="2"/>
  <c r="V1117" i="2"/>
  <c r="V1118" i="2"/>
  <c r="V1119" i="2"/>
  <c r="V1120" i="2"/>
  <c r="V1121" i="2"/>
  <c r="V1122" i="2"/>
  <c r="V1124" i="2"/>
  <c r="V1125" i="2"/>
  <c r="V1126" i="2"/>
  <c r="V1127" i="2"/>
  <c r="V1128" i="2"/>
  <c r="V1129" i="2"/>
  <c r="V1130" i="2"/>
  <c r="V1132" i="2"/>
  <c r="V1133" i="2"/>
  <c r="V1134" i="2"/>
  <c r="V1135" i="2"/>
  <c r="V1136" i="2"/>
  <c r="V1137" i="2"/>
  <c r="V1138" i="2"/>
  <c r="V1139" i="2"/>
  <c r="V1141" i="2"/>
  <c r="V1142" i="2"/>
  <c r="V1143" i="2"/>
  <c r="V1144" i="2"/>
  <c r="V1146" i="2"/>
  <c r="V1149" i="2"/>
  <c r="V1150" i="2"/>
  <c r="V1151" i="2"/>
  <c r="V1152" i="2"/>
  <c r="V1154" i="2"/>
  <c r="V1155" i="2"/>
  <c r="V1156" i="2"/>
  <c r="V1157" i="2"/>
  <c r="V1158" i="2"/>
  <c r="V1160" i="2"/>
  <c r="V1163" i="2"/>
  <c r="V1164" i="2"/>
  <c r="V1165" i="2"/>
  <c r="V1166" i="2"/>
  <c r="V1167" i="2"/>
  <c r="V1168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9" i="2"/>
  <c r="V1190" i="2"/>
  <c r="V1191" i="2"/>
  <c r="V1193" i="2"/>
  <c r="V1194" i="2"/>
  <c r="V1195" i="2"/>
  <c r="V1197" i="2"/>
  <c r="V1198" i="2"/>
  <c r="V1199" i="2"/>
  <c r="V1200" i="2"/>
  <c r="V1201" i="2"/>
  <c r="V1203" i="2"/>
  <c r="V1205" i="2"/>
  <c r="V1206" i="2"/>
  <c r="V1207" i="2"/>
  <c r="V1208" i="2"/>
  <c r="V1209" i="2"/>
  <c r="V1211" i="2"/>
  <c r="V1212" i="2"/>
  <c r="V1213" i="2"/>
  <c r="V1214" i="2"/>
  <c r="V1215" i="2"/>
  <c r="V1216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3" i="2"/>
  <c r="V1236" i="2"/>
  <c r="V1237" i="2"/>
  <c r="V1238" i="2"/>
  <c r="V1239" i="2"/>
  <c r="V1240" i="2"/>
  <c r="V1241" i="2"/>
  <c r="V1242" i="2"/>
  <c r="V1244" i="2"/>
  <c r="V1245" i="2"/>
  <c r="V1246" i="2"/>
  <c r="V1247" i="2"/>
  <c r="V1248" i="2"/>
  <c r="V1249" i="2"/>
  <c r="V1250" i="2"/>
  <c r="V1252" i="2"/>
  <c r="V1253" i="2"/>
  <c r="V1254" i="2"/>
  <c r="V1255" i="2"/>
  <c r="V1256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2" i="2"/>
  <c r="V1273" i="2"/>
  <c r="V1274" i="2"/>
  <c r="V1277" i="2"/>
  <c r="V1278" i="2"/>
  <c r="V1279" i="2"/>
  <c r="V1280" i="2"/>
  <c r="V1281" i="2"/>
  <c r="V1282" i="2"/>
  <c r="V1283" i="2"/>
  <c r="V1284" i="2"/>
  <c r="V1285" i="2"/>
  <c r="V1287" i="2"/>
  <c r="V1288" i="2"/>
  <c r="V1290" i="2"/>
  <c r="V1291" i="2"/>
  <c r="V1292" i="2"/>
  <c r="V1293" i="2"/>
  <c r="V1294" i="2"/>
  <c r="V1296" i="2"/>
  <c r="V1297" i="2"/>
  <c r="V1300" i="2"/>
  <c r="V1302" i="2"/>
  <c r="V1303" i="2"/>
  <c r="V1306" i="2"/>
  <c r="V1307" i="2"/>
  <c r="V1308" i="2"/>
  <c r="V1309" i="2"/>
  <c r="V1310" i="2"/>
  <c r="V1311" i="2"/>
  <c r="V1312" i="2"/>
  <c r="V1313" i="2"/>
  <c r="V1314" i="2"/>
  <c r="V1315" i="2"/>
  <c r="V1316" i="2"/>
  <c r="V1319" i="2"/>
  <c r="V1320" i="2"/>
  <c r="V1321" i="2"/>
  <c r="V1322" i="2"/>
  <c r="V1323" i="2"/>
  <c r="V1324" i="2"/>
  <c r="V1325" i="2"/>
  <c r="V1326" i="2"/>
  <c r="V1328" i="2"/>
  <c r="V1329" i="2"/>
  <c r="V1330" i="2"/>
  <c r="V1331" i="2"/>
  <c r="V1332" i="2"/>
  <c r="V1333" i="2"/>
  <c r="V1334" i="2"/>
  <c r="V1335" i="2"/>
  <c r="V1336" i="2"/>
  <c r="V1338" i="2"/>
  <c r="V1340" i="2"/>
  <c r="V1341" i="2"/>
  <c r="V1344" i="2"/>
  <c r="V1345" i="2"/>
  <c r="V1347" i="2"/>
  <c r="V1348" i="2"/>
  <c r="V1349" i="2"/>
  <c r="V1350" i="2"/>
  <c r="V1351" i="2"/>
  <c r="V1352" i="2"/>
  <c r="V1353" i="2"/>
  <c r="V1354" i="2"/>
  <c r="V1355" i="2"/>
  <c r="V1356" i="2"/>
  <c r="V1358" i="2"/>
  <c r="V1359" i="2"/>
  <c r="V1360" i="2"/>
  <c r="V1362" i="2"/>
  <c r="V1363" i="2"/>
  <c r="V1364" i="2"/>
  <c r="V1365" i="2"/>
  <c r="V1366" i="2"/>
  <c r="V1367" i="2"/>
  <c r="V1370" i="2"/>
  <c r="V1371" i="2"/>
  <c r="V1372" i="2"/>
  <c r="V1374" i="2"/>
  <c r="V1375" i="2"/>
  <c r="V1376" i="2"/>
  <c r="V1377" i="2"/>
  <c r="V1378" i="2"/>
  <c r="V1379" i="2"/>
  <c r="V1380" i="2"/>
  <c r="V1381" i="2"/>
  <c r="V1382" i="2"/>
  <c r="V1383" i="2"/>
  <c r="V1384" i="2"/>
  <c r="V1385" i="2"/>
  <c r="V1386" i="2"/>
  <c r="V1390" i="2"/>
  <c r="V1391" i="2"/>
  <c r="V1392" i="2"/>
  <c r="V1393" i="2"/>
  <c r="V1394" i="2"/>
  <c r="V1395" i="2"/>
  <c r="V1396" i="2"/>
  <c r="V1397" i="2"/>
  <c r="V1398" i="2"/>
  <c r="V1401" i="2"/>
  <c r="V1402" i="2"/>
  <c r="V1404" i="2"/>
  <c r="V1405" i="2"/>
  <c r="V1406" i="2"/>
  <c r="V1407" i="2"/>
  <c r="V1408" i="2"/>
  <c r="V1409" i="2"/>
  <c r="V1410" i="2"/>
  <c r="V1411" i="2"/>
  <c r="V1412" i="2"/>
  <c r="V1414" i="2"/>
  <c r="V1416" i="2"/>
  <c r="V1417" i="2"/>
  <c r="V1418" i="2"/>
  <c r="V1420" i="2"/>
  <c r="V1421" i="2"/>
  <c r="V1422" i="2"/>
  <c r="V1423" i="2"/>
  <c r="V1426" i="2"/>
  <c r="V1427" i="2"/>
  <c r="V1429" i="2"/>
  <c r="V1431" i="2"/>
  <c r="V1432" i="2"/>
  <c r="V1433" i="2"/>
  <c r="V1434" i="2"/>
  <c r="V1435" i="2"/>
  <c r="V1436" i="2"/>
  <c r="V1437" i="2"/>
  <c r="V1438" i="2"/>
  <c r="V1439" i="2"/>
  <c r="V1440" i="2"/>
  <c r="V1441" i="2"/>
  <c r="V1442" i="2"/>
  <c r="V1443" i="2"/>
  <c r="V1444" i="2"/>
  <c r="V1445" i="2"/>
  <c r="V1446" i="2"/>
  <c r="V1447" i="2"/>
  <c r="V1448" i="2"/>
  <c r="V1449" i="2"/>
  <c r="V1450" i="2"/>
  <c r="V1452" i="2"/>
  <c r="V1453" i="2"/>
  <c r="V1455" i="2"/>
  <c r="V1456" i="2"/>
  <c r="V1457" i="2"/>
  <c r="V1458" i="2"/>
  <c r="V1459" i="2"/>
  <c r="V1461" i="2"/>
  <c r="V1462" i="2"/>
  <c r="V1463" i="2"/>
  <c r="V1464" i="2"/>
  <c r="V1465" i="2"/>
  <c r="V1466" i="2"/>
  <c r="V1467" i="2"/>
  <c r="V1469" i="2"/>
  <c r="V1470" i="2"/>
  <c r="V1471" i="2"/>
  <c r="V1472" i="2"/>
  <c r="V1473" i="2"/>
  <c r="V1474" i="2"/>
  <c r="V1475" i="2"/>
  <c r="V1476" i="2"/>
  <c r="V1477" i="2"/>
  <c r="V1478" i="2"/>
  <c r="V1479" i="2"/>
  <c r="V1480" i="2"/>
  <c r="V1481" i="2"/>
  <c r="V1482" i="2"/>
  <c r="V1483" i="2"/>
  <c r="V1484" i="2"/>
  <c r="V1485" i="2"/>
  <c r="V1487" i="2"/>
  <c r="V1488" i="2"/>
  <c r="V1489" i="2"/>
  <c r="V1490" i="2"/>
  <c r="V1491" i="2"/>
  <c r="V1492" i="2"/>
  <c r="V1493" i="2"/>
  <c r="V1494" i="2"/>
  <c r="V1495" i="2"/>
  <c r="V1496" i="2"/>
  <c r="V1497" i="2"/>
  <c r="V1500" i="2"/>
  <c r="V1501" i="2"/>
  <c r="V1502" i="2"/>
  <c r="V1503" i="2"/>
  <c r="V1505" i="2"/>
  <c r="V1506" i="2"/>
  <c r="V1507" i="2"/>
  <c r="V1508" i="2"/>
  <c r="V1510" i="2"/>
  <c r="V1511" i="2"/>
  <c r="V1512" i="2"/>
  <c r="V1513" i="2"/>
  <c r="V1514" i="2"/>
  <c r="V1515" i="2"/>
  <c r="V1516" i="2"/>
  <c r="V1517" i="2"/>
  <c r="V1519" i="2"/>
  <c r="V1520" i="2"/>
  <c r="V1521" i="2"/>
  <c r="V1522" i="2"/>
  <c r="V1523" i="2"/>
  <c r="V1524" i="2"/>
  <c r="V1525" i="2"/>
  <c r="V1527" i="2"/>
  <c r="V1528" i="2"/>
  <c r="V1529" i="2"/>
  <c r="V1530" i="2"/>
  <c r="V1531" i="2"/>
  <c r="V1532" i="2"/>
  <c r="V1533" i="2"/>
  <c r="V1534" i="2"/>
  <c r="V1535" i="2"/>
  <c r="V1536" i="2"/>
  <c r="V1537" i="2"/>
  <c r="V1538" i="2"/>
  <c r="V1539" i="2"/>
  <c r="V1540" i="2"/>
  <c r="V1541" i="2"/>
  <c r="V1542" i="2"/>
  <c r="V1544" i="2"/>
  <c r="V1545" i="2"/>
  <c r="V1546" i="2"/>
  <c r="V1547" i="2"/>
  <c r="V1548" i="2"/>
  <c r="V1550" i="2"/>
  <c r="V1552" i="2"/>
  <c r="V1553" i="2"/>
  <c r="V1554" i="2"/>
  <c r="V1555" i="2"/>
  <c r="V1556" i="2"/>
  <c r="V1557" i="2"/>
  <c r="V1558" i="2"/>
  <c r="V1559" i="2"/>
  <c r="V1560" i="2"/>
  <c r="V1561" i="2"/>
  <c r="V1562" i="2"/>
  <c r="V1564" i="2"/>
  <c r="V1565" i="2"/>
  <c r="V1566" i="2"/>
  <c r="V1567" i="2"/>
  <c r="V1568" i="2"/>
  <c r="V1569" i="2"/>
  <c r="V1570" i="2"/>
  <c r="V1572" i="2"/>
  <c r="V1574" i="2"/>
  <c r="V1575" i="2"/>
  <c r="V1576" i="2"/>
  <c r="V1577" i="2"/>
  <c r="V1578" i="2"/>
  <c r="V1581" i="2"/>
  <c r="V1582" i="2"/>
  <c r="V1584" i="2"/>
  <c r="V1585" i="2"/>
  <c r="V1587" i="2"/>
  <c r="V1588" i="2"/>
  <c r="V1589" i="2"/>
  <c r="V1591" i="2"/>
  <c r="V1592" i="2"/>
  <c r="V1593" i="2"/>
  <c r="V1594" i="2"/>
  <c r="V1595" i="2"/>
  <c r="V1596" i="2"/>
  <c r="V1597" i="2"/>
  <c r="V1599" i="2"/>
  <c r="V1600" i="2"/>
  <c r="V1601" i="2"/>
  <c r="V1602" i="2"/>
  <c r="V1603" i="2"/>
  <c r="V1604" i="2"/>
  <c r="V1605" i="2"/>
  <c r="V1606" i="2"/>
  <c r="V1607" i="2"/>
  <c r="V1608" i="2"/>
  <c r="V1609" i="2"/>
  <c r="V1611" i="2"/>
  <c r="V1612" i="2"/>
  <c r="V1613" i="2"/>
  <c r="V1614" i="2"/>
  <c r="V1615" i="2"/>
  <c r="V1616" i="2"/>
  <c r="V1617" i="2"/>
  <c r="V1619" i="2"/>
  <c r="V1620" i="2"/>
  <c r="V1621" i="2"/>
  <c r="V1622" i="2"/>
  <c r="V1623" i="2"/>
  <c r="V1624" i="2"/>
  <c r="V1625" i="2"/>
  <c r="V1626" i="2"/>
  <c r="V1627" i="2"/>
  <c r="V1628" i="2"/>
  <c r="V1629" i="2"/>
  <c r="V1630" i="2"/>
  <c r="V1632" i="2"/>
  <c r="V1633" i="2"/>
  <c r="V1634" i="2"/>
  <c r="V1635" i="2"/>
  <c r="V1636" i="2"/>
  <c r="V1637" i="2"/>
  <c r="V1638" i="2"/>
  <c r="V1639" i="2"/>
  <c r="V1640" i="2"/>
  <c r="V1641" i="2"/>
  <c r="V1643" i="2"/>
  <c r="V1644" i="2"/>
  <c r="V1647" i="2"/>
  <c r="V1648" i="2"/>
  <c r="V1649" i="2"/>
  <c r="V1650" i="2"/>
  <c r="V1651" i="2"/>
  <c r="V1652" i="2"/>
  <c r="V1653" i="2"/>
  <c r="V1654" i="2"/>
  <c r="V1655" i="2"/>
  <c r="V1656" i="2"/>
  <c r="V1657" i="2"/>
  <c r="V1658" i="2"/>
  <c r="V1659" i="2"/>
  <c r="V1660" i="2"/>
  <c r="V1661" i="2"/>
  <c r="V1662" i="2"/>
  <c r="V1663" i="2"/>
  <c r="V1664" i="2"/>
  <c r="V1665" i="2"/>
  <c r="V1666" i="2"/>
  <c r="V1667" i="2"/>
  <c r="V1668" i="2"/>
  <c r="V1669" i="2"/>
  <c r="V1670" i="2"/>
  <c r="V1671" i="2"/>
  <c r="V1672" i="2"/>
  <c r="V1673" i="2"/>
  <c r="V1674" i="2"/>
  <c r="V1675" i="2"/>
  <c r="V1676" i="2"/>
  <c r="V1677" i="2"/>
  <c r="V1678" i="2"/>
  <c r="V1679" i="2"/>
  <c r="V1680" i="2"/>
  <c r="V1681" i="2"/>
  <c r="V1682" i="2"/>
  <c r="V1683" i="2"/>
  <c r="V1684" i="2"/>
  <c r="V1685" i="2"/>
  <c r="V1687" i="2"/>
  <c r="V1688" i="2"/>
  <c r="V1690" i="2"/>
  <c r="V1691" i="2"/>
  <c r="V1692" i="2"/>
  <c r="V1693" i="2"/>
  <c r="V1694" i="2"/>
  <c r="V1695" i="2"/>
  <c r="V1696" i="2"/>
  <c r="V1697" i="2"/>
  <c r="V1698" i="2"/>
  <c r="V1699" i="2"/>
  <c r="V1701" i="2"/>
  <c r="V1702" i="2"/>
  <c r="V1703" i="2"/>
  <c r="V1704" i="2"/>
  <c r="V1705" i="2"/>
  <c r="V1706" i="2"/>
  <c r="V1707" i="2"/>
  <c r="V1708" i="2"/>
  <c r="V1709" i="2"/>
  <c r="V1710" i="2"/>
  <c r="V1711" i="2"/>
  <c r="V1713" i="2"/>
  <c r="V1714" i="2"/>
  <c r="V1715" i="2"/>
  <c r="V1717" i="2"/>
  <c r="V1718" i="2"/>
  <c r="V1719" i="2"/>
  <c r="V1720" i="2"/>
  <c r="V1721" i="2"/>
  <c r="V1722" i="2"/>
  <c r="V1723" i="2"/>
  <c r="V1724" i="2"/>
  <c r="V1725" i="2"/>
  <c r="V1726" i="2"/>
  <c r="V1728" i="2"/>
  <c r="V1729" i="2"/>
  <c r="V1731" i="2"/>
  <c r="V1732" i="2"/>
  <c r="V1733" i="2"/>
  <c r="V1734" i="2"/>
  <c r="V1735" i="2"/>
  <c r="V1736" i="2"/>
  <c r="V1737" i="2"/>
  <c r="V1738" i="2"/>
  <c r="V1739" i="2"/>
  <c r="V1740" i="2"/>
  <c r="V1741" i="2"/>
  <c r="V1742" i="2"/>
  <c r="V1743" i="2"/>
  <c r="V1745" i="2"/>
  <c r="V1746" i="2"/>
  <c r="V1747" i="2"/>
  <c r="V1748" i="2"/>
  <c r="V1749" i="2"/>
  <c r="V1751" i="2"/>
  <c r="V1752" i="2"/>
  <c r="V1755" i="2"/>
  <c r="V1756" i="2"/>
  <c r="V1757" i="2"/>
  <c r="V1758" i="2"/>
  <c r="V1759" i="2"/>
  <c r="V1760" i="2"/>
  <c r="V1761" i="2"/>
  <c r="V1763" i="2"/>
  <c r="V1764" i="2"/>
  <c r="V1765" i="2"/>
  <c r="V1766" i="2"/>
  <c r="V1768" i="2"/>
  <c r="V1770" i="2"/>
  <c r="V1771" i="2"/>
  <c r="V1772" i="2"/>
  <c r="V1773" i="2"/>
  <c r="V1774" i="2"/>
  <c r="V1775" i="2"/>
  <c r="V1776" i="2"/>
  <c r="V1777" i="2"/>
  <c r="V1779" i="2"/>
  <c r="V1780" i="2"/>
  <c r="V1781" i="2"/>
  <c r="V1782" i="2"/>
  <c r="V1783" i="2"/>
  <c r="V1785" i="2"/>
  <c r="V1786" i="2"/>
  <c r="V1787" i="2"/>
  <c r="V1788" i="2"/>
  <c r="V1789" i="2"/>
  <c r="V1790" i="2"/>
  <c r="V1791" i="2"/>
  <c r="V1793" i="2"/>
  <c r="V1794" i="2"/>
  <c r="V1795" i="2"/>
  <c r="V1796" i="2"/>
  <c r="V1798" i="2"/>
  <c r="V1799" i="2"/>
  <c r="V1800" i="2"/>
  <c r="V1801" i="2"/>
  <c r="V1802" i="2"/>
  <c r="V1803" i="2"/>
  <c r="V1804" i="2"/>
  <c r="V1805" i="2"/>
  <c r="V1807" i="2"/>
  <c r="V1808" i="2"/>
  <c r="V1809" i="2"/>
  <c r="V1810" i="2"/>
  <c r="V1811" i="2"/>
  <c r="V1812" i="2"/>
  <c r="V1813" i="2"/>
  <c r="V1814" i="2"/>
  <c r="V1815" i="2"/>
  <c r="V1816" i="2"/>
  <c r="V1817" i="2"/>
  <c r="V1819" i="2"/>
  <c r="V1820" i="2"/>
  <c r="V1821" i="2"/>
  <c r="V1822" i="2"/>
  <c r="V1825" i="2"/>
  <c r="V1826" i="2"/>
  <c r="V1827" i="2"/>
  <c r="V1828" i="2"/>
  <c r="V1829" i="2"/>
  <c r="V1830" i="2"/>
  <c r="V1831" i="2"/>
  <c r="V1832" i="2"/>
  <c r="V1833" i="2"/>
  <c r="V1835" i="2"/>
  <c r="V1836" i="2"/>
  <c r="V1837" i="2"/>
  <c r="V1838" i="2"/>
  <c r="V1840" i="2"/>
  <c r="V1841" i="2"/>
  <c r="V1842" i="2"/>
  <c r="V1843" i="2"/>
  <c r="V1845" i="2"/>
  <c r="V1846" i="2"/>
  <c r="V1847" i="2"/>
  <c r="V1848" i="2"/>
  <c r="V1849" i="2"/>
  <c r="V1850" i="2"/>
  <c r="V1852" i="2"/>
  <c r="V1854" i="2"/>
  <c r="V1855" i="2"/>
  <c r="V1856" i="2"/>
  <c r="V1859" i="2"/>
  <c r="V1860" i="2"/>
  <c r="V1862" i="2"/>
  <c r="V1864" i="2"/>
  <c r="V1866" i="2"/>
  <c r="V1867" i="2"/>
  <c r="V1868" i="2"/>
  <c r="V1869" i="2"/>
  <c r="V1870" i="2"/>
  <c r="V1871" i="2"/>
  <c r="V1873" i="2"/>
  <c r="V1875" i="2"/>
  <c r="V1876" i="2"/>
  <c r="V1877" i="2"/>
  <c r="V1880" i="2"/>
  <c r="V1882" i="2"/>
  <c r="V1884" i="2"/>
  <c r="V1885" i="2"/>
  <c r="V1886" i="2"/>
  <c r="V1887" i="2"/>
  <c r="V1888" i="2"/>
  <c r="V1889" i="2"/>
  <c r="V1890" i="2"/>
  <c r="V1891" i="2"/>
  <c r="V1892" i="2"/>
  <c r="V1893" i="2"/>
  <c r="V1895" i="2"/>
  <c r="V1896" i="2"/>
  <c r="V1897" i="2"/>
  <c r="V1898" i="2"/>
  <c r="V1899" i="2"/>
  <c r="V1900" i="2"/>
  <c r="V1901" i="2"/>
  <c r="V1903" i="2"/>
  <c r="V1904" i="2"/>
  <c r="V1905" i="2"/>
  <c r="V1906" i="2"/>
  <c r="V1907" i="2"/>
  <c r="V1908" i="2"/>
  <c r="V1909" i="2"/>
  <c r="V1911" i="2"/>
  <c r="V1912" i="2"/>
  <c r="V1913" i="2"/>
  <c r="V1915" i="2"/>
  <c r="V1916" i="2"/>
  <c r="V1917" i="2"/>
  <c r="V1918" i="2"/>
  <c r="V1919" i="2"/>
  <c r="V1920" i="2"/>
  <c r="V1921" i="2"/>
  <c r="V1922" i="2"/>
  <c r="V1923" i="2"/>
  <c r="V1924" i="2"/>
  <c r="V1925" i="2"/>
  <c r="V1926" i="2"/>
  <c r="V1927" i="2"/>
  <c r="V1928" i="2"/>
  <c r="V1929" i="2"/>
  <c r="V1931" i="2"/>
  <c r="V1932" i="2"/>
  <c r="V1933" i="2"/>
  <c r="V1934" i="2"/>
  <c r="V1935" i="2"/>
  <c r="V1936" i="2"/>
  <c r="V1937" i="2"/>
  <c r="V1938" i="2"/>
  <c r="V1939" i="2"/>
  <c r="V1940" i="2"/>
  <c r="V1941" i="2"/>
  <c r="V1942" i="2"/>
  <c r="V1943" i="2"/>
  <c r="V1945" i="2"/>
  <c r="V1946" i="2"/>
  <c r="V1947" i="2"/>
  <c r="V1948" i="2"/>
  <c r="V1949" i="2"/>
  <c r="V1950" i="2"/>
  <c r="V1951" i="2"/>
  <c r="V1952" i="2"/>
  <c r="V1953" i="2"/>
  <c r="V1954" i="2"/>
  <c r="V1955" i="2"/>
  <c r="V1956" i="2"/>
  <c r="V1958" i="2"/>
  <c r="V1959" i="2"/>
  <c r="V1960" i="2"/>
  <c r="V1961" i="2"/>
  <c r="V1962" i="2"/>
  <c r="V1963" i="2"/>
  <c r="V1964" i="2"/>
  <c r="V1965" i="2"/>
  <c r="V1966" i="2"/>
  <c r="V1969" i="2"/>
  <c r="V1970" i="2"/>
  <c r="V1971" i="2"/>
  <c r="V1972" i="2"/>
  <c r="V1973" i="2"/>
  <c r="V1974" i="2"/>
  <c r="V1975" i="2"/>
  <c r="V1976" i="2"/>
  <c r="V1977" i="2"/>
  <c r="V1978" i="2"/>
  <c r="V1979" i="2"/>
  <c r="V1980" i="2"/>
  <c r="V1981" i="2"/>
  <c r="V1982" i="2"/>
  <c r="V1983" i="2"/>
  <c r="V1984" i="2"/>
  <c r="V1985" i="2"/>
  <c r="V1986" i="2"/>
  <c r="V1989" i="2"/>
  <c r="V1990" i="2"/>
  <c r="V1991" i="2"/>
  <c r="V1992" i="2"/>
  <c r="V1993" i="2"/>
  <c r="V1994" i="2"/>
  <c r="V1995" i="2"/>
  <c r="V1996" i="2"/>
  <c r="V1997" i="2"/>
  <c r="V1998" i="2"/>
  <c r="V1999" i="2"/>
  <c r="V2000" i="2"/>
  <c r="V2001" i="2"/>
  <c r="U2" i="2"/>
  <c r="X2" i="2" s="1"/>
  <c r="U3" i="2"/>
  <c r="X3" i="2" s="1"/>
  <c r="U4" i="2"/>
  <c r="X4" i="2" s="1"/>
  <c r="U5" i="2"/>
  <c r="X5" i="2" s="1"/>
  <c r="U6" i="2"/>
  <c r="X6" i="2" s="1"/>
  <c r="U7" i="2"/>
  <c r="X7" i="2" s="1"/>
  <c r="U8" i="2"/>
  <c r="X8" i="2" s="1"/>
  <c r="U9" i="2"/>
  <c r="X9" i="2" s="1"/>
  <c r="U10" i="2"/>
  <c r="X10" i="2" s="1"/>
  <c r="U11" i="2"/>
  <c r="X11" i="2" s="1"/>
  <c r="U12" i="2"/>
  <c r="U13" i="2"/>
  <c r="X13" i="2" s="1"/>
  <c r="U14" i="2"/>
  <c r="X14" i="2" s="1"/>
  <c r="U15" i="2"/>
  <c r="U16" i="2"/>
  <c r="X16" i="2" s="1"/>
  <c r="U18" i="2"/>
  <c r="X18" i="2" s="1"/>
  <c r="U20" i="2"/>
  <c r="X20" i="2" s="1"/>
  <c r="U21" i="2"/>
  <c r="X21" i="2" s="1"/>
  <c r="U23" i="2"/>
  <c r="X23" i="2" s="1"/>
  <c r="U24" i="2"/>
  <c r="X24" i="2" s="1"/>
  <c r="U25" i="2"/>
  <c r="X25" i="2" s="1"/>
  <c r="U26" i="2"/>
  <c r="X26" i="2" s="1"/>
  <c r="U27" i="2"/>
  <c r="X27" i="2" s="1"/>
  <c r="U28" i="2"/>
  <c r="X28" i="2" s="1"/>
  <c r="U29" i="2"/>
  <c r="X29" i="2" s="1"/>
  <c r="U30" i="2"/>
  <c r="X30" i="2" s="1"/>
  <c r="U31" i="2"/>
  <c r="U32" i="2"/>
  <c r="X32" i="2" s="1"/>
  <c r="U33" i="2"/>
  <c r="X33" i="2" s="1"/>
  <c r="U34" i="2"/>
  <c r="X34" i="2" s="1"/>
  <c r="U35" i="2"/>
  <c r="X35" i="2" s="1"/>
  <c r="U36" i="2"/>
  <c r="U37" i="2"/>
  <c r="X37" i="2" s="1"/>
  <c r="U38" i="2"/>
  <c r="X38" i="2" s="1"/>
  <c r="U40" i="2"/>
  <c r="X40" i="2" s="1"/>
  <c r="U41" i="2"/>
  <c r="X41" i="2" s="1"/>
  <c r="U42" i="2"/>
  <c r="X42" i="2" s="1"/>
  <c r="U43" i="2"/>
  <c r="X43" i="2" s="1"/>
  <c r="U44" i="2"/>
  <c r="X44" i="2" s="1"/>
  <c r="U45" i="2"/>
  <c r="X45" i="2" s="1"/>
  <c r="U48" i="2"/>
  <c r="X48" i="2" s="1"/>
  <c r="U49" i="2"/>
  <c r="X49" i="2" s="1"/>
  <c r="U50" i="2"/>
  <c r="X50" i="2" s="1"/>
  <c r="U51" i="2"/>
  <c r="X51" i="2" s="1"/>
  <c r="U52" i="2"/>
  <c r="X52" i="2" s="1"/>
  <c r="U53" i="2"/>
  <c r="U54" i="2"/>
  <c r="X54" i="2" s="1"/>
  <c r="U55" i="2"/>
  <c r="U56" i="2"/>
  <c r="U57" i="2"/>
  <c r="X57" i="2" s="1"/>
  <c r="U58" i="2"/>
  <c r="X58" i="2" s="1"/>
  <c r="U59" i="2"/>
  <c r="X59" i="2" s="1"/>
  <c r="U60" i="2"/>
  <c r="X60" i="2" s="1"/>
  <c r="U61" i="2"/>
  <c r="X61" i="2" s="1"/>
  <c r="U62" i="2"/>
  <c r="X62" i="2" s="1"/>
  <c r="U63" i="2"/>
  <c r="X63" i="2" s="1"/>
  <c r="U64" i="2"/>
  <c r="X64" i="2" s="1"/>
  <c r="U65" i="2"/>
  <c r="X65" i="2" s="1"/>
  <c r="U67" i="2"/>
  <c r="X67" i="2" s="1"/>
  <c r="U68" i="2"/>
  <c r="X68" i="2" s="1"/>
  <c r="U69" i="2"/>
  <c r="X69" i="2" s="1"/>
  <c r="U70" i="2"/>
  <c r="U72" i="2"/>
  <c r="X72" i="2" s="1"/>
  <c r="U73" i="2"/>
  <c r="U74" i="2"/>
  <c r="X74" i="2" s="1"/>
  <c r="U75" i="2"/>
  <c r="U76" i="2"/>
  <c r="X76" i="2" s="1"/>
  <c r="U77" i="2"/>
  <c r="X77" i="2" s="1"/>
  <c r="U80" i="2"/>
  <c r="X80" i="2" s="1"/>
  <c r="U81" i="2"/>
  <c r="X81" i="2" s="1"/>
  <c r="U82" i="2"/>
  <c r="X82" i="2" s="1"/>
  <c r="U83" i="2"/>
  <c r="X83" i="2" s="1"/>
  <c r="U84" i="2"/>
  <c r="X84" i="2" s="1"/>
  <c r="U85" i="2"/>
  <c r="X85" i="2" s="1"/>
  <c r="U87" i="2"/>
  <c r="X87" i="2" s="1"/>
  <c r="U88" i="2"/>
  <c r="X88" i="2" s="1"/>
  <c r="U89" i="2"/>
  <c r="X89" i="2" s="1"/>
  <c r="U90" i="2"/>
  <c r="X90" i="2" s="1"/>
  <c r="U91" i="2"/>
  <c r="U92" i="2"/>
  <c r="X92" i="2" s="1"/>
  <c r="U94" i="2"/>
  <c r="U95" i="2"/>
  <c r="U96" i="2"/>
  <c r="X96" i="2" s="1"/>
  <c r="U97" i="2"/>
  <c r="X97" i="2" s="1"/>
  <c r="U98" i="2"/>
  <c r="X98" i="2" s="1"/>
  <c r="U99" i="2"/>
  <c r="X99" i="2" s="1"/>
  <c r="U100" i="2"/>
  <c r="X100" i="2" s="1"/>
  <c r="U101" i="2"/>
  <c r="X101" i="2" s="1"/>
  <c r="U102" i="2"/>
  <c r="X102" i="2" s="1"/>
  <c r="U103" i="2"/>
  <c r="X103" i="2" s="1"/>
  <c r="U104" i="2"/>
  <c r="X104" i="2" s="1"/>
  <c r="U105" i="2"/>
  <c r="X105" i="2" s="1"/>
  <c r="U106" i="2"/>
  <c r="X106" i="2" s="1"/>
  <c r="U107" i="2"/>
  <c r="U108" i="2"/>
  <c r="U109" i="2"/>
  <c r="U110" i="2"/>
  <c r="X110" i="2" s="1"/>
  <c r="U111" i="2"/>
  <c r="X111" i="2" s="1"/>
  <c r="U112" i="2"/>
  <c r="X112" i="2" s="1"/>
  <c r="U113" i="2"/>
  <c r="X113" i="2" s="1"/>
  <c r="U114" i="2"/>
  <c r="X114" i="2" s="1"/>
  <c r="U115" i="2"/>
  <c r="X115" i="2" s="1"/>
  <c r="U116" i="2"/>
  <c r="X116" i="2" s="1"/>
  <c r="U117" i="2"/>
  <c r="X117" i="2" s="1"/>
  <c r="U118" i="2"/>
  <c r="X118" i="2" s="1"/>
  <c r="U119" i="2"/>
  <c r="X119" i="2" s="1"/>
  <c r="U120" i="2"/>
  <c r="X120" i="2" s="1"/>
  <c r="U121" i="2"/>
  <c r="X121" i="2" s="1"/>
  <c r="U123" i="2"/>
  <c r="U124" i="2"/>
  <c r="U125" i="2"/>
  <c r="X125" i="2" s="1"/>
  <c r="U126" i="2"/>
  <c r="U127" i="2"/>
  <c r="X127" i="2" s="1"/>
  <c r="U128" i="2"/>
  <c r="X128" i="2" s="1"/>
  <c r="U129" i="2"/>
  <c r="X129" i="2" s="1"/>
  <c r="U130" i="2"/>
  <c r="X130" i="2" s="1"/>
  <c r="U131" i="2"/>
  <c r="X131" i="2" s="1"/>
  <c r="U132" i="2"/>
  <c r="X132" i="2" s="1"/>
  <c r="U133" i="2"/>
  <c r="X133" i="2" s="1"/>
  <c r="U134" i="2"/>
  <c r="X134" i="2" s="1"/>
  <c r="U135" i="2"/>
  <c r="X135" i="2" s="1"/>
  <c r="U136" i="2"/>
  <c r="X136" i="2" s="1"/>
  <c r="U137" i="2"/>
  <c r="X137" i="2" s="1"/>
  <c r="U138" i="2"/>
  <c r="X138" i="2" s="1"/>
  <c r="U139" i="2"/>
  <c r="X139" i="2" s="1"/>
  <c r="U140" i="2"/>
  <c r="U141" i="2"/>
  <c r="X141" i="2" s="1"/>
  <c r="U143" i="2"/>
  <c r="U144" i="2"/>
  <c r="U145" i="2"/>
  <c r="U146" i="2"/>
  <c r="X146" i="2" s="1"/>
  <c r="U148" i="2"/>
  <c r="X148" i="2" s="1"/>
  <c r="U149" i="2"/>
  <c r="X149" i="2" s="1"/>
  <c r="U150" i="2"/>
  <c r="X150" i="2" s="1"/>
  <c r="U151" i="2"/>
  <c r="X151" i="2" s="1"/>
  <c r="U152" i="2"/>
  <c r="X152" i="2" s="1"/>
  <c r="U153" i="2"/>
  <c r="X153" i="2" s="1"/>
  <c r="U154" i="2"/>
  <c r="X154" i="2" s="1"/>
  <c r="U155" i="2"/>
  <c r="X155" i="2" s="1"/>
  <c r="U156" i="2"/>
  <c r="X156" i="2" s="1"/>
  <c r="U157" i="2"/>
  <c r="U158" i="2"/>
  <c r="U159" i="2"/>
  <c r="X159" i="2" s="1"/>
  <c r="U160" i="2"/>
  <c r="X160" i="2" s="1"/>
  <c r="U161" i="2"/>
  <c r="X161" i="2" s="1"/>
  <c r="U162" i="2"/>
  <c r="X162" i="2" s="1"/>
  <c r="U163" i="2"/>
  <c r="X163" i="2" s="1"/>
  <c r="U164" i="2"/>
  <c r="X164" i="2" s="1"/>
  <c r="U165" i="2"/>
  <c r="X165" i="2" s="1"/>
  <c r="U166" i="2"/>
  <c r="X166" i="2" s="1"/>
  <c r="U167" i="2"/>
  <c r="X167" i="2" s="1"/>
  <c r="U168" i="2"/>
  <c r="X168" i="2" s="1"/>
  <c r="U169" i="2"/>
  <c r="X169" i="2" s="1"/>
  <c r="U170" i="2"/>
  <c r="X170" i="2" s="1"/>
  <c r="U171" i="2"/>
  <c r="X171" i="2" s="1"/>
  <c r="U172" i="2"/>
  <c r="X172" i="2" s="1"/>
  <c r="U173" i="2"/>
  <c r="X173" i="2" s="1"/>
  <c r="U174" i="2"/>
  <c r="X174" i="2" s="1"/>
  <c r="U175" i="2"/>
  <c r="X175" i="2" s="1"/>
  <c r="U176" i="2"/>
  <c r="X176" i="2" s="1"/>
  <c r="U177" i="2"/>
  <c r="X177" i="2" s="1"/>
  <c r="U178" i="2"/>
  <c r="X178" i="2" s="1"/>
  <c r="U179" i="2"/>
  <c r="X179" i="2" s="1"/>
  <c r="U180" i="2"/>
  <c r="X180" i="2" s="1"/>
  <c r="U181" i="2"/>
  <c r="X181" i="2" s="1"/>
  <c r="U182" i="2"/>
  <c r="X182" i="2" s="1"/>
  <c r="U183" i="2"/>
  <c r="X183" i="2" s="1"/>
  <c r="U184" i="2"/>
  <c r="X184" i="2" s="1"/>
  <c r="U185" i="2"/>
  <c r="X185" i="2" s="1"/>
  <c r="U186" i="2"/>
  <c r="X186" i="2" s="1"/>
  <c r="U187" i="2"/>
  <c r="U188" i="2"/>
  <c r="U189" i="2"/>
  <c r="X189" i="2" s="1"/>
  <c r="U190" i="2"/>
  <c r="U191" i="2"/>
  <c r="U192" i="2"/>
  <c r="X192" i="2" s="1"/>
  <c r="U193" i="2"/>
  <c r="X193" i="2" s="1"/>
  <c r="U194" i="2"/>
  <c r="X194" i="2" s="1"/>
  <c r="U195" i="2"/>
  <c r="X195" i="2" s="1"/>
  <c r="U196" i="2"/>
  <c r="X196" i="2" s="1"/>
  <c r="U197" i="2"/>
  <c r="X197" i="2" s="1"/>
  <c r="U198" i="2"/>
  <c r="X198" i="2" s="1"/>
  <c r="U199" i="2"/>
  <c r="X199" i="2" s="1"/>
  <c r="U200" i="2"/>
  <c r="X200" i="2" s="1"/>
  <c r="U201" i="2"/>
  <c r="X201" i="2" s="1"/>
  <c r="U202" i="2"/>
  <c r="X202" i="2" s="1"/>
  <c r="U204" i="2"/>
  <c r="U205" i="2"/>
  <c r="U206" i="2"/>
  <c r="X206" i="2" s="1"/>
  <c r="U207" i="2"/>
  <c r="X207" i="2" s="1"/>
  <c r="U208" i="2"/>
  <c r="X208" i="2" s="1"/>
  <c r="U209" i="2"/>
  <c r="U210" i="2"/>
  <c r="X210" i="2" s="1"/>
  <c r="U211" i="2"/>
  <c r="X211" i="2" s="1"/>
  <c r="U212" i="2"/>
  <c r="X212" i="2" s="1"/>
  <c r="U213" i="2"/>
  <c r="X213" i="2" s="1"/>
  <c r="U214" i="2"/>
  <c r="X214" i="2" s="1"/>
  <c r="U215" i="2"/>
  <c r="X215" i="2" s="1"/>
  <c r="U216" i="2"/>
  <c r="U217" i="2"/>
  <c r="U218" i="2"/>
  <c r="X218" i="2" s="1"/>
  <c r="U219" i="2"/>
  <c r="X219" i="2" s="1"/>
  <c r="U220" i="2"/>
  <c r="X220" i="2" s="1"/>
  <c r="U221" i="2"/>
  <c r="X221" i="2" s="1"/>
  <c r="U222" i="2"/>
  <c r="X222" i="2" s="1"/>
  <c r="U223" i="2"/>
  <c r="X223" i="2" s="1"/>
  <c r="U224" i="2"/>
  <c r="U225" i="2"/>
  <c r="U226" i="2"/>
  <c r="X226" i="2" s="1"/>
  <c r="U227" i="2"/>
  <c r="X227" i="2" s="1"/>
  <c r="U228" i="2"/>
  <c r="X228" i="2" s="1"/>
  <c r="U229" i="2"/>
  <c r="X229" i="2" s="1"/>
  <c r="U230" i="2"/>
  <c r="X230" i="2" s="1"/>
  <c r="U231" i="2"/>
  <c r="X231" i="2" s="1"/>
  <c r="U232" i="2"/>
  <c r="X232" i="2" s="1"/>
  <c r="U233" i="2"/>
  <c r="X233" i="2" s="1"/>
  <c r="U234" i="2"/>
  <c r="X234" i="2" s="1"/>
  <c r="U235" i="2"/>
  <c r="X235" i="2" s="1"/>
  <c r="U236" i="2"/>
  <c r="X236" i="2" s="1"/>
  <c r="U237" i="2"/>
  <c r="X237" i="2" s="1"/>
  <c r="U238" i="2"/>
  <c r="X238" i="2" s="1"/>
  <c r="U239" i="2"/>
  <c r="X239" i="2" s="1"/>
  <c r="U240" i="2"/>
  <c r="X240" i="2" s="1"/>
  <c r="U241" i="2"/>
  <c r="U242" i="2"/>
  <c r="X242" i="2" s="1"/>
  <c r="U243" i="2"/>
  <c r="X243" i="2" s="1"/>
  <c r="U244" i="2"/>
  <c r="X244" i="2" s="1"/>
  <c r="U245" i="2"/>
  <c r="X245" i="2" s="1"/>
  <c r="U246" i="2"/>
  <c r="X246" i="2" s="1"/>
  <c r="U247" i="2"/>
  <c r="X247" i="2" s="1"/>
  <c r="U248" i="2"/>
  <c r="X248" i="2" s="1"/>
  <c r="U249" i="2"/>
  <c r="X249" i="2" s="1"/>
  <c r="U250" i="2"/>
  <c r="X250" i="2" s="1"/>
  <c r="U251" i="2"/>
  <c r="X251" i="2" s="1"/>
  <c r="U253" i="2"/>
  <c r="X253" i="2" s="1"/>
  <c r="U254" i="2"/>
  <c r="X254" i="2" s="1"/>
  <c r="U255" i="2"/>
  <c r="X255" i="2" s="1"/>
  <c r="U256" i="2"/>
  <c r="U257" i="2"/>
  <c r="X257" i="2" s="1"/>
  <c r="U259" i="2"/>
  <c r="X259" i="2" s="1"/>
  <c r="U260" i="2"/>
  <c r="U261" i="2"/>
  <c r="U262" i="2"/>
  <c r="X262" i="2" s="1"/>
  <c r="U263" i="2"/>
  <c r="X263" i="2" s="1"/>
  <c r="U264" i="2"/>
  <c r="X264" i="2" s="1"/>
  <c r="U265" i="2"/>
  <c r="X265" i="2" s="1"/>
  <c r="U266" i="2"/>
  <c r="X266" i="2" s="1"/>
  <c r="U267" i="2"/>
  <c r="X267" i="2" s="1"/>
  <c r="U268" i="2"/>
  <c r="X268" i="2" s="1"/>
  <c r="U269" i="2"/>
  <c r="X269" i="2" s="1"/>
  <c r="U270" i="2"/>
  <c r="X270" i="2" s="1"/>
  <c r="U271" i="2"/>
  <c r="X271" i="2" s="1"/>
  <c r="U272" i="2"/>
  <c r="X272" i="2" s="1"/>
  <c r="U273" i="2"/>
  <c r="U274" i="2"/>
  <c r="X274" i="2" s="1"/>
  <c r="U275" i="2"/>
  <c r="X275" i="2" s="1"/>
  <c r="U276" i="2"/>
  <c r="U277" i="2"/>
  <c r="X277" i="2" s="1"/>
  <c r="U278" i="2"/>
  <c r="X278" i="2" s="1"/>
  <c r="U279" i="2"/>
  <c r="X279" i="2" s="1"/>
  <c r="U280" i="2"/>
  <c r="X280" i="2" s="1"/>
  <c r="U281" i="2"/>
  <c r="U282" i="2"/>
  <c r="X282" i="2" s="1"/>
  <c r="U283" i="2"/>
  <c r="X283" i="2" s="1"/>
  <c r="U284" i="2"/>
  <c r="X284" i="2" s="1"/>
  <c r="U285" i="2"/>
  <c r="X285" i="2" s="1"/>
  <c r="U286" i="2"/>
  <c r="U287" i="2"/>
  <c r="U288" i="2"/>
  <c r="X288" i="2" s="1"/>
  <c r="U289" i="2"/>
  <c r="X289" i="2" s="1"/>
  <c r="U290" i="2"/>
  <c r="X290" i="2" s="1"/>
  <c r="U291" i="2"/>
  <c r="X291" i="2" s="1"/>
  <c r="U292" i="2"/>
  <c r="X292" i="2" s="1"/>
  <c r="U293" i="2"/>
  <c r="X293" i="2" s="1"/>
  <c r="U294" i="2"/>
  <c r="X294" i="2" s="1"/>
  <c r="U295" i="2"/>
  <c r="X295" i="2" s="1"/>
  <c r="U296" i="2"/>
  <c r="X296" i="2" s="1"/>
  <c r="U297" i="2"/>
  <c r="X297" i="2" s="1"/>
  <c r="U298" i="2"/>
  <c r="U299" i="2"/>
  <c r="U300" i="2"/>
  <c r="X300" i="2" s="1"/>
  <c r="U301" i="2"/>
  <c r="X301" i="2" s="1"/>
  <c r="U302" i="2"/>
  <c r="U304" i="2"/>
  <c r="X304" i="2" s="1"/>
  <c r="U305" i="2"/>
  <c r="X305" i="2" s="1"/>
  <c r="U307" i="2"/>
  <c r="X307" i="2" s="1"/>
  <c r="U308" i="2"/>
  <c r="X308" i="2" s="1"/>
  <c r="U309" i="2"/>
  <c r="X309" i="2" s="1"/>
  <c r="U310" i="2"/>
  <c r="X310" i="2" s="1"/>
  <c r="U311" i="2"/>
  <c r="X311" i="2" s="1"/>
  <c r="U312" i="2"/>
  <c r="X312" i="2" s="1"/>
  <c r="U313" i="2"/>
  <c r="X313" i="2" s="1"/>
  <c r="U314" i="2"/>
  <c r="X314" i="2" s="1"/>
  <c r="U315" i="2"/>
  <c r="X315" i="2" s="1"/>
  <c r="U317" i="2"/>
  <c r="X317" i="2" s="1"/>
  <c r="U318" i="2"/>
  <c r="X318" i="2" s="1"/>
  <c r="U319" i="2"/>
  <c r="X319" i="2" s="1"/>
  <c r="U321" i="2"/>
  <c r="X321" i="2" s="1"/>
  <c r="U322" i="2"/>
  <c r="X322" i="2" s="1"/>
  <c r="U323" i="2"/>
  <c r="X323" i="2" s="1"/>
  <c r="U324" i="2"/>
  <c r="X324" i="2" s="1"/>
  <c r="U325" i="2"/>
  <c r="U326" i="2"/>
  <c r="X326" i="2" s="1"/>
  <c r="U327" i="2"/>
  <c r="X327" i="2" s="1"/>
  <c r="U328" i="2"/>
  <c r="X328" i="2" s="1"/>
  <c r="U329" i="2"/>
  <c r="X329" i="2" s="1"/>
  <c r="U330" i="2"/>
  <c r="X330" i="2" s="1"/>
  <c r="U331" i="2"/>
  <c r="X331" i="2" s="1"/>
  <c r="U332" i="2"/>
  <c r="X332" i="2" s="1"/>
  <c r="U333" i="2"/>
  <c r="X333" i="2" s="1"/>
  <c r="U334" i="2"/>
  <c r="X334" i="2" s="1"/>
  <c r="U335" i="2"/>
  <c r="X335" i="2" s="1"/>
  <c r="U336" i="2"/>
  <c r="X336" i="2" s="1"/>
  <c r="U337" i="2"/>
  <c r="X337" i="2" s="1"/>
  <c r="U338" i="2"/>
  <c r="X338" i="2" s="1"/>
  <c r="U339" i="2"/>
  <c r="X339" i="2" s="1"/>
  <c r="U340" i="2"/>
  <c r="X340" i="2" s="1"/>
  <c r="U341" i="2"/>
  <c r="U342" i="2"/>
  <c r="U343" i="2"/>
  <c r="U344" i="2"/>
  <c r="X344" i="2" s="1"/>
  <c r="U345" i="2"/>
  <c r="X345" i="2" s="1"/>
  <c r="U346" i="2"/>
  <c r="X346" i="2" s="1"/>
  <c r="U347" i="2"/>
  <c r="X347" i="2" s="1"/>
  <c r="U349" i="2"/>
  <c r="X349" i="2" s="1"/>
  <c r="U350" i="2"/>
  <c r="X350" i="2" s="1"/>
  <c r="U351" i="2"/>
  <c r="X351" i="2" s="1"/>
  <c r="U352" i="2"/>
  <c r="X352" i="2" s="1"/>
  <c r="U353" i="2"/>
  <c r="X353" i="2" s="1"/>
  <c r="U355" i="2"/>
  <c r="X355" i="2" s="1"/>
  <c r="U356" i="2"/>
  <c r="U357" i="2"/>
  <c r="U358" i="2"/>
  <c r="U360" i="2"/>
  <c r="U361" i="2"/>
  <c r="U363" i="2"/>
  <c r="U364" i="2"/>
  <c r="X364" i="2" s="1"/>
  <c r="U365" i="2"/>
  <c r="X365" i="2" s="1"/>
  <c r="U367" i="2"/>
  <c r="X367" i="2" s="1"/>
  <c r="U368" i="2"/>
  <c r="X368" i="2" s="1"/>
  <c r="U369" i="2"/>
  <c r="X369" i="2" s="1"/>
  <c r="U370" i="2"/>
  <c r="X370" i="2" s="1"/>
  <c r="U371" i="2"/>
  <c r="X371" i="2" s="1"/>
  <c r="U372" i="2"/>
  <c r="X372" i="2" s="1"/>
  <c r="U373" i="2"/>
  <c r="X373" i="2" s="1"/>
  <c r="U374" i="2"/>
  <c r="X374" i="2" s="1"/>
  <c r="U375" i="2"/>
  <c r="X375" i="2" s="1"/>
  <c r="U376" i="2"/>
  <c r="X376" i="2" s="1"/>
  <c r="U377" i="2"/>
  <c r="X377" i="2" s="1"/>
  <c r="U378" i="2"/>
  <c r="X378" i="2" s="1"/>
  <c r="U379" i="2"/>
  <c r="X379" i="2" s="1"/>
  <c r="U380" i="2"/>
  <c r="X380" i="2" s="1"/>
  <c r="U381" i="2"/>
  <c r="X381" i="2" s="1"/>
  <c r="U382" i="2"/>
  <c r="X382" i="2" s="1"/>
  <c r="U383" i="2"/>
  <c r="X383" i="2" s="1"/>
  <c r="U384" i="2"/>
  <c r="X384" i="2" s="1"/>
  <c r="U385" i="2"/>
  <c r="X385" i="2" s="1"/>
  <c r="U386" i="2"/>
  <c r="X386" i="2" s="1"/>
  <c r="U387" i="2"/>
  <c r="X387" i="2" s="1"/>
  <c r="U388" i="2"/>
  <c r="X388" i="2" s="1"/>
  <c r="U389" i="2"/>
  <c r="X389" i="2" s="1"/>
  <c r="U390" i="2"/>
  <c r="X390" i="2" s="1"/>
  <c r="U391" i="2"/>
  <c r="X391" i="2" s="1"/>
  <c r="U392" i="2"/>
  <c r="X392" i="2" s="1"/>
  <c r="U393" i="2"/>
  <c r="X393" i="2" s="1"/>
  <c r="U394" i="2"/>
  <c r="X394" i="2" s="1"/>
  <c r="U395" i="2"/>
  <c r="X395" i="2" s="1"/>
  <c r="U396" i="2"/>
  <c r="U397" i="2"/>
  <c r="U398" i="2"/>
  <c r="X398" i="2" s="1"/>
  <c r="U399" i="2"/>
  <c r="X399" i="2" s="1"/>
  <c r="U400" i="2"/>
  <c r="X400" i="2" s="1"/>
  <c r="U401" i="2"/>
  <c r="X401" i="2" s="1"/>
  <c r="U402" i="2"/>
  <c r="X402" i="2" s="1"/>
  <c r="U403" i="2"/>
  <c r="X403" i="2" s="1"/>
  <c r="U404" i="2"/>
  <c r="X404" i="2" s="1"/>
  <c r="U405" i="2"/>
  <c r="X405" i="2" s="1"/>
  <c r="U407" i="2"/>
  <c r="X407" i="2" s="1"/>
  <c r="U408" i="2"/>
  <c r="U409" i="2"/>
  <c r="U410" i="2"/>
  <c r="U411" i="2"/>
  <c r="U412" i="2"/>
  <c r="X412" i="2" s="1"/>
  <c r="U413" i="2"/>
  <c r="U414" i="2"/>
  <c r="U415" i="2"/>
  <c r="U416" i="2"/>
  <c r="X416" i="2" s="1"/>
  <c r="U417" i="2"/>
  <c r="X417" i="2" s="1"/>
  <c r="U418" i="2"/>
  <c r="X418" i="2" s="1"/>
  <c r="U419" i="2"/>
  <c r="X419" i="2" s="1"/>
  <c r="U420" i="2"/>
  <c r="X420" i="2" s="1"/>
  <c r="U422" i="2"/>
  <c r="U423" i="2"/>
  <c r="X423" i="2" s="1"/>
  <c r="U424" i="2"/>
  <c r="X424" i="2" s="1"/>
  <c r="U425" i="2"/>
  <c r="X425" i="2" s="1"/>
  <c r="U426" i="2"/>
  <c r="X426" i="2" s="1"/>
  <c r="U428" i="2"/>
  <c r="X428" i="2" s="1"/>
  <c r="U429" i="2"/>
  <c r="X429" i="2" s="1"/>
  <c r="U430" i="2"/>
  <c r="X430" i="2" s="1"/>
  <c r="U431" i="2"/>
  <c r="X431" i="2" s="1"/>
  <c r="U432" i="2"/>
  <c r="X432" i="2" s="1"/>
  <c r="U433" i="2"/>
  <c r="X433" i="2" s="1"/>
  <c r="U434" i="2"/>
  <c r="X434" i="2" s="1"/>
  <c r="U435" i="2"/>
  <c r="X435" i="2" s="1"/>
  <c r="U436" i="2"/>
  <c r="X436" i="2" s="1"/>
  <c r="U437" i="2"/>
  <c r="X437" i="2" s="1"/>
  <c r="U438" i="2"/>
  <c r="X438" i="2" s="1"/>
  <c r="U439" i="2"/>
  <c r="X439" i="2" s="1"/>
  <c r="U440" i="2"/>
  <c r="X440" i="2" s="1"/>
  <c r="U441" i="2"/>
  <c r="X441" i="2" s="1"/>
  <c r="U442" i="2"/>
  <c r="X442" i="2" s="1"/>
  <c r="U444" i="2"/>
  <c r="X444" i="2" s="1"/>
  <c r="U445" i="2"/>
  <c r="X445" i="2" s="1"/>
  <c r="U446" i="2"/>
  <c r="U447" i="2"/>
  <c r="X447" i="2" s="1"/>
  <c r="U448" i="2"/>
  <c r="U449" i="2"/>
  <c r="U450" i="2"/>
  <c r="X450" i="2" s="1"/>
  <c r="U451" i="2"/>
  <c r="X451" i="2" s="1"/>
  <c r="U452" i="2"/>
  <c r="X452" i="2" s="1"/>
  <c r="U453" i="2"/>
  <c r="X453" i="2" s="1"/>
  <c r="U454" i="2"/>
  <c r="X454" i="2" s="1"/>
  <c r="U455" i="2"/>
  <c r="X455" i="2" s="1"/>
  <c r="U456" i="2"/>
  <c r="X456" i="2" s="1"/>
  <c r="U457" i="2"/>
  <c r="X457" i="2" s="1"/>
  <c r="U458" i="2"/>
  <c r="X458" i="2" s="1"/>
  <c r="U459" i="2"/>
  <c r="U460" i="2"/>
  <c r="U461" i="2"/>
  <c r="X461" i="2" s="1"/>
  <c r="U462" i="2"/>
  <c r="X462" i="2" s="1"/>
  <c r="U463" i="2"/>
  <c r="X463" i="2" s="1"/>
  <c r="U464" i="2"/>
  <c r="X464" i="2" s="1"/>
  <c r="U465" i="2"/>
  <c r="U466" i="2"/>
  <c r="X466" i="2" s="1"/>
  <c r="U467" i="2"/>
  <c r="X467" i="2" s="1"/>
  <c r="U468" i="2"/>
  <c r="X468" i="2" s="1"/>
  <c r="U469" i="2"/>
  <c r="X469" i="2" s="1"/>
  <c r="U470" i="2"/>
  <c r="X470" i="2" s="1"/>
  <c r="U471" i="2"/>
  <c r="U472" i="2"/>
  <c r="X472" i="2" s="1"/>
  <c r="U473" i="2"/>
  <c r="X473" i="2" s="1"/>
  <c r="U474" i="2"/>
  <c r="X474" i="2" s="1"/>
  <c r="U475" i="2"/>
  <c r="X475" i="2" s="1"/>
  <c r="U476" i="2"/>
  <c r="U477" i="2"/>
  <c r="X477" i="2" s="1"/>
  <c r="U478" i="2"/>
  <c r="X478" i="2" s="1"/>
  <c r="U479" i="2"/>
  <c r="X479" i="2" s="1"/>
  <c r="U480" i="2"/>
  <c r="X480" i="2" s="1"/>
  <c r="U481" i="2"/>
  <c r="X481" i="2" s="1"/>
  <c r="U482" i="2"/>
  <c r="X482" i="2" s="1"/>
  <c r="U483" i="2"/>
  <c r="X483" i="2" s="1"/>
  <c r="U484" i="2"/>
  <c r="X484" i="2" s="1"/>
  <c r="U485" i="2"/>
  <c r="X485" i="2" s="1"/>
  <c r="U486" i="2"/>
  <c r="X486" i="2" s="1"/>
  <c r="U487" i="2"/>
  <c r="X487" i="2" s="1"/>
  <c r="U488" i="2"/>
  <c r="U489" i="2"/>
  <c r="X489" i="2" s="1"/>
  <c r="U490" i="2"/>
  <c r="X490" i="2" s="1"/>
  <c r="U491" i="2"/>
  <c r="U492" i="2"/>
  <c r="X492" i="2" s="1"/>
  <c r="U493" i="2"/>
  <c r="X493" i="2" s="1"/>
  <c r="U494" i="2"/>
  <c r="X494" i="2" s="1"/>
  <c r="U496" i="2"/>
  <c r="X496" i="2" s="1"/>
  <c r="U497" i="2"/>
  <c r="U498" i="2"/>
  <c r="X498" i="2" s="1"/>
  <c r="U499" i="2"/>
  <c r="X499" i="2" s="1"/>
  <c r="U500" i="2"/>
  <c r="X500" i="2" s="1"/>
  <c r="U501" i="2"/>
  <c r="X501" i="2" s="1"/>
  <c r="U502" i="2"/>
  <c r="X502" i="2" s="1"/>
  <c r="U503" i="2"/>
  <c r="X503" i="2" s="1"/>
  <c r="U504" i="2"/>
  <c r="X504" i="2" s="1"/>
  <c r="U505" i="2"/>
  <c r="X505" i="2" s="1"/>
  <c r="U506" i="2"/>
  <c r="X506" i="2" s="1"/>
  <c r="U507" i="2"/>
  <c r="X507" i="2" s="1"/>
  <c r="U508" i="2"/>
  <c r="X508" i="2" s="1"/>
  <c r="U510" i="2"/>
  <c r="U511" i="2"/>
  <c r="X511" i="2" s="1"/>
  <c r="U512" i="2"/>
  <c r="U513" i="2"/>
  <c r="X513" i="2" s="1"/>
  <c r="U514" i="2"/>
  <c r="X514" i="2" s="1"/>
  <c r="U515" i="2"/>
  <c r="X515" i="2" s="1"/>
  <c r="U516" i="2"/>
  <c r="U517" i="2"/>
  <c r="X517" i="2" s="1"/>
  <c r="U518" i="2"/>
  <c r="X518" i="2" s="1"/>
  <c r="U519" i="2"/>
  <c r="X519" i="2" s="1"/>
  <c r="U521" i="2"/>
  <c r="X521" i="2" s="1"/>
  <c r="U522" i="2"/>
  <c r="X522" i="2" s="1"/>
  <c r="U523" i="2"/>
  <c r="X523" i="2" s="1"/>
  <c r="U524" i="2"/>
  <c r="X524" i="2" s="1"/>
  <c r="U525" i="2"/>
  <c r="X525" i="2" s="1"/>
  <c r="U526" i="2"/>
  <c r="X526" i="2" s="1"/>
  <c r="U527" i="2"/>
  <c r="X527" i="2" s="1"/>
  <c r="U528" i="2"/>
  <c r="U529" i="2"/>
  <c r="X529" i="2" s="1"/>
  <c r="U530" i="2"/>
  <c r="X530" i="2" s="1"/>
  <c r="U531" i="2"/>
  <c r="X531" i="2" s="1"/>
  <c r="U532" i="2"/>
  <c r="U533" i="2"/>
  <c r="X533" i="2" s="1"/>
  <c r="U534" i="2"/>
  <c r="X534" i="2" s="1"/>
  <c r="U535" i="2"/>
  <c r="X535" i="2" s="1"/>
  <c r="U536" i="2"/>
  <c r="X536" i="2" s="1"/>
  <c r="U537" i="2"/>
  <c r="X537" i="2" s="1"/>
  <c r="U538" i="2"/>
  <c r="X538" i="2" s="1"/>
  <c r="U539" i="2"/>
  <c r="X539" i="2" s="1"/>
  <c r="U540" i="2"/>
  <c r="X540" i="2" s="1"/>
  <c r="U541" i="2"/>
  <c r="X541" i="2" s="1"/>
  <c r="U542" i="2"/>
  <c r="U543" i="2"/>
  <c r="U544" i="2"/>
  <c r="X544" i="2" s="1"/>
  <c r="U545" i="2"/>
  <c r="X545" i="2" s="1"/>
  <c r="U546" i="2"/>
  <c r="X546" i="2" s="1"/>
  <c r="U548" i="2"/>
  <c r="U549" i="2"/>
  <c r="U550" i="2"/>
  <c r="X550" i="2" s="1"/>
  <c r="U551" i="2"/>
  <c r="X551" i="2" s="1"/>
  <c r="U552" i="2"/>
  <c r="X552" i="2" s="1"/>
  <c r="U553" i="2"/>
  <c r="X553" i="2" s="1"/>
  <c r="U554" i="2"/>
  <c r="X554" i="2" s="1"/>
  <c r="U555" i="2"/>
  <c r="X555" i="2" s="1"/>
  <c r="U557" i="2"/>
  <c r="X557" i="2" s="1"/>
  <c r="U559" i="2"/>
  <c r="X559" i="2" s="1"/>
  <c r="U560" i="2"/>
  <c r="X560" i="2" s="1"/>
  <c r="U561" i="2"/>
  <c r="X561" i="2" s="1"/>
  <c r="U562" i="2"/>
  <c r="X562" i="2" s="1"/>
  <c r="U563" i="2"/>
  <c r="X563" i="2" s="1"/>
  <c r="U564" i="2"/>
  <c r="U565" i="2"/>
  <c r="U566" i="2"/>
  <c r="X566" i="2" s="1"/>
  <c r="U567" i="2"/>
  <c r="X567" i="2" s="1"/>
  <c r="U568" i="2"/>
  <c r="X568" i="2" s="1"/>
  <c r="U569" i="2"/>
  <c r="X569" i="2" s="1"/>
  <c r="U570" i="2"/>
  <c r="X570" i="2" s="1"/>
  <c r="U571" i="2"/>
  <c r="X571" i="2" s="1"/>
  <c r="U573" i="2"/>
  <c r="X573" i="2" s="1"/>
  <c r="U574" i="2"/>
  <c r="X574" i="2" s="1"/>
  <c r="U575" i="2"/>
  <c r="X575" i="2" s="1"/>
  <c r="U576" i="2"/>
  <c r="X576" i="2" s="1"/>
  <c r="U577" i="2"/>
  <c r="X577" i="2" s="1"/>
  <c r="U578" i="2"/>
  <c r="X578" i="2" s="1"/>
  <c r="U579" i="2"/>
  <c r="X579" i="2" s="1"/>
  <c r="U580" i="2"/>
  <c r="X580" i="2" s="1"/>
  <c r="U581" i="2"/>
  <c r="X581" i="2" s="1"/>
  <c r="U582" i="2"/>
  <c r="X582" i="2" s="1"/>
  <c r="U583" i="2"/>
  <c r="X583" i="2" s="1"/>
  <c r="U584" i="2"/>
  <c r="X584" i="2" s="1"/>
  <c r="U585" i="2"/>
  <c r="X585" i="2" s="1"/>
  <c r="U586" i="2"/>
  <c r="X586" i="2" s="1"/>
  <c r="U587" i="2"/>
  <c r="X587" i="2" s="1"/>
  <c r="U588" i="2"/>
  <c r="X588" i="2" s="1"/>
  <c r="U589" i="2"/>
  <c r="X589" i="2" s="1"/>
  <c r="U590" i="2"/>
  <c r="X590" i="2" s="1"/>
  <c r="U591" i="2"/>
  <c r="X591" i="2" s="1"/>
  <c r="U592" i="2"/>
  <c r="X592" i="2" s="1"/>
  <c r="U593" i="2"/>
  <c r="X593" i="2" s="1"/>
  <c r="U595" i="2"/>
  <c r="X595" i="2" s="1"/>
  <c r="U596" i="2"/>
  <c r="X596" i="2" s="1"/>
  <c r="U597" i="2"/>
  <c r="X597" i="2" s="1"/>
  <c r="U598" i="2"/>
  <c r="X598" i="2" s="1"/>
  <c r="U599" i="2"/>
  <c r="X599" i="2" s="1"/>
  <c r="U601" i="2"/>
  <c r="U602" i="2"/>
  <c r="U603" i="2"/>
  <c r="X603" i="2" s="1"/>
  <c r="U604" i="2"/>
  <c r="X604" i="2" s="1"/>
  <c r="U605" i="2"/>
  <c r="X605" i="2" s="1"/>
  <c r="U606" i="2"/>
  <c r="X606" i="2" s="1"/>
  <c r="U607" i="2"/>
  <c r="X607" i="2" s="1"/>
  <c r="U608" i="2"/>
  <c r="X608" i="2" s="1"/>
  <c r="U609" i="2"/>
  <c r="U610" i="2"/>
  <c r="X610" i="2" s="1"/>
  <c r="U611" i="2"/>
  <c r="X611" i="2" s="1"/>
  <c r="U612" i="2"/>
  <c r="X612" i="2" s="1"/>
  <c r="U613" i="2"/>
  <c r="U614" i="2"/>
  <c r="U615" i="2"/>
  <c r="X615" i="2" s="1"/>
  <c r="U616" i="2"/>
  <c r="X616" i="2" s="1"/>
  <c r="U617" i="2"/>
  <c r="U618" i="2"/>
  <c r="X618" i="2" s="1"/>
  <c r="U619" i="2"/>
  <c r="X619" i="2" s="1"/>
  <c r="U620" i="2"/>
  <c r="X620" i="2" s="1"/>
  <c r="U622" i="2"/>
  <c r="X622" i="2" s="1"/>
  <c r="U623" i="2"/>
  <c r="X623" i="2" s="1"/>
  <c r="U624" i="2"/>
  <c r="X624" i="2" s="1"/>
  <c r="U625" i="2"/>
  <c r="X625" i="2" s="1"/>
  <c r="U626" i="2"/>
  <c r="X626" i="2" s="1"/>
  <c r="U627" i="2"/>
  <c r="X627" i="2" s="1"/>
  <c r="U628" i="2"/>
  <c r="X628" i="2" s="1"/>
  <c r="U629" i="2"/>
  <c r="U630" i="2"/>
  <c r="U631" i="2"/>
  <c r="X631" i="2" s="1"/>
  <c r="U632" i="2"/>
  <c r="X632" i="2" s="1"/>
  <c r="U633" i="2"/>
  <c r="X633" i="2" s="1"/>
  <c r="U634" i="2"/>
  <c r="X634" i="2" s="1"/>
  <c r="U635" i="2"/>
  <c r="X635" i="2" s="1"/>
  <c r="U636" i="2"/>
  <c r="X636" i="2" s="1"/>
  <c r="U637" i="2"/>
  <c r="X637" i="2" s="1"/>
  <c r="U639" i="2"/>
  <c r="X639" i="2" s="1"/>
  <c r="U640" i="2"/>
  <c r="X640" i="2" s="1"/>
  <c r="U641" i="2"/>
  <c r="X641" i="2" s="1"/>
  <c r="U642" i="2"/>
  <c r="X642" i="2" s="1"/>
  <c r="U643" i="2"/>
  <c r="X643" i="2" s="1"/>
  <c r="U644" i="2"/>
  <c r="X644" i="2" s="1"/>
  <c r="U645" i="2"/>
  <c r="X645" i="2" s="1"/>
  <c r="U646" i="2"/>
  <c r="X646" i="2" s="1"/>
  <c r="U647" i="2"/>
  <c r="X647" i="2" s="1"/>
  <c r="U648" i="2"/>
  <c r="U649" i="2"/>
  <c r="U650" i="2"/>
  <c r="U651" i="2"/>
  <c r="U652" i="2"/>
  <c r="X652" i="2" s="1"/>
  <c r="U653" i="2"/>
  <c r="U654" i="2"/>
  <c r="X654" i="2" s="1"/>
  <c r="U655" i="2"/>
  <c r="X655" i="2" s="1"/>
  <c r="U656" i="2"/>
  <c r="X656" i="2" s="1"/>
  <c r="U657" i="2"/>
  <c r="X657" i="2" s="1"/>
  <c r="U658" i="2"/>
  <c r="X658" i="2" s="1"/>
  <c r="U659" i="2"/>
  <c r="X659" i="2" s="1"/>
  <c r="U660" i="2"/>
  <c r="X660" i="2" s="1"/>
  <c r="U661" i="2"/>
  <c r="X661" i="2" s="1"/>
  <c r="U662" i="2"/>
  <c r="U663" i="2"/>
  <c r="X663" i="2" s="1"/>
  <c r="U664" i="2"/>
  <c r="X664" i="2" s="1"/>
  <c r="U665" i="2"/>
  <c r="U666" i="2"/>
  <c r="X666" i="2" s="1"/>
  <c r="U667" i="2"/>
  <c r="U668" i="2"/>
  <c r="U669" i="2"/>
  <c r="X669" i="2" s="1"/>
  <c r="U670" i="2"/>
  <c r="X670" i="2" s="1"/>
  <c r="U671" i="2"/>
  <c r="X671" i="2" s="1"/>
  <c r="U673" i="2"/>
  <c r="X673" i="2" s="1"/>
  <c r="U674" i="2"/>
  <c r="X674" i="2" s="1"/>
  <c r="U675" i="2"/>
  <c r="X675" i="2" s="1"/>
  <c r="U676" i="2"/>
  <c r="X676" i="2" s="1"/>
  <c r="U677" i="2"/>
  <c r="X677" i="2" s="1"/>
  <c r="U678" i="2"/>
  <c r="X678" i="2" s="1"/>
  <c r="U679" i="2"/>
  <c r="X679" i="2" s="1"/>
  <c r="U680" i="2"/>
  <c r="U681" i="2"/>
  <c r="X681" i="2" s="1"/>
  <c r="U682" i="2"/>
  <c r="X682" i="2" s="1"/>
  <c r="U683" i="2"/>
  <c r="U684" i="2"/>
  <c r="U685" i="2"/>
  <c r="X685" i="2" s="1"/>
  <c r="U686" i="2"/>
  <c r="X686" i="2" s="1"/>
  <c r="U687" i="2"/>
  <c r="X687" i="2" s="1"/>
  <c r="U688" i="2"/>
  <c r="X688" i="2" s="1"/>
  <c r="U690" i="2"/>
  <c r="X690" i="2" s="1"/>
  <c r="U691" i="2"/>
  <c r="X691" i="2" s="1"/>
  <c r="U692" i="2"/>
  <c r="X692" i="2" s="1"/>
  <c r="U694" i="2"/>
  <c r="X694" i="2" s="1"/>
  <c r="U695" i="2"/>
  <c r="X695" i="2" s="1"/>
  <c r="U696" i="2"/>
  <c r="X696" i="2" s="1"/>
  <c r="U698" i="2"/>
  <c r="U699" i="2"/>
  <c r="X699" i="2" s="1"/>
  <c r="U700" i="2"/>
  <c r="X700" i="2" s="1"/>
  <c r="U701" i="2"/>
  <c r="U702" i="2"/>
  <c r="U703" i="2"/>
  <c r="U704" i="2"/>
  <c r="U705" i="2"/>
  <c r="X705" i="2" s="1"/>
  <c r="U706" i="2"/>
  <c r="X706" i="2" s="1"/>
  <c r="U707" i="2"/>
  <c r="X707" i="2" s="1"/>
  <c r="U708" i="2"/>
  <c r="X708" i="2" s="1"/>
  <c r="U709" i="2"/>
  <c r="X709" i="2" s="1"/>
  <c r="U710" i="2"/>
  <c r="X710" i="2" s="1"/>
  <c r="U711" i="2"/>
  <c r="X711" i="2" s="1"/>
  <c r="U712" i="2"/>
  <c r="X712" i="2" s="1"/>
  <c r="U713" i="2"/>
  <c r="X713" i="2" s="1"/>
  <c r="U714" i="2"/>
  <c r="X714" i="2" s="1"/>
  <c r="U715" i="2"/>
  <c r="X715" i="2" s="1"/>
  <c r="U716" i="2"/>
  <c r="X716" i="2" s="1"/>
  <c r="U717" i="2"/>
  <c r="U718" i="2"/>
  <c r="U719" i="2"/>
  <c r="X719" i="2" s="1"/>
  <c r="U720" i="2"/>
  <c r="U721" i="2"/>
  <c r="U722" i="2"/>
  <c r="X722" i="2" s="1"/>
  <c r="U723" i="2"/>
  <c r="X723" i="2" s="1"/>
  <c r="U724" i="2"/>
  <c r="X724" i="2" s="1"/>
  <c r="U725" i="2"/>
  <c r="X725" i="2" s="1"/>
  <c r="U726" i="2"/>
  <c r="X726" i="2" s="1"/>
  <c r="U727" i="2"/>
  <c r="U728" i="2"/>
  <c r="X728" i="2" s="1"/>
  <c r="U729" i="2"/>
  <c r="X729" i="2" s="1"/>
  <c r="U730" i="2"/>
  <c r="X730" i="2" s="1"/>
  <c r="U731" i="2"/>
  <c r="X731" i="2" s="1"/>
  <c r="U732" i="2"/>
  <c r="X732" i="2" s="1"/>
  <c r="U733" i="2"/>
  <c r="X733" i="2" s="1"/>
  <c r="U734" i="2"/>
  <c r="X734" i="2" s="1"/>
  <c r="U735" i="2"/>
  <c r="X735" i="2" s="1"/>
  <c r="U736" i="2"/>
  <c r="U737" i="2"/>
  <c r="X737" i="2" s="1"/>
  <c r="U738" i="2"/>
  <c r="X738" i="2" s="1"/>
  <c r="U739" i="2"/>
  <c r="X739" i="2" s="1"/>
  <c r="U740" i="2"/>
  <c r="X740" i="2" s="1"/>
  <c r="U741" i="2"/>
  <c r="X741" i="2" s="1"/>
  <c r="U743" i="2"/>
  <c r="X743" i="2" s="1"/>
  <c r="U744" i="2"/>
  <c r="X744" i="2" s="1"/>
  <c r="U745" i="2"/>
  <c r="X745" i="2" s="1"/>
  <c r="U746" i="2"/>
  <c r="X746" i="2" s="1"/>
  <c r="U747" i="2"/>
  <c r="U749" i="2"/>
  <c r="X749" i="2" s="1"/>
  <c r="U750" i="2"/>
  <c r="X750" i="2" s="1"/>
  <c r="U751" i="2"/>
  <c r="X751" i="2" s="1"/>
  <c r="U752" i="2"/>
  <c r="X752" i="2" s="1"/>
  <c r="U753" i="2"/>
  <c r="U754" i="2"/>
  <c r="X754" i="2" s="1"/>
  <c r="U755" i="2"/>
  <c r="X755" i="2" s="1"/>
  <c r="U756" i="2"/>
  <c r="X756" i="2" s="1"/>
  <c r="U757" i="2"/>
  <c r="X757" i="2" s="1"/>
  <c r="U758" i="2"/>
  <c r="X758" i="2" s="1"/>
  <c r="U759" i="2"/>
  <c r="X759" i="2" s="1"/>
  <c r="U760" i="2"/>
  <c r="X760" i="2" s="1"/>
  <c r="U761" i="2"/>
  <c r="X761" i="2" s="1"/>
  <c r="U762" i="2"/>
  <c r="X762" i="2" s="1"/>
  <c r="U763" i="2"/>
  <c r="X763" i="2" s="1"/>
  <c r="U764" i="2"/>
  <c r="U765" i="2"/>
  <c r="X765" i="2" s="1"/>
  <c r="U766" i="2"/>
  <c r="X766" i="2" s="1"/>
  <c r="U767" i="2"/>
  <c r="U768" i="2"/>
  <c r="U769" i="2"/>
  <c r="U770" i="2"/>
  <c r="X770" i="2" s="1"/>
  <c r="U771" i="2"/>
  <c r="X771" i="2" s="1"/>
  <c r="U772" i="2"/>
  <c r="X772" i="2" s="1"/>
  <c r="U773" i="2"/>
  <c r="X773" i="2" s="1"/>
  <c r="U774" i="2"/>
  <c r="X774" i="2" s="1"/>
  <c r="U776" i="2"/>
  <c r="X776" i="2" s="1"/>
  <c r="U777" i="2"/>
  <c r="X777" i="2" s="1"/>
  <c r="U778" i="2"/>
  <c r="X778" i="2" s="1"/>
  <c r="U780" i="2"/>
  <c r="X780" i="2" s="1"/>
  <c r="U781" i="2"/>
  <c r="X781" i="2" s="1"/>
  <c r="U782" i="2"/>
  <c r="U783" i="2"/>
  <c r="X783" i="2" s="1"/>
  <c r="U784" i="2"/>
  <c r="X784" i="2" s="1"/>
  <c r="U785" i="2"/>
  <c r="U786" i="2"/>
  <c r="X786" i="2" s="1"/>
  <c r="U787" i="2"/>
  <c r="X787" i="2" s="1"/>
  <c r="U788" i="2"/>
  <c r="U789" i="2"/>
  <c r="X789" i="2" s="1"/>
  <c r="U790" i="2"/>
  <c r="X790" i="2" s="1"/>
  <c r="U791" i="2"/>
  <c r="X791" i="2" s="1"/>
  <c r="U792" i="2"/>
  <c r="X792" i="2" s="1"/>
  <c r="U793" i="2"/>
  <c r="X793" i="2" s="1"/>
  <c r="U794" i="2"/>
  <c r="X794" i="2" s="1"/>
  <c r="U795" i="2"/>
  <c r="X795" i="2" s="1"/>
  <c r="U796" i="2"/>
  <c r="X796" i="2" s="1"/>
  <c r="U797" i="2"/>
  <c r="X797" i="2" s="1"/>
  <c r="U798" i="2"/>
  <c r="X798" i="2" s="1"/>
  <c r="U799" i="2"/>
  <c r="X799" i="2" s="1"/>
  <c r="U800" i="2"/>
  <c r="X800" i="2" s="1"/>
  <c r="U801" i="2"/>
  <c r="U802" i="2"/>
  <c r="X802" i="2" s="1"/>
  <c r="U803" i="2"/>
  <c r="X803" i="2" s="1"/>
  <c r="U804" i="2"/>
  <c r="U805" i="2"/>
  <c r="X805" i="2" s="1"/>
  <c r="U806" i="2"/>
  <c r="X806" i="2" s="1"/>
  <c r="U807" i="2"/>
  <c r="X807" i="2" s="1"/>
  <c r="U808" i="2"/>
  <c r="X808" i="2" s="1"/>
  <c r="U809" i="2"/>
  <c r="U810" i="2"/>
  <c r="X810" i="2" s="1"/>
  <c r="U811" i="2"/>
  <c r="X811" i="2" s="1"/>
  <c r="U812" i="2"/>
  <c r="X812" i="2" s="1"/>
  <c r="U813" i="2"/>
  <c r="X813" i="2" s="1"/>
  <c r="U814" i="2"/>
  <c r="U815" i="2"/>
  <c r="X815" i="2" s="1"/>
  <c r="U816" i="2"/>
  <c r="X816" i="2" s="1"/>
  <c r="U817" i="2"/>
  <c r="X817" i="2" s="1"/>
  <c r="U818" i="2"/>
  <c r="X818" i="2" s="1"/>
  <c r="U820" i="2"/>
  <c r="U821" i="2"/>
  <c r="X821" i="2" s="1"/>
  <c r="U822" i="2"/>
  <c r="X822" i="2" s="1"/>
  <c r="U823" i="2"/>
  <c r="X823" i="2" s="1"/>
  <c r="U824" i="2"/>
  <c r="X824" i="2" s="1"/>
  <c r="U825" i="2"/>
  <c r="X825" i="2" s="1"/>
  <c r="U826" i="2"/>
  <c r="X826" i="2" s="1"/>
  <c r="U827" i="2"/>
  <c r="X827" i="2" s="1"/>
  <c r="U828" i="2"/>
  <c r="X828" i="2" s="1"/>
  <c r="U829" i="2"/>
  <c r="X829" i="2" s="1"/>
  <c r="U830" i="2"/>
  <c r="X830" i="2" s="1"/>
  <c r="U831" i="2"/>
  <c r="X831" i="2" s="1"/>
  <c r="U832" i="2"/>
  <c r="X832" i="2" s="1"/>
  <c r="U833" i="2"/>
  <c r="X833" i="2" s="1"/>
  <c r="U834" i="2"/>
  <c r="X834" i="2" s="1"/>
  <c r="U835" i="2"/>
  <c r="X835" i="2" s="1"/>
  <c r="U836" i="2"/>
  <c r="U837" i="2"/>
  <c r="U838" i="2"/>
  <c r="X838" i="2" s="1"/>
  <c r="U839" i="2"/>
  <c r="X839" i="2" s="1"/>
  <c r="U840" i="2"/>
  <c r="X840" i="2" s="1"/>
  <c r="U841" i="2"/>
  <c r="X841" i="2" s="1"/>
  <c r="U842" i="2"/>
  <c r="X842" i="2" s="1"/>
  <c r="U843" i="2"/>
  <c r="X843" i="2" s="1"/>
  <c r="U844" i="2"/>
  <c r="X844" i="2" s="1"/>
  <c r="U845" i="2"/>
  <c r="X845" i="2" s="1"/>
  <c r="U846" i="2"/>
  <c r="X846" i="2" s="1"/>
  <c r="U847" i="2"/>
  <c r="X847" i="2" s="1"/>
  <c r="U848" i="2"/>
  <c r="X848" i="2" s="1"/>
  <c r="U849" i="2"/>
  <c r="X849" i="2" s="1"/>
  <c r="U850" i="2"/>
  <c r="X850" i="2" s="1"/>
  <c r="U851" i="2"/>
  <c r="X851" i="2" s="1"/>
  <c r="U852" i="2"/>
  <c r="U853" i="2"/>
  <c r="X853" i="2" s="1"/>
  <c r="U854" i="2"/>
  <c r="X854" i="2" s="1"/>
  <c r="U855" i="2"/>
  <c r="X855" i="2" s="1"/>
  <c r="U856" i="2"/>
  <c r="U857" i="2"/>
  <c r="X857" i="2" s="1"/>
  <c r="U859" i="2"/>
  <c r="X859" i="2" s="1"/>
  <c r="U860" i="2"/>
  <c r="X860" i="2" s="1"/>
  <c r="U861" i="2"/>
  <c r="X861" i="2" s="1"/>
  <c r="U862" i="2"/>
  <c r="X862" i="2" s="1"/>
  <c r="U863" i="2"/>
  <c r="X863" i="2" s="1"/>
  <c r="U864" i="2"/>
  <c r="U865" i="2"/>
  <c r="U866" i="2"/>
  <c r="X866" i="2" s="1"/>
  <c r="U867" i="2"/>
  <c r="X867" i="2" s="1"/>
  <c r="U869" i="2"/>
  <c r="X869" i="2" s="1"/>
  <c r="U870" i="2"/>
  <c r="U871" i="2"/>
  <c r="X871" i="2" s="1"/>
  <c r="U872" i="2"/>
  <c r="X872" i="2" s="1"/>
  <c r="U873" i="2"/>
  <c r="X873" i="2" s="1"/>
  <c r="U874" i="2"/>
  <c r="X874" i="2" s="1"/>
  <c r="U875" i="2"/>
  <c r="X875" i="2" s="1"/>
  <c r="U876" i="2"/>
  <c r="X876" i="2" s="1"/>
  <c r="U877" i="2"/>
  <c r="X877" i="2" s="1"/>
  <c r="U878" i="2"/>
  <c r="X878" i="2" s="1"/>
  <c r="U879" i="2"/>
  <c r="X879" i="2" s="1"/>
  <c r="U880" i="2"/>
  <c r="X880" i="2" s="1"/>
  <c r="U881" i="2"/>
  <c r="U882" i="2"/>
  <c r="X882" i="2" s="1"/>
  <c r="U883" i="2"/>
  <c r="X883" i="2" s="1"/>
  <c r="U884" i="2"/>
  <c r="X884" i="2" s="1"/>
  <c r="U886" i="2"/>
  <c r="X886" i="2" s="1"/>
  <c r="U887" i="2"/>
  <c r="X887" i="2" s="1"/>
  <c r="U888" i="2"/>
  <c r="X888" i="2" s="1"/>
  <c r="U889" i="2"/>
  <c r="X889" i="2" s="1"/>
  <c r="U890" i="2"/>
  <c r="X890" i="2" s="1"/>
  <c r="U891" i="2"/>
  <c r="X891" i="2" s="1"/>
  <c r="U892" i="2"/>
  <c r="X892" i="2" s="1"/>
  <c r="U893" i="2"/>
  <c r="X893" i="2" s="1"/>
  <c r="U894" i="2"/>
  <c r="X894" i="2" s="1"/>
  <c r="U895" i="2"/>
  <c r="X895" i="2" s="1"/>
  <c r="U896" i="2"/>
  <c r="X896" i="2" s="1"/>
  <c r="U898" i="2"/>
  <c r="X898" i="2" s="1"/>
  <c r="U899" i="2"/>
  <c r="X899" i="2" s="1"/>
  <c r="U900" i="2"/>
  <c r="X900" i="2" s="1"/>
  <c r="U901" i="2"/>
  <c r="X901" i="2" s="1"/>
  <c r="U902" i="2"/>
  <c r="X902" i="2" s="1"/>
  <c r="U903" i="2"/>
  <c r="U904" i="2"/>
  <c r="U905" i="2"/>
  <c r="U906" i="2"/>
  <c r="X906" i="2" s="1"/>
  <c r="U907" i="2"/>
  <c r="X907" i="2" s="1"/>
  <c r="U908" i="2"/>
  <c r="X908" i="2" s="1"/>
  <c r="U909" i="2"/>
  <c r="X909" i="2" s="1"/>
  <c r="U910" i="2"/>
  <c r="X910" i="2" s="1"/>
  <c r="U911" i="2"/>
  <c r="X911" i="2" s="1"/>
  <c r="U912" i="2"/>
  <c r="X912" i="2" s="1"/>
  <c r="U913" i="2"/>
  <c r="X913" i="2" s="1"/>
  <c r="U914" i="2"/>
  <c r="X914" i="2" s="1"/>
  <c r="U915" i="2"/>
  <c r="X915" i="2" s="1"/>
  <c r="U916" i="2"/>
  <c r="X916" i="2" s="1"/>
  <c r="U917" i="2"/>
  <c r="X917" i="2" s="1"/>
  <c r="U918" i="2"/>
  <c r="U920" i="2"/>
  <c r="U921" i="2"/>
  <c r="U922" i="2"/>
  <c r="U923" i="2"/>
  <c r="X923" i="2" s="1"/>
  <c r="U924" i="2"/>
  <c r="X924" i="2" s="1"/>
  <c r="U925" i="2"/>
  <c r="X925" i="2" s="1"/>
  <c r="U926" i="2"/>
  <c r="X926" i="2" s="1"/>
  <c r="U927" i="2"/>
  <c r="X927" i="2" s="1"/>
  <c r="U928" i="2"/>
  <c r="X928" i="2" s="1"/>
  <c r="U929" i="2"/>
  <c r="U931" i="2"/>
  <c r="X931" i="2" s="1"/>
  <c r="U932" i="2"/>
  <c r="X932" i="2" s="1"/>
  <c r="U933" i="2"/>
  <c r="X933" i="2" s="1"/>
  <c r="U934" i="2"/>
  <c r="X934" i="2" s="1"/>
  <c r="U935" i="2"/>
  <c r="X935" i="2" s="1"/>
  <c r="U937" i="2"/>
  <c r="X937" i="2" s="1"/>
  <c r="U938" i="2"/>
  <c r="X938" i="2" s="1"/>
  <c r="U939" i="2"/>
  <c r="U940" i="2"/>
  <c r="X940" i="2" s="1"/>
  <c r="U941" i="2"/>
  <c r="X941" i="2" s="1"/>
  <c r="U942" i="2"/>
  <c r="X942" i="2" s="1"/>
  <c r="U944" i="2"/>
  <c r="X944" i="2" s="1"/>
  <c r="U945" i="2"/>
  <c r="X945" i="2" s="1"/>
  <c r="U946" i="2"/>
  <c r="X946" i="2" s="1"/>
  <c r="U947" i="2"/>
  <c r="X947" i="2" s="1"/>
  <c r="U948" i="2"/>
  <c r="X948" i="2" s="1"/>
  <c r="U949" i="2"/>
  <c r="X949" i="2" s="1"/>
  <c r="U951" i="2"/>
  <c r="X951" i="2" s="1"/>
  <c r="U952" i="2"/>
  <c r="X952" i="2" s="1"/>
  <c r="U953" i="2"/>
  <c r="X953" i="2" s="1"/>
  <c r="U954" i="2"/>
  <c r="X954" i="2" s="1"/>
  <c r="U955" i="2"/>
  <c r="U956" i="2"/>
  <c r="U957" i="2"/>
  <c r="U958" i="2"/>
  <c r="U959" i="2"/>
  <c r="X959" i="2" s="1"/>
  <c r="U960" i="2"/>
  <c r="X960" i="2" s="1"/>
  <c r="U961" i="2"/>
  <c r="X961" i="2" s="1"/>
  <c r="U962" i="2"/>
  <c r="X962" i="2" s="1"/>
  <c r="U964" i="2"/>
  <c r="X964" i="2" s="1"/>
  <c r="U965" i="2"/>
  <c r="X965" i="2" s="1"/>
  <c r="U966" i="2"/>
  <c r="X966" i="2" s="1"/>
  <c r="U967" i="2"/>
  <c r="X967" i="2" s="1"/>
  <c r="U968" i="2"/>
  <c r="X968" i="2" s="1"/>
  <c r="U969" i="2"/>
  <c r="U970" i="2"/>
  <c r="X970" i="2" s="1"/>
  <c r="U971" i="2"/>
  <c r="X971" i="2" s="1"/>
  <c r="U972" i="2"/>
  <c r="U973" i="2"/>
  <c r="X973" i="2" s="1"/>
  <c r="U974" i="2"/>
  <c r="U975" i="2"/>
  <c r="U977" i="2"/>
  <c r="X977" i="2" s="1"/>
  <c r="U978" i="2"/>
  <c r="X978" i="2" s="1"/>
  <c r="U979" i="2"/>
  <c r="X979" i="2" s="1"/>
  <c r="U980" i="2"/>
  <c r="X980" i="2" s="1"/>
  <c r="U981" i="2"/>
  <c r="U982" i="2"/>
  <c r="U983" i="2"/>
  <c r="X983" i="2" s="1"/>
  <c r="U984" i="2"/>
  <c r="X984" i="2" s="1"/>
  <c r="U986" i="2"/>
  <c r="X986" i="2" s="1"/>
  <c r="U987" i="2"/>
  <c r="X987" i="2" s="1"/>
  <c r="U988" i="2"/>
  <c r="X988" i="2" s="1"/>
  <c r="U989" i="2"/>
  <c r="X989" i="2" s="1"/>
  <c r="U990" i="2"/>
  <c r="U991" i="2"/>
  <c r="X991" i="2" s="1"/>
  <c r="U992" i="2"/>
  <c r="U993" i="2"/>
  <c r="U994" i="2"/>
  <c r="X994" i="2" s="1"/>
  <c r="U995" i="2"/>
  <c r="X995" i="2" s="1"/>
  <c r="U997" i="2"/>
  <c r="X997" i="2" s="1"/>
  <c r="U998" i="2"/>
  <c r="X998" i="2" s="1"/>
  <c r="U999" i="2"/>
  <c r="X999" i="2" s="1"/>
  <c r="U1000" i="2"/>
  <c r="X1000" i="2" s="1"/>
  <c r="U1001" i="2"/>
  <c r="X1001" i="2" s="1"/>
  <c r="U1002" i="2"/>
  <c r="X1002" i="2" s="1"/>
  <c r="U1003" i="2"/>
  <c r="X1003" i="2" s="1"/>
  <c r="U1005" i="2"/>
  <c r="X1005" i="2" s="1"/>
  <c r="U1006" i="2"/>
  <c r="X1006" i="2" s="1"/>
  <c r="U1007" i="2"/>
  <c r="X1007" i="2" s="1"/>
  <c r="U1008" i="2"/>
  <c r="X1008" i="2" s="1"/>
  <c r="U1009" i="2"/>
  <c r="X1009" i="2" s="1"/>
  <c r="U1010" i="2"/>
  <c r="X1010" i="2" s="1"/>
  <c r="U1011" i="2"/>
  <c r="X1011" i="2" s="1"/>
  <c r="U1012" i="2"/>
  <c r="X1012" i="2" s="1"/>
  <c r="U1013" i="2"/>
  <c r="X1013" i="2" s="1"/>
  <c r="U1014" i="2"/>
  <c r="X1014" i="2" s="1"/>
  <c r="U1015" i="2"/>
  <c r="X1015" i="2" s="1"/>
  <c r="U1016" i="2"/>
  <c r="X1016" i="2" s="1"/>
  <c r="U1017" i="2"/>
  <c r="X1017" i="2" s="1"/>
  <c r="U1018" i="2"/>
  <c r="X1018" i="2" s="1"/>
  <c r="U1019" i="2"/>
  <c r="X1019" i="2" s="1"/>
  <c r="U1020" i="2"/>
  <c r="X1020" i="2" s="1"/>
  <c r="U1021" i="2"/>
  <c r="X1021" i="2" s="1"/>
  <c r="U1022" i="2"/>
  <c r="X1022" i="2" s="1"/>
  <c r="U1023" i="2"/>
  <c r="X1023" i="2" s="1"/>
  <c r="U1024" i="2"/>
  <c r="U1025" i="2"/>
  <c r="X1025" i="2" s="1"/>
  <c r="U1026" i="2"/>
  <c r="X1026" i="2" s="1"/>
  <c r="U1027" i="2"/>
  <c r="X1027" i="2" s="1"/>
  <c r="U1028" i="2"/>
  <c r="X1028" i="2" s="1"/>
  <c r="U1029" i="2"/>
  <c r="X1029" i="2" s="1"/>
  <c r="U1030" i="2"/>
  <c r="X1030" i="2" s="1"/>
  <c r="U1032" i="2"/>
  <c r="X1032" i="2" s="1"/>
  <c r="U1033" i="2"/>
  <c r="X1033" i="2" s="1"/>
  <c r="U1034" i="2"/>
  <c r="X1034" i="2" s="1"/>
  <c r="U1035" i="2"/>
  <c r="X1035" i="2" s="1"/>
  <c r="U1036" i="2"/>
  <c r="X1036" i="2" s="1"/>
  <c r="U1037" i="2"/>
  <c r="X1037" i="2" s="1"/>
  <c r="U1038" i="2"/>
  <c r="X1038" i="2" s="1"/>
  <c r="U1039" i="2"/>
  <c r="U1040" i="2"/>
  <c r="X1040" i="2" s="1"/>
  <c r="U1042" i="2"/>
  <c r="X1042" i="2" s="1"/>
  <c r="U1043" i="2"/>
  <c r="X1043" i="2" s="1"/>
  <c r="U1045" i="2"/>
  <c r="U1046" i="2"/>
  <c r="U1047" i="2"/>
  <c r="X1047" i="2" s="1"/>
  <c r="U1048" i="2"/>
  <c r="X1048" i="2" s="1"/>
  <c r="U1049" i="2"/>
  <c r="X1049" i="2" s="1"/>
  <c r="U1050" i="2"/>
  <c r="X1050" i="2" s="1"/>
  <c r="U1051" i="2"/>
  <c r="X1051" i="2" s="1"/>
  <c r="U1052" i="2"/>
  <c r="X1052" i="2" s="1"/>
  <c r="U1053" i="2"/>
  <c r="X1053" i="2" s="1"/>
  <c r="U1054" i="2"/>
  <c r="X1054" i="2" s="1"/>
  <c r="U1056" i="2"/>
  <c r="X1056" i="2" s="1"/>
  <c r="U1057" i="2"/>
  <c r="X1057" i="2" s="1"/>
  <c r="U1058" i="2"/>
  <c r="X1058" i="2" s="1"/>
  <c r="U1059" i="2"/>
  <c r="X1059" i="2" s="1"/>
  <c r="U1060" i="2"/>
  <c r="X1060" i="2" s="1"/>
  <c r="U1061" i="2"/>
  <c r="X1061" i="2" s="1"/>
  <c r="U1062" i="2"/>
  <c r="U1063" i="2"/>
  <c r="U1064" i="2"/>
  <c r="X1064" i="2" s="1"/>
  <c r="U1065" i="2"/>
  <c r="X1065" i="2" s="1"/>
  <c r="U1066" i="2"/>
  <c r="X1066" i="2" s="1"/>
  <c r="U1067" i="2"/>
  <c r="X1067" i="2" s="1"/>
  <c r="U1068" i="2"/>
  <c r="U1069" i="2"/>
  <c r="X1069" i="2" s="1"/>
  <c r="U1070" i="2"/>
  <c r="X1070" i="2" s="1"/>
  <c r="U1071" i="2"/>
  <c r="X1071" i="2" s="1"/>
  <c r="U1072" i="2"/>
  <c r="X1072" i="2" s="1"/>
  <c r="U1073" i="2"/>
  <c r="X1073" i="2" s="1"/>
  <c r="U1074" i="2"/>
  <c r="X1074" i="2" s="1"/>
  <c r="U1075" i="2"/>
  <c r="X1075" i="2" s="1"/>
  <c r="U1076" i="2"/>
  <c r="X1076" i="2" s="1"/>
  <c r="U1077" i="2"/>
  <c r="U1078" i="2"/>
  <c r="U1079" i="2"/>
  <c r="U1081" i="2"/>
  <c r="X1081" i="2" s="1"/>
  <c r="U1082" i="2"/>
  <c r="X1082" i="2" s="1"/>
  <c r="U1083" i="2"/>
  <c r="X1083" i="2" s="1"/>
  <c r="U1084" i="2"/>
  <c r="X1084" i="2" s="1"/>
  <c r="U1085" i="2"/>
  <c r="X1085" i="2" s="1"/>
  <c r="U1086" i="2"/>
  <c r="X1086" i="2" s="1"/>
  <c r="U1088" i="2"/>
  <c r="X1088" i="2" s="1"/>
  <c r="U1089" i="2"/>
  <c r="X1089" i="2" s="1"/>
  <c r="U1090" i="2"/>
  <c r="X1090" i="2" s="1"/>
  <c r="U1091" i="2"/>
  <c r="X1091" i="2" s="1"/>
  <c r="U1092" i="2"/>
  <c r="X1092" i="2" s="1"/>
  <c r="U1093" i="2"/>
  <c r="X1093" i="2" s="1"/>
  <c r="U1094" i="2"/>
  <c r="X1094" i="2" s="1"/>
  <c r="U1095" i="2"/>
  <c r="X1095" i="2" s="1"/>
  <c r="U1096" i="2"/>
  <c r="U1097" i="2"/>
  <c r="X1097" i="2" s="1"/>
  <c r="U1098" i="2"/>
  <c r="X1098" i="2" s="1"/>
  <c r="U1099" i="2"/>
  <c r="X1099" i="2" s="1"/>
  <c r="U1100" i="2"/>
  <c r="X1100" i="2" s="1"/>
  <c r="U1101" i="2"/>
  <c r="X1101" i="2" s="1"/>
  <c r="U1102" i="2"/>
  <c r="X1102" i="2" s="1"/>
  <c r="U1103" i="2"/>
  <c r="X1103" i="2" s="1"/>
  <c r="U1104" i="2"/>
  <c r="X1104" i="2" s="1"/>
  <c r="U1105" i="2"/>
  <c r="X1105" i="2" s="1"/>
  <c r="U1106" i="2"/>
  <c r="X1106" i="2" s="1"/>
  <c r="U1107" i="2"/>
  <c r="X1107" i="2" s="1"/>
  <c r="U1108" i="2"/>
  <c r="X1108" i="2" s="1"/>
  <c r="U1109" i="2"/>
  <c r="X1109" i="2" s="1"/>
  <c r="U1110" i="2"/>
  <c r="X1110" i="2" s="1"/>
  <c r="U1111" i="2"/>
  <c r="U1112" i="2"/>
  <c r="U1113" i="2"/>
  <c r="U1114" i="2"/>
  <c r="X1114" i="2" s="1"/>
  <c r="U1115" i="2"/>
  <c r="X1115" i="2" s="1"/>
  <c r="U1116" i="2"/>
  <c r="X1116" i="2" s="1"/>
  <c r="U1117" i="2"/>
  <c r="X1117" i="2" s="1"/>
  <c r="U1118" i="2"/>
  <c r="X1118" i="2" s="1"/>
  <c r="U1119" i="2"/>
  <c r="X1119" i="2" s="1"/>
  <c r="U1120" i="2"/>
  <c r="X1120" i="2" s="1"/>
  <c r="U1121" i="2"/>
  <c r="X1121" i="2" s="1"/>
  <c r="U1124" i="2"/>
  <c r="X1124" i="2" s="1"/>
  <c r="U1125" i="2"/>
  <c r="X1125" i="2" s="1"/>
  <c r="U1126" i="2"/>
  <c r="U1127" i="2"/>
  <c r="U1128" i="2"/>
  <c r="U1129" i="2"/>
  <c r="X1129" i="2" s="1"/>
  <c r="U1130" i="2"/>
  <c r="U1131" i="2"/>
  <c r="U1133" i="2"/>
  <c r="X1133" i="2" s="1"/>
  <c r="U1134" i="2"/>
  <c r="X1134" i="2" s="1"/>
  <c r="U1135" i="2"/>
  <c r="X1135" i="2" s="1"/>
  <c r="U1136" i="2"/>
  <c r="U1137" i="2"/>
  <c r="X1137" i="2" s="1"/>
  <c r="U1138" i="2"/>
  <c r="X1138" i="2" s="1"/>
  <c r="U1139" i="2"/>
  <c r="X1139" i="2" s="1"/>
  <c r="U1141" i="2"/>
  <c r="X1141" i="2" s="1"/>
  <c r="U1142" i="2"/>
  <c r="X1142" i="2" s="1"/>
  <c r="U1143" i="2"/>
  <c r="U1144" i="2"/>
  <c r="U1146" i="2"/>
  <c r="X1146" i="2" s="1"/>
  <c r="U1147" i="2"/>
  <c r="X1147" i="2" s="1"/>
  <c r="U1148" i="2"/>
  <c r="U1149" i="2"/>
  <c r="U1150" i="2"/>
  <c r="X1150" i="2" s="1"/>
  <c r="U1151" i="2"/>
  <c r="X1151" i="2" s="1"/>
  <c r="U1152" i="2"/>
  <c r="X1152" i="2" s="1"/>
  <c r="U1154" i="2"/>
  <c r="X1154" i="2" s="1"/>
  <c r="U1155" i="2"/>
  <c r="X1155" i="2" s="1"/>
  <c r="U1156" i="2"/>
  <c r="X1156" i="2" s="1"/>
  <c r="U1157" i="2"/>
  <c r="X1157" i="2" s="1"/>
  <c r="U1158" i="2"/>
  <c r="X1158" i="2" s="1"/>
  <c r="U1159" i="2"/>
  <c r="X1159" i="2" s="1"/>
  <c r="U1160" i="2"/>
  <c r="X1160" i="2" s="1"/>
  <c r="U1161" i="2"/>
  <c r="U1162" i="2"/>
  <c r="X1162" i="2" s="1"/>
  <c r="U1163" i="2"/>
  <c r="X1163" i="2" s="1"/>
  <c r="U1164" i="2"/>
  <c r="X1164" i="2" s="1"/>
  <c r="U1165" i="2"/>
  <c r="U1166" i="2"/>
  <c r="U1167" i="2"/>
  <c r="U1168" i="2"/>
  <c r="X1168" i="2" s="1"/>
  <c r="U1170" i="2"/>
  <c r="X1170" i="2" s="1"/>
  <c r="U1171" i="2"/>
  <c r="X1171" i="2" s="1"/>
  <c r="U1172" i="2"/>
  <c r="X1172" i="2" s="1"/>
  <c r="U1174" i="2"/>
  <c r="X1174" i="2" s="1"/>
  <c r="U1175" i="2"/>
  <c r="X1175" i="2" s="1"/>
  <c r="U1176" i="2"/>
  <c r="X1176" i="2" s="1"/>
  <c r="U1177" i="2"/>
  <c r="X1177" i="2" s="1"/>
  <c r="U1178" i="2"/>
  <c r="X1178" i="2" s="1"/>
  <c r="U1179" i="2"/>
  <c r="X1179" i="2" s="1"/>
  <c r="U1180" i="2"/>
  <c r="X1180" i="2" s="1"/>
  <c r="U1181" i="2"/>
  <c r="X1181" i="2" s="1"/>
  <c r="U1182" i="2"/>
  <c r="U1183" i="2"/>
  <c r="X1183" i="2" s="1"/>
  <c r="U1184" i="2"/>
  <c r="U1185" i="2"/>
  <c r="U1186" i="2"/>
  <c r="X1186" i="2" s="1"/>
  <c r="U1187" i="2"/>
  <c r="X1187" i="2" s="1"/>
  <c r="U1190" i="2"/>
  <c r="X1190" i="2" s="1"/>
  <c r="U1191" i="2"/>
  <c r="X1191" i="2" s="1"/>
  <c r="U1192" i="2"/>
  <c r="X1192" i="2" s="1"/>
  <c r="U1193" i="2"/>
  <c r="X1193" i="2" s="1"/>
  <c r="U1194" i="2"/>
  <c r="X1194" i="2" s="1"/>
  <c r="U1195" i="2"/>
  <c r="X1195" i="2" s="1"/>
  <c r="U1196" i="2"/>
  <c r="X1196" i="2" s="1"/>
  <c r="U1197" i="2"/>
  <c r="U1199" i="2"/>
  <c r="X1199" i="2" s="1"/>
  <c r="U1200" i="2"/>
  <c r="U1201" i="2"/>
  <c r="X1201" i="2" s="1"/>
  <c r="U1203" i="2"/>
  <c r="X1203" i="2" s="1"/>
  <c r="U1205" i="2"/>
  <c r="U1206" i="2"/>
  <c r="X1206" i="2" s="1"/>
  <c r="U1207" i="2"/>
  <c r="X1207" i="2" s="1"/>
  <c r="U1208" i="2"/>
  <c r="X1208" i="2" s="1"/>
  <c r="U1209" i="2"/>
  <c r="X1209" i="2" s="1"/>
  <c r="U1210" i="2"/>
  <c r="X1210" i="2" s="1"/>
  <c r="U1211" i="2"/>
  <c r="X1211" i="2" s="1"/>
  <c r="U1212" i="2"/>
  <c r="X1212" i="2" s="1"/>
  <c r="U1213" i="2"/>
  <c r="X1213" i="2" s="1"/>
  <c r="U1214" i="2"/>
  <c r="X1214" i="2" s="1"/>
  <c r="U1215" i="2"/>
  <c r="X1215" i="2" s="1"/>
  <c r="U1216" i="2"/>
  <c r="X1216" i="2" s="1"/>
  <c r="U1217" i="2"/>
  <c r="U1218" i="2"/>
  <c r="X1218" i="2" s="1"/>
  <c r="U1219" i="2"/>
  <c r="X1219" i="2" s="1"/>
  <c r="U1220" i="2"/>
  <c r="U1221" i="2"/>
  <c r="U1222" i="2"/>
  <c r="X1222" i="2" s="1"/>
  <c r="U1223" i="2"/>
  <c r="X1223" i="2" s="1"/>
  <c r="U1224" i="2"/>
  <c r="X1224" i="2" s="1"/>
  <c r="U1225" i="2"/>
  <c r="X1225" i="2" s="1"/>
  <c r="U1226" i="2"/>
  <c r="X1226" i="2" s="1"/>
  <c r="U1227" i="2"/>
  <c r="X1227" i="2" s="1"/>
  <c r="U1228" i="2"/>
  <c r="X1228" i="2" s="1"/>
  <c r="U1229" i="2"/>
  <c r="X1229" i="2" s="1"/>
  <c r="U1230" i="2"/>
  <c r="X1230" i="2" s="1"/>
  <c r="U1232" i="2"/>
  <c r="X1232" i="2" s="1"/>
  <c r="U1233" i="2"/>
  <c r="X1233" i="2" s="1"/>
  <c r="U1234" i="2"/>
  <c r="X1234" i="2" s="1"/>
  <c r="U1235" i="2"/>
  <c r="X1235" i="2" s="1"/>
  <c r="U1236" i="2"/>
  <c r="U1237" i="2"/>
  <c r="X1237" i="2" s="1"/>
  <c r="U1238" i="2"/>
  <c r="U1239" i="2"/>
  <c r="U1240" i="2"/>
  <c r="X1240" i="2" s="1"/>
  <c r="U1241" i="2"/>
  <c r="X1241" i="2" s="1"/>
  <c r="U1242" i="2"/>
  <c r="X1242" i="2" s="1"/>
  <c r="U1244" i="2"/>
  <c r="X1244" i="2" s="1"/>
  <c r="U1245" i="2"/>
  <c r="X1245" i="2" s="1"/>
  <c r="U1246" i="2"/>
  <c r="X1246" i="2" s="1"/>
  <c r="U1247" i="2"/>
  <c r="X1247" i="2" s="1"/>
  <c r="U1248" i="2"/>
  <c r="X1248" i="2" s="1"/>
  <c r="U1249" i="2"/>
  <c r="X1249" i="2" s="1"/>
  <c r="U1250" i="2"/>
  <c r="X1250" i="2" s="1"/>
  <c r="U1252" i="2"/>
  <c r="X1252" i="2" s="1"/>
  <c r="U1253" i="2"/>
  <c r="X1253" i="2" s="1"/>
  <c r="U1254" i="2"/>
  <c r="U1255" i="2"/>
  <c r="X1255" i="2" s="1"/>
  <c r="U1256" i="2"/>
  <c r="U1257" i="2"/>
  <c r="U1258" i="2"/>
  <c r="X1258" i="2" s="1"/>
  <c r="U1259" i="2"/>
  <c r="X1259" i="2" s="1"/>
  <c r="U1260" i="2"/>
  <c r="X1260" i="2" s="1"/>
  <c r="U1261" i="2"/>
  <c r="X1261" i="2" s="1"/>
  <c r="U1262" i="2"/>
  <c r="U1263" i="2"/>
  <c r="X1263" i="2" s="1"/>
  <c r="U1264" i="2"/>
  <c r="U1265" i="2"/>
  <c r="X1265" i="2" s="1"/>
  <c r="U1266" i="2"/>
  <c r="X1266" i="2" s="1"/>
  <c r="U1267" i="2"/>
  <c r="X1267" i="2" s="1"/>
  <c r="U1268" i="2"/>
  <c r="X1268" i="2" s="1"/>
  <c r="U1269" i="2"/>
  <c r="X1269" i="2" s="1"/>
  <c r="U1270" i="2"/>
  <c r="X1270" i="2" s="1"/>
  <c r="U1271" i="2"/>
  <c r="X1271" i="2" s="1"/>
  <c r="U1272" i="2"/>
  <c r="U1273" i="2"/>
  <c r="X1273" i="2" s="1"/>
  <c r="U1274" i="2"/>
  <c r="X1274" i="2" s="1"/>
  <c r="U1277" i="2"/>
  <c r="X1277" i="2" s="1"/>
  <c r="U1278" i="2"/>
  <c r="X1278" i="2" s="1"/>
  <c r="U1279" i="2"/>
  <c r="X1279" i="2" s="1"/>
  <c r="U1280" i="2"/>
  <c r="X1280" i="2" s="1"/>
  <c r="U1281" i="2"/>
  <c r="X1281" i="2" s="1"/>
  <c r="U1283" i="2"/>
  <c r="X1283" i="2" s="1"/>
  <c r="U1284" i="2"/>
  <c r="X1284" i="2" s="1"/>
  <c r="U1285" i="2"/>
  <c r="X1285" i="2" s="1"/>
  <c r="U1287" i="2"/>
  <c r="X1287" i="2" s="1"/>
  <c r="U1288" i="2"/>
  <c r="X1288" i="2" s="1"/>
  <c r="U1289" i="2"/>
  <c r="X1289" i="2" s="1"/>
  <c r="U1291" i="2"/>
  <c r="X1291" i="2" s="1"/>
  <c r="U1292" i="2"/>
  <c r="X1292" i="2" s="1"/>
  <c r="U1293" i="2"/>
  <c r="U1294" i="2"/>
  <c r="X1294" i="2" s="1"/>
  <c r="U1295" i="2"/>
  <c r="X1295" i="2" s="1"/>
  <c r="U1296" i="2"/>
  <c r="X1296" i="2" s="1"/>
  <c r="U1297" i="2"/>
  <c r="X1297" i="2" s="1"/>
  <c r="U1299" i="2"/>
  <c r="X1299" i="2" s="1"/>
  <c r="U1302" i="2"/>
  <c r="X1302" i="2" s="1"/>
  <c r="U1303" i="2"/>
  <c r="X1303" i="2" s="1"/>
  <c r="U1305" i="2"/>
  <c r="X1305" i="2" s="1"/>
  <c r="U1306" i="2"/>
  <c r="X1306" i="2" s="1"/>
  <c r="U1307" i="2"/>
  <c r="X1307" i="2" s="1"/>
  <c r="U1308" i="2"/>
  <c r="U1309" i="2"/>
  <c r="U1310" i="2"/>
  <c r="X1310" i="2" s="1"/>
  <c r="U1311" i="2"/>
  <c r="U1312" i="2"/>
  <c r="U1313" i="2"/>
  <c r="U1314" i="2"/>
  <c r="X1314" i="2" s="1"/>
  <c r="U1315" i="2"/>
  <c r="X1315" i="2" s="1"/>
  <c r="U1316" i="2"/>
  <c r="X1316" i="2" s="1"/>
  <c r="U1317" i="2"/>
  <c r="X1317" i="2" s="1"/>
  <c r="U1318" i="2"/>
  <c r="X1318" i="2" s="1"/>
  <c r="U1319" i="2"/>
  <c r="X1319" i="2" s="1"/>
  <c r="U1320" i="2"/>
  <c r="X1320" i="2" s="1"/>
  <c r="U1321" i="2"/>
  <c r="X1321" i="2" s="1"/>
  <c r="U1322" i="2"/>
  <c r="X1322" i="2" s="1"/>
  <c r="U1323" i="2"/>
  <c r="X1323" i="2" s="1"/>
  <c r="U1324" i="2"/>
  <c r="X1324" i="2" s="1"/>
  <c r="U1325" i="2"/>
  <c r="U1326" i="2"/>
  <c r="X1326" i="2" s="1"/>
  <c r="U1327" i="2"/>
  <c r="X1327" i="2" s="1"/>
  <c r="U1328" i="2"/>
  <c r="X1328" i="2" s="1"/>
  <c r="U1329" i="2"/>
  <c r="U1330" i="2"/>
  <c r="X1330" i="2" s="1"/>
  <c r="U1331" i="2"/>
  <c r="X1331" i="2" s="1"/>
  <c r="U1332" i="2"/>
  <c r="X1332" i="2" s="1"/>
  <c r="U1333" i="2"/>
  <c r="X1333" i="2" s="1"/>
  <c r="U1334" i="2"/>
  <c r="X1334" i="2" s="1"/>
  <c r="U1335" i="2"/>
  <c r="X1335" i="2" s="1"/>
  <c r="U1336" i="2"/>
  <c r="U1338" i="2"/>
  <c r="X1338" i="2" s="1"/>
  <c r="U1339" i="2"/>
  <c r="U1341" i="2"/>
  <c r="X1341" i="2" s="1"/>
  <c r="U1342" i="2"/>
  <c r="X1342" i="2" s="1"/>
  <c r="U1343" i="2"/>
  <c r="X1343" i="2" s="1"/>
  <c r="U1344" i="2"/>
  <c r="X1344" i="2" s="1"/>
  <c r="U1345" i="2"/>
  <c r="X1345" i="2" s="1"/>
  <c r="U1346" i="2"/>
  <c r="X1346" i="2" s="1"/>
  <c r="U1347" i="2"/>
  <c r="X1347" i="2" s="1"/>
  <c r="U1348" i="2"/>
  <c r="X1348" i="2" s="1"/>
  <c r="U1349" i="2"/>
  <c r="X1349" i="2" s="1"/>
  <c r="U1350" i="2"/>
  <c r="X1350" i="2" s="1"/>
  <c r="U1351" i="2"/>
  <c r="X1351" i="2" s="1"/>
  <c r="U1352" i="2"/>
  <c r="X1352" i="2" s="1"/>
  <c r="U1353" i="2"/>
  <c r="U1354" i="2"/>
  <c r="X1354" i="2" s="1"/>
  <c r="U1355" i="2"/>
  <c r="X1355" i="2" s="1"/>
  <c r="U1356" i="2"/>
  <c r="X1356" i="2" s="1"/>
  <c r="U1357" i="2"/>
  <c r="X1357" i="2" s="1"/>
  <c r="U1358" i="2"/>
  <c r="U1359" i="2"/>
  <c r="X1359" i="2" s="1"/>
  <c r="U1360" i="2"/>
  <c r="X1360" i="2" s="1"/>
  <c r="U1362" i="2"/>
  <c r="X1362" i="2" s="1"/>
  <c r="U1363" i="2"/>
  <c r="X1363" i="2" s="1"/>
  <c r="U1364" i="2"/>
  <c r="U1365" i="2"/>
  <c r="X1365" i="2" s="1"/>
  <c r="U1366" i="2"/>
  <c r="X1366" i="2" s="1"/>
  <c r="U1367" i="2"/>
  <c r="X1367" i="2" s="1"/>
  <c r="U1368" i="2"/>
  <c r="X1368" i="2" s="1"/>
  <c r="U1369" i="2"/>
  <c r="X1369" i="2" s="1"/>
  <c r="U1370" i="2"/>
  <c r="X1370" i="2" s="1"/>
  <c r="U1371" i="2"/>
  <c r="X1371" i="2" s="1"/>
  <c r="U1372" i="2"/>
  <c r="X1372" i="2" s="1"/>
  <c r="U1373" i="2"/>
  <c r="X1373" i="2" s="1"/>
  <c r="U1374" i="2"/>
  <c r="X1374" i="2" s="1"/>
  <c r="U1375" i="2"/>
  <c r="X1375" i="2" s="1"/>
  <c r="U1376" i="2"/>
  <c r="U1377" i="2"/>
  <c r="U1378" i="2"/>
  <c r="X1378" i="2" s="1"/>
  <c r="U1379" i="2"/>
  <c r="X1379" i="2" s="1"/>
  <c r="U1380" i="2"/>
  <c r="X1380" i="2" s="1"/>
  <c r="U1381" i="2"/>
  <c r="X1381" i="2" s="1"/>
  <c r="U1382" i="2"/>
  <c r="X1382" i="2" s="1"/>
  <c r="U1383" i="2"/>
  <c r="X1383" i="2" s="1"/>
  <c r="U1384" i="2"/>
  <c r="X1384" i="2" s="1"/>
  <c r="U1385" i="2"/>
  <c r="X1385" i="2" s="1"/>
  <c r="U1386" i="2"/>
  <c r="X1386" i="2" s="1"/>
  <c r="U1387" i="2"/>
  <c r="X1387" i="2" s="1"/>
  <c r="U1388" i="2"/>
  <c r="X1388" i="2" s="1"/>
  <c r="U1389" i="2"/>
  <c r="X1389" i="2" s="1"/>
  <c r="U1390" i="2"/>
  <c r="X1390" i="2" s="1"/>
  <c r="U1391" i="2"/>
  <c r="X1391" i="2" s="1"/>
  <c r="U1392" i="2"/>
  <c r="X1392" i="2" s="1"/>
  <c r="U1393" i="2"/>
  <c r="U1394" i="2"/>
  <c r="X1394" i="2" s="1"/>
  <c r="U1395" i="2"/>
  <c r="X1395" i="2" s="1"/>
  <c r="U1396" i="2"/>
  <c r="X1396" i="2" s="1"/>
  <c r="U1397" i="2"/>
  <c r="X1397" i="2" s="1"/>
  <c r="U1398" i="2"/>
  <c r="X1398" i="2" s="1"/>
  <c r="U1400" i="2"/>
  <c r="X1400" i="2" s="1"/>
  <c r="U1401" i="2"/>
  <c r="X1401" i="2" s="1"/>
  <c r="U1402" i="2"/>
  <c r="X1402" i="2" s="1"/>
  <c r="U1403" i="2"/>
  <c r="U1404" i="2"/>
  <c r="X1404" i="2" s="1"/>
  <c r="U1405" i="2"/>
  <c r="U1406" i="2"/>
  <c r="U1407" i="2"/>
  <c r="X1407" i="2" s="1"/>
  <c r="U1408" i="2"/>
  <c r="U1409" i="2"/>
  <c r="X1409" i="2" s="1"/>
  <c r="U1410" i="2"/>
  <c r="X1410" i="2" s="1"/>
  <c r="U1411" i="2"/>
  <c r="X1411" i="2" s="1"/>
  <c r="U1412" i="2"/>
  <c r="U1413" i="2"/>
  <c r="U1414" i="2"/>
  <c r="X1414" i="2" s="1"/>
  <c r="U1415" i="2"/>
  <c r="X1415" i="2" s="1"/>
  <c r="U1416" i="2"/>
  <c r="X1416" i="2" s="1"/>
  <c r="U1417" i="2"/>
  <c r="X1417" i="2" s="1"/>
  <c r="U1418" i="2"/>
  <c r="X1418" i="2" s="1"/>
  <c r="U1419" i="2"/>
  <c r="X1419" i="2" s="1"/>
  <c r="U1420" i="2"/>
  <c r="X1420" i="2" s="1"/>
  <c r="U1421" i="2"/>
  <c r="X1421" i="2" s="1"/>
  <c r="U1422" i="2"/>
  <c r="X1422" i="2" s="1"/>
  <c r="U1423" i="2"/>
  <c r="X1423" i="2" s="1"/>
  <c r="U1425" i="2"/>
  <c r="X1425" i="2" s="1"/>
  <c r="U1426" i="2"/>
  <c r="X1426" i="2" s="1"/>
  <c r="U1427" i="2"/>
  <c r="X1427" i="2" s="1"/>
  <c r="U1428" i="2"/>
  <c r="U1429" i="2"/>
  <c r="X1429" i="2" s="1"/>
  <c r="U1430" i="2"/>
  <c r="U1431" i="2"/>
  <c r="X1431" i="2" s="1"/>
  <c r="U1432" i="2"/>
  <c r="X1432" i="2" s="1"/>
  <c r="U1433" i="2"/>
  <c r="X1433" i="2" s="1"/>
  <c r="U1434" i="2"/>
  <c r="X1434" i="2" s="1"/>
  <c r="U1435" i="2"/>
  <c r="X1435" i="2" s="1"/>
  <c r="U1436" i="2"/>
  <c r="X1436" i="2" s="1"/>
  <c r="U1437" i="2"/>
  <c r="X1437" i="2" s="1"/>
  <c r="U1438" i="2"/>
  <c r="X1438" i="2" s="1"/>
  <c r="U1439" i="2"/>
  <c r="X1439" i="2" s="1"/>
  <c r="U1440" i="2"/>
  <c r="X1440" i="2" s="1"/>
  <c r="U1441" i="2"/>
  <c r="X1441" i="2" s="1"/>
  <c r="U1442" i="2"/>
  <c r="X1442" i="2" s="1"/>
  <c r="U1443" i="2"/>
  <c r="X1443" i="2" s="1"/>
  <c r="U1444" i="2"/>
  <c r="U1445" i="2"/>
  <c r="X1445" i="2" s="1"/>
  <c r="U1446" i="2"/>
  <c r="X1446" i="2" s="1"/>
  <c r="U1447" i="2"/>
  <c r="X1447" i="2" s="1"/>
  <c r="U1448" i="2"/>
  <c r="U1449" i="2"/>
  <c r="X1449" i="2" s="1"/>
  <c r="U1450" i="2"/>
  <c r="X1450" i="2" s="1"/>
  <c r="U1451" i="2"/>
  <c r="X1451" i="2" s="1"/>
  <c r="U1452" i="2"/>
  <c r="X1452" i="2" s="1"/>
  <c r="U1453" i="2"/>
  <c r="X1453" i="2" s="1"/>
  <c r="U1454" i="2"/>
  <c r="X1454" i="2" s="1"/>
  <c r="U1455" i="2"/>
  <c r="X1455" i="2" s="1"/>
  <c r="U1456" i="2"/>
  <c r="X1456" i="2" s="1"/>
  <c r="U1457" i="2"/>
  <c r="X1457" i="2" s="1"/>
  <c r="U1458" i="2"/>
  <c r="X1458" i="2" s="1"/>
  <c r="U1459" i="2"/>
  <c r="X1459" i="2" s="1"/>
  <c r="U1460" i="2"/>
  <c r="X1460" i="2" s="1"/>
  <c r="U1461" i="2"/>
  <c r="U1462" i="2"/>
  <c r="U1463" i="2"/>
  <c r="U1464" i="2"/>
  <c r="X1464" i="2" s="1"/>
  <c r="U1465" i="2"/>
  <c r="X1465" i="2" s="1"/>
  <c r="U1466" i="2"/>
  <c r="X1466" i="2" s="1"/>
  <c r="U1467" i="2"/>
  <c r="X1467" i="2" s="1"/>
  <c r="U1469" i="2"/>
  <c r="X1469" i="2" s="1"/>
  <c r="U1470" i="2"/>
  <c r="X1470" i="2" s="1"/>
  <c r="U1471" i="2"/>
  <c r="X1471" i="2" s="1"/>
  <c r="U1472" i="2"/>
  <c r="X1472" i="2" s="1"/>
  <c r="U1473" i="2"/>
  <c r="X1473" i="2" s="1"/>
  <c r="U1475" i="2"/>
  <c r="X1475" i="2" s="1"/>
  <c r="U1476" i="2"/>
  <c r="X1476" i="2" s="1"/>
  <c r="U1477" i="2"/>
  <c r="X1477" i="2" s="1"/>
  <c r="U1478" i="2"/>
  <c r="X1478" i="2" s="1"/>
  <c r="U1479" i="2"/>
  <c r="U1480" i="2"/>
  <c r="U1481" i="2"/>
  <c r="X1481" i="2" s="1"/>
  <c r="U1482" i="2"/>
  <c r="X1482" i="2" s="1"/>
  <c r="U1483" i="2"/>
  <c r="X1483" i="2" s="1"/>
  <c r="U1484" i="2"/>
  <c r="X1484" i="2" s="1"/>
  <c r="U1485" i="2"/>
  <c r="X1485" i="2" s="1"/>
  <c r="U1486" i="2"/>
  <c r="X1486" i="2" s="1"/>
  <c r="U1487" i="2"/>
  <c r="X1487" i="2" s="1"/>
  <c r="U1488" i="2"/>
  <c r="X1488" i="2" s="1"/>
  <c r="U1489" i="2"/>
  <c r="X1489" i="2" s="1"/>
  <c r="U1490" i="2"/>
  <c r="X1490" i="2" s="1"/>
  <c r="U1491" i="2"/>
  <c r="X1491" i="2" s="1"/>
  <c r="U1492" i="2"/>
  <c r="X1492" i="2" s="1"/>
  <c r="U1493" i="2"/>
  <c r="X1493" i="2" s="1"/>
  <c r="U1494" i="2"/>
  <c r="X1494" i="2" s="1"/>
  <c r="U1495" i="2"/>
  <c r="X1495" i="2" s="1"/>
  <c r="U1496" i="2"/>
  <c r="U1500" i="2"/>
  <c r="U1501" i="2"/>
  <c r="X1501" i="2" s="1"/>
  <c r="U1502" i="2"/>
  <c r="U1503" i="2"/>
  <c r="X1503" i="2" s="1"/>
  <c r="U1504" i="2"/>
  <c r="X1504" i="2" s="1"/>
  <c r="U1505" i="2"/>
  <c r="X1505" i="2" s="1"/>
  <c r="U1506" i="2"/>
  <c r="X1506" i="2" s="1"/>
  <c r="U1507" i="2"/>
  <c r="X1507" i="2" s="1"/>
  <c r="U1508" i="2"/>
  <c r="X1508" i="2" s="1"/>
  <c r="U1509" i="2"/>
  <c r="X1509" i="2" s="1"/>
  <c r="U1510" i="2"/>
  <c r="X1510" i="2" s="1"/>
  <c r="U1511" i="2"/>
  <c r="U1512" i="2"/>
  <c r="U1513" i="2"/>
  <c r="X1513" i="2" s="1"/>
  <c r="U1514" i="2"/>
  <c r="U1515" i="2"/>
  <c r="U1516" i="2"/>
  <c r="U1517" i="2"/>
  <c r="X1517" i="2" s="1"/>
  <c r="U1518" i="2"/>
  <c r="X1518" i="2" s="1"/>
  <c r="U1519" i="2"/>
  <c r="X1519" i="2" s="1"/>
  <c r="U1520" i="2"/>
  <c r="X1520" i="2" s="1"/>
  <c r="U1521" i="2"/>
  <c r="X1521" i="2" s="1"/>
  <c r="U1522" i="2"/>
  <c r="U1524" i="2"/>
  <c r="X1524" i="2" s="1"/>
  <c r="U1525" i="2"/>
  <c r="X1525" i="2" s="1"/>
  <c r="U1526" i="2"/>
  <c r="X1526" i="2" s="1"/>
  <c r="U1527" i="2"/>
  <c r="X1527" i="2" s="1"/>
  <c r="U1528" i="2"/>
  <c r="X1528" i="2" s="1"/>
  <c r="U1529" i="2"/>
  <c r="X1529" i="2" s="1"/>
  <c r="U1530" i="2"/>
  <c r="X1530" i="2" s="1"/>
  <c r="U1531" i="2"/>
  <c r="X1531" i="2" s="1"/>
  <c r="U1532" i="2"/>
  <c r="U1533" i="2"/>
  <c r="X1533" i="2" s="1"/>
  <c r="U1534" i="2"/>
  <c r="X1534" i="2" s="1"/>
  <c r="U1535" i="2"/>
  <c r="X1535" i="2" s="1"/>
  <c r="U1536" i="2"/>
  <c r="X1536" i="2" s="1"/>
  <c r="U1537" i="2"/>
  <c r="X1537" i="2" s="1"/>
  <c r="U1538" i="2"/>
  <c r="X1538" i="2" s="1"/>
  <c r="U1539" i="2"/>
  <c r="X1539" i="2" s="1"/>
  <c r="U1540" i="2"/>
  <c r="X1540" i="2" s="1"/>
  <c r="U1541" i="2"/>
  <c r="X1541" i="2" s="1"/>
  <c r="U1542" i="2"/>
  <c r="X1542" i="2" s="1"/>
  <c r="U1543" i="2"/>
  <c r="X1543" i="2" s="1"/>
  <c r="U1544" i="2"/>
  <c r="X1544" i="2" s="1"/>
  <c r="U1545" i="2"/>
  <c r="X1545" i="2" s="1"/>
  <c r="U1546" i="2"/>
  <c r="U1547" i="2"/>
  <c r="X1547" i="2" s="1"/>
  <c r="U1548" i="2"/>
  <c r="U1549" i="2"/>
  <c r="U1550" i="2"/>
  <c r="X1550" i="2" s="1"/>
  <c r="U1551" i="2"/>
  <c r="X1551" i="2" s="1"/>
  <c r="U1552" i="2"/>
  <c r="X1552" i="2" s="1"/>
  <c r="U1553" i="2"/>
  <c r="X1553" i="2" s="1"/>
  <c r="U1554" i="2"/>
  <c r="X1554" i="2" s="1"/>
  <c r="U1555" i="2"/>
  <c r="X1555" i="2" s="1"/>
  <c r="U1556" i="2"/>
  <c r="X1556" i="2" s="1"/>
  <c r="U1557" i="2"/>
  <c r="X1557" i="2" s="1"/>
  <c r="U1558" i="2"/>
  <c r="X1558" i="2" s="1"/>
  <c r="U1559" i="2"/>
  <c r="U1560" i="2"/>
  <c r="X1560" i="2" s="1"/>
  <c r="U1561" i="2"/>
  <c r="X1561" i="2" s="1"/>
  <c r="U1562" i="2"/>
  <c r="X1562" i="2" s="1"/>
  <c r="U1563" i="2"/>
  <c r="X1563" i="2" s="1"/>
  <c r="U1564" i="2"/>
  <c r="U1565" i="2"/>
  <c r="U1566" i="2"/>
  <c r="X1566" i="2" s="1"/>
  <c r="U1567" i="2"/>
  <c r="X1567" i="2" s="1"/>
  <c r="U1568" i="2"/>
  <c r="X1568" i="2" s="1"/>
  <c r="U1569" i="2"/>
  <c r="X1569" i="2" s="1"/>
  <c r="U1570" i="2"/>
  <c r="X1570" i="2" s="1"/>
  <c r="U1572" i="2"/>
  <c r="X1572" i="2" s="1"/>
  <c r="U1573" i="2"/>
  <c r="X1573" i="2" s="1"/>
  <c r="U1574" i="2"/>
  <c r="X1574" i="2" s="1"/>
  <c r="U1575" i="2"/>
  <c r="X1575" i="2" s="1"/>
  <c r="U1576" i="2"/>
  <c r="U1577" i="2"/>
  <c r="X1577" i="2" s="1"/>
  <c r="U1579" i="2"/>
  <c r="X1579" i="2" s="1"/>
  <c r="U1580" i="2"/>
  <c r="U1581" i="2"/>
  <c r="U1582" i="2"/>
  <c r="X1582" i="2" s="1"/>
  <c r="U1583" i="2"/>
  <c r="X1583" i="2" s="1"/>
  <c r="U1584" i="2"/>
  <c r="X1584" i="2" s="1"/>
  <c r="U1585" i="2"/>
  <c r="X1585" i="2" s="1"/>
  <c r="U1586" i="2"/>
  <c r="X1586" i="2" s="1"/>
  <c r="U1587" i="2"/>
  <c r="X1587" i="2" s="1"/>
  <c r="U1588" i="2"/>
  <c r="X1588" i="2" s="1"/>
  <c r="U1589" i="2"/>
  <c r="X1589" i="2" s="1"/>
  <c r="U1590" i="2"/>
  <c r="X1590" i="2" s="1"/>
  <c r="U1591" i="2"/>
  <c r="X1591" i="2" s="1"/>
  <c r="U1592" i="2"/>
  <c r="X1592" i="2" s="1"/>
  <c r="U1593" i="2"/>
  <c r="X1593" i="2" s="1"/>
  <c r="U1594" i="2"/>
  <c r="X1594" i="2" s="1"/>
  <c r="U1595" i="2"/>
  <c r="X1595" i="2" s="1"/>
  <c r="U1596" i="2"/>
  <c r="X1596" i="2" s="1"/>
  <c r="U1597" i="2"/>
  <c r="X1597" i="2" s="1"/>
  <c r="U1598" i="2"/>
  <c r="U1599" i="2"/>
  <c r="X1599" i="2" s="1"/>
  <c r="U1600" i="2"/>
  <c r="X1600" i="2" s="1"/>
  <c r="U1601" i="2"/>
  <c r="X1601" i="2" s="1"/>
  <c r="U1602" i="2"/>
  <c r="X1602" i="2" s="1"/>
  <c r="U1603" i="2"/>
  <c r="X1603" i="2" s="1"/>
  <c r="U1604" i="2"/>
  <c r="X1604" i="2" s="1"/>
  <c r="U1605" i="2"/>
  <c r="X1605" i="2" s="1"/>
  <c r="U1606" i="2"/>
  <c r="X1606" i="2" s="1"/>
  <c r="U1607" i="2"/>
  <c r="X1607" i="2" s="1"/>
  <c r="U1608" i="2"/>
  <c r="X1608" i="2" s="1"/>
  <c r="U1609" i="2"/>
  <c r="X1609" i="2" s="1"/>
  <c r="U1610" i="2"/>
  <c r="X1610" i="2" s="1"/>
  <c r="U1611" i="2"/>
  <c r="X1611" i="2" s="1"/>
  <c r="U1612" i="2"/>
  <c r="X1612" i="2" s="1"/>
  <c r="U1613" i="2"/>
  <c r="X1613" i="2" s="1"/>
  <c r="U1614" i="2"/>
  <c r="U1615" i="2"/>
  <c r="U1616" i="2"/>
  <c r="X1616" i="2" s="1"/>
  <c r="U1617" i="2"/>
  <c r="X1617" i="2" s="1"/>
  <c r="U1619" i="2"/>
  <c r="X1619" i="2" s="1"/>
  <c r="U1620" i="2"/>
  <c r="X1620" i="2" s="1"/>
  <c r="U1621" i="2"/>
  <c r="X1621" i="2" s="1"/>
  <c r="U1622" i="2"/>
  <c r="X1622" i="2" s="1"/>
  <c r="U1623" i="2"/>
  <c r="X1623" i="2" s="1"/>
  <c r="U1624" i="2"/>
  <c r="X1624" i="2" s="1"/>
  <c r="U1625" i="2"/>
  <c r="X1625" i="2" s="1"/>
  <c r="U1626" i="2"/>
  <c r="U1627" i="2"/>
  <c r="U1628" i="2"/>
  <c r="U1629" i="2"/>
  <c r="X1629" i="2" s="1"/>
  <c r="U1630" i="2"/>
  <c r="X1630" i="2" s="1"/>
  <c r="U1631" i="2"/>
  <c r="X1631" i="2" s="1"/>
  <c r="U1632" i="2"/>
  <c r="X1632" i="2" s="1"/>
  <c r="U1633" i="2"/>
  <c r="X1633" i="2" s="1"/>
  <c r="U1634" i="2"/>
  <c r="X1634" i="2" s="1"/>
  <c r="U1636" i="2"/>
  <c r="X1636" i="2" s="1"/>
  <c r="U1637" i="2"/>
  <c r="X1637" i="2" s="1"/>
  <c r="U1638" i="2"/>
  <c r="X1638" i="2" s="1"/>
  <c r="U1639" i="2"/>
  <c r="U1641" i="2"/>
  <c r="X1641" i="2" s="1"/>
  <c r="U1642" i="2"/>
  <c r="X1642" i="2" s="1"/>
  <c r="U1643" i="2"/>
  <c r="X1643" i="2" s="1"/>
  <c r="U1644" i="2"/>
  <c r="X1644" i="2" s="1"/>
  <c r="U1646" i="2"/>
  <c r="X1646" i="2" s="1"/>
  <c r="U1647" i="2"/>
  <c r="X1647" i="2" s="1"/>
  <c r="U1648" i="2"/>
  <c r="U1649" i="2"/>
  <c r="X1649" i="2" s="1"/>
  <c r="U1650" i="2"/>
  <c r="U1651" i="2"/>
  <c r="X1651" i="2" s="1"/>
  <c r="U1652" i="2"/>
  <c r="X1652" i="2" s="1"/>
  <c r="U1653" i="2"/>
  <c r="X1653" i="2" s="1"/>
  <c r="U1654" i="2"/>
  <c r="X1654" i="2" s="1"/>
  <c r="U1655" i="2"/>
  <c r="X1655" i="2" s="1"/>
  <c r="U1656" i="2"/>
  <c r="X1656" i="2" s="1"/>
  <c r="U1657" i="2"/>
  <c r="X1657" i="2" s="1"/>
  <c r="U1658" i="2"/>
  <c r="X1658" i="2" s="1"/>
  <c r="U1659" i="2"/>
  <c r="X1659" i="2" s="1"/>
  <c r="U1660" i="2"/>
  <c r="X1660" i="2" s="1"/>
  <c r="U1661" i="2"/>
  <c r="X1661" i="2" s="1"/>
  <c r="U1662" i="2"/>
  <c r="X1662" i="2" s="1"/>
  <c r="U1663" i="2"/>
  <c r="X1663" i="2" s="1"/>
  <c r="U1664" i="2"/>
  <c r="U1665" i="2"/>
  <c r="X1665" i="2" s="1"/>
  <c r="U1666" i="2"/>
  <c r="U1667" i="2"/>
  <c r="U1668" i="2"/>
  <c r="X1668" i="2" s="1"/>
  <c r="U1669" i="2"/>
  <c r="X1669" i="2" s="1"/>
  <c r="U1670" i="2"/>
  <c r="X1670" i="2" s="1"/>
  <c r="U1671" i="2"/>
  <c r="X1671" i="2" s="1"/>
  <c r="U1672" i="2"/>
  <c r="X1672" i="2" s="1"/>
  <c r="U1673" i="2"/>
  <c r="X1673" i="2" s="1"/>
  <c r="U1674" i="2"/>
  <c r="X1674" i="2" s="1"/>
  <c r="U1675" i="2"/>
  <c r="X1675" i="2" s="1"/>
  <c r="U1676" i="2"/>
  <c r="X1676" i="2" s="1"/>
  <c r="U1677" i="2"/>
  <c r="X1677" i="2" s="1"/>
  <c r="U1678" i="2"/>
  <c r="X1678" i="2" s="1"/>
  <c r="U1679" i="2"/>
  <c r="X1679" i="2" s="1"/>
  <c r="U1680" i="2"/>
  <c r="U1681" i="2"/>
  <c r="X1681" i="2" s="1"/>
  <c r="U1682" i="2"/>
  <c r="U1683" i="2"/>
  <c r="X1683" i="2" s="1"/>
  <c r="U1684" i="2"/>
  <c r="X1684" i="2" s="1"/>
  <c r="U1685" i="2"/>
  <c r="X1685" i="2" s="1"/>
  <c r="U1686" i="2"/>
  <c r="X1686" i="2" s="1"/>
  <c r="U1687" i="2"/>
  <c r="X1687" i="2" s="1"/>
  <c r="U1688" i="2"/>
  <c r="X1688" i="2" s="1"/>
  <c r="U1689" i="2"/>
  <c r="X1689" i="2" s="1"/>
  <c r="U1690" i="2"/>
  <c r="X1690" i="2" s="1"/>
  <c r="U1691" i="2"/>
  <c r="X1691" i="2" s="1"/>
  <c r="U1692" i="2"/>
  <c r="X1692" i="2" s="1"/>
  <c r="U1693" i="2"/>
  <c r="U1694" i="2"/>
  <c r="X1694" i="2" s="1"/>
  <c r="U1695" i="2"/>
  <c r="X1695" i="2" s="1"/>
  <c r="U1696" i="2"/>
  <c r="U1697" i="2"/>
  <c r="U1698" i="2"/>
  <c r="U1699" i="2"/>
  <c r="X1699" i="2" s="1"/>
  <c r="U1700" i="2"/>
  <c r="X1700" i="2" s="1"/>
  <c r="U1701" i="2"/>
  <c r="X1701" i="2" s="1"/>
  <c r="U1702" i="2"/>
  <c r="X1702" i="2" s="1"/>
  <c r="U1703" i="2"/>
  <c r="X1703" i="2" s="1"/>
  <c r="U1704" i="2"/>
  <c r="X1704" i="2" s="1"/>
  <c r="U1705" i="2"/>
  <c r="X1705" i="2" s="1"/>
  <c r="U1706" i="2"/>
  <c r="X1706" i="2" s="1"/>
  <c r="U1707" i="2"/>
  <c r="X1707" i="2" s="1"/>
  <c r="U1708" i="2"/>
  <c r="X1708" i="2" s="1"/>
  <c r="U1709" i="2"/>
  <c r="X1709" i="2" s="1"/>
  <c r="U1710" i="2"/>
  <c r="X1710" i="2" s="1"/>
  <c r="U1711" i="2"/>
  <c r="X1711" i="2" s="1"/>
  <c r="U1712" i="2"/>
  <c r="U1713" i="2"/>
  <c r="X1713" i="2" s="1"/>
  <c r="U1714" i="2"/>
  <c r="U1715" i="2"/>
  <c r="U1717" i="2"/>
  <c r="X1717" i="2" s="1"/>
  <c r="U1718" i="2"/>
  <c r="X1718" i="2" s="1"/>
  <c r="U1719" i="2"/>
  <c r="X1719" i="2" s="1"/>
  <c r="U1721" i="2"/>
  <c r="X1721" i="2" s="1"/>
  <c r="U1722" i="2"/>
  <c r="X1722" i="2" s="1"/>
  <c r="U1723" i="2"/>
  <c r="X1723" i="2" s="1"/>
  <c r="U1724" i="2"/>
  <c r="X1724" i="2" s="1"/>
  <c r="U1725" i="2"/>
  <c r="X1725" i="2" s="1"/>
  <c r="U1726" i="2"/>
  <c r="X1726" i="2" s="1"/>
  <c r="U1727" i="2"/>
  <c r="X1727" i="2" s="1"/>
  <c r="U1728" i="2"/>
  <c r="X1728" i="2" s="1"/>
  <c r="U1729" i="2"/>
  <c r="U1730" i="2"/>
  <c r="U1731" i="2"/>
  <c r="U1732" i="2"/>
  <c r="U1733" i="2"/>
  <c r="U1734" i="2"/>
  <c r="X1734" i="2" s="1"/>
  <c r="U1735" i="2"/>
  <c r="X1735" i="2" s="1"/>
  <c r="U1736" i="2"/>
  <c r="X1736" i="2" s="1"/>
  <c r="U1737" i="2"/>
  <c r="X1737" i="2" s="1"/>
  <c r="U1738" i="2"/>
  <c r="X1738" i="2" s="1"/>
  <c r="U1739" i="2"/>
  <c r="X1739" i="2" s="1"/>
  <c r="U1740" i="2"/>
  <c r="X1740" i="2" s="1"/>
  <c r="U1741" i="2"/>
  <c r="X1741" i="2" s="1"/>
  <c r="U1742" i="2"/>
  <c r="X1742" i="2" s="1"/>
  <c r="U1743" i="2"/>
  <c r="X1743" i="2" s="1"/>
  <c r="U1745" i="2"/>
  <c r="U1746" i="2"/>
  <c r="U1747" i="2"/>
  <c r="U1748" i="2"/>
  <c r="X1748" i="2" s="1"/>
  <c r="U1749" i="2"/>
  <c r="U1751" i="2"/>
  <c r="X1751" i="2" s="1"/>
  <c r="U1752" i="2"/>
  <c r="X1752" i="2" s="1"/>
  <c r="U1754" i="2"/>
  <c r="X1754" i="2" s="1"/>
  <c r="U1755" i="2"/>
  <c r="X1755" i="2" s="1"/>
  <c r="U1756" i="2"/>
  <c r="X1756" i="2" s="1"/>
  <c r="U1757" i="2"/>
  <c r="X1757" i="2" s="1"/>
  <c r="U1758" i="2"/>
  <c r="X1758" i="2" s="1"/>
  <c r="U1759" i="2"/>
  <c r="X1759" i="2" s="1"/>
  <c r="U1760" i="2"/>
  <c r="X1760" i="2" s="1"/>
  <c r="U1761" i="2"/>
  <c r="X1761" i="2" s="1"/>
  <c r="U1762" i="2"/>
  <c r="U1763" i="2"/>
  <c r="U1764" i="2"/>
  <c r="X1764" i="2" s="1"/>
  <c r="U1765" i="2"/>
  <c r="U1766" i="2"/>
  <c r="X1766" i="2" s="1"/>
  <c r="U1767" i="2"/>
  <c r="X1767" i="2" s="1"/>
  <c r="U1768" i="2"/>
  <c r="X1768" i="2" s="1"/>
  <c r="U1769" i="2"/>
  <c r="X1769" i="2" s="1"/>
  <c r="U1770" i="2"/>
  <c r="X1770" i="2" s="1"/>
  <c r="U1771" i="2"/>
  <c r="X1771" i="2" s="1"/>
  <c r="U1772" i="2"/>
  <c r="X1772" i="2" s="1"/>
  <c r="U1773" i="2"/>
  <c r="X1773" i="2" s="1"/>
  <c r="U1774" i="2"/>
  <c r="X1774" i="2" s="1"/>
  <c r="U1775" i="2"/>
  <c r="X1775" i="2" s="1"/>
  <c r="U1776" i="2"/>
  <c r="X1776" i="2" s="1"/>
  <c r="U1777" i="2"/>
  <c r="X1777" i="2" s="1"/>
  <c r="U1778" i="2"/>
  <c r="U1779" i="2"/>
  <c r="X1779" i="2" s="1"/>
  <c r="U1780" i="2"/>
  <c r="X1780" i="2" s="1"/>
  <c r="U1781" i="2"/>
  <c r="U1782" i="2"/>
  <c r="U1783" i="2"/>
  <c r="U1784" i="2"/>
  <c r="U1785" i="2"/>
  <c r="U1786" i="2"/>
  <c r="X1786" i="2" s="1"/>
  <c r="U1787" i="2"/>
  <c r="U1788" i="2"/>
  <c r="X1788" i="2" s="1"/>
  <c r="U1789" i="2"/>
  <c r="X1789" i="2" s="1"/>
  <c r="U1790" i="2"/>
  <c r="X1790" i="2" s="1"/>
  <c r="U1791" i="2"/>
  <c r="X1791" i="2" s="1"/>
  <c r="U1792" i="2"/>
  <c r="X1792" i="2" s="1"/>
  <c r="U1793" i="2"/>
  <c r="X1793" i="2" s="1"/>
  <c r="U1794" i="2"/>
  <c r="X1794" i="2" s="1"/>
  <c r="U1795" i="2"/>
  <c r="U1796" i="2"/>
  <c r="U1797" i="2"/>
  <c r="X1797" i="2" s="1"/>
  <c r="U1798" i="2"/>
  <c r="X1798" i="2" s="1"/>
  <c r="U1799" i="2"/>
  <c r="U1800" i="2"/>
  <c r="X1800" i="2" s="1"/>
  <c r="U1801" i="2"/>
  <c r="X1801" i="2" s="1"/>
  <c r="U1802" i="2"/>
  <c r="X1802" i="2" s="1"/>
  <c r="U1803" i="2"/>
  <c r="X1803" i="2" s="1"/>
  <c r="U1804" i="2"/>
  <c r="X1804" i="2" s="1"/>
  <c r="U1805" i="2"/>
  <c r="U1807" i="2"/>
  <c r="X1807" i="2" s="1"/>
  <c r="U1808" i="2"/>
  <c r="X1808" i="2" s="1"/>
  <c r="U1809" i="2"/>
  <c r="U1810" i="2"/>
  <c r="X1810" i="2" s="1"/>
  <c r="U1811" i="2"/>
  <c r="U1812" i="2"/>
  <c r="X1812" i="2" s="1"/>
  <c r="U1813" i="2"/>
  <c r="X1813" i="2" s="1"/>
  <c r="U1814" i="2"/>
  <c r="X1814" i="2" s="1"/>
  <c r="U1815" i="2"/>
  <c r="X1815" i="2" s="1"/>
  <c r="U1816" i="2"/>
  <c r="X1816" i="2" s="1"/>
  <c r="U1817" i="2"/>
  <c r="X1817" i="2" s="1"/>
  <c r="U1818" i="2"/>
  <c r="X1818" i="2" s="1"/>
  <c r="U1819" i="2"/>
  <c r="X1819" i="2" s="1"/>
  <c r="U1820" i="2"/>
  <c r="X1820" i="2" s="1"/>
  <c r="U1821" i="2"/>
  <c r="X1821" i="2" s="1"/>
  <c r="U1822" i="2"/>
  <c r="X1822" i="2" s="1"/>
  <c r="U1823" i="2"/>
  <c r="X1823" i="2" s="1"/>
  <c r="U1824" i="2"/>
  <c r="X1824" i="2" s="1"/>
  <c r="U1825" i="2"/>
  <c r="X1825" i="2" s="1"/>
  <c r="U1826" i="2"/>
  <c r="X1826" i="2" s="1"/>
  <c r="U1827" i="2"/>
  <c r="U1828" i="2"/>
  <c r="X1828" i="2" s="1"/>
  <c r="U1829" i="2"/>
  <c r="U1830" i="2"/>
  <c r="U1831" i="2"/>
  <c r="U1832" i="2"/>
  <c r="U1833" i="2"/>
  <c r="U1835" i="2"/>
  <c r="U1836" i="2"/>
  <c r="X1836" i="2" s="1"/>
  <c r="U1837" i="2"/>
  <c r="X1837" i="2" s="1"/>
  <c r="U1838" i="2"/>
  <c r="X1838" i="2" s="1"/>
  <c r="U1839" i="2"/>
  <c r="X1839" i="2" s="1"/>
  <c r="U1840" i="2"/>
  <c r="X1840" i="2" s="1"/>
  <c r="U1841" i="2"/>
  <c r="X1841" i="2" s="1"/>
  <c r="U1842" i="2"/>
  <c r="X1842" i="2" s="1"/>
  <c r="U1843" i="2"/>
  <c r="X1843" i="2" s="1"/>
  <c r="U1844" i="2"/>
  <c r="X1844" i="2" s="1"/>
  <c r="U1845" i="2"/>
  <c r="X1845" i="2" s="1"/>
  <c r="U1846" i="2"/>
  <c r="X1846" i="2" s="1"/>
  <c r="U1847" i="2"/>
  <c r="X1847" i="2" s="1"/>
  <c r="U1848" i="2"/>
  <c r="X1848" i="2" s="1"/>
  <c r="U1849" i="2"/>
  <c r="U1850" i="2"/>
  <c r="U1852" i="2"/>
  <c r="X1852" i="2" s="1"/>
  <c r="U1853" i="2"/>
  <c r="X1853" i="2" s="1"/>
  <c r="U1854" i="2"/>
  <c r="X1854" i="2" s="1"/>
  <c r="U1855" i="2"/>
  <c r="X1855" i="2" s="1"/>
  <c r="U1856" i="2"/>
  <c r="U1857" i="2"/>
  <c r="X1857" i="2" s="1"/>
  <c r="U1859" i="2"/>
  <c r="X1859" i="2" s="1"/>
  <c r="U1860" i="2"/>
  <c r="X1860" i="2" s="1"/>
  <c r="U1861" i="2"/>
  <c r="X1861" i="2" s="1"/>
  <c r="U1862" i="2"/>
  <c r="X1862" i="2" s="1"/>
  <c r="U1863" i="2"/>
  <c r="U1864" i="2"/>
  <c r="U1866" i="2"/>
  <c r="X1866" i="2" s="1"/>
  <c r="U1867" i="2"/>
  <c r="X1867" i="2" s="1"/>
  <c r="U1868" i="2"/>
  <c r="U1869" i="2"/>
  <c r="X1869" i="2" s="1"/>
  <c r="U1870" i="2"/>
  <c r="X1870" i="2" s="1"/>
  <c r="U1871" i="2"/>
  <c r="X1871" i="2" s="1"/>
  <c r="U1872" i="2"/>
  <c r="X1872" i="2" s="1"/>
  <c r="U1873" i="2"/>
  <c r="X1873" i="2" s="1"/>
  <c r="U1874" i="2"/>
  <c r="X1874" i="2" s="1"/>
  <c r="U1875" i="2"/>
  <c r="X1875" i="2" s="1"/>
  <c r="U1876" i="2"/>
  <c r="X1876" i="2" s="1"/>
  <c r="U1877" i="2"/>
  <c r="X1877" i="2" s="1"/>
  <c r="U1878" i="2"/>
  <c r="X1878" i="2" s="1"/>
  <c r="U1880" i="2"/>
  <c r="X1880" i="2" s="1"/>
  <c r="U1882" i="2"/>
  <c r="X1882" i="2" s="1"/>
  <c r="U1883" i="2"/>
  <c r="X1883" i="2" s="1"/>
  <c r="U1884" i="2"/>
  <c r="U1885" i="2"/>
  <c r="X1885" i="2" s="1"/>
  <c r="U1886" i="2"/>
  <c r="X1886" i="2" s="1"/>
  <c r="U1887" i="2"/>
  <c r="X1887" i="2" s="1"/>
  <c r="U1888" i="2"/>
  <c r="X1888" i="2" s="1"/>
  <c r="U1889" i="2"/>
  <c r="X1889" i="2" s="1"/>
  <c r="U1891" i="2"/>
  <c r="X1891" i="2" s="1"/>
  <c r="U1892" i="2"/>
  <c r="X1892" i="2" s="1"/>
  <c r="U1893" i="2"/>
  <c r="X1893" i="2" s="1"/>
  <c r="U1894" i="2"/>
  <c r="X1894" i="2" s="1"/>
  <c r="U1895" i="2"/>
  <c r="X1895" i="2" s="1"/>
  <c r="U1896" i="2"/>
  <c r="X1896" i="2" s="1"/>
  <c r="U1897" i="2"/>
  <c r="X1897" i="2" s="1"/>
  <c r="U1898" i="2"/>
  <c r="X1898" i="2" s="1"/>
  <c r="U1899" i="2"/>
  <c r="X1899" i="2" s="1"/>
  <c r="U1900" i="2"/>
  <c r="X1900" i="2" s="1"/>
  <c r="U1901" i="2"/>
  <c r="U1903" i="2"/>
  <c r="X1903" i="2" s="1"/>
  <c r="U1904" i="2"/>
  <c r="U1905" i="2"/>
  <c r="X1905" i="2" s="1"/>
  <c r="U1906" i="2"/>
  <c r="X1906" i="2" s="1"/>
  <c r="U1907" i="2"/>
  <c r="X1907" i="2" s="1"/>
  <c r="U1908" i="2"/>
  <c r="X1908" i="2" s="1"/>
  <c r="U1909" i="2"/>
  <c r="X1909" i="2" s="1"/>
  <c r="U1910" i="2"/>
  <c r="X1910" i="2" s="1"/>
  <c r="U1911" i="2"/>
  <c r="X1911" i="2" s="1"/>
  <c r="U1912" i="2"/>
  <c r="X1912" i="2" s="1"/>
  <c r="U1913" i="2"/>
  <c r="X1913" i="2" s="1"/>
  <c r="U1914" i="2"/>
  <c r="X1914" i="2" s="1"/>
  <c r="U1915" i="2"/>
  <c r="X1915" i="2" s="1"/>
  <c r="U1916" i="2"/>
  <c r="U1917" i="2"/>
  <c r="X1917" i="2" s="1"/>
  <c r="U1918" i="2"/>
  <c r="X1918" i="2" s="1"/>
  <c r="U1919" i="2"/>
  <c r="X1919" i="2" s="1"/>
  <c r="U1920" i="2"/>
  <c r="U1921" i="2"/>
  <c r="U1922" i="2"/>
  <c r="X1922" i="2" s="1"/>
  <c r="U1923" i="2"/>
  <c r="X1923" i="2" s="1"/>
  <c r="U1924" i="2"/>
  <c r="X1924" i="2" s="1"/>
  <c r="U1925" i="2"/>
  <c r="X1925" i="2" s="1"/>
  <c r="U1926" i="2"/>
  <c r="X1926" i="2" s="1"/>
  <c r="U1927" i="2"/>
  <c r="X1927" i="2" s="1"/>
  <c r="U1928" i="2"/>
  <c r="X1928" i="2" s="1"/>
  <c r="U1929" i="2"/>
  <c r="X1929" i="2" s="1"/>
  <c r="U1931" i="2"/>
  <c r="X1931" i="2" s="1"/>
  <c r="U1932" i="2"/>
  <c r="U1933" i="2"/>
  <c r="X1933" i="2" s="1"/>
  <c r="U1934" i="2"/>
  <c r="X1934" i="2" s="1"/>
  <c r="U1935" i="2"/>
  <c r="X1935" i="2" s="1"/>
  <c r="U1937" i="2"/>
  <c r="X1937" i="2" s="1"/>
  <c r="U1938" i="2"/>
  <c r="U1939" i="2"/>
  <c r="X1939" i="2" s="1"/>
  <c r="U1940" i="2"/>
  <c r="X1940" i="2" s="1"/>
  <c r="U1941" i="2"/>
  <c r="X1941" i="2" s="1"/>
  <c r="U1942" i="2"/>
  <c r="X1942" i="2" s="1"/>
  <c r="U1943" i="2"/>
  <c r="X1943" i="2" s="1"/>
  <c r="U1944" i="2"/>
  <c r="X1944" i="2" s="1"/>
  <c r="U1945" i="2"/>
  <c r="X1945" i="2" s="1"/>
  <c r="U1946" i="2"/>
  <c r="X1946" i="2" s="1"/>
  <c r="U1947" i="2"/>
  <c r="X1947" i="2" s="1"/>
  <c r="U1948" i="2"/>
  <c r="X1948" i="2" s="1"/>
  <c r="U1949" i="2"/>
  <c r="X1949" i="2" s="1"/>
  <c r="U1950" i="2"/>
  <c r="X1950" i="2" s="1"/>
  <c r="U1951" i="2"/>
  <c r="X1951" i="2" s="1"/>
  <c r="U1952" i="2"/>
  <c r="X1952" i="2" s="1"/>
  <c r="U1953" i="2"/>
  <c r="X1953" i="2" s="1"/>
  <c r="U1954" i="2"/>
  <c r="U1955" i="2"/>
  <c r="U1956" i="2"/>
  <c r="X1956" i="2" s="1"/>
  <c r="U1957" i="2"/>
  <c r="X1957" i="2" s="1"/>
  <c r="U1958" i="2"/>
  <c r="X1958" i="2" s="1"/>
  <c r="U1959" i="2"/>
  <c r="X1959" i="2" s="1"/>
  <c r="U1960" i="2"/>
  <c r="X1960" i="2" s="1"/>
  <c r="U1961" i="2"/>
  <c r="X1961" i="2" s="1"/>
  <c r="U1962" i="2"/>
  <c r="X1962" i="2" s="1"/>
  <c r="U1963" i="2"/>
  <c r="X1963" i="2" s="1"/>
  <c r="U1964" i="2"/>
  <c r="X1964" i="2" s="1"/>
  <c r="U1965" i="2"/>
  <c r="U1966" i="2"/>
  <c r="X1966" i="2" s="1"/>
  <c r="U1967" i="2"/>
  <c r="X1967" i="2" s="1"/>
  <c r="U1968" i="2"/>
  <c r="U1969" i="2"/>
  <c r="X1969" i="2" s="1"/>
  <c r="U1970" i="2"/>
  <c r="U1971" i="2"/>
  <c r="U1972" i="2"/>
  <c r="X1972" i="2" s="1"/>
  <c r="U1973" i="2"/>
  <c r="X1973" i="2" s="1"/>
  <c r="U1974" i="2"/>
  <c r="U1975" i="2"/>
  <c r="X1975" i="2" s="1"/>
  <c r="U1976" i="2"/>
  <c r="X1976" i="2" s="1"/>
  <c r="U1977" i="2"/>
  <c r="X1977" i="2" s="1"/>
  <c r="U1978" i="2"/>
  <c r="X1978" i="2" s="1"/>
  <c r="U1979" i="2"/>
  <c r="X1979" i="2" s="1"/>
  <c r="U1980" i="2"/>
  <c r="X1980" i="2" s="1"/>
  <c r="U1981" i="2"/>
  <c r="U1982" i="2"/>
  <c r="X1982" i="2" s="1"/>
  <c r="U1984" i="2"/>
  <c r="U1985" i="2"/>
  <c r="U1986" i="2"/>
  <c r="X1986" i="2" s="1"/>
  <c r="U1987" i="2"/>
  <c r="X1987" i="2" s="1"/>
  <c r="U1989" i="2"/>
  <c r="X1989" i="2" s="1"/>
  <c r="U1990" i="2"/>
  <c r="X1990" i="2" s="1"/>
  <c r="U1991" i="2"/>
  <c r="X1991" i="2" s="1"/>
  <c r="U1992" i="2"/>
  <c r="X1992" i="2" s="1"/>
  <c r="U1993" i="2"/>
  <c r="X1993" i="2" s="1"/>
  <c r="U1994" i="2"/>
  <c r="X1994" i="2" s="1"/>
  <c r="U1995" i="2"/>
  <c r="X1995" i="2" s="1"/>
  <c r="U1996" i="2"/>
  <c r="X1996" i="2" s="1"/>
  <c r="U1997" i="2"/>
  <c r="X1997" i="2" s="1"/>
  <c r="U1998" i="2"/>
  <c r="X1998" i="2" s="1"/>
  <c r="U1999" i="2"/>
  <c r="X1999" i="2" s="1"/>
  <c r="U2000" i="2"/>
  <c r="X2000" i="2" s="1"/>
  <c r="U20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5952BA-54DB-4640-87B3-70C4E6AC9E9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BDBD22A-ACAC-4694-A1EC-968EA0C2BAC1}" keepAlive="1" name="Query - Table11" description="Connection to the 'Table11' query in the workbook." type="5" refreshedVersion="8" background="1" saveData="1">
    <dbPr connection="Provider=Microsoft.Mashup.OleDb.1;Data Source=$Workbook$;Location=Table11;Extended Properties=&quot;&quot;" command="SELECT * FROM [Table11]"/>
  </connection>
  <connection id="3" xr16:uid="{7029C291-F847-4A7E-806E-BBDB69340928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  <connection id="4" xr16:uid="{86DD6E24-AA3B-406E-A499-705D93FEDBB8}" keepAlive="1" name="Query - Table3 (2)" description="Connection to the 'Table3 (2)' query in the workbook." type="5" refreshedVersion="8" background="1" saveData="1">
    <dbPr connection="Provider=Microsoft.Mashup.OleDb.1;Data Source=$Workbook$;Location=&quot;Table3 (2)&quot;;Extended Properties=&quot;&quot;" command="SELECT * FROM [Table3 (2)]"/>
  </connection>
  <connection id="5" xr16:uid="{E940D47D-2D45-4987-AEE4-76675CB714AA}" keepAlive="1" name="Query - Table5" description="Connection to the 'Table5' query in the workbook." type="5" refreshedVersion="0" background="1" saveData="1">
    <dbPr connection="Provider=Microsoft.Mashup.OleDb.1;Data Source=$Workbook$;Location=Table5;Extended Properties=&quot;&quot;" command="SELECT * FROM [Table5]"/>
  </connection>
  <connection id="6" xr16:uid="{87A226C1-072D-48F4-AC45-A5758F8FE2A7}" keepAlive="1" name="Query - Table6" description="Connection to the 'Table6' query in the workbook." type="5" refreshedVersion="8" background="1" saveData="1">
    <dbPr connection="Provider=Microsoft.Mashup.OleDb.1;Data Source=$Workbook$;Location=Table6;Extended Properties=&quot;&quot;" command="SELECT * FROM [Table6]"/>
  </connection>
  <connection id="7" xr16:uid="{E376049A-C27C-4658-8D9A-A29128527BAC}" keepAlive="1" name="Query - Table7" description="Connection to the 'Table7' query in the workbook." type="5" refreshedVersion="0" background="1" saveData="1">
    <dbPr connection="Provider=Microsoft.Mashup.OleDb.1;Data Source=$Workbook$;Location=Table7;Extended Properties=&quot;&quot;" command="SELECT * FROM [Table7]"/>
  </connection>
  <connection id="8" xr16:uid="{53D35910-0514-454D-8AA9-90784082C6FC}" keepAlive="1" name="Query - Table8" description="Connection to the 'Table8' query in the workbook." type="5" refreshedVersion="8" background="1" saveData="1">
    <dbPr connection="Provider=Microsoft.Mashup.OleDb.1;Data Source=$Workbook$;Location=Table8;Extended Properties=&quot;&quot;" command="SELECT * FROM [Table8]"/>
  </connection>
  <connection id="9" xr16:uid="{09CBF2C7-698B-4FB6-AB25-D680FD25EEED}" keepAlive="1" name="Query - Table9" description="Connection to the 'Table9' query in the workbook." type="5" refreshedVersion="0" background="1" saveData="1">
    <dbPr connection="Provider=Microsoft.Mashup.OleDb.1;Data Source=$Workbook$;Location=Table9;Extended Properties=&quot;&quot;" command="SELECT * FROM [Table9]"/>
  </connection>
</connections>
</file>

<file path=xl/sharedStrings.xml><?xml version="1.0" encoding="utf-8"?>
<sst xmlns="http://schemas.openxmlformats.org/spreadsheetml/2006/main" count="53117" uniqueCount="4316">
  <si>
    <t>Patient_ID</t>
  </si>
  <si>
    <t>Patient_Name</t>
  </si>
  <si>
    <t>Gender</t>
  </si>
  <si>
    <t>Date_of_Birth</t>
  </si>
  <si>
    <t>Admission_Date</t>
  </si>
  <si>
    <t>Discharge_Date</t>
  </si>
  <si>
    <t>Department</t>
  </si>
  <si>
    <t>Diagnosis</t>
  </si>
  <si>
    <t>Doctor</t>
  </si>
  <si>
    <t>Insurance_Provider</t>
  </si>
  <si>
    <t>Ward</t>
  </si>
  <si>
    <t>Bill_Amount_INR</t>
  </si>
  <si>
    <t>Amount_Paid_INR</t>
  </si>
  <si>
    <t>Payment_Mode</t>
  </si>
  <si>
    <t>Length_of_Stay_Days</t>
  </si>
  <si>
    <t>Wait_Time_Minutes</t>
  </si>
  <si>
    <t>Satisfaction_Score</t>
  </si>
  <si>
    <t>Systolic_BP</t>
  </si>
  <si>
    <t>Glucose_mg_dL</t>
  </si>
  <si>
    <t>Admission_Status</t>
  </si>
  <si>
    <t>P10001</t>
  </si>
  <si>
    <t>Arjun Sharma</t>
  </si>
  <si>
    <t>male</t>
  </si>
  <si>
    <t xml:space="preserve"> Oncology </t>
  </si>
  <si>
    <t>Hypertension</t>
  </si>
  <si>
    <t>Dr. Anil Kumar</t>
  </si>
  <si>
    <t>MediCare</t>
  </si>
  <si>
    <t>Semi-Private</t>
  </si>
  <si>
    <t>P10002</t>
  </si>
  <si>
    <t>Arjun Reddy</t>
  </si>
  <si>
    <t>MALE</t>
  </si>
  <si>
    <t>ER</t>
  </si>
  <si>
    <t>Kidney Disease</t>
  </si>
  <si>
    <t>Dr. Priya Rao</t>
  </si>
  <si>
    <t>Self Pay</t>
  </si>
  <si>
    <t>Insurance</t>
  </si>
  <si>
    <t>163</t>
  </si>
  <si>
    <t>Discharged</t>
  </si>
  <si>
    <t>P10003</t>
  </si>
  <si>
    <t>Neha Mehta</t>
  </si>
  <si>
    <t>Female</t>
  </si>
  <si>
    <t>29-Dec-2025</t>
  </si>
  <si>
    <t>06/01/2026</t>
  </si>
  <si>
    <t>Oncology</t>
  </si>
  <si>
    <t>Pneumonia</t>
  </si>
  <si>
    <t>Dr. Meena Iyer</t>
  </si>
  <si>
    <t>HDFC Ergo</t>
  </si>
  <si>
    <t>Admitted</t>
  </si>
  <si>
    <t>P10004</t>
  </si>
  <si>
    <t>Pooja Verma</t>
  </si>
  <si>
    <t>female</t>
  </si>
  <si>
    <t>17-Mar-1964</t>
  </si>
  <si>
    <t>Diabetes</t>
  </si>
  <si>
    <t>Dr. S. Reddy</t>
  </si>
  <si>
    <t xml:space="preserve"> Star Health </t>
  </si>
  <si>
    <t>General Ward</t>
  </si>
  <si>
    <t>Net Banking</t>
  </si>
  <si>
    <t xml:space="preserve"> DISCHARGED </t>
  </si>
  <si>
    <t>P10005</t>
  </si>
  <si>
    <t>Neha Nair</t>
  </si>
  <si>
    <t>M</t>
  </si>
  <si>
    <t>2024/09/03</t>
  </si>
  <si>
    <t>Orthopedics</t>
  </si>
  <si>
    <t>Migraine</t>
  </si>
  <si>
    <t>No Insurance</t>
  </si>
  <si>
    <t>Transferred</t>
  </si>
  <si>
    <t>P10006</t>
  </si>
  <si>
    <t>Kiran Nair</t>
  </si>
  <si>
    <t>1966/09/28</t>
  </si>
  <si>
    <t>05-23-2025</t>
  </si>
  <si>
    <t>General medicine</t>
  </si>
  <si>
    <t>ICICI Lombard</t>
  </si>
  <si>
    <t xml:space="preserve">ICU </t>
  </si>
  <si>
    <t>Cash</t>
  </si>
  <si>
    <t>7</t>
  </si>
  <si>
    <t>P10007</t>
  </si>
  <si>
    <t>Nisha Patel</t>
  </si>
  <si>
    <t>Dermatology</t>
  </si>
  <si>
    <t>Viral Fever</t>
  </si>
  <si>
    <t>Dr. Vikram Singh</t>
  </si>
  <si>
    <t>Apollo Insurance</t>
  </si>
  <si>
    <t xml:space="preserve"> Discharged </t>
  </si>
  <si>
    <t>P10008</t>
  </si>
  <si>
    <t>Ananya Iyer</t>
  </si>
  <si>
    <t>Other</t>
  </si>
  <si>
    <t>21-Jan-1956</t>
  </si>
  <si>
    <t>Fracture</t>
  </si>
  <si>
    <t>P10009</t>
  </si>
  <si>
    <t>Sanjay Sharma</t>
  </si>
  <si>
    <t>Gynecology</t>
  </si>
  <si>
    <t xml:space="preserve"> Heart Disease </t>
  </si>
  <si>
    <t>Card</t>
  </si>
  <si>
    <t>P10010</t>
  </si>
  <si>
    <t>Rahul Iyer</t>
  </si>
  <si>
    <t>General Medicine</t>
  </si>
  <si>
    <t>Gastritis</t>
  </si>
  <si>
    <t>Dr. Rahul Sharma</t>
  </si>
  <si>
    <t>Star Health</t>
  </si>
  <si>
    <t>p10011</t>
  </si>
  <si>
    <t>Rahul Gupta</t>
  </si>
  <si>
    <t>F</t>
  </si>
  <si>
    <t>07/06/1995</t>
  </si>
  <si>
    <t>17</t>
  </si>
  <si>
    <t>P10012</t>
  </si>
  <si>
    <t>Aditya Rao</t>
  </si>
  <si>
    <t>Pediatrics</t>
  </si>
  <si>
    <t xml:space="preserve">  </t>
  </si>
  <si>
    <t>P10013</t>
  </si>
  <si>
    <t>Priya Singh</t>
  </si>
  <si>
    <t>Neurology</t>
  </si>
  <si>
    <t>Private Room</t>
  </si>
  <si>
    <t>P10014</t>
  </si>
  <si>
    <t>Pooja Patel</t>
  </si>
  <si>
    <t>Infection</t>
  </si>
  <si>
    <t xml:space="preserve"> Emergency </t>
  </si>
  <si>
    <t>P10015</t>
  </si>
  <si>
    <t>Pooja Rao</t>
  </si>
  <si>
    <t>ENT</t>
  </si>
  <si>
    <t>Arthritis</t>
  </si>
  <si>
    <t>Dr. Kavitha Nair</t>
  </si>
  <si>
    <t>ICU</t>
  </si>
  <si>
    <t>₹111,842.04</t>
  </si>
  <si>
    <t>P10016</t>
  </si>
  <si>
    <t>11-19-2006</t>
  </si>
  <si>
    <t>Heart Disease</t>
  </si>
  <si>
    <t>P10017</t>
  </si>
  <si>
    <t>Vikram Naidu</t>
  </si>
  <si>
    <t xml:space="preserve"> Transferred </t>
  </si>
  <si>
    <t>P10018</t>
  </si>
  <si>
    <t>Sneha Mishra</t>
  </si>
  <si>
    <t>02-18-2025</t>
  </si>
  <si>
    <t>P10019</t>
  </si>
  <si>
    <t>Pooja Gupta</t>
  </si>
  <si>
    <t>Male</t>
  </si>
  <si>
    <t>Asthma</t>
  </si>
  <si>
    <t>P10020</t>
  </si>
  <si>
    <t xml:space="preserve"> Meera Patel </t>
  </si>
  <si>
    <t>₹192,307.28</t>
  </si>
  <si>
    <t>P10021</t>
  </si>
  <si>
    <t>Rahul Naidu</t>
  </si>
  <si>
    <t>03-26-2023</t>
  </si>
  <si>
    <t>cardiology</t>
  </si>
  <si>
    <t>P10022</t>
  </si>
  <si>
    <t>Neha Singh</t>
  </si>
  <si>
    <t xml:space="preserve"> ENT </t>
  </si>
  <si>
    <t>₹9,603.25</t>
  </si>
  <si>
    <t>P10023</t>
  </si>
  <si>
    <t>Aarav Reddy</t>
  </si>
  <si>
    <t>23-Jul-1964</t>
  </si>
  <si>
    <t>P10024</t>
  </si>
  <si>
    <t>Varun Rao</t>
  </si>
  <si>
    <t xml:space="preserve"> Female </t>
  </si>
  <si>
    <t>Cardiology</t>
  </si>
  <si>
    <t>Cancer</t>
  </si>
  <si>
    <t>P10025</t>
  </si>
  <si>
    <t>Ananya Gupta</t>
  </si>
  <si>
    <t xml:space="preserve"> Male </t>
  </si>
  <si>
    <t>2024/09/14</t>
  </si>
  <si>
    <t xml:space="preserve"> P10026 </t>
  </si>
  <si>
    <t>Sanjay Reddy</t>
  </si>
  <si>
    <t xml:space="preserve"> Cancer </t>
  </si>
  <si>
    <t>Emergency</t>
  </si>
  <si>
    <t xml:space="preserve"> UPI </t>
  </si>
  <si>
    <t>P10027</t>
  </si>
  <si>
    <t>Sneha Rao</t>
  </si>
  <si>
    <t>2023/06/16</t>
  </si>
  <si>
    <t xml:space="preserve"> HealthPlus </t>
  </si>
  <si>
    <t>P10028</t>
  </si>
  <si>
    <t>Riya Singh</t>
  </si>
  <si>
    <t>2004/03/11</t>
  </si>
  <si>
    <t>P10029</t>
  </si>
  <si>
    <t>Kiran Reddy</t>
  </si>
  <si>
    <t>P10030</t>
  </si>
  <si>
    <t>Neha Joshi</t>
  </si>
  <si>
    <t>01-16-2023</t>
  </si>
  <si>
    <t>₹113,020.48</t>
  </si>
  <si>
    <t>P10031</t>
  </si>
  <si>
    <t xml:space="preserve"> Diya Iyer </t>
  </si>
  <si>
    <t>11-10-2024</t>
  </si>
  <si>
    <t>HealthPlus</t>
  </si>
  <si>
    <t>P10032</t>
  </si>
  <si>
    <t>Aditya Gupta</t>
  </si>
  <si>
    <t>19-Aug-2024</t>
  </si>
  <si>
    <t xml:space="preserve"> Private Room </t>
  </si>
  <si>
    <t>P10033</t>
  </si>
  <si>
    <t>Pooja Kumar</t>
  </si>
  <si>
    <t xml:space="preserve"> No Insurance </t>
  </si>
  <si>
    <t>P10034</t>
  </si>
  <si>
    <t>1986/11/25</t>
  </si>
  <si>
    <t>11-Apr-2023</t>
  </si>
  <si>
    <t xml:space="preserve"> Neurology </t>
  </si>
  <si>
    <t xml:space="preserve"> ICU </t>
  </si>
  <si>
    <t>UPI</t>
  </si>
  <si>
    <t>P10035</t>
  </si>
  <si>
    <t>Ishaan Patel</t>
  </si>
  <si>
    <t>P10036</t>
  </si>
  <si>
    <t xml:space="preserve"> female </t>
  </si>
  <si>
    <t xml:space="preserve"> MediCare </t>
  </si>
  <si>
    <t>P10037</t>
  </si>
  <si>
    <t>Diya Mishra</t>
  </si>
  <si>
    <t>13-Oct-2025</t>
  </si>
  <si>
    <t>P10038</t>
  </si>
  <si>
    <t>Riya Patel</t>
  </si>
  <si>
    <t>05-21-2023</t>
  </si>
  <si>
    <t xml:space="preserve"> HDFC Ergo </t>
  </si>
  <si>
    <t>P10039</t>
  </si>
  <si>
    <t>FEMALE</t>
  </si>
  <si>
    <t xml:space="preserve"> Hypertension </t>
  </si>
  <si>
    <t>p10040</t>
  </si>
  <si>
    <t>P10041</t>
  </si>
  <si>
    <t>2023/09/08</t>
  </si>
  <si>
    <t>₹242,178.66</t>
  </si>
  <si>
    <t>117</t>
  </si>
  <si>
    <t>P10042</t>
  </si>
  <si>
    <t>02-Jul-2024</t>
  </si>
  <si>
    <t>P10043</t>
  </si>
  <si>
    <t xml:space="preserve"> Aditya Kumar </t>
  </si>
  <si>
    <t>P10044</t>
  </si>
  <si>
    <t>Aarav Iyer</t>
  </si>
  <si>
    <t>03-Jan-2026</t>
  </si>
  <si>
    <t>P10045</t>
  </si>
  <si>
    <t>Ananya Verma</t>
  </si>
  <si>
    <t>03-31-2025</t>
  </si>
  <si>
    <t>P10046</t>
  </si>
  <si>
    <t>Pooja Joshi</t>
  </si>
  <si>
    <t>10-23-2024</t>
  </si>
  <si>
    <t xml:space="preserve"> Kidney Disease </t>
  </si>
  <si>
    <t>11</t>
  </si>
  <si>
    <t>P10047</t>
  </si>
  <si>
    <t>Aditya Iyer</t>
  </si>
  <si>
    <t>P10048</t>
  </si>
  <si>
    <t>P10049</t>
  </si>
  <si>
    <t>2024/04/13</t>
  </si>
  <si>
    <t>P10050</t>
  </si>
  <si>
    <t>Priya Gupta</t>
  </si>
  <si>
    <t>2025/07/16</t>
  </si>
  <si>
    <t>8</t>
  </si>
  <si>
    <t>P10051</t>
  </si>
  <si>
    <t>Arjun Rao</t>
  </si>
  <si>
    <t>09-Mar-1998</t>
  </si>
  <si>
    <t>P10052</t>
  </si>
  <si>
    <t>Diya Joshi</t>
  </si>
  <si>
    <t>1978/10/01</t>
  </si>
  <si>
    <t>P10053</t>
  </si>
  <si>
    <t>Meera Gupta</t>
  </si>
  <si>
    <t>25-Jun-2023</t>
  </si>
  <si>
    <t>P10054</t>
  </si>
  <si>
    <t>Priya Mehta</t>
  </si>
  <si>
    <t>P10055</t>
  </si>
  <si>
    <t>Sneha Mehta</t>
  </si>
  <si>
    <t>P10056</t>
  </si>
  <si>
    <t>Vikram Rao</t>
  </si>
  <si>
    <t>P10057</t>
  </si>
  <si>
    <t>Sneha Singh</t>
  </si>
  <si>
    <t>02-Feb-2024</t>
  </si>
  <si>
    <t xml:space="preserve"> Diabetes </t>
  </si>
  <si>
    <t>P10058</t>
  </si>
  <si>
    <t>P10059</t>
  </si>
  <si>
    <t>P10060</t>
  </si>
  <si>
    <t xml:space="preserve"> Ananya Nair </t>
  </si>
  <si>
    <t>P10061</t>
  </si>
  <si>
    <t>Ishaan Iyer</t>
  </si>
  <si>
    <t>P10062</t>
  </si>
  <si>
    <t>15/09/1981</t>
  </si>
  <si>
    <t>18-Oct-2025</t>
  </si>
  <si>
    <t>₹55,748.24</t>
  </si>
  <si>
    <t>10</t>
  </si>
  <si>
    <t>P10063</t>
  </si>
  <si>
    <t xml:space="preserve"> Kavya Singh </t>
  </si>
  <si>
    <t>P10064</t>
  </si>
  <si>
    <t>Ishaan Verma</t>
  </si>
  <si>
    <t>19/11/2024</t>
  </si>
  <si>
    <t>12-06-2024</t>
  </si>
  <si>
    <t>P10065</t>
  </si>
  <si>
    <t>Sneha Kumar</t>
  </si>
  <si>
    <t>10-23-1952</t>
  </si>
  <si>
    <t>P10066</t>
  </si>
  <si>
    <t>Neha Gupta</t>
  </si>
  <si>
    <t xml:space="preserve"> Viral Fever </t>
  </si>
  <si>
    <t>P10067</t>
  </si>
  <si>
    <t>Kiran Patel</t>
  </si>
  <si>
    <t>2024/07/10</t>
  </si>
  <si>
    <t>P10068</t>
  </si>
  <si>
    <t>Rahul Singh</t>
  </si>
  <si>
    <t>03/07/2023</t>
  </si>
  <si>
    <t>11/07/2023</t>
  </si>
  <si>
    <t xml:space="preserve"> General Ward </t>
  </si>
  <si>
    <t>P10069</t>
  </si>
  <si>
    <t>Nisha Iyer</t>
  </si>
  <si>
    <t>02-11-1962</t>
  </si>
  <si>
    <t>14/12/2023</t>
  </si>
  <si>
    <t>P10070</t>
  </si>
  <si>
    <t>Riya Rao</t>
  </si>
  <si>
    <t>06-19-2024</t>
  </si>
  <si>
    <t>P10071</t>
  </si>
  <si>
    <t>Kavya Joshi</t>
  </si>
  <si>
    <t xml:space="preserve"> F </t>
  </si>
  <si>
    <t>P10072</t>
  </si>
  <si>
    <t>Sanjay Iyer</t>
  </si>
  <si>
    <t>20</t>
  </si>
  <si>
    <t>P10073</t>
  </si>
  <si>
    <t>Sanjay Kumar</t>
  </si>
  <si>
    <t>15/03/2025</t>
  </si>
  <si>
    <t>P10074</t>
  </si>
  <si>
    <t>Aarav Patel</t>
  </si>
  <si>
    <t>₹185,783.92</t>
  </si>
  <si>
    <t>P10075</t>
  </si>
  <si>
    <t xml:space="preserve"> MALE </t>
  </si>
  <si>
    <t>25-Dec-2023</t>
  </si>
  <si>
    <t>113</t>
  </si>
  <si>
    <t>P10076</t>
  </si>
  <si>
    <t>Kavya Singh</t>
  </si>
  <si>
    <t xml:space="preserve"> Fracture </t>
  </si>
  <si>
    <t>P10077</t>
  </si>
  <si>
    <t>Meera Mehta</t>
  </si>
  <si>
    <t>04-13-1995</t>
  </si>
  <si>
    <t>₹163,058.53</t>
  </si>
  <si>
    <t>P10078</t>
  </si>
  <si>
    <t>08-Jun-1962</t>
  </si>
  <si>
    <t>02-16-2025</t>
  </si>
  <si>
    <t>P10079</t>
  </si>
  <si>
    <t>Aditya Joshi</t>
  </si>
  <si>
    <t>2024/04/21</t>
  </si>
  <si>
    <t>P10080</t>
  </si>
  <si>
    <t>Arjun Nair</t>
  </si>
  <si>
    <t>23/12/2025</t>
  </si>
  <si>
    <t xml:space="preserve"> Insurance </t>
  </si>
  <si>
    <t>P10081</t>
  </si>
  <si>
    <t>Arjun Mishra</t>
  </si>
  <si>
    <t>2008/01/08</t>
  </si>
  <si>
    <t>24-Mar-2024</t>
  </si>
  <si>
    <t>P10082</t>
  </si>
  <si>
    <t>Ananya Nair</t>
  </si>
  <si>
    <t>P10083</t>
  </si>
  <si>
    <t>Diya Mehta</t>
  </si>
  <si>
    <t xml:space="preserve"> P10084 </t>
  </si>
  <si>
    <t>13-Nov-1960</t>
  </si>
  <si>
    <t>P10085</t>
  </si>
  <si>
    <t>Varun Kumar</t>
  </si>
  <si>
    <t>1970/10/23</t>
  </si>
  <si>
    <t>02-16-2024</t>
  </si>
  <si>
    <t>P10086</t>
  </si>
  <si>
    <t>Vikram Das</t>
  </si>
  <si>
    <t>9</t>
  </si>
  <si>
    <t>P10087</t>
  </si>
  <si>
    <t>Varun Sharma</t>
  </si>
  <si>
    <t>29/03/2025</t>
  </si>
  <si>
    <t>09-Apr-2025</t>
  </si>
  <si>
    <t xml:space="preserve"> discharged </t>
  </si>
  <si>
    <t>P10088</t>
  </si>
  <si>
    <t>Kavya Nair</t>
  </si>
  <si>
    <t>16/06/2025</t>
  </si>
  <si>
    <t>₹212,672.05</t>
  </si>
  <si>
    <t>P10089</t>
  </si>
  <si>
    <t>Kavya Iyer</t>
  </si>
  <si>
    <t xml:space="preserve"> P10090 </t>
  </si>
  <si>
    <t>Varun Gupta</t>
  </si>
  <si>
    <t>30/08/2023</t>
  </si>
  <si>
    <t>07/09/2023</t>
  </si>
  <si>
    <t>P10091</t>
  </si>
  <si>
    <t xml:space="preserve"> Sanjay Nair </t>
  </si>
  <si>
    <t xml:space="preserve"> Apollo Insurance </t>
  </si>
  <si>
    <t>P10092</t>
  </si>
  <si>
    <t>Vikram Reddy</t>
  </si>
  <si>
    <t>01-15-1969</t>
  </si>
  <si>
    <t>2024/07/04</t>
  </si>
  <si>
    <t>₹54,444.85</t>
  </si>
  <si>
    <t>P10093</t>
  </si>
  <si>
    <t>Arjun Kumar</t>
  </si>
  <si>
    <t>22/09/2023</t>
  </si>
  <si>
    <t xml:space="preserve"> ER </t>
  </si>
  <si>
    <t>138</t>
  </si>
  <si>
    <t>P10094</t>
  </si>
  <si>
    <t>Priya Das</t>
  </si>
  <si>
    <t>P10095</t>
  </si>
  <si>
    <t>08-Jan-2025</t>
  </si>
  <si>
    <t xml:space="preserve"> Infection </t>
  </si>
  <si>
    <t>P10096</t>
  </si>
  <si>
    <t>Diya Iyer</t>
  </si>
  <si>
    <t>2023/07/29</t>
  </si>
  <si>
    <t>168</t>
  </si>
  <si>
    <t>P10097</t>
  </si>
  <si>
    <t xml:space="preserve"> P10098 </t>
  </si>
  <si>
    <t>Aarav Singh</t>
  </si>
  <si>
    <t>P10099</t>
  </si>
  <si>
    <t>Diya Nair</t>
  </si>
  <si>
    <t>2023/05/16</t>
  </si>
  <si>
    <t>P10100</t>
  </si>
  <si>
    <t xml:space="preserve"> Semi-Private </t>
  </si>
  <si>
    <t>P10101</t>
  </si>
  <si>
    <t>Aditya Nair</t>
  </si>
  <si>
    <t>P10102</t>
  </si>
  <si>
    <t>Rohan Gupta</t>
  </si>
  <si>
    <t>P10103</t>
  </si>
  <si>
    <t>Nisha Verma</t>
  </si>
  <si>
    <t>P10104</t>
  </si>
  <si>
    <t xml:space="preserve"> Other </t>
  </si>
  <si>
    <t>08-Oct-2024</t>
  </si>
  <si>
    <t>P10105</t>
  </si>
  <si>
    <t xml:space="preserve"> Priya Reddy </t>
  </si>
  <si>
    <t>05-Apr-2024</t>
  </si>
  <si>
    <t xml:space="preserve"> ICU  </t>
  </si>
  <si>
    <t>P10106</t>
  </si>
  <si>
    <t>Rohan Patel</t>
  </si>
  <si>
    <t>27</t>
  </si>
  <si>
    <t>P10107</t>
  </si>
  <si>
    <t>Riya Gupta</t>
  </si>
  <si>
    <t>02/05/1951</t>
  </si>
  <si>
    <t>24-Aug-2025</t>
  </si>
  <si>
    <t xml:space="preserve"> upi </t>
  </si>
  <si>
    <t>P10108</t>
  </si>
  <si>
    <t xml:space="preserve"> Dermatology </t>
  </si>
  <si>
    <t>132</t>
  </si>
  <si>
    <t>P10109</t>
  </si>
  <si>
    <t xml:space="preserve"> Rohan Reddy </t>
  </si>
  <si>
    <t>2023/07/26</t>
  </si>
  <si>
    <t>P10110</t>
  </si>
  <si>
    <t>Ishaan Gupta</t>
  </si>
  <si>
    <t>P10111</t>
  </si>
  <si>
    <t>Rohan Nair</t>
  </si>
  <si>
    <t>26-Aug-1956</t>
  </si>
  <si>
    <t>P10112</t>
  </si>
  <si>
    <t>P10113</t>
  </si>
  <si>
    <t>Neha Reddy</t>
  </si>
  <si>
    <t>P10114</t>
  </si>
  <si>
    <t>17-Oct-1982</t>
  </si>
  <si>
    <t>P10115</t>
  </si>
  <si>
    <t>Aarav Joshi</t>
  </si>
  <si>
    <t>P10116</t>
  </si>
  <si>
    <t>Meera Sharma</t>
  </si>
  <si>
    <t>P10117</t>
  </si>
  <si>
    <t>03-Nov-2025</t>
  </si>
  <si>
    <t>P10118</t>
  </si>
  <si>
    <t>Kiran Gupta</t>
  </si>
  <si>
    <t>06/06/1972</t>
  </si>
  <si>
    <t>P10119</t>
  </si>
  <si>
    <t>Rahul Mehta</t>
  </si>
  <si>
    <t>P10120</t>
  </si>
  <si>
    <t>Kavya Kumar</t>
  </si>
  <si>
    <t>P10121</t>
  </si>
  <si>
    <t>06-13-2024</t>
  </si>
  <si>
    <t>P10122</t>
  </si>
  <si>
    <t>Sneha Nair</t>
  </si>
  <si>
    <t>P10123</t>
  </si>
  <si>
    <t>Vikram Verma</t>
  </si>
  <si>
    <t>₹49,667.74</t>
  </si>
  <si>
    <t>118</t>
  </si>
  <si>
    <t>P10124</t>
  </si>
  <si>
    <t xml:space="preserve"> Vikram Mishra </t>
  </si>
  <si>
    <t xml:space="preserve"> general ward </t>
  </si>
  <si>
    <t>P10125</t>
  </si>
  <si>
    <t>Vikram Iyer</t>
  </si>
  <si>
    <t>P10126</t>
  </si>
  <si>
    <t>28</t>
  </si>
  <si>
    <t>P10127</t>
  </si>
  <si>
    <t>Vikram Mehta</t>
  </si>
  <si>
    <t>17-Oct-2023</t>
  </si>
  <si>
    <t>P10128</t>
  </si>
  <si>
    <t>Pooja Das</t>
  </si>
  <si>
    <t xml:space="preserve"> FEMALE </t>
  </si>
  <si>
    <t>04/01/2025</t>
  </si>
  <si>
    <t>P10129</t>
  </si>
  <si>
    <t>P10130</t>
  </si>
  <si>
    <t>P10131</t>
  </si>
  <si>
    <t>Sanjay Nair</t>
  </si>
  <si>
    <t>02-02-1994</t>
  </si>
  <si>
    <t>03/12/2023</t>
  </si>
  <si>
    <t xml:space="preserve"> cash </t>
  </si>
  <si>
    <t>223</t>
  </si>
  <si>
    <t>P10132</t>
  </si>
  <si>
    <t>Kiran Sharma</t>
  </si>
  <si>
    <t>P10133</t>
  </si>
  <si>
    <t>Sanjay Naidu</t>
  </si>
  <si>
    <t>28-Mar-2024</t>
  </si>
  <si>
    <t>P10134</t>
  </si>
  <si>
    <t>Aarav Nair</t>
  </si>
  <si>
    <t>P10135</t>
  </si>
  <si>
    <t>05-03-2025</t>
  </si>
  <si>
    <t>14-May-2025</t>
  </si>
  <si>
    <t>P10136</t>
  </si>
  <si>
    <t>Diya Kumar</t>
  </si>
  <si>
    <t>01-May-2004</t>
  </si>
  <si>
    <t>2024/11/07</t>
  </si>
  <si>
    <t>₹150,227.88</t>
  </si>
  <si>
    <t>P10137</t>
  </si>
  <si>
    <t>Meera Mishra</t>
  </si>
  <si>
    <t>2025/01/18</t>
  </si>
  <si>
    <t>P10138</t>
  </si>
  <si>
    <t>06/09/2024</t>
  </si>
  <si>
    <t>P10139</t>
  </si>
  <si>
    <t>14-Apr-2025</t>
  </si>
  <si>
    <t xml:space="preserve"> P10140 </t>
  </si>
  <si>
    <t>Kiran Kumar</t>
  </si>
  <si>
    <t>11/03/2025</t>
  </si>
  <si>
    <t>P10141</t>
  </si>
  <si>
    <t>Neha Patel</t>
  </si>
  <si>
    <t>11-26-1961</t>
  </si>
  <si>
    <t>22-Apr-2023</t>
  </si>
  <si>
    <t>10-May-2023</t>
  </si>
  <si>
    <t>P10142</t>
  </si>
  <si>
    <t xml:space="preserve"> Riya Verma </t>
  </si>
  <si>
    <t xml:space="preserve"> Pediatrics </t>
  </si>
  <si>
    <t>P10143</t>
  </si>
  <si>
    <t>Aarav Naidu</t>
  </si>
  <si>
    <t>₹93,040.11</t>
  </si>
  <si>
    <t>P10144</t>
  </si>
  <si>
    <t>2025/01/04</t>
  </si>
  <si>
    <t>2</t>
  </si>
  <si>
    <t>P10145</t>
  </si>
  <si>
    <t>128</t>
  </si>
  <si>
    <t>P10146</t>
  </si>
  <si>
    <t>Arjun Iyer</t>
  </si>
  <si>
    <t>P10147</t>
  </si>
  <si>
    <t>Vikram Gupta</t>
  </si>
  <si>
    <t>P10148</t>
  </si>
  <si>
    <t>Varun Nair</t>
  </si>
  <si>
    <t>P10149</t>
  </si>
  <si>
    <t>Aarav Gupta</t>
  </si>
  <si>
    <t>2025/02/14</t>
  </si>
  <si>
    <t>P10150</t>
  </si>
  <si>
    <t xml:space="preserve"> Sneha Mehta </t>
  </si>
  <si>
    <t>P10151</t>
  </si>
  <si>
    <t>Sneha Gupta</t>
  </si>
  <si>
    <t>P10152</t>
  </si>
  <si>
    <t>Ananya Mishra</t>
  </si>
  <si>
    <t>24/05/1985</t>
  </si>
  <si>
    <t>P10153</t>
  </si>
  <si>
    <t>Meera Joshi</t>
  </si>
  <si>
    <t>2025/08/01</t>
  </si>
  <si>
    <t>08-02-2025</t>
  </si>
  <si>
    <t>P10154</t>
  </si>
  <si>
    <t>Ishaan Mehta</t>
  </si>
  <si>
    <t>03/05/2024</t>
  </si>
  <si>
    <t>₹209,492.84</t>
  </si>
  <si>
    <t>P10155</t>
  </si>
  <si>
    <t>09-22-2023</t>
  </si>
  <si>
    <t>179</t>
  </si>
  <si>
    <t>P10156</t>
  </si>
  <si>
    <t xml:space="preserve"> Pneumonia </t>
  </si>
  <si>
    <t>182</t>
  </si>
  <si>
    <t>P10157</t>
  </si>
  <si>
    <t>Sanjay Mehta</t>
  </si>
  <si>
    <t>P10158</t>
  </si>
  <si>
    <t>11-27-2025</t>
  </si>
  <si>
    <t xml:space="preserve"> P10159 </t>
  </si>
  <si>
    <t>Priya Joshi</t>
  </si>
  <si>
    <t>17/10/1997</t>
  </si>
  <si>
    <t>P10160</t>
  </si>
  <si>
    <t>Rahul Patel</t>
  </si>
  <si>
    <t>P10161</t>
  </si>
  <si>
    <t>Priya Rao</t>
  </si>
  <si>
    <t>13/09/2024</t>
  </si>
  <si>
    <t>P10162</t>
  </si>
  <si>
    <t>Meera Rao</t>
  </si>
  <si>
    <t>03/12/2025</t>
  </si>
  <si>
    <t>P10163</t>
  </si>
  <si>
    <t>Meera Reddy</t>
  </si>
  <si>
    <t>P10164</t>
  </si>
  <si>
    <t>156</t>
  </si>
  <si>
    <t>P10165</t>
  </si>
  <si>
    <t>Sneha Joshi</t>
  </si>
  <si>
    <t>31/08/2025</t>
  </si>
  <si>
    <t>P10166</t>
  </si>
  <si>
    <t>Diya Rao</t>
  </si>
  <si>
    <t>P10167</t>
  </si>
  <si>
    <t>Varun Patel</t>
  </si>
  <si>
    <t>04/03/2025</t>
  </si>
  <si>
    <t>P10168</t>
  </si>
  <si>
    <t>Neha Sharma</t>
  </si>
  <si>
    <t>2023/05/27</t>
  </si>
  <si>
    <t>P10169</t>
  </si>
  <si>
    <t>P10170</t>
  </si>
  <si>
    <t>Sanjay Patel</t>
  </si>
  <si>
    <t>2024/06/04</t>
  </si>
  <si>
    <t>16/06/2024</t>
  </si>
  <si>
    <t>P10171</t>
  </si>
  <si>
    <t>Rohan Kumar</t>
  </si>
  <si>
    <t>26/05/2024</t>
  </si>
  <si>
    <t>P10172</t>
  </si>
  <si>
    <t>Arjun Naidu</t>
  </si>
  <si>
    <t>13</t>
  </si>
  <si>
    <t>P10173</t>
  </si>
  <si>
    <t>152</t>
  </si>
  <si>
    <t>P10174</t>
  </si>
  <si>
    <t>Priya Sharma</t>
  </si>
  <si>
    <t>11-19-2023</t>
  </si>
  <si>
    <t>P10175</t>
  </si>
  <si>
    <t>Nisha Sharma</t>
  </si>
  <si>
    <t>1960/01/10</t>
  </si>
  <si>
    <t>2024/02/16</t>
  </si>
  <si>
    <t>P10176</t>
  </si>
  <si>
    <t>Sanjay Mishra</t>
  </si>
  <si>
    <t>P10177</t>
  </si>
  <si>
    <t>10-Apr-2024</t>
  </si>
  <si>
    <t>164</t>
  </si>
  <si>
    <t>P10178</t>
  </si>
  <si>
    <t>13-Jan-2024</t>
  </si>
  <si>
    <t>P10179</t>
  </si>
  <si>
    <t>2025/10/25</t>
  </si>
  <si>
    <t>2025/11/10</t>
  </si>
  <si>
    <t>P10180</t>
  </si>
  <si>
    <t>Priya Mishra</t>
  </si>
  <si>
    <t>2023/03/27</t>
  </si>
  <si>
    <t>P10181</t>
  </si>
  <si>
    <t>Varun Mishra</t>
  </si>
  <si>
    <t>07/08/2025</t>
  </si>
  <si>
    <t>P10182</t>
  </si>
  <si>
    <t>Rohan Reddy</t>
  </si>
  <si>
    <t>2025/11/13</t>
  </si>
  <si>
    <t>19-Nov-2025</t>
  </si>
  <si>
    <t>P10183</t>
  </si>
  <si>
    <t>Priya Iyer</t>
  </si>
  <si>
    <t>P10184</t>
  </si>
  <si>
    <t>Arjun Verma</t>
  </si>
  <si>
    <t>01-14-2024</t>
  </si>
  <si>
    <t>P10185</t>
  </si>
  <si>
    <t>₹154,536.77</t>
  </si>
  <si>
    <t>P10186</t>
  </si>
  <si>
    <t>07-Nov-2001</t>
  </si>
  <si>
    <t>31-Jan-2023</t>
  </si>
  <si>
    <t>P10187</t>
  </si>
  <si>
    <t>P10188</t>
  </si>
  <si>
    <t>Riya Mehta</t>
  </si>
  <si>
    <t>P10189</t>
  </si>
  <si>
    <t>Diya Patel</t>
  </si>
  <si>
    <t>P10190</t>
  </si>
  <si>
    <t>14/10/2024</t>
  </si>
  <si>
    <t>2024/10/23</t>
  </si>
  <si>
    <t>P10191</t>
  </si>
  <si>
    <t>P10192</t>
  </si>
  <si>
    <t xml:space="preserve"> Riya Iyer </t>
  </si>
  <si>
    <t>16-Feb-1951</t>
  </si>
  <si>
    <t>01/09/2023</t>
  </si>
  <si>
    <t>P10193</t>
  </si>
  <si>
    <t xml:space="preserve"> Arthritis </t>
  </si>
  <si>
    <t>P10194</t>
  </si>
  <si>
    <t>P10195</t>
  </si>
  <si>
    <t>08-Jan-2005</t>
  </si>
  <si>
    <t>06-16-2025</t>
  </si>
  <si>
    <t>P10196</t>
  </si>
  <si>
    <t>Diya Reddy</t>
  </si>
  <si>
    <t>28/07/1991</t>
  </si>
  <si>
    <t>₹205,467.68</t>
  </si>
  <si>
    <t>P10197</t>
  </si>
  <si>
    <t>24-Nov-2025</t>
  </si>
  <si>
    <t xml:space="preserve"> self-pay </t>
  </si>
  <si>
    <t>P10198</t>
  </si>
  <si>
    <t>Varun Mehta</t>
  </si>
  <si>
    <t>22-May-2023</t>
  </si>
  <si>
    <t>₹9,256.28</t>
  </si>
  <si>
    <t>190</t>
  </si>
  <si>
    <t>P10199</t>
  </si>
  <si>
    <t>Meera Iyer</t>
  </si>
  <si>
    <t>2023/03/20</t>
  </si>
  <si>
    <t>P10200</t>
  </si>
  <si>
    <t>Sneha Das</t>
  </si>
  <si>
    <t>22-Dec-2025</t>
  </si>
  <si>
    <t>P10201</t>
  </si>
  <si>
    <t>Nisha Singh</t>
  </si>
  <si>
    <t>54</t>
  </si>
  <si>
    <t>P10202</t>
  </si>
  <si>
    <t>Ishaan Rao</t>
  </si>
  <si>
    <t>07-17-2025</t>
  </si>
  <si>
    <t xml:space="preserve"> ICICI Lombard </t>
  </si>
  <si>
    <t>139</t>
  </si>
  <si>
    <t>P10203</t>
  </si>
  <si>
    <t>Varun Das</t>
  </si>
  <si>
    <t>P10204</t>
  </si>
  <si>
    <t>2025/09/18</t>
  </si>
  <si>
    <t>100</t>
  </si>
  <si>
    <t>P10205</t>
  </si>
  <si>
    <t>01-Mar-2023</t>
  </si>
  <si>
    <t>p10206</t>
  </si>
  <si>
    <t>Aditya Mehta</t>
  </si>
  <si>
    <t>29</t>
  </si>
  <si>
    <t>P10207</t>
  </si>
  <si>
    <t>Arjun Das</t>
  </si>
  <si>
    <t>111</t>
  </si>
  <si>
    <t>P10208</t>
  </si>
  <si>
    <t>Pooja Mishra</t>
  </si>
  <si>
    <t>06-Sep-2025</t>
  </si>
  <si>
    <t>P10209</t>
  </si>
  <si>
    <t>98</t>
  </si>
  <si>
    <t>P10210</t>
  </si>
  <si>
    <t>Pooja Singh</t>
  </si>
  <si>
    <t>2024/10/29</t>
  </si>
  <si>
    <t>06-Nov-2024</t>
  </si>
  <si>
    <t>P10211</t>
  </si>
  <si>
    <t>P10212</t>
  </si>
  <si>
    <t>Riya Verma</t>
  </si>
  <si>
    <t>2023/01/11</t>
  </si>
  <si>
    <t>25-Jan-2023</t>
  </si>
  <si>
    <t>P10213</t>
  </si>
  <si>
    <t>Pooja Sharma</t>
  </si>
  <si>
    <t>04-10-2025</t>
  </si>
  <si>
    <t>₹215,444.71</t>
  </si>
  <si>
    <t>P10214</t>
  </si>
  <si>
    <t>Rohan Iyer</t>
  </si>
  <si>
    <t>12-Jun-1952</t>
  </si>
  <si>
    <t>P10215</t>
  </si>
  <si>
    <t>Kiran Mehta</t>
  </si>
  <si>
    <t>1993/09/10</t>
  </si>
  <si>
    <t>₹223,246.05</t>
  </si>
  <si>
    <t>P10216</t>
  </si>
  <si>
    <t>₹162,056.33</t>
  </si>
  <si>
    <t>P10217</t>
  </si>
  <si>
    <t>Rohan Rao</t>
  </si>
  <si>
    <t>P10218</t>
  </si>
  <si>
    <t>24/01/1959</t>
  </si>
  <si>
    <t>11-05-2025</t>
  </si>
  <si>
    <t>P10219</t>
  </si>
  <si>
    <t>2025/07/04</t>
  </si>
  <si>
    <t>₹151,785.04</t>
  </si>
  <si>
    <t>3</t>
  </si>
  <si>
    <t>P10220</t>
  </si>
  <si>
    <t>₹77,549.71</t>
  </si>
  <si>
    <t>P10221</t>
  </si>
  <si>
    <t>P10222</t>
  </si>
  <si>
    <t>2023/02/14</t>
  </si>
  <si>
    <t>P10223</t>
  </si>
  <si>
    <t xml:space="preserve"> Riya Naidu </t>
  </si>
  <si>
    <t xml:space="preserve"> Admitted </t>
  </si>
  <si>
    <t>P10224</t>
  </si>
  <si>
    <t>1</t>
  </si>
  <si>
    <t>P10225</t>
  </si>
  <si>
    <t>P10226</t>
  </si>
  <si>
    <t>15/02/2023</t>
  </si>
  <si>
    <t>P10227</t>
  </si>
  <si>
    <t>Priya Reddy</t>
  </si>
  <si>
    <t>09/01/2025</t>
  </si>
  <si>
    <t>19-Jan-2025</t>
  </si>
  <si>
    <t>P10228</t>
  </si>
  <si>
    <t>Kiran Das</t>
  </si>
  <si>
    <t>P10229</t>
  </si>
  <si>
    <t xml:space="preserve"> Kiran Nair </t>
  </si>
  <si>
    <t>08-04-1959</t>
  </si>
  <si>
    <t>P10230</t>
  </si>
  <si>
    <t>Nisha Rao</t>
  </si>
  <si>
    <t>02-06-2023</t>
  </si>
  <si>
    <t>P10231</t>
  </si>
  <si>
    <t>1982/01/13</t>
  </si>
  <si>
    <t>07-09-2024</t>
  </si>
  <si>
    <t>₹81,819.49</t>
  </si>
  <si>
    <t>P10232</t>
  </si>
  <si>
    <t>Ananya Naidu</t>
  </si>
  <si>
    <t>06-06-1957</t>
  </si>
  <si>
    <t>02-10-2023</t>
  </si>
  <si>
    <t>P10233</t>
  </si>
  <si>
    <t>P10234</t>
  </si>
  <si>
    <t>P10235</t>
  </si>
  <si>
    <t>11/05/2024</t>
  </si>
  <si>
    <t>P10236</t>
  </si>
  <si>
    <t>Aditya Naidu</t>
  </si>
  <si>
    <t>2023/05/25</t>
  </si>
  <si>
    <t xml:space="preserve"> cardiology </t>
  </si>
  <si>
    <t>P10237</t>
  </si>
  <si>
    <t>Vikram Patel</t>
  </si>
  <si>
    <t>07-31-2024</t>
  </si>
  <si>
    <t>P10238</t>
  </si>
  <si>
    <t>P10239</t>
  </si>
  <si>
    <t>Kiran Iyer</t>
  </si>
  <si>
    <t>P10240</t>
  </si>
  <si>
    <t>Diya Naidu</t>
  </si>
  <si>
    <t>26-Jul-1993</t>
  </si>
  <si>
    <t>P10241</t>
  </si>
  <si>
    <t>Aditya Verma</t>
  </si>
  <si>
    <t xml:space="preserve"> Orthopedics </t>
  </si>
  <si>
    <t>P10242</t>
  </si>
  <si>
    <t>Vikram Joshi</t>
  </si>
  <si>
    <t>05-12-2024</t>
  </si>
  <si>
    <t>P10243</t>
  </si>
  <si>
    <t>Aditya Sharma</t>
  </si>
  <si>
    <t>P10244</t>
  </si>
  <si>
    <t>P10245</t>
  </si>
  <si>
    <t>11-04-2023</t>
  </si>
  <si>
    <t>P10246</t>
  </si>
  <si>
    <t>1959/01/03</t>
  </si>
  <si>
    <t>P10247</t>
  </si>
  <si>
    <t>2024/03/02</t>
  </si>
  <si>
    <t>P10248</t>
  </si>
  <si>
    <t>P10249</t>
  </si>
  <si>
    <t>P10250</t>
  </si>
  <si>
    <t>2023/01/12</t>
  </si>
  <si>
    <t>₹173,722.04</t>
  </si>
  <si>
    <t>P10251</t>
  </si>
  <si>
    <t>Diya Das</t>
  </si>
  <si>
    <t>01-26-2024</t>
  </si>
  <si>
    <t>₹7,899.66</t>
  </si>
  <si>
    <t>p10252</t>
  </si>
  <si>
    <t>1968/01/16</t>
  </si>
  <si>
    <t xml:space="preserve"> P10253 </t>
  </si>
  <si>
    <t xml:space="preserve"> Nisha Patel </t>
  </si>
  <si>
    <t>P10254</t>
  </si>
  <si>
    <t>₹155,346.82</t>
  </si>
  <si>
    <t xml:space="preserve"> Net Banking </t>
  </si>
  <si>
    <t>P10255</t>
  </si>
  <si>
    <t>Arjun Joshi</t>
  </si>
  <si>
    <t>27-Feb-1989</t>
  </si>
  <si>
    <t>P10256</t>
  </si>
  <si>
    <t>Nisha Kumar</t>
  </si>
  <si>
    <t>P10257</t>
  </si>
  <si>
    <t>Aditya Das</t>
  </si>
  <si>
    <t>11-30-2025</t>
  </si>
  <si>
    <t>2025/12/10</t>
  </si>
  <si>
    <t>₹227,534.64</t>
  </si>
  <si>
    <t>P10258</t>
  </si>
  <si>
    <t>Rahul Reddy</t>
  </si>
  <si>
    <t>P10259</t>
  </si>
  <si>
    <t>P10260</t>
  </si>
  <si>
    <t>P10261</t>
  </si>
  <si>
    <t>Sanjay Singh</t>
  </si>
  <si>
    <t>P10262</t>
  </si>
  <si>
    <t>11-Aug-1986</t>
  </si>
  <si>
    <t>2025/02/11</t>
  </si>
  <si>
    <t>175</t>
  </si>
  <si>
    <t>P10263</t>
  </si>
  <si>
    <t xml:space="preserve"> male </t>
  </si>
  <si>
    <t>P10264</t>
  </si>
  <si>
    <t>28-Dec-2025</t>
  </si>
  <si>
    <t>P10265</t>
  </si>
  <si>
    <t>P10266</t>
  </si>
  <si>
    <t>06-04-2024</t>
  </si>
  <si>
    <t>P10267</t>
  </si>
  <si>
    <t>27/02/1994</t>
  </si>
  <si>
    <t>P10268</t>
  </si>
  <si>
    <t>Kiran Joshi</t>
  </si>
  <si>
    <t>P10269</t>
  </si>
  <si>
    <t>08/12/2001</t>
  </si>
  <si>
    <t>P10270</t>
  </si>
  <si>
    <t>Pooja Naidu</t>
  </si>
  <si>
    <t>24-Sep-2006</t>
  </si>
  <si>
    <t>₹221,067.73</t>
  </si>
  <si>
    <t>P10271</t>
  </si>
  <si>
    <t>Aarav Verma</t>
  </si>
  <si>
    <t>P10272</t>
  </si>
  <si>
    <t>09-16-2023</t>
  </si>
  <si>
    <t>P10273</t>
  </si>
  <si>
    <t>1979/07/20</t>
  </si>
  <si>
    <t>2023/07/27</t>
  </si>
  <si>
    <t>31</t>
  </si>
  <si>
    <t>P10274</t>
  </si>
  <si>
    <t>Vikram Nair</t>
  </si>
  <si>
    <t>P10275</t>
  </si>
  <si>
    <t>Riya Naidu</t>
  </si>
  <si>
    <t>P10276</t>
  </si>
  <si>
    <t>Priya Patel</t>
  </si>
  <si>
    <t>03-02-2023</t>
  </si>
  <si>
    <t>09/03/2023</t>
  </si>
  <si>
    <t>P10277</t>
  </si>
  <si>
    <t>P10278</t>
  </si>
  <si>
    <t>Ananya Joshi</t>
  </si>
  <si>
    <t>P10279</t>
  </si>
  <si>
    <t>Vikram Mishra</t>
  </si>
  <si>
    <t>2025/02/05</t>
  </si>
  <si>
    <t>P10280</t>
  </si>
  <si>
    <t>10/06/2023</t>
  </si>
  <si>
    <t>P10281</t>
  </si>
  <si>
    <t>Sneha Verma</t>
  </si>
  <si>
    <t>09-10-2025</t>
  </si>
  <si>
    <t>P10282</t>
  </si>
  <si>
    <t>P10283</t>
  </si>
  <si>
    <t>27/09/2025</t>
  </si>
  <si>
    <t>28/09/2025</t>
  </si>
  <si>
    <t>P10284</t>
  </si>
  <si>
    <t>Rahul Verma</t>
  </si>
  <si>
    <t>19/10/1960</t>
  </si>
  <si>
    <t>P10285</t>
  </si>
  <si>
    <t>Varun Naidu</t>
  </si>
  <si>
    <t>p10286</t>
  </si>
  <si>
    <t>05-07-1960</t>
  </si>
  <si>
    <t>P10287</t>
  </si>
  <si>
    <t>Ishaan Kumar</t>
  </si>
  <si>
    <t>1988/02/06</t>
  </si>
  <si>
    <t>08-29-2024</t>
  </si>
  <si>
    <t>P10288</t>
  </si>
  <si>
    <t>Aarav Sharma</t>
  </si>
  <si>
    <t>P10289</t>
  </si>
  <si>
    <t>Meera Patel</t>
  </si>
  <si>
    <t>P10290</t>
  </si>
  <si>
    <t>Riya Das</t>
  </si>
  <si>
    <t>05-Dec-1993</t>
  </si>
  <si>
    <t>₹85,438.54</t>
  </si>
  <si>
    <t>P10291</t>
  </si>
  <si>
    <t xml:space="preserve"> Kavya Kumar </t>
  </si>
  <si>
    <t>02/05/2024</t>
  </si>
  <si>
    <t>186</t>
  </si>
  <si>
    <t>P10292</t>
  </si>
  <si>
    <t>Riya Kumar</t>
  </si>
  <si>
    <t>01-03-1990</t>
  </si>
  <si>
    <t>P10293</t>
  </si>
  <si>
    <t>P10294</t>
  </si>
  <si>
    <t>Kavya Sharma</t>
  </si>
  <si>
    <t>P10295</t>
  </si>
  <si>
    <t>04-08-1997</t>
  </si>
  <si>
    <t>P10296</t>
  </si>
  <si>
    <t>Ishaan Naidu</t>
  </si>
  <si>
    <t>32</t>
  </si>
  <si>
    <t>P10297</t>
  </si>
  <si>
    <t>Ishaan Singh</t>
  </si>
  <si>
    <t>2025/09/29</t>
  </si>
  <si>
    <t>P10298</t>
  </si>
  <si>
    <t>2023/03/31</t>
  </si>
  <si>
    <t xml:space="preserve"> General medicine </t>
  </si>
  <si>
    <t>4</t>
  </si>
  <si>
    <t>126</t>
  </si>
  <si>
    <t>p10299</t>
  </si>
  <si>
    <t>2025/12/31</t>
  </si>
  <si>
    <t>₹114,349.72</t>
  </si>
  <si>
    <t>P10300</t>
  </si>
  <si>
    <t>Rohan Verma</t>
  </si>
  <si>
    <t>P10301</t>
  </si>
  <si>
    <t>Riya Mishra</t>
  </si>
  <si>
    <t>P10302</t>
  </si>
  <si>
    <t>01-21-2024</t>
  </si>
  <si>
    <t>P10303</t>
  </si>
  <si>
    <t>₹81,734.49</t>
  </si>
  <si>
    <t>P10304</t>
  </si>
  <si>
    <t>Aditya Mishra</t>
  </si>
  <si>
    <t>P10305</t>
  </si>
  <si>
    <t>03-15-1986</t>
  </si>
  <si>
    <t>25/09/2025</t>
  </si>
  <si>
    <t>P10306</t>
  </si>
  <si>
    <t>Sneha Patel</t>
  </si>
  <si>
    <t>13/04/1957</t>
  </si>
  <si>
    <t>P10307</t>
  </si>
  <si>
    <t>P10308</t>
  </si>
  <si>
    <t>Aditya Kumar</t>
  </si>
  <si>
    <t>06/11/1963</t>
  </si>
  <si>
    <t>07-17-2023</t>
  </si>
  <si>
    <t>P10309</t>
  </si>
  <si>
    <t>2023/10/18</t>
  </si>
  <si>
    <t>P10310</t>
  </si>
  <si>
    <t>Kavya Mehta</t>
  </si>
  <si>
    <t>₹8,912.69</t>
  </si>
  <si>
    <t>6</t>
  </si>
  <si>
    <t>P10311</t>
  </si>
  <si>
    <t>Meera Verma</t>
  </si>
  <si>
    <t>P10312</t>
  </si>
  <si>
    <t>23-Sep-1993</t>
  </si>
  <si>
    <t>P10313</t>
  </si>
  <si>
    <t>Ananya Rao</t>
  </si>
  <si>
    <t>28/06/1999</t>
  </si>
  <si>
    <t>P10314</t>
  </si>
  <si>
    <t>2025/12/17</t>
  </si>
  <si>
    <t>2025/12/19</t>
  </si>
  <si>
    <t>P10315</t>
  </si>
  <si>
    <t>05-21-2009</t>
  </si>
  <si>
    <t>11-21-2025</t>
  </si>
  <si>
    <t>P10316</t>
  </si>
  <si>
    <t>1975/06/10</t>
  </si>
  <si>
    <t>P10317</t>
  </si>
  <si>
    <t>P10318</t>
  </si>
  <si>
    <t>2023/09/02</t>
  </si>
  <si>
    <t>₹119,788.47</t>
  </si>
  <si>
    <t>P10319</t>
  </si>
  <si>
    <t>06-14-1964</t>
  </si>
  <si>
    <t>P10320</t>
  </si>
  <si>
    <t>P10321</t>
  </si>
  <si>
    <t xml:space="preserve"> Kiran Joshi </t>
  </si>
  <si>
    <t>12-05-1984</t>
  </si>
  <si>
    <t>05/04/2023</t>
  </si>
  <si>
    <t xml:space="preserve"> P10322 </t>
  </si>
  <si>
    <t>22/11/2025</t>
  </si>
  <si>
    <t>₹48,056.42</t>
  </si>
  <si>
    <t>P10323</t>
  </si>
  <si>
    <t>Neha Mishra</t>
  </si>
  <si>
    <t>P10324</t>
  </si>
  <si>
    <t>Pooja Reddy</t>
  </si>
  <si>
    <t>27/02/2024</t>
  </si>
  <si>
    <t>P10325</t>
  </si>
  <si>
    <t xml:space="preserve"> Varun Patel </t>
  </si>
  <si>
    <t>P10326</t>
  </si>
  <si>
    <t>Ananya Patel</t>
  </si>
  <si>
    <t>P10327</t>
  </si>
  <si>
    <t>P10328</t>
  </si>
  <si>
    <t>28-Oct-2023</t>
  </si>
  <si>
    <t>P10329</t>
  </si>
  <si>
    <t>2025/10/05</t>
  </si>
  <si>
    <t>P10330</t>
  </si>
  <si>
    <t>P10331</t>
  </si>
  <si>
    <t>Vikram Kumar</t>
  </si>
  <si>
    <t>26/12/2025</t>
  </si>
  <si>
    <t>P10332</t>
  </si>
  <si>
    <t>09/03/2024</t>
  </si>
  <si>
    <t xml:space="preserve"> General Medicine </t>
  </si>
  <si>
    <t>P10333</t>
  </si>
  <si>
    <t>Ishaan Nair</t>
  </si>
  <si>
    <t>P10334</t>
  </si>
  <si>
    <t>P10335</t>
  </si>
  <si>
    <t>2025/03/04</t>
  </si>
  <si>
    <t xml:space="preserve"> Cash </t>
  </si>
  <si>
    <t>P10336</t>
  </si>
  <si>
    <t>Neha Iyer</t>
  </si>
  <si>
    <t>P10337</t>
  </si>
  <si>
    <t>10/02/2004</t>
  </si>
  <si>
    <t>08/02/2025</t>
  </si>
  <si>
    <t>P10338</t>
  </si>
  <si>
    <t>1957/05/15</t>
  </si>
  <si>
    <t>P10339</t>
  </si>
  <si>
    <t>Priya Naidu</t>
  </si>
  <si>
    <t>P10340</t>
  </si>
  <si>
    <t>Riya Sharma</t>
  </si>
  <si>
    <t>P10341</t>
  </si>
  <si>
    <t>09-20-2024</t>
  </si>
  <si>
    <t>P10342</t>
  </si>
  <si>
    <t>₹127,081.98</t>
  </si>
  <si>
    <t>P10343</t>
  </si>
  <si>
    <t>2024/06/25</t>
  </si>
  <si>
    <t>P10344</t>
  </si>
  <si>
    <t>P10345</t>
  </si>
  <si>
    <t>09-Apr-2024</t>
  </si>
  <si>
    <t>P10346</t>
  </si>
  <si>
    <t xml:space="preserve"> Migraine </t>
  </si>
  <si>
    <t>P10347</t>
  </si>
  <si>
    <t>03-26-2024</t>
  </si>
  <si>
    <t>29/03/2024</t>
  </si>
  <si>
    <t>P10348</t>
  </si>
  <si>
    <t>Ishaan Joshi</t>
  </si>
  <si>
    <t>16/07/2025</t>
  </si>
  <si>
    <t>p10349</t>
  </si>
  <si>
    <t>03-12-1977</t>
  </si>
  <si>
    <t>188</t>
  </si>
  <si>
    <t>P10350</t>
  </si>
  <si>
    <t>P10351</t>
  </si>
  <si>
    <t>2024/10/11</t>
  </si>
  <si>
    <t>P10352</t>
  </si>
  <si>
    <t>Rohan Naidu</t>
  </si>
  <si>
    <t>28/12/1950</t>
  </si>
  <si>
    <t>₹21,072.94</t>
  </si>
  <si>
    <t>207</t>
  </si>
  <si>
    <t>P10353</t>
  </si>
  <si>
    <t>Pooja Iyer</t>
  </si>
  <si>
    <t>06-25-1967</t>
  </si>
  <si>
    <t>09-23-2025</t>
  </si>
  <si>
    <t>P10354</t>
  </si>
  <si>
    <t>P10355</t>
  </si>
  <si>
    <t>5</t>
  </si>
  <si>
    <t>P10356</t>
  </si>
  <si>
    <t>P10357</t>
  </si>
  <si>
    <t>2025/07/26</t>
  </si>
  <si>
    <t>P10358</t>
  </si>
  <si>
    <t>11-Dec-2001</t>
  </si>
  <si>
    <t>07-15-2025</t>
  </si>
  <si>
    <t>P10359</t>
  </si>
  <si>
    <t>Pooja Mehta</t>
  </si>
  <si>
    <t>₹219,593.15</t>
  </si>
  <si>
    <t>157</t>
  </si>
  <si>
    <t>P10360</t>
  </si>
  <si>
    <t xml:space="preserve"> Card </t>
  </si>
  <si>
    <t>P10361</t>
  </si>
  <si>
    <t>Nisha Das</t>
  </si>
  <si>
    <t>02-23-1959</t>
  </si>
  <si>
    <t>08-Jul-2024</t>
  </si>
  <si>
    <t>P10362</t>
  </si>
  <si>
    <t>Kavya Rao</t>
  </si>
  <si>
    <t>P10363</t>
  </si>
  <si>
    <t>20-Apr-2023</t>
  </si>
  <si>
    <t>P10364</t>
  </si>
  <si>
    <t>14/01/2023</t>
  </si>
  <si>
    <t>30-Jan-2023</t>
  </si>
  <si>
    <t>P10365</t>
  </si>
  <si>
    <t>Varun Reddy</t>
  </si>
  <si>
    <t>P10366</t>
  </si>
  <si>
    <t>₹71,033.75</t>
  </si>
  <si>
    <t>P10367</t>
  </si>
  <si>
    <t>Sneha Reddy</t>
  </si>
  <si>
    <t>P10368</t>
  </si>
  <si>
    <t>P10369</t>
  </si>
  <si>
    <t>Kavya Reddy</t>
  </si>
  <si>
    <t>P10370</t>
  </si>
  <si>
    <t>₹99,130.54</t>
  </si>
  <si>
    <t>P10371</t>
  </si>
  <si>
    <t>2024/02/23</t>
  </si>
  <si>
    <t>P10372</t>
  </si>
  <si>
    <t>2025/02/15</t>
  </si>
  <si>
    <t>34</t>
  </si>
  <si>
    <t>P10373</t>
  </si>
  <si>
    <t>27/04/2023</t>
  </si>
  <si>
    <t>P10374</t>
  </si>
  <si>
    <t>Rohan Joshi</t>
  </si>
  <si>
    <t>2025/12/14</t>
  </si>
  <si>
    <t>23-Dec-2025</t>
  </si>
  <si>
    <t>P10375</t>
  </si>
  <si>
    <t>01-09-2003</t>
  </si>
  <si>
    <t>23/07/2024</t>
  </si>
  <si>
    <t>P10376</t>
  </si>
  <si>
    <t>11-Jan-1963</t>
  </si>
  <si>
    <t>P10377</t>
  </si>
  <si>
    <t>Sanjay Rao</t>
  </si>
  <si>
    <t>02-Jul-1986</t>
  </si>
  <si>
    <t>15-Jul-2024</t>
  </si>
  <si>
    <t>P10378</t>
  </si>
  <si>
    <t>P10379</t>
  </si>
  <si>
    <t>P10380</t>
  </si>
  <si>
    <t>Riya Nair</t>
  </si>
  <si>
    <t>2024/12/05</t>
  </si>
  <si>
    <t>P10381</t>
  </si>
  <si>
    <t>Meera Singh</t>
  </si>
  <si>
    <t>P10382</t>
  </si>
  <si>
    <t>Diya Gupta</t>
  </si>
  <si>
    <t xml:space="preserve"> P10383 </t>
  </si>
  <si>
    <t>Vikram Singh</t>
  </si>
  <si>
    <t>1975/12/18</t>
  </si>
  <si>
    <t>P10384</t>
  </si>
  <si>
    <t>Priya Verma</t>
  </si>
  <si>
    <t>P10385</t>
  </si>
  <si>
    <t>Ishaan Reddy</t>
  </si>
  <si>
    <t>P10386</t>
  </si>
  <si>
    <t>Rahul Mishra</t>
  </si>
  <si>
    <t>P10387</t>
  </si>
  <si>
    <t>27/04/1970</t>
  </si>
  <si>
    <t>P10388</t>
  </si>
  <si>
    <t>P10389</t>
  </si>
  <si>
    <t>P10390</t>
  </si>
  <si>
    <t>2010/10/20</t>
  </si>
  <si>
    <t>95</t>
  </si>
  <si>
    <t>P10391</t>
  </si>
  <si>
    <t>01-02-2010</t>
  </si>
  <si>
    <t xml:space="preserve"> P10392 </t>
  </si>
  <si>
    <t>Sanjay Gupta</t>
  </si>
  <si>
    <t>₹129,308.02</t>
  </si>
  <si>
    <t>P10393</t>
  </si>
  <si>
    <t>P10394</t>
  </si>
  <si>
    <t>07-10-1966</t>
  </si>
  <si>
    <t>P10395</t>
  </si>
  <si>
    <t>Aarav Kumar</t>
  </si>
  <si>
    <t>06-Feb-1997</t>
  </si>
  <si>
    <t>02-09-2024</t>
  </si>
  <si>
    <t>P10396</t>
  </si>
  <si>
    <t>2010/12/12</t>
  </si>
  <si>
    <t>P10397</t>
  </si>
  <si>
    <t>Rohan Das</t>
  </si>
  <si>
    <t>P10398</t>
  </si>
  <si>
    <t>1963/03/01</t>
  </si>
  <si>
    <t xml:space="preserve"> P10399 </t>
  </si>
  <si>
    <t>Nisha Reddy</t>
  </si>
  <si>
    <t>06-Apr-2003</t>
  </si>
  <si>
    <t>P10400</t>
  </si>
  <si>
    <t>2024/09/27</t>
  </si>
  <si>
    <t>P10401</t>
  </si>
  <si>
    <t>Sanjay Joshi</t>
  </si>
  <si>
    <t>01/06/1952</t>
  </si>
  <si>
    <t>2023/11/16</t>
  </si>
  <si>
    <t>₹16,371.88</t>
  </si>
  <si>
    <t>P10402</t>
  </si>
  <si>
    <t>P10403</t>
  </si>
  <si>
    <t>Ananya Kumar</t>
  </si>
  <si>
    <t>P10404</t>
  </si>
  <si>
    <t>P10405</t>
  </si>
  <si>
    <t xml:space="preserve"> M </t>
  </si>
  <si>
    <t>03-15-1980</t>
  </si>
  <si>
    <t>11-04-2024</t>
  </si>
  <si>
    <t>P10406</t>
  </si>
  <si>
    <t>Sneha Iyer</t>
  </si>
  <si>
    <t>12-12-1966</t>
  </si>
  <si>
    <t>08/12/2024</t>
  </si>
  <si>
    <t>P10407</t>
  </si>
  <si>
    <t>15-Jun-2001</t>
  </si>
  <si>
    <t>P10408</t>
  </si>
  <si>
    <t>11/03/1974</t>
  </si>
  <si>
    <t>10-14-2023</t>
  </si>
  <si>
    <t>176</t>
  </si>
  <si>
    <t>P10409</t>
  </si>
  <si>
    <t>P10410</t>
  </si>
  <si>
    <t>09-Jul-1969</t>
  </si>
  <si>
    <t>26/08/2023</t>
  </si>
  <si>
    <t>P10411</t>
  </si>
  <si>
    <t>Aditya Reddy</t>
  </si>
  <si>
    <t>06-02-1979</t>
  </si>
  <si>
    <t>P10412</t>
  </si>
  <si>
    <t>15</t>
  </si>
  <si>
    <t>P10413</t>
  </si>
  <si>
    <t>1986/05/10</t>
  </si>
  <si>
    <t>06/12/2025</t>
  </si>
  <si>
    <t>P10414</t>
  </si>
  <si>
    <t>Varun Joshi</t>
  </si>
  <si>
    <t>18/02/2023</t>
  </si>
  <si>
    <t>P10415</t>
  </si>
  <si>
    <t>1985/06/03</t>
  </si>
  <si>
    <t>P10416</t>
  </si>
  <si>
    <t>01/01/2024</t>
  </si>
  <si>
    <t>P10417</t>
  </si>
  <si>
    <t>Riya Joshi</t>
  </si>
  <si>
    <t>P10418</t>
  </si>
  <si>
    <t>02-Feb-2025</t>
  </si>
  <si>
    <t>P10419</t>
  </si>
  <si>
    <t>Aarav Mehta</t>
  </si>
  <si>
    <t>P10420</t>
  </si>
  <si>
    <t>10-25-1998</t>
  </si>
  <si>
    <t>08-17-2023</t>
  </si>
  <si>
    <t>P10421</t>
  </si>
  <si>
    <t>108</t>
  </si>
  <si>
    <t>P10422</t>
  </si>
  <si>
    <t>91</t>
  </si>
  <si>
    <t>P10423</t>
  </si>
  <si>
    <t>02/03/2024</t>
  </si>
  <si>
    <t>P10424</t>
  </si>
  <si>
    <t>12-07-1955</t>
  </si>
  <si>
    <t>16/05/2023</t>
  </si>
  <si>
    <t>P10425</t>
  </si>
  <si>
    <t>Arjun Mehta</t>
  </si>
  <si>
    <t>P10426</t>
  </si>
  <si>
    <t>02-25-1961</t>
  </si>
  <si>
    <t>13/06/2025</t>
  </si>
  <si>
    <t>P10427</t>
  </si>
  <si>
    <t>P10428</t>
  </si>
  <si>
    <t>Kavya Patel</t>
  </si>
  <si>
    <t>P10429</t>
  </si>
  <si>
    <t>10-Feb-2025</t>
  </si>
  <si>
    <t>P10430</t>
  </si>
  <si>
    <t>2024/03/21</t>
  </si>
  <si>
    <t>P10431</t>
  </si>
  <si>
    <t>1981/05/19</t>
  </si>
  <si>
    <t>P10432</t>
  </si>
  <si>
    <t>P10433</t>
  </si>
  <si>
    <t>03-Jun-1984</t>
  </si>
  <si>
    <t>P10434</t>
  </si>
  <si>
    <t>17-Mar-1955</t>
  </si>
  <si>
    <t>2025/11/23</t>
  </si>
  <si>
    <t>27/11/2025</t>
  </si>
  <si>
    <t>P10435</t>
  </si>
  <si>
    <t>P10436</t>
  </si>
  <si>
    <t>26/02/1973</t>
  </si>
  <si>
    <t>P10437</t>
  </si>
  <si>
    <t>03-Oct-2023</t>
  </si>
  <si>
    <t>151</t>
  </si>
  <si>
    <t>P10438</t>
  </si>
  <si>
    <t>1996/11/10</t>
  </si>
  <si>
    <t>19-Nov-2024</t>
  </si>
  <si>
    <t>P10439</t>
  </si>
  <si>
    <t>Kavya Das</t>
  </si>
  <si>
    <t>P10440</t>
  </si>
  <si>
    <t>1957/09/23</t>
  </si>
  <si>
    <t>09-02-2024</t>
  </si>
  <si>
    <t>P10441</t>
  </si>
  <si>
    <t>20/12/2023</t>
  </si>
  <si>
    <t>P10442</t>
  </si>
  <si>
    <t>04-20-2025</t>
  </si>
  <si>
    <t>P10443</t>
  </si>
  <si>
    <t>22/08/2025</t>
  </si>
  <si>
    <t>230</t>
  </si>
  <si>
    <t>124</t>
  </si>
  <si>
    <t>P10444</t>
  </si>
  <si>
    <t>₹226,421.01</t>
  </si>
  <si>
    <t>P10445</t>
  </si>
  <si>
    <t>2023/07/21</t>
  </si>
  <si>
    <t>25/07/2023</t>
  </si>
  <si>
    <t>₹168,970.83</t>
  </si>
  <si>
    <t>105</t>
  </si>
  <si>
    <t>P10446</t>
  </si>
  <si>
    <t>P10447</t>
  </si>
  <si>
    <t>03-Dec-1956</t>
  </si>
  <si>
    <t>P10448</t>
  </si>
  <si>
    <t>P10449</t>
  </si>
  <si>
    <t>01-10-1959</t>
  </si>
  <si>
    <t>P10450</t>
  </si>
  <si>
    <t>Diya Singh</t>
  </si>
  <si>
    <t>09-25-2023</t>
  </si>
  <si>
    <t>P10451</t>
  </si>
  <si>
    <t>31-May-2024</t>
  </si>
  <si>
    <t>183</t>
  </si>
  <si>
    <t>P10452</t>
  </si>
  <si>
    <t>P10453</t>
  </si>
  <si>
    <t>Neha Verma</t>
  </si>
  <si>
    <t>P10454</t>
  </si>
  <si>
    <t>P10455</t>
  </si>
  <si>
    <t>05-26-2023</t>
  </si>
  <si>
    <t xml:space="preserve"> P10456 </t>
  </si>
  <si>
    <t>14/11/1968</t>
  </si>
  <si>
    <t>P10457</t>
  </si>
  <si>
    <t>02-Sep-1972</t>
  </si>
  <si>
    <t>07-Jun-2025</t>
  </si>
  <si>
    <t>P10458</t>
  </si>
  <si>
    <t>03/04/2025</t>
  </si>
  <si>
    <t>2025/04/05</t>
  </si>
  <si>
    <t>P10459</t>
  </si>
  <si>
    <t>Sneha Sharma</t>
  </si>
  <si>
    <t>01/04/2024</t>
  </si>
  <si>
    <t>P10460</t>
  </si>
  <si>
    <t>11/09/2025</t>
  </si>
  <si>
    <t>P10461</t>
  </si>
  <si>
    <t>11/08/2025</t>
  </si>
  <si>
    <t xml:space="preserve"> Cardiology </t>
  </si>
  <si>
    <t>₹236,838.27</t>
  </si>
  <si>
    <t>P10462</t>
  </si>
  <si>
    <t>104</t>
  </si>
  <si>
    <t>P10463</t>
  </si>
  <si>
    <t>25-Nov-2023</t>
  </si>
  <si>
    <t>P10464</t>
  </si>
  <si>
    <t>2025/06/28</t>
  </si>
  <si>
    <t>₹181,518.66</t>
  </si>
  <si>
    <t>187</t>
  </si>
  <si>
    <t xml:space="preserve"> P10465 </t>
  </si>
  <si>
    <t>Varun Verma</t>
  </si>
  <si>
    <t>185</t>
  </si>
  <si>
    <t>P10466</t>
  </si>
  <si>
    <t>13-Feb-2023</t>
  </si>
  <si>
    <t>14-Feb-2023</t>
  </si>
  <si>
    <t>129</t>
  </si>
  <si>
    <t xml:space="preserve"> P10467 </t>
  </si>
  <si>
    <t>P10468</t>
  </si>
  <si>
    <t>P10469</t>
  </si>
  <si>
    <t>Rahul Rao</t>
  </si>
  <si>
    <t>₹218,329.91</t>
  </si>
  <si>
    <t>P10470</t>
  </si>
  <si>
    <t>Rohan Mehta</t>
  </si>
  <si>
    <t>1985/04/16</t>
  </si>
  <si>
    <t>08-08-2024</t>
  </si>
  <si>
    <t>P10471</t>
  </si>
  <si>
    <t>P10472</t>
  </si>
  <si>
    <t>03/01/1982</t>
  </si>
  <si>
    <t>27/12/2023</t>
  </si>
  <si>
    <t>P10473</t>
  </si>
  <si>
    <t>Neha Rao</t>
  </si>
  <si>
    <t>P10474</t>
  </si>
  <si>
    <t>P10475</t>
  </si>
  <si>
    <t>2024/11/21</t>
  </si>
  <si>
    <t>145</t>
  </si>
  <si>
    <t>P10476</t>
  </si>
  <si>
    <t>1990/03/11</t>
  </si>
  <si>
    <t>28/09/2024</t>
  </si>
  <si>
    <t>P10477</t>
  </si>
  <si>
    <t>05/04/1994</t>
  </si>
  <si>
    <t>21/10/2024</t>
  </si>
  <si>
    <t>P10478</t>
  </si>
  <si>
    <t>P10479</t>
  </si>
  <si>
    <t>P10480</t>
  </si>
  <si>
    <t>₹82,693.50</t>
  </si>
  <si>
    <t>P10481</t>
  </si>
  <si>
    <t>2023/05/08</t>
  </si>
  <si>
    <t>P10482</t>
  </si>
  <si>
    <t>25-Sep-1951</t>
  </si>
  <si>
    <t>16/08/2024</t>
  </si>
  <si>
    <t>58</t>
  </si>
  <si>
    <t>P10483</t>
  </si>
  <si>
    <t>₹114,283.32</t>
  </si>
  <si>
    <t>P10484</t>
  </si>
  <si>
    <t>02-Aug-1973</t>
  </si>
  <si>
    <t>P10485</t>
  </si>
  <si>
    <t>13-Sep-2024</t>
  </si>
  <si>
    <t>28-Sep-2024</t>
  </si>
  <si>
    <t>P10486</t>
  </si>
  <si>
    <t>Aarav Mishra</t>
  </si>
  <si>
    <t>P10487</t>
  </si>
  <si>
    <t>P10488</t>
  </si>
  <si>
    <t>12/07/1987</t>
  </si>
  <si>
    <t>P10489</t>
  </si>
  <si>
    <t>27-Apr-1958</t>
  </si>
  <si>
    <t>184</t>
  </si>
  <si>
    <t>P10490</t>
  </si>
  <si>
    <t>Arjun Patel</t>
  </si>
  <si>
    <t>P10491</t>
  </si>
  <si>
    <t>P10492</t>
  </si>
  <si>
    <t>P10493</t>
  </si>
  <si>
    <t>166</t>
  </si>
  <si>
    <t>P10494</t>
  </si>
  <si>
    <t>08-08-2004</t>
  </si>
  <si>
    <t>06-29-2025</t>
  </si>
  <si>
    <t>P10495</t>
  </si>
  <si>
    <t>26/06/2023</t>
  </si>
  <si>
    <t>P10496</t>
  </si>
  <si>
    <t>P10497</t>
  </si>
  <si>
    <t>Vikram Sharma</t>
  </si>
  <si>
    <t>P10498</t>
  </si>
  <si>
    <t>Aditya Singh</t>
  </si>
  <si>
    <t>10/12/2024</t>
  </si>
  <si>
    <t>P10499</t>
  </si>
  <si>
    <t>08-Jun-1970</t>
  </si>
  <si>
    <t>27/01/2024</t>
  </si>
  <si>
    <t>08-Feb-2024</t>
  </si>
  <si>
    <t>12</t>
  </si>
  <si>
    <t>P10500</t>
  </si>
  <si>
    <t>27-Nov-2024</t>
  </si>
  <si>
    <t>150</t>
  </si>
  <si>
    <t>P10501</t>
  </si>
  <si>
    <t>14-Oct-1982</t>
  </si>
  <si>
    <t>P10502</t>
  </si>
  <si>
    <t>05/08/2024</t>
  </si>
  <si>
    <t>P10503</t>
  </si>
  <si>
    <t>P10504</t>
  </si>
  <si>
    <t>P10505</t>
  </si>
  <si>
    <t xml:space="preserve"> Self Pay </t>
  </si>
  <si>
    <t>P10506</t>
  </si>
  <si>
    <t>10/03/1978</t>
  </si>
  <si>
    <t>18/10/2023</t>
  </si>
  <si>
    <t>11-01-2023</t>
  </si>
  <si>
    <t>P10507</t>
  </si>
  <si>
    <t>18/08/1999</t>
  </si>
  <si>
    <t>P10508</t>
  </si>
  <si>
    <t>03-28-2023</t>
  </si>
  <si>
    <t>P10509</t>
  </si>
  <si>
    <t>Aditya Patel</t>
  </si>
  <si>
    <t>P10510</t>
  </si>
  <si>
    <t>Kiran Verma</t>
  </si>
  <si>
    <t>10/03/2024</t>
  </si>
  <si>
    <t>P10511</t>
  </si>
  <si>
    <t>P10512</t>
  </si>
  <si>
    <t>P10513</t>
  </si>
  <si>
    <t>08/02/2000</t>
  </si>
  <si>
    <t>2025/08/17</t>
  </si>
  <si>
    <t>23-Aug-2025</t>
  </si>
  <si>
    <t>123</t>
  </si>
  <si>
    <t>P10514</t>
  </si>
  <si>
    <t>10-Sep-1971</t>
  </si>
  <si>
    <t>P10515</t>
  </si>
  <si>
    <t>07-05-2002</t>
  </si>
  <si>
    <t>₹60,831.37</t>
  </si>
  <si>
    <t>P10516</t>
  </si>
  <si>
    <t>Sanjay Verma</t>
  </si>
  <si>
    <t>P10517</t>
  </si>
  <si>
    <t>P10518</t>
  </si>
  <si>
    <t>P10519</t>
  </si>
  <si>
    <t>08-21-2007</t>
  </si>
  <si>
    <t>P10520</t>
  </si>
  <si>
    <t>P10521</t>
  </si>
  <si>
    <t>2024/02/07</t>
  </si>
  <si>
    <t>142</t>
  </si>
  <si>
    <t>P10522</t>
  </si>
  <si>
    <t>06-17-2024</t>
  </si>
  <si>
    <t>P10523</t>
  </si>
  <si>
    <t>P10524</t>
  </si>
  <si>
    <t>P10525</t>
  </si>
  <si>
    <t>04-Dec-2023</t>
  </si>
  <si>
    <t>P10526</t>
  </si>
  <si>
    <t>2025/01/25</t>
  </si>
  <si>
    <t>P10527</t>
  </si>
  <si>
    <t>Riya Reddy</t>
  </si>
  <si>
    <t>P10528</t>
  </si>
  <si>
    <t>p10529</t>
  </si>
  <si>
    <t>P10530</t>
  </si>
  <si>
    <t>P10531</t>
  </si>
  <si>
    <t xml:space="preserve"> Pooja Reddy </t>
  </si>
  <si>
    <t>17-Apr-2024</t>
  </si>
  <si>
    <t>25-Apr-2024</t>
  </si>
  <si>
    <t xml:space="preserve"> P10532 </t>
  </si>
  <si>
    <t>11-05-2004</t>
  </si>
  <si>
    <t>P10533</t>
  </si>
  <si>
    <t>P10534</t>
  </si>
  <si>
    <t>Nisha Joshi</t>
  </si>
  <si>
    <t>05-09-2023</t>
  </si>
  <si>
    <t>P10535</t>
  </si>
  <si>
    <t>15/04/2025</t>
  </si>
  <si>
    <t>199</t>
  </si>
  <si>
    <t>P10536</t>
  </si>
  <si>
    <t>P10537</t>
  </si>
  <si>
    <t>P10538</t>
  </si>
  <si>
    <t>2023/03/06</t>
  </si>
  <si>
    <t>P10539</t>
  </si>
  <si>
    <t>P10540</t>
  </si>
  <si>
    <t>10-06-2023</t>
  </si>
  <si>
    <t>P10541</t>
  </si>
  <si>
    <t>P10542</t>
  </si>
  <si>
    <t>Sanjay Das</t>
  </si>
  <si>
    <t>P10543</t>
  </si>
  <si>
    <t>11/04/2023</t>
  </si>
  <si>
    <t>P10544</t>
  </si>
  <si>
    <t>12-Apr-2025</t>
  </si>
  <si>
    <t>P10545</t>
  </si>
  <si>
    <t xml:space="preserve"> Ishaan Nair </t>
  </si>
  <si>
    <t>P10546</t>
  </si>
  <si>
    <t>Rahul Joshi</t>
  </si>
  <si>
    <t>08-28-1955</t>
  </si>
  <si>
    <t>25/03/2023</t>
  </si>
  <si>
    <t>P10547</t>
  </si>
  <si>
    <t>Rahul Nair</t>
  </si>
  <si>
    <t>P10548</t>
  </si>
  <si>
    <t>01/08/2023</t>
  </si>
  <si>
    <t>P10549</t>
  </si>
  <si>
    <t>22-Oct-2025</t>
  </si>
  <si>
    <t>P10550</t>
  </si>
  <si>
    <t>P10551</t>
  </si>
  <si>
    <t>Kavya Gupta</t>
  </si>
  <si>
    <t>P10552</t>
  </si>
  <si>
    <t>P10553</t>
  </si>
  <si>
    <t>P10554</t>
  </si>
  <si>
    <t>2025/01/28</t>
  </si>
  <si>
    <t>21</t>
  </si>
  <si>
    <t>P10555</t>
  </si>
  <si>
    <t>07-23-2025</t>
  </si>
  <si>
    <t>P10556</t>
  </si>
  <si>
    <t>Pooja Nair</t>
  </si>
  <si>
    <t>17-Feb-2023</t>
  </si>
  <si>
    <t>P10557</t>
  </si>
  <si>
    <t>2007/06/14</t>
  </si>
  <si>
    <t>08-30-2023</t>
  </si>
  <si>
    <t>₹9,910.12</t>
  </si>
  <si>
    <t>P10558</t>
  </si>
  <si>
    <t>24/11/2024</t>
  </si>
  <si>
    <t>P10559</t>
  </si>
  <si>
    <t>P10560</t>
  </si>
  <si>
    <t>06/07/2025</t>
  </si>
  <si>
    <t>P10561</t>
  </si>
  <si>
    <t>85</t>
  </si>
  <si>
    <t>P10562</t>
  </si>
  <si>
    <t>2025/11/17</t>
  </si>
  <si>
    <t>11-28-2025</t>
  </si>
  <si>
    <t>P10563</t>
  </si>
  <si>
    <t>28/07/2023</t>
  </si>
  <si>
    <t>P10564</t>
  </si>
  <si>
    <t>28/04/2005</t>
  </si>
  <si>
    <t xml:space="preserve"> Gastritis </t>
  </si>
  <si>
    <t>P10565</t>
  </si>
  <si>
    <t>1973/01/13</t>
  </si>
  <si>
    <t>P10566</t>
  </si>
  <si>
    <t>P10567</t>
  </si>
  <si>
    <t>Nisha Nair</t>
  </si>
  <si>
    <t>P10568</t>
  </si>
  <si>
    <t>P10569</t>
  </si>
  <si>
    <t>P10570</t>
  </si>
  <si>
    <t>Meera Naidu</t>
  </si>
  <si>
    <t>27/11/2024</t>
  </si>
  <si>
    <t>P10571</t>
  </si>
  <si>
    <t>09-29-2025</t>
  </si>
  <si>
    <t>16/10/2025</t>
  </si>
  <si>
    <t>P10572</t>
  </si>
  <si>
    <t>1963/07/10</t>
  </si>
  <si>
    <t>07-11-2023</t>
  </si>
  <si>
    <t>P10573</t>
  </si>
  <si>
    <t>06-06-1952</t>
  </si>
  <si>
    <t xml:space="preserve"> P10574 </t>
  </si>
  <si>
    <t>2025/07/03</t>
  </si>
  <si>
    <t>P10575</t>
  </si>
  <si>
    <t>P10576</t>
  </si>
  <si>
    <t>17/03/2025</t>
  </si>
  <si>
    <t>P10577</t>
  </si>
  <si>
    <t>P10578</t>
  </si>
  <si>
    <t>Ishaan Mishra</t>
  </si>
  <si>
    <t>06-29-2024</t>
  </si>
  <si>
    <t>P10579</t>
  </si>
  <si>
    <t>P10580</t>
  </si>
  <si>
    <t>P10581</t>
  </si>
  <si>
    <t>24/12/2023</t>
  </si>
  <si>
    <t>P10582</t>
  </si>
  <si>
    <t>P10583</t>
  </si>
  <si>
    <t>2024/10/18</t>
  </si>
  <si>
    <t>P10584</t>
  </si>
  <si>
    <t>P10585</t>
  </si>
  <si>
    <t>Ishaan Sharma</t>
  </si>
  <si>
    <t>02/12/1989</t>
  </si>
  <si>
    <t>127</t>
  </si>
  <si>
    <t>P10586</t>
  </si>
  <si>
    <t>05-Apr-2025</t>
  </si>
  <si>
    <t>P10587</t>
  </si>
  <si>
    <t>14/10/2025</t>
  </si>
  <si>
    <t>P10588</t>
  </si>
  <si>
    <t>₹109,227.42</t>
  </si>
  <si>
    <t xml:space="preserve"> p10589 </t>
  </si>
  <si>
    <t>P10590</t>
  </si>
  <si>
    <t>26-Jan-1963</t>
  </si>
  <si>
    <t>24-Apr-2025</t>
  </si>
  <si>
    <t>P10591</t>
  </si>
  <si>
    <t>08-Dec-1979</t>
  </si>
  <si>
    <t>₹242,567.39</t>
  </si>
  <si>
    <t>P10592</t>
  </si>
  <si>
    <t>₹222,685.03</t>
  </si>
  <si>
    <t>P10593</t>
  </si>
  <si>
    <t>08-22-1987</t>
  </si>
  <si>
    <t>19/08/2025</t>
  </si>
  <si>
    <t>P10594</t>
  </si>
  <si>
    <t>P10595</t>
  </si>
  <si>
    <t>22/08/2023</t>
  </si>
  <si>
    <t>P10596</t>
  </si>
  <si>
    <t>P10597</t>
  </si>
  <si>
    <t>Nisha Mehta</t>
  </si>
  <si>
    <t>04/02/2025</t>
  </si>
  <si>
    <t>2025/02/19</t>
  </si>
  <si>
    <t>P10598</t>
  </si>
  <si>
    <t>14/11/1988</t>
  </si>
  <si>
    <t>P10599</t>
  </si>
  <si>
    <t>02-25-1972</t>
  </si>
  <si>
    <t>P10600</t>
  </si>
  <si>
    <t>P10601</t>
  </si>
  <si>
    <t>08/03/2024</t>
  </si>
  <si>
    <t>161</t>
  </si>
  <si>
    <t>p10602</t>
  </si>
  <si>
    <t>26/01/1967</t>
  </si>
  <si>
    <t>2025/05/02</t>
  </si>
  <si>
    <t>15-May-2025</t>
  </si>
  <si>
    <t>P10603</t>
  </si>
  <si>
    <t>P10604</t>
  </si>
  <si>
    <t>Kiran Singh</t>
  </si>
  <si>
    <t>P10605</t>
  </si>
  <si>
    <t>P10606</t>
  </si>
  <si>
    <t>P10607</t>
  </si>
  <si>
    <t>P10608</t>
  </si>
  <si>
    <t>07/03/1985</t>
  </si>
  <si>
    <t>P10609</t>
  </si>
  <si>
    <t>Sneha Naidu</t>
  </si>
  <si>
    <t>24-Dec-2024</t>
  </si>
  <si>
    <t>P10610</t>
  </si>
  <si>
    <t>Ananya Reddy</t>
  </si>
  <si>
    <t>P10611</t>
  </si>
  <si>
    <t>27-Mar-2023</t>
  </si>
  <si>
    <t>05-Apr-2023</t>
  </si>
  <si>
    <t>P10612</t>
  </si>
  <si>
    <t>20-May-2025</t>
  </si>
  <si>
    <t>01-Jun-2025</t>
  </si>
  <si>
    <t>P10613</t>
  </si>
  <si>
    <t>Meera Das</t>
  </si>
  <si>
    <t>p10614</t>
  </si>
  <si>
    <t>P10615</t>
  </si>
  <si>
    <t>P10616</t>
  </si>
  <si>
    <t>2023/07/11</t>
  </si>
  <si>
    <t>P10617</t>
  </si>
  <si>
    <t>₹243,179.92</t>
  </si>
  <si>
    <t>P10618</t>
  </si>
  <si>
    <t>10-09-2002</t>
  </si>
  <si>
    <t>P10619</t>
  </si>
  <si>
    <t>01-Jun-1954</t>
  </si>
  <si>
    <t>2025/02/12</t>
  </si>
  <si>
    <t>P10620</t>
  </si>
  <si>
    <t>10-13-2023</t>
  </si>
  <si>
    <t>P10621</t>
  </si>
  <si>
    <t>15-Nov-2025</t>
  </si>
  <si>
    <t>₹68,434.26</t>
  </si>
  <si>
    <t>P10622</t>
  </si>
  <si>
    <t>P10623</t>
  </si>
  <si>
    <t>₹161,266.40</t>
  </si>
  <si>
    <t>P10624</t>
  </si>
  <si>
    <t>03-Aug-1952</t>
  </si>
  <si>
    <t>P10625</t>
  </si>
  <si>
    <t>P10626</t>
  </si>
  <si>
    <t>Diya Verma</t>
  </si>
  <si>
    <t>13-Jul-2024</t>
  </si>
  <si>
    <t>₹148,100.79</t>
  </si>
  <si>
    <t>P10627</t>
  </si>
  <si>
    <t>P10628</t>
  </si>
  <si>
    <t>13-Sep-1999</t>
  </si>
  <si>
    <t>P10629</t>
  </si>
  <si>
    <t>1972/01/01</t>
  </si>
  <si>
    <t>2023/11/20</t>
  </si>
  <si>
    <t>P10630</t>
  </si>
  <si>
    <t>P10631</t>
  </si>
  <si>
    <t xml:space="preserve"> Sanjay Rao </t>
  </si>
  <si>
    <t>₹172,291.11</t>
  </si>
  <si>
    <t>p10632</t>
  </si>
  <si>
    <t>09-Sep-1980</t>
  </si>
  <si>
    <t>P10633</t>
  </si>
  <si>
    <t>09-Sep-1979</t>
  </si>
  <si>
    <t>p10634</t>
  </si>
  <si>
    <t>144</t>
  </si>
  <si>
    <t>P10635</t>
  </si>
  <si>
    <t>12-02-2025</t>
  </si>
  <si>
    <t>₹33,705.38</t>
  </si>
  <si>
    <t>110</t>
  </si>
  <si>
    <t>P10636</t>
  </si>
  <si>
    <t>01-09-2023</t>
  </si>
  <si>
    <t>21-Jan-2023</t>
  </si>
  <si>
    <t>P10637</t>
  </si>
  <si>
    <t>09-13-1954</t>
  </si>
  <si>
    <t>P10638</t>
  </si>
  <si>
    <t>P10639</t>
  </si>
  <si>
    <t>02-04-2024</t>
  </si>
  <si>
    <t>P10640</t>
  </si>
  <si>
    <t>01/06/2023</t>
  </si>
  <si>
    <t>P10641</t>
  </si>
  <si>
    <t>27-Jul-2003</t>
  </si>
  <si>
    <t>P10642</t>
  </si>
  <si>
    <t>Rohan Sharma</t>
  </si>
  <si>
    <t>24-Dec-2023</t>
  </si>
  <si>
    <t>P10643</t>
  </si>
  <si>
    <t>19/04/2025</t>
  </si>
  <si>
    <t>P10644</t>
  </si>
  <si>
    <t>P10645</t>
  </si>
  <si>
    <t xml:space="preserve"> Neha Verma </t>
  </si>
  <si>
    <t>20/12/2009</t>
  </si>
  <si>
    <t>P10646</t>
  </si>
  <si>
    <t>Priya Kumar</t>
  </si>
  <si>
    <t>P10647</t>
  </si>
  <si>
    <t>P10648</t>
  </si>
  <si>
    <t>P10649</t>
  </si>
  <si>
    <t>10/05/2023</t>
  </si>
  <si>
    <t>P10650</t>
  </si>
  <si>
    <t>16</t>
  </si>
  <si>
    <t>P10651</t>
  </si>
  <si>
    <t xml:space="preserve"> Kavya Mishra </t>
  </si>
  <si>
    <t>03/07/2025</t>
  </si>
  <si>
    <t>P10652</t>
  </si>
  <si>
    <t>Varun Iyer</t>
  </si>
  <si>
    <t>1998/09/26</t>
  </si>
  <si>
    <t>P10653</t>
  </si>
  <si>
    <t>P10654</t>
  </si>
  <si>
    <t>2024/11/29</t>
  </si>
  <si>
    <t>P10655</t>
  </si>
  <si>
    <t>04-03-2025</t>
  </si>
  <si>
    <t>P10656</t>
  </si>
  <si>
    <t>09/07/1971</t>
  </si>
  <si>
    <t>04-Feb-2023</t>
  </si>
  <si>
    <t>P10657</t>
  </si>
  <si>
    <t>1986/04/25</t>
  </si>
  <si>
    <t>P10658</t>
  </si>
  <si>
    <t>18/11/1980</t>
  </si>
  <si>
    <t>P10659</t>
  </si>
  <si>
    <t>P10660</t>
  </si>
  <si>
    <t xml:space="preserve"> P10661 </t>
  </si>
  <si>
    <t>148</t>
  </si>
  <si>
    <t>P10662</t>
  </si>
  <si>
    <t>20/10/1975</t>
  </si>
  <si>
    <t>₹114,095.37</t>
  </si>
  <si>
    <t>P10663</t>
  </si>
  <si>
    <t>Nisha Gupta</t>
  </si>
  <si>
    <t>06-Apr-1956</t>
  </si>
  <si>
    <t>2023/08/01</t>
  </si>
  <si>
    <t>02-Aug-2023</t>
  </si>
  <si>
    <t>P10664</t>
  </si>
  <si>
    <t>P10665</t>
  </si>
  <si>
    <t>23-Mar-2024</t>
  </si>
  <si>
    <t>P10666</t>
  </si>
  <si>
    <t xml:space="preserve"> Priya Rao </t>
  </si>
  <si>
    <t>P10667</t>
  </si>
  <si>
    <t>10/09/2024</t>
  </si>
  <si>
    <t>P10668</t>
  </si>
  <si>
    <t>p10669</t>
  </si>
  <si>
    <t>₹14,050.01</t>
  </si>
  <si>
    <t>P10670</t>
  </si>
  <si>
    <t>P10671</t>
  </si>
  <si>
    <t>24/09/2008</t>
  </si>
  <si>
    <t>10-29-2023</t>
  </si>
  <si>
    <t>11-06-2023</t>
  </si>
  <si>
    <t>P10672</t>
  </si>
  <si>
    <t>P10673</t>
  </si>
  <si>
    <t>01/03/2025</t>
  </si>
  <si>
    <t xml:space="preserve"> P10674 </t>
  </si>
  <si>
    <t>167</t>
  </si>
  <si>
    <t>P10675</t>
  </si>
  <si>
    <t>26/03/1955</t>
  </si>
  <si>
    <t>P10676</t>
  </si>
  <si>
    <t>Rahul Das</t>
  </si>
  <si>
    <t>13-Jul-1952</t>
  </si>
  <si>
    <t>06-16-2023</t>
  </si>
  <si>
    <t>P10677</t>
  </si>
  <si>
    <t xml:space="preserve"> Ishaan Joshi </t>
  </si>
  <si>
    <t>12-10-1973</t>
  </si>
  <si>
    <t>P10678</t>
  </si>
  <si>
    <t>Nisha Mishra</t>
  </si>
  <si>
    <t>P10679</t>
  </si>
  <si>
    <t xml:space="preserve"> Aditya Rao </t>
  </si>
  <si>
    <t>2024/03/20</t>
  </si>
  <si>
    <t>P10680</t>
  </si>
  <si>
    <t>p10681</t>
  </si>
  <si>
    <t>08-08-2025</t>
  </si>
  <si>
    <t>P10682</t>
  </si>
  <si>
    <t xml:space="preserve"> Ishaan Verma </t>
  </si>
  <si>
    <t>P10683</t>
  </si>
  <si>
    <t xml:space="preserve"> Sneha Mishra </t>
  </si>
  <si>
    <t>04/07/1981</t>
  </si>
  <si>
    <t>30/03/2023</t>
  </si>
  <si>
    <t>P10684</t>
  </si>
  <si>
    <t>Meera Nair</t>
  </si>
  <si>
    <t>P10685</t>
  </si>
  <si>
    <t>02-Sep-2024</t>
  </si>
  <si>
    <t>P10686</t>
  </si>
  <si>
    <t>P10687</t>
  </si>
  <si>
    <t>P10688</t>
  </si>
  <si>
    <t>08-28-2025</t>
  </si>
  <si>
    <t>₹246,101.38</t>
  </si>
  <si>
    <t>P10689</t>
  </si>
  <si>
    <t>12-Feb-2024</t>
  </si>
  <si>
    <t>173</t>
  </si>
  <si>
    <t>P10690</t>
  </si>
  <si>
    <t>P10691</t>
  </si>
  <si>
    <t>27-Mar-2024</t>
  </si>
  <si>
    <t>P10692</t>
  </si>
  <si>
    <t>04-26-2023</t>
  </si>
  <si>
    <t>P10693</t>
  </si>
  <si>
    <t>15/12/2023</t>
  </si>
  <si>
    <t>P10694</t>
  </si>
  <si>
    <t>01/09/2024</t>
  </si>
  <si>
    <t>P10695</t>
  </si>
  <si>
    <t>26-May-2025</t>
  </si>
  <si>
    <t>P10696</t>
  </si>
  <si>
    <t>02-17-1953</t>
  </si>
  <si>
    <t>08-Aug-2023</t>
  </si>
  <si>
    <t>P10697</t>
  </si>
  <si>
    <t>P10698</t>
  </si>
  <si>
    <t>P10699</t>
  </si>
  <si>
    <t>P10700</t>
  </si>
  <si>
    <t>03/09/2003</t>
  </si>
  <si>
    <t>P10701</t>
  </si>
  <si>
    <t>P10702</t>
  </si>
  <si>
    <t>05-Jan-1970</t>
  </si>
  <si>
    <t>P10703</t>
  </si>
  <si>
    <t>2024/05/22</t>
  </si>
  <si>
    <t xml:space="preserve"> Asthma </t>
  </si>
  <si>
    <t>P10704</t>
  </si>
  <si>
    <t>15/01/2024</t>
  </si>
  <si>
    <t>P10705</t>
  </si>
  <si>
    <t>07/08/1958</t>
  </si>
  <si>
    <t>01-26-2023</t>
  </si>
  <si>
    <t>P10706</t>
  </si>
  <si>
    <t>₹218,114.27</t>
  </si>
  <si>
    <t>P10707</t>
  </si>
  <si>
    <t>P10708</t>
  </si>
  <si>
    <t>2025/05/09</t>
  </si>
  <si>
    <t>P10709</t>
  </si>
  <si>
    <t>02-07-2025</t>
  </si>
  <si>
    <t>P10710</t>
  </si>
  <si>
    <t>06/03/2000</t>
  </si>
  <si>
    <t>08-17-2024</t>
  </si>
  <si>
    <t>P10711</t>
  </si>
  <si>
    <t>P10712</t>
  </si>
  <si>
    <t>P10713</t>
  </si>
  <si>
    <t>P10714</t>
  </si>
  <si>
    <t>1963/11/06</t>
  </si>
  <si>
    <t>P10715</t>
  </si>
  <si>
    <t>P10716</t>
  </si>
  <si>
    <t>08-25-2024</t>
  </si>
  <si>
    <t>₹143,891.95</t>
  </si>
  <si>
    <t>P10717</t>
  </si>
  <si>
    <t>1970/05/14</t>
  </si>
  <si>
    <t>P10718</t>
  </si>
  <si>
    <t>2025/12/03</t>
  </si>
  <si>
    <t>P10719</t>
  </si>
  <si>
    <t>06-05-2025</t>
  </si>
  <si>
    <t>P10720</t>
  </si>
  <si>
    <t>66</t>
  </si>
  <si>
    <t>P10721</t>
  </si>
  <si>
    <t>P10722</t>
  </si>
  <si>
    <t>Kavya Verma</t>
  </si>
  <si>
    <t>P10723</t>
  </si>
  <si>
    <t>05-Feb-1953</t>
  </si>
  <si>
    <t>₹52,124.70</t>
  </si>
  <si>
    <t>165</t>
  </si>
  <si>
    <t xml:space="preserve"> P10724 </t>
  </si>
  <si>
    <t>P10725</t>
  </si>
  <si>
    <t>P10726</t>
  </si>
  <si>
    <t>P10727</t>
  </si>
  <si>
    <t>P10728</t>
  </si>
  <si>
    <t>P10729</t>
  </si>
  <si>
    <t>P10730</t>
  </si>
  <si>
    <t>Arjun Gupta</t>
  </si>
  <si>
    <t>05-01-2025</t>
  </si>
  <si>
    <t>P10731</t>
  </si>
  <si>
    <t>02-Jan-2026</t>
  </si>
  <si>
    <t>₹150,689.21</t>
  </si>
  <si>
    <t>P10732</t>
  </si>
  <si>
    <t>P10733</t>
  </si>
  <si>
    <t>03-12-2025</t>
  </si>
  <si>
    <t>P10734</t>
  </si>
  <si>
    <t>Ananya Sharma</t>
  </si>
  <si>
    <t>P10735</t>
  </si>
  <si>
    <t>2025/01/27</t>
  </si>
  <si>
    <t>P10736</t>
  </si>
  <si>
    <t>09-02-2025</t>
  </si>
  <si>
    <t>P10737</t>
  </si>
  <si>
    <t>01/07/1996</t>
  </si>
  <si>
    <t>P10738</t>
  </si>
  <si>
    <t>12-Apr-2024</t>
  </si>
  <si>
    <t>P10739</t>
  </si>
  <si>
    <t xml:space="preserve"> Aditya Iyer </t>
  </si>
  <si>
    <t>P10740</t>
  </si>
  <si>
    <t>13/09/1983</t>
  </si>
  <si>
    <t>P10741</t>
  </si>
  <si>
    <t>10-21-2025</t>
  </si>
  <si>
    <t>P10742</t>
  </si>
  <si>
    <t>27/02/1956</t>
  </si>
  <si>
    <t>P10743</t>
  </si>
  <si>
    <t>18</t>
  </si>
  <si>
    <t>P10744</t>
  </si>
  <si>
    <t>1961/05/09</t>
  </si>
  <si>
    <t>P10745</t>
  </si>
  <si>
    <t xml:space="preserve"> Meera Mehta </t>
  </si>
  <si>
    <t>P10746</t>
  </si>
  <si>
    <t>02-05-2025</t>
  </si>
  <si>
    <t>P10747</t>
  </si>
  <si>
    <t>05-18-1967</t>
  </si>
  <si>
    <t>p10748</t>
  </si>
  <si>
    <t>₹219,098.89</t>
  </si>
  <si>
    <t>P10749</t>
  </si>
  <si>
    <t xml:space="preserve"> Pooja Sharma </t>
  </si>
  <si>
    <t>26/03/2025</t>
  </si>
  <si>
    <t>₹31,681.34</t>
  </si>
  <si>
    <t>P10750</t>
  </si>
  <si>
    <t>P10751</t>
  </si>
  <si>
    <t>1970/03/09</t>
  </si>
  <si>
    <t>13/05/2023</t>
  </si>
  <si>
    <t>116</t>
  </si>
  <si>
    <t>P10752</t>
  </si>
  <si>
    <t xml:space="preserve"> Diya Singh </t>
  </si>
  <si>
    <t>₹175,851.96</t>
  </si>
  <si>
    <t>P10753</t>
  </si>
  <si>
    <t>P10754</t>
  </si>
  <si>
    <t>P10755</t>
  </si>
  <si>
    <t>39</t>
  </si>
  <si>
    <t>P10756</t>
  </si>
  <si>
    <t>P10757</t>
  </si>
  <si>
    <t>2024/12/25</t>
  </si>
  <si>
    <t>P10758</t>
  </si>
  <si>
    <t>Rahul Kumar</t>
  </si>
  <si>
    <t>13/02/1995</t>
  </si>
  <si>
    <t>2024/12/24</t>
  </si>
  <si>
    <t>P10759</t>
  </si>
  <si>
    <t>18-Sep-1956</t>
  </si>
  <si>
    <t>23-Jun-2025</t>
  </si>
  <si>
    <t>P10760</t>
  </si>
  <si>
    <t>P10761</t>
  </si>
  <si>
    <t>P10762</t>
  </si>
  <si>
    <t>03-Jan-2025</t>
  </si>
  <si>
    <t>P10763</t>
  </si>
  <si>
    <t>02/06/1969</t>
  </si>
  <si>
    <t>P10764</t>
  </si>
  <si>
    <t>05-11-2025</t>
  </si>
  <si>
    <t>P10765</t>
  </si>
  <si>
    <t>P10766</t>
  </si>
  <si>
    <t>16/01/2024</t>
  </si>
  <si>
    <t>P10767</t>
  </si>
  <si>
    <t>01/05/2024</t>
  </si>
  <si>
    <t>93</t>
  </si>
  <si>
    <t>P10768</t>
  </si>
  <si>
    <t xml:space="preserve"> Nisha Mehta </t>
  </si>
  <si>
    <t>P10769</t>
  </si>
  <si>
    <t>P10770</t>
  </si>
  <si>
    <t>P10771</t>
  </si>
  <si>
    <t>1958/01/18</t>
  </si>
  <si>
    <t>03-09-2023</t>
  </si>
  <si>
    <t>P10772</t>
  </si>
  <si>
    <t>09-01-2024</t>
  </si>
  <si>
    <t>P10773</t>
  </si>
  <si>
    <t xml:space="preserve"> Rahul Patel </t>
  </si>
  <si>
    <t>1970/03/28</t>
  </si>
  <si>
    <t>P10774</t>
  </si>
  <si>
    <t>05-23-1973</t>
  </si>
  <si>
    <t>30-Mar-2025</t>
  </si>
  <si>
    <t>13-Apr-2025</t>
  </si>
  <si>
    <t>P10775</t>
  </si>
  <si>
    <t xml:space="preserve"> Varun Nair </t>
  </si>
  <si>
    <t>P10776</t>
  </si>
  <si>
    <t>P10777</t>
  </si>
  <si>
    <t>P10778</t>
  </si>
  <si>
    <t xml:space="preserve"> Rahul Mishra </t>
  </si>
  <si>
    <t>10-23-1971</t>
  </si>
  <si>
    <t>06-Nov-2023</t>
  </si>
  <si>
    <t>P10779</t>
  </si>
  <si>
    <t>90</t>
  </si>
  <si>
    <t xml:space="preserve"> P10780 </t>
  </si>
  <si>
    <t>Varun Singh</t>
  </si>
  <si>
    <t>P10781</t>
  </si>
  <si>
    <t>P10782</t>
  </si>
  <si>
    <t>07-Dec-2023</t>
  </si>
  <si>
    <t>25/12/2023</t>
  </si>
  <si>
    <t>P10783</t>
  </si>
  <si>
    <t>04-07-2023</t>
  </si>
  <si>
    <t>23-Apr-2023</t>
  </si>
  <si>
    <t>P10784</t>
  </si>
  <si>
    <t>P10785</t>
  </si>
  <si>
    <t>P10786</t>
  </si>
  <si>
    <t>P10787</t>
  </si>
  <si>
    <t>P10788</t>
  </si>
  <si>
    <t>13-Jan-2023</t>
  </si>
  <si>
    <t>₹232,211.27</t>
  </si>
  <si>
    <t>P10789</t>
  </si>
  <si>
    <t>1987/02/06</t>
  </si>
  <si>
    <t>P10790</t>
  </si>
  <si>
    <t>10-29-2024</t>
  </si>
  <si>
    <t>P10791</t>
  </si>
  <si>
    <t>P10792</t>
  </si>
  <si>
    <t>Ananya Singh</t>
  </si>
  <si>
    <t>P10793</t>
  </si>
  <si>
    <t>23-Jun-1993</t>
  </si>
  <si>
    <t>P10794</t>
  </si>
  <si>
    <t xml:space="preserve"> Aarav Singh </t>
  </si>
  <si>
    <t>09-22-2025</t>
  </si>
  <si>
    <t>P10795</t>
  </si>
  <si>
    <t xml:space="preserve"> Sneha Rao </t>
  </si>
  <si>
    <t>P10796</t>
  </si>
  <si>
    <t>1962/04/25</t>
  </si>
  <si>
    <t>P10797</t>
  </si>
  <si>
    <t>01/01/1957</t>
  </si>
  <si>
    <t>16-Mar-2025</t>
  </si>
  <si>
    <t>P10798</t>
  </si>
  <si>
    <t>2024/05/02</t>
  </si>
  <si>
    <t>78</t>
  </si>
  <si>
    <t>P10799</t>
  </si>
  <si>
    <t>P10800</t>
  </si>
  <si>
    <t>2003/09/23</t>
  </si>
  <si>
    <t>25/07/2024</t>
  </si>
  <si>
    <t>P10801</t>
  </si>
  <si>
    <t>06-06-2023</t>
  </si>
  <si>
    <t>P10802</t>
  </si>
  <si>
    <t>P10803</t>
  </si>
  <si>
    <t xml:space="preserve"> Sanjay Naidu </t>
  </si>
  <si>
    <t>12/11/2024</t>
  </si>
  <si>
    <t>₹194,323.48</t>
  </si>
  <si>
    <t>P10804</t>
  </si>
  <si>
    <t>2025/07/09</t>
  </si>
  <si>
    <t>P10805</t>
  </si>
  <si>
    <t>12/07/1976</t>
  </si>
  <si>
    <t>2024/06/17</t>
  </si>
  <si>
    <t>P10806</t>
  </si>
  <si>
    <t>07-Jul-2024</t>
  </si>
  <si>
    <t>₹45,406.22</t>
  </si>
  <si>
    <t>P10807</t>
  </si>
  <si>
    <t>05-11-1958</t>
  </si>
  <si>
    <t>P10808</t>
  </si>
  <si>
    <t>P10809</t>
  </si>
  <si>
    <t>1979/06/20</t>
  </si>
  <si>
    <t>P10810</t>
  </si>
  <si>
    <t>21/12/1951</t>
  </si>
  <si>
    <t>2025/01/26</t>
  </si>
  <si>
    <t>P10811</t>
  </si>
  <si>
    <t>P10812</t>
  </si>
  <si>
    <t>143</t>
  </si>
  <si>
    <t>P10813</t>
  </si>
  <si>
    <t>p10814</t>
  </si>
  <si>
    <t>18/02/1997</t>
  </si>
  <si>
    <t>P10815</t>
  </si>
  <si>
    <t>20-May-1992</t>
  </si>
  <si>
    <t>P10816</t>
  </si>
  <si>
    <t>Arjun Singh</t>
  </si>
  <si>
    <t>2024/10/28</t>
  </si>
  <si>
    <t>229</t>
  </si>
  <si>
    <t>P10817</t>
  </si>
  <si>
    <t>2009/04/21</t>
  </si>
  <si>
    <t>22/10/2024</t>
  </si>
  <si>
    <t xml:space="preserve"> P10818 </t>
  </si>
  <si>
    <t>08-23-2024</t>
  </si>
  <si>
    <t>08-24-2024</t>
  </si>
  <si>
    <t>P10819</t>
  </si>
  <si>
    <t>P10820</t>
  </si>
  <si>
    <t>26-May-1969</t>
  </si>
  <si>
    <t>P10821</t>
  </si>
  <si>
    <t>27/05/1964</t>
  </si>
  <si>
    <t>₹52,840.43</t>
  </si>
  <si>
    <t>P10822</t>
  </si>
  <si>
    <t>2024/01/19</t>
  </si>
  <si>
    <t>P10823</t>
  </si>
  <si>
    <t>29-May-2023</t>
  </si>
  <si>
    <t xml:space="preserve"> P10824 </t>
  </si>
  <si>
    <t>P10825</t>
  </si>
  <si>
    <t>Kavya Mishra</t>
  </si>
  <si>
    <t>2024/11/16</t>
  </si>
  <si>
    <t>₹231,526.50</t>
  </si>
  <si>
    <t>P10826</t>
  </si>
  <si>
    <t>Kiran Rao</t>
  </si>
  <si>
    <t>04-05-2003</t>
  </si>
  <si>
    <t>05-Jan-2025</t>
  </si>
  <si>
    <t>₹130,472.01</t>
  </si>
  <si>
    <t>P10827</t>
  </si>
  <si>
    <t>2025/09/10</t>
  </si>
  <si>
    <t>P10828</t>
  </si>
  <si>
    <t>2023/01/10</t>
  </si>
  <si>
    <t>P10829</t>
  </si>
  <si>
    <t>P10830</t>
  </si>
  <si>
    <t>1958/03/22</t>
  </si>
  <si>
    <t>P10831</t>
  </si>
  <si>
    <t xml:space="preserve"> P10832 </t>
  </si>
  <si>
    <t>P10833</t>
  </si>
  <si>
    <t>07-Jun-2024</t>
  </si>
  <si>
    <t>P10834</t>
  </si>
  <si>
    <t>2006/12/25</t>
  </si>
  <si>
    <t>P10835</t>
  </si>
  <si>
    <t>P10836</t>
  </si>
  <si>
    <t>P10837</t>
  </si>
  <si>
    <t>P10838</t>
  </si>
  <si>
    <t>P10839</t>
  </si>
  <si>
    <t>2023/03/22</t>
  </si>
  <si>
    <t>P10840</t>
  </si>
  <si>
    <t>P10841</t>
  </si>
  <si>
    <t>2023/07/30</t>
  </si>
  <si>
    <t>P10842</t>
  </si>
  <si>
    <t>02/10/2025</t>
  </si>
  <si>
    <t>P10843</t>
  </si>
  <si>
    <t>1953/07/20</t>
  </si>
  <si>
    <t>₹85,940.95</t>
  </si>
  <si>
    <t>P10844</t>
  </si>
  <si>
    <t>P10845</t>
  </si>
  <si>
    <t>P10846</t>
  </si>
  <si>
    <t>14/08/1950</t>
  </si>
  <si>
    <t>2023/12/19</t>
  </si>
  <si>
    <t>P10847</t>
  </si>
  <si>
    <t>08-Feb-1988</t>
  </si>
  <si>
    <t>P10848</t>
  </si>
  <si>
    <t>P10849</t>
  </si>
  <si>
    <t>1991/12/01</t>
  </si>
  <si>
    <t>p10850</t>
  </si>
  <si>
    <t>Neha Kumar</t>
  </si>
  <si>
    <t>P10851</t>
  </si>
  <si>
    <t>₹56,938.12</t>
  </si>
  <si>
    <t>P10852</t>
  </si>
  <si>
    <t>03-21-2024</t>
  </si>
  <si>
    <t>P10853</t>
  </si>
  <si>
    <t>P10854</t>
  </si>
  <si>
    <t>P10855</t>
  </si>
  <si>
    <t>18/05/1952</t>
  </si>
  <si>
    <t>137</t>
  </si>
  <si>
    <t>P10856</t>
  </si>
  <si>
    <t>03/08/1994</t>
  </si>
  <si>
    <t>P10857</t>
  </si>
  <si>
    <t xml:space="preserve"> Priya Mehta </t>
  </si>
  <si>
    <t>04-15-2003</t>
  </si>
  <si>
    <t>27/01/2023</t>
  </si>
  <si>
    <t>01-31-2023</t>
  </si>
  <si>
    <t>P10858</t>
  </si>
  <si>
    <t>Riya Iyer</t>
  </si>
  <si>
    <t>03/06/2023</t>
  </si>
  <si>
    <t>P10859</t>
  </si>
  <si>
    <t>2025/05/06</t>
  </si>
  <si>
    <t>P10860</t>
  </si>
  <si>
    <t>P10861</t>
  </si>
  <si>
    <t>P10862</t>
  </si>
  <si>
    <t>2025/02/23</t>
  </si>
  <si>
    <t>P10863</t>
  </si>
  <si>
    <t>P10864</t>
  </si>
  <si>
    <t>P10865</t>
  </si>
  <si>
    <t>1968/09/09</t>
  </si>
  <si>
    <t>P10866</t>
  </si>
  <si>
    <t>18/01/1958</t>
  </si>
  <si>
    <t>28/01/2025</t>
  </si>
  <si>
    <t>162</t>
  </si>
  <si>
    <t>P10867</t>
  </si>
  <si>
    <t>09-24-1963</t>
  </si>
  <si>
    <t>₹17,705.37</t>
  </si>
  <si>
    <t>P10868</t>
  </si>
  <si>
    <t>109</t>
  </si>
  <si>
    <t>P10869</t>
  </si>
  <si>
    <t>P10870</t>
  </si>
  <si>
    <t>P10871</t>
  </si>
  <si>
    <t>P10872</t>
  </si>
  <si>
    <t>P10873</t>
  </si>
  <si>
    <t>205</t>
  </si>
  <si>
    <t>P10874</t>
  </si>
  <si>
    <t>P10875</t>
  </si>
  <si>
    <t>P10876</t>
  </si>
  <si>
    <t>P10877</t>
  </si>
  <si>
    <t>14</t>
  </si>
  <si>
    <t>232</t>
  </si>
  <si>
    <t>P10878</t>
  </si>
  <si>
    <t>P10879</t>
  </si>
  <si>
    <t xml:space="preserve"> P10880 </t>
  </si>
  <si>
    <t>11-May-2024</t>
  </si>
  <si>
    <t>P10881</t>
  </si>
  <si>
    <t xml:space="preserve"> Ananya Sharma </t>
  </si>
  <si>
    <t>07/09/1993</t>
  </si>
  <si>
    <t>16-May-2024</t>
  </si>
  <si>
    <t>P10882</t>
  </si>
  <si>
    <t>2025/03/26</t>
  </si>
  <si>
    <t>P10883</t>
  </si>
  <si>
    <t>27/10/2024</t>
  </si>
  <si>
    <t>11-02-2024</t>
  </si>
  <si>
    <t>P10884</t>
  </si>
  <si>
    <t>02-23-1951</t>
  </si>
  <si>
    <t>P10885</t>
  </si>
  <si>
    <t>01-06-2024</t>
  </si>
  <si>
    <t>P10886</t>
  </si>
  <si>
    <t>P10887</t>
  </si>
  <si>
    <t>26/12/1951</t>
  </si>
  <si>
    <t>₹99,279.49</t>
  </si>
  <si>
    <t xml:space="preserve"> P10888 </t>
  </si>
  <si>
    <t>19-May-2025</t>
  </si>
  <si>
    <t>174</t>
  </si>
  <si>
    <t>P10889</t>
  </si>
  <si>
    <t>01-Aug-1983</t>
  </si>
  <si>
    <t>16/11/2025</t>
  </si>
  <si>
    <t>P10890</t>
  </si>
  <si>
    <t>P10891</t>
  </si>
  <si>
    <t>01-10-2023</t>
  </si>
  <si>
    <t>P10892</t>
  </si>
  <si>
    <t>08/12/2023</t>
  </si>
  <si>
    <t>₹138,961.76</t>
  </si>
  <si>
    <t>P10893</t>
  </si>
  <si>
    <t>1987/04/11</t>
  </si>
  <si>
    <t>07-15-2023</t>
  </si>
  <si>
    <t>₹189,560.22</t>
  </si>
  <si>
    <t>P10894</t>
  </si>
  <si>
    <t>09-Jul-1998</t>
  </si>
  <si>
    <t>P10895</t>
  </si>
  <si>
    <t>25-Oct-2023</t>
  </si>
  <si>
    <t>P10896</t>
  </si>
  <si>
    <t>03-26-1985</t>
  </si>
  <si>
    <t>05-05-2024</t>
  </si>
  <si>
    <t>P10897</t>
  </si>
  <si>
    <t>18-Nov-2023</t>
  </si>
  <si>
    <t>P10898</t>
  </si>
  <si>
    <t>P10899</t>
  </si>
  <si>
    <t>P10900</t>
  </si>
  <si>
    <t>04-Nov-2023</t>
  </si>
  <si>
    <t>P10901</t>
  </si>
  <si>
    <t>Meera Kumar</t>
  </si>
  <si>
    <t>24/09/1999</t>
  </si>
  <si>
    <t>P10902</t>
  </si>
  <si>
    <t>16-Jan-1999</t>
  </si>
  <si>
    <t>₹199,127.82</t>
  </si>
  <si>
    <t>P10903</t>
  </si>
  <si>
    <t>2024/11/24</t>
  </si>
  <si>
    <t>P10904</t>
  </si>
  <si>
    <t>2023/07/28</t>
  </si>
  <si>
    <t>P10905</t>
  </si>
  <si>
    <t>P10906</t>
  </si>
  <si>
    <t>2024/03/26</t>
  </si>
  <si>
    <t>P10907</t>
  </si>
  <si>
    <t>P10908</t>
  </si>
  <si>
    <t>P10909</t>
  </si>
  <si>
    <t>₹106,091.72</t>
  </si>
  <si>
    <t>P10910</t>
  </si>
  <si>
    <t xml:space="preserve"> Rohan Patel </t>
  </si>
  <si>
    <t>08/07/1957</t>
  </si>
  <si>
    <t xml:space="preserve"> P10911 </t>
  </si>
  <si>
    <t>P10912</t>
  </si>
  <si>
    <t>20/01/2024</t>
  </si>
  <si>
    <t>P10913</t>
  </si>
  <si>
    <t>P10914</t>
  </si>
  <si>
    <t>09-21-2023</t>
  </si>
  <si>
    <t>P10915</t>
  </si>
  <si>
    <t>2024/07/08</t>
  </si>
  <si>
    <t>P10916</t>
  </si>
  <si>
    <t>P10917</t>
  </si>
  <si>
    <t>2025/03/06</t>
  </si>
  <si>
    <t>P10918</t>
  </si>
  <si>
    <t>02-17-2024</t>
  </si>
  <si>
    <t>02-27-2024</t>
  </si>
  <si>
    <t>P10919</t>
  </si>
  <si>
    <t>23-Feb-2024</t>
  </si>
  <si>
    <t>p10920</t>
  </si>
  <si>
    <t>P10921</t>
  </si>
  <si>
    <t>03/07/2024</t>
  </si>
  <si>
    <t>P10922</t>
  </si>
  <si>
    <t>23/05/1963</t>
  </si>
  <si>
    <t>29/02/2024</t>
  </si>
  <si>
    <t>P10923</t>
  </si>
  <si>
    <t>2025/07/05</t>
  </si>
  <si>
    <t>P10924</t>
  </si>
  <si>
    <t>2025/03/07</t>
  </si>
  <si>
    <t>P10925</t>
  </si>
  <si>
    <t>25/07/1983</t>
  </si>
  <si>
    <t>P10926</t>
  </si>
  <si>
    <t>P10927</t>
  </si>
  <si>
    <t>12/07/2024</t>
  </si>
  <si>
    <t>P10928</t>
  </si>
  <si>
    <t>₹156,442.59</t>
  </si>
  <si>
    <t xml:space="preserve"> P10929 </t>
  </si>
  <si>
    <t>09-24-2023</t>
  </si>
  <si>
    <t>P10930</t>
  </si>
  <si>
    <t>2025/07/15</t>
  </si>
  <si>
    <t>₹113,547.63</t>
  </si>
  <si>
    <t>P10931</t>
  </si>
  <si>
    <t>P10932</t>
  </si>
  <si>
    <t>03-08-2023</t>
  </si>
  <si>
    <t>P10933</t>
  </si>
  <si>
    <t>08-Nov-1980</t>
  </si>
  <si>
    <t>P10934</t>
  </si>
  <si>
    <t>2023/12/10</t>
  </si>
  <si>
    <t>P10935</t>
  </si>
  <si>
    <t>09-25-1969</t>
  </si>
  <si>
    <t>226</t>
  </si>
  <si>
    <t>P10936</t>
  </si>
  <si>
    <t>1982/06/05</t>
  </si>
  <si>
    <t>P10937</t>
  </si>
  <si>
    <t>P10938</t>
  </si>
  <si>
    <t xml:space="preserve"> P10939 </t>
  </si>
  <si>
    <t>Diya Sharma</t>
  </si>
  <si>
    <t>P10940</t>
  </si>
  <si>
    <t>P10941</t>
  </si>
  <si>
    <t>P10942</t>
  </si>
  <si>
    <t xml:space="preserve"> Sneha Singh </t>
  </si>
  <si>
    <t>10-20-1994</t>
  </si>
  <si>
    <t>P10943</t>
  </si>
  <si>
    <t>2024/06/09</t>
  </si>
  <si>
    <t>P10944</t>
  </si>
  <si>
    <t>1990/01/27</t>
  </si>
  <si>
    <t>P10945</t>
  </si>
  <si>
    <t>15/08/2023</t>
  </si>
  <si>
    <t>P10946</t>
  </si>
  <si>
    <t>05/06/1980</t>
  </si>
  <si>
    <t>P10947</t>
  </si>
  <si>
    <t>P10948</t>
  </si>
  <si>
    <t>27/04/1975</t>
  </si>
  <si>
    <t>P10949</t>
  </si>
  <si>
    <t>02-22-2024</t>
  </si>
  <si>
    <t xml:space="preserve"> Gynecology </t>
  </si>
  <si>
    <t>P10950</t>
  </si>
  <si>
    <t>Kiran Naidu</t>
  </si>
  <si>
    <t xml:space="preserve"> P10951 </t>
  </si>
  <si>
    <t>02-26-2023</t>
  </si>
  <si>
    <t>P10952</t>
  </si>
  <si>
    <t>P10953</t>
  </si>
  <si>
    <t>P10954</t>
  </si>
  <si>
    <t>15/10/1973</t>
  </si>
  <si>
    <t>P10955</t>
  </si>
  <si>
    <t>P10956</t>
  </si>
  <si>
    <t>P10957</t>
  </si>
  <si>
    <t>P10958</t>
  </si>
  <si>
    <t>P10959</t>
  </si>
  <si>
    <t>20/09/2023</t>
  </si>
  <si>
    <t>25-Sep-2023</t>
  </si>
  <si>
    <t>P10960</t>
  </si>
  <si>
    <t>18/05/2023</t>
  </si>
  <si>
    <t>P10961</t>
  </si>
  <si>
    <t>P10962</t>
  </si>
  <si>
    <t>05-21-1978</t>
  </si>
  <si>
    <t>P10963</t>
  </si>
  <si>
    <t>1963/08/27</t>
  </si>
  <si>
    <t>P10964</t>
  </si>
  <si>
    <t>P10965</t>
  </si>
  <si>
    <t xml:space="preserve"> Nisha Verma </t>
  </si>
  <si>
    <t>16-Aug-2023</t>
  </si>
  <si>
    <t>P10966</t>
  </si>
  <si>
    <t>P10967</t>
  </si>
  <si>
    <t>P10968</t>
  </si>
  <si>
    <t>2004/02/16</t>
  </si>
  <si>
    <t>29/09/2024</t>
  </si>
  <si>
    <t>P10969</t>
  </si>
  <si>
    <t>P10970</t>
  </si>
  <si>
    <t>P10971</t>
  </si>
  <si>
    <t>Neha Naidu</t>
  </si>
  <si>
    <t>P10972</t>
  </si>
  <si>
    <t>1953/08/19</t>
  </si>
  <si>
    <t>08-Sep-2025</t>
  </si>
  <si>
    <t>P10973</t>
  </si>
  <si>
    <t>P10974</t>
  </si>
  <si>
    <t>25/08/1953</t>
  </si>
  <si>
    <t>P10975</t>
  </si>
  <si>
    <t>04-22-1995</t>
  </si>
  <si>
    <t>18-Jan-2023</t>
  </si>
  <si>
    <t>P10976</t>
  </si>
  <si>
    <t>P10977</t>
  </si>
  <si>
    <t>P10978</t>
  </si>
  <si>
    <t>2023/08/20</t>
  </si>
  <si>
    <t>P10979</t>
  </si>
  <si>
    <t>07-13-2024</t>
  </si>
  <si>
    <t>P10980</t>
  </si>
  <si>
    <t>07/04/2009</t>
  </si>
  <si>
    <t>P10981</t>
  </si>
  <si>
    <t>2023/08/21</t>
  </si>
  <si>
    <t>38</t>
  </si>
  <si>
    <t>P10982</t>
  </si>
  <si>
    <t>1987/02/11</t>
  </si>
  <si>
    <t>31/01/2025</t>
  </si>
  <si>
    <t>P10983</t>
  </si>
  <si>
    <t>P10984</t>
  </si>
  <si>
    <t>07-25-1971</t>
  </si>
  <si>
    <t>2024/09/21</t>
  </si>
  <si>
    <t>P10985</t>
  </si>
  <si>
    <t>2024/08/18</t>
  </si>
  <si>
    <t>₹93,076.92</t>
  </si>
  <si>
    <t>P10986</t>
  </si>
  <si>
    <t>P10987</t>
  </si>
  <si>
    <t>P10988</t>
  </si>
  <si>
    <t>P10989</t>
  </si>
  <si>
    <t>₹45,693.08</t>
  </si>
  <si>
    <t>P10990</t>
  </si>
  <si>
    <t>P10991</t>
  </si>
  <si>
    <t>18/04/2023</t>
  </si>
  <si>
    <t>P10992</t>
  </si>
  <si>
    <t>Rohan Mishra</t>
  </si>
  <si>
    <t>P10993</t>
  </si>
  <si>
    <t>01-30-2025</t>
  </si>
  <si>
    <t>P10994</t>
  </si>
  <si>
    <t>11/06/2023</t>
  </si>
  <si>
    <t>217</t>
  </si>
  <si>
    <t>P10995</t>
  </si>
  <si>
    <t>09-27-1955</t>
  </si>
  <si>
    <t>P10996</t>
  </si>
  <si>
    <t>12-Apr-1979</t>
  </si>
  <si>
    <t>05-10-2025</t>
  </si>
  <si>
    <t>₹57,431.41</t>
  </si>
  <si>
    <t>P10997</t>
  </si>
  <si>
    <t>P10998</t>
  </si>
  <si>
    <t>P10999</t>
  </si>
  <si>
    <t>₹147,571.92</t>
  </si>
  <si>
    <t>P11000</t>
  </si>
  <si>
    <t>₹28,823.26</t>
  </si>
  <si>
    <t>P11001</t>
  </si>
  <si>
    <t>P11002</t>
  </si>
  <si>
    <t>03-07-2004</t>
  </si>
  <si>
    <t>P11003</t>
  </si>
  <si>
    <t>09-27-1984</t>
  </si>
  <si>
    <t>22/03/2025</t>
  </si>
  <si>
    <t>P11004</t>
  </si>
  <si>
    <t>P11005</t>
  </si>
  <si>
    <t>P11006</t>
  </si>
  <si>
    <t>16/06/1967</t>
  </si>
  <si>
    <t>19-Sep-2023</t>
  </si>
  <si>
    <t>P11007</t>
  </si>
  <si>
    <t>1950/07/01</t>
  </si>
  <si>
    <t>P11008</t>
  </si>
  <si>
    <t>p11009</t>
  </si>
  <si>
    <t>96</t>
  </si>
  <si>
    <t>P11010</t>
  </si>
  <si>
    <t>P11011</t>
  </si>
  <si>
    <t>03-29-2024</t>
  </si>
  <si>
    <t>P11012</t>
  </si>
  <si>
    <t>26/09/2025</t>
  </si>
  <si>
    <t>P11013</t>
  </si>
  <si>
    <t>2025/07/07</t>
  </si>
  <si>
    <t>P11014</t>
  </si>
  <si>
    <t>P11015</t>
  </si>
  <si>
    <t>25/01/1989</t>
  </si>
  <si>
    <t>P11016</t>
  </si>
  <si>
    <t>p11017</t>
  </si>
  <si>
    <t>Ananya Mehta</t>
  </si>
  <si>
    <t>14/01/2024</t>
  </si>
  <si>
    <t>P11018</t>
  </si>
  <si>
    <t>P11019</t>
  </si>
  <si>
    <t>Kiran Mishra</t>
  </si>
  <si>
    <t>P11020</t>
  </si>
  <si>
    <t>2008/10/07</t>
  </si>
  <si>
    <t>70</t>
  </si>
  <si>
    <t>P11021</t>
  </si>
  <si>
    <t>P11022</t>
  </si>
  <si>
    <t>04-03-1983</t>
  </si>
  <si>
    <t>01-02-2024</t>
  </si>
  <si>
    <t>P11023</t>
  </si>
  <si>
    <t>₹239,356.28</t>
  </si>
  <si>
    <t>P11024</t>
  </si>
  <si>
    <t>P11025</t>
  </si>
  <si>
    <t>180</t>
  </si>
  <si>
    <t>P11026</t>
  </si>
  <si>
    <t>P11027</t>
  </si>
  <si>
    <t xml:space="preserve"> P11028 </t>
  </si>
  <si>
    <t>106</t>
  </si>
  <si>
    <t>P11029</t>
  </si>
  <si>
    <t>04/07/2023</t>
  </si>
  <si>
    <t>P11030</t>
  </si>
  <si>
    <t>08-27-2023</t>
  </si>
  <si>
    <t>P11031</t>
  </si>
  <si>
    <t>P11032</t>
  </si>
  <si>
    <t>05-Aug-2024</t>
  </si>
  <si>
    <t>P11033</t>
  </si>
  <si>
    <t>11-05-2024</t>
  </si>
  <si>
    <t>P11034</t>
  </si>
  <si>
    <t>07-04-1979</t>
  </si>
  <si>
    <t>P11035</t>
  </si>
  <si>
    <t>26-Nov-2009</t>
  </si>
  <si>
    <t>26-Mar-2025</t>
  </si>
  <si>
    <t>P11036</t>
  </si>
  <si>
    <t xml:space="preserve"> Rohan Mehta </t>
  </si>
  <si>
    <t>P11037</t>
  </si>
  <si>
    <t>2025/04/13</t>
  </si>
  <si>
    <t>P11038</t>
  </si>
  <si>
    <t>16/08/1981</t>
  </si>
  <si>
    <t>94</t>
  </si>
  <si>
    <t xml:space="preserve"> P11039 </t>
  </si>
  <si>
    <t>21/11/2024</t>
  </si>
  <si>
    <t>P11040</t>
  </si>
  <si>
    <t>04-25-1993</t>
  </si>
  <si>
    <t>21/04/2024</t>
  </si>
  <si>
    <t>P11041</t>
  </si>
  <si>
    <t xml:space="preserve"> Riya Rao </t>
  </si>
  <si>
    <t>P11042</t>
  </si>
  <si>
    <t xml:space="preserve"> Pooja Verma </t>
  </si>
  <si>
    <t>P11043</t>
  </si>
  <si>
    <t>07-18-2025</t>
  </si>
  <si>
    <t>P11044</t>
  </si>
  <si>
    <t>P11045</t>
  </si>
  <si>
    <t>P11046</t>
  </si>
  <si>
    <t>P11047</t>
  </si>
  <si>
    <t>P11048</t>
  </si>
  <si>
    <t>Neha Das</t>
  </si>
  <si>
    <t>04-08-2025</t>
  </si>
  <si>
    <t>₹74,700.88</t>
  </si>
  <si>
    <t xml:space="preserve"> P11049 </t>
  </si>
  <si>
    <t xml:space="preserve"> Sneha Joshi </t>
  </si>
  <si>
    <t>09-11-2003</t>
  </si>
  <si>
    <t>P11050</t>
  </si>
  <si>
    <t>01/06/1966</t>
  </si>
  <si>
    <t>13-Jun-2025</t>
  </si>
  <si>
    <t>P11051</t>
  </si>
  <si>
    <t>P11052</t>
  </si>
  <si>
    <t>P11053</t>
  </si>
  <si>
    <t>P11054</t>
  </si>
  <si>
    <t>10-23-1996</t>
  </si>
  <si>
    <t>2024/03/12</t>
  </si>
  <si>
    <t>P11055</t>
  </si>
  <si>
    <t>2008/02/12</t>
  </si>
  <si>
    <t>P11056</t>
  </si>
  <si>
    <t>P11057</t>
  </si>
  <si>
    <t>P11058</t>
  </si>
  <si>
    <t>10-30-2025</t>
  </si>
  <si>
    <t>P11059</t>
  </si>
  <si>
    <t>P11060</t>
  </si>
  <si>
    <t>P11061</t>
  </si>
  <si>
    <t xml:space="preserve"> Aarav Rao </t>
  </si>
  <si>
    <t>02/05/2000</t>
  </si>
  <si>
    <t>P11062</t>
  </si>
  <si>
    <t>20-Nov-2025</t>
  </si>
  <si>
    <t>29-Nov-2025</t>
  </si>
  <si>
    <t>P11063</t>
  </si>
  <si>
    <t>121</t>
  </si>
  <si>
    <t>P11064</t>
  </si>
  <si>
    <t>P11065</t>
  </si>
  <si>
    <t>P11066</t>
  </si>
  <si>
    <t>₹76,593.93</t>
  </si>
  <si>
    <t>P11067</t>
  </si>
  <si>
    <t>Kavya Naidu</t>
  </si>
  <si>
    <t>P11068</t>
  </si>
  <si>
    <t>P11069</t>
  </si>
  <si>
    <t>P11070</t>
  </si>
  <si>
    <t>01/04/2023</t>
  </si>
  <si>
    <t xml:space="preserve"> P11071 </t>
  </si>
  <si>
    <t>08/07/2023</t>
  </si>
  <si>
    <t>P11072</t>
  </si>
  <si>
    <t>P11073</t>
  </si>
  <si>
    <t>₹172,388.67</t>
  </si>
  <si>
    <t xml:space="preserve"> P11074 </t>
  </si>
  <si>
    <t>18/03/2024</t>
  </si>
  <si>
    <t>P11075</t>
  </si>
  <si>
    <t>P11076</t>
  </si>
  <si>
    <t>P11077</t>
  </si>
  <si>
    <t>P11078</t>
  </si>
  <si>
    <t>23-Jun-1971</t>
  </si>
  <si>
    <t>153</t>
  </si>
  <si>
    <t>P11079</t>
  </si>
  <si>
    <t>04-27-2025</t>
  </si>
  <si>
    <t>73</t>
  </si>
  <si>
    <t>P11080</t>
  </si>
  <si>
    <t>P11081</t>
  </si>
  <si>
    <t>P11082</t>
  </si>
  <si>
    <t>Ananya Das</t>
  </si>
  <si>
    <t>12-Aug-2025</t>
  </si>
  <si>
    <t>P11083</t>
  </si>
  <si>
    <t>₹214,467.64</t>
  </si>
  <si>
    <t>P11084</t>
  </si>
  <si>
    <t>P11085</t>
  </si>
  <si>
    <t>2023/09/05</t>
  </si>
  <si>
    <t>P11086</t>
  </si>
  <si>
    <t>09-15-2025</t>
  </si>
  <si>
    <t>P11087</t>
  </si>
  <si>
    <t>₹227,864.72</t>
  </si>
  <si>
    <t>P11088</t>
  </si>
  <si>
    <t>12-03-2025</t>
  </si>
  <si>
    <t>P11089</t>
  </si>
  <si>
    <t>P11090</t>
  </si>
  <si>
    <t>1977/03/13</t>
  </si>
  <si>
    <t>62</t>
  </si>
  <si>
    <t>P11091</t>
  </si>
  <si>
    <t>1997/08/12</t>
  </si>
  <si>
    <t>08-Sep-2023</t>
  </si>
  <si>
    <t>209</t>
  </si>
  <si>
    <t>p11092</t>
  </si>
  <si>
    <t xml:space="preserve"> P11093 </t>
  </si>
  <si>
    <t>07-Sep-2006</t>
  </si>
  <si>
    <t>P11094</t>
  </si>
  <si>
    <t>P11095</t>
  </si>
  <si>
    <t>47</t>
  </si>
  <si>
    <t>P11096</t>
  </si>
  <si>
    <t>2024/04/12</t>
  </si>
  <si>
    <t>P11097</t>
  </si>
  <si>
    <t>1986/11/14</t>
  </si>
  <si>
    <t>P11098</t>
  </si>
  <si>
    <t>08/07/1992</t>
  </si>
  <si>
    <t>P11099</t>
  </si>
  <si>
    <t>07/08/1997</t>
  </si>
  <si>
    <t>P11100</t>
  </si>
  <si>
    <t>P11101</t>
  </si>
  <si>
    <t>P11102</t>
  </si>
  <si>
    <t>1969/04/12</t>
  </si>
  <si>
    <t>P11103</t>
  </si>
  <si>
    <t>11/09/2023</t>
  </si>
  <si>
    <t>P11104</t>
  </si>
  <si>
    <t>103</t>
  </si>
  <si>
    <t>P11105</t>
  </si>
  <si>
    <t>02-Sep-2023</t>
  </si>
  <si>
    <t>₹219,579.08</t>
  </si>
  <si>
    <t>P11106</t>
  </si>
  <si>
    <t>P11107</t>
  </si>
  <si>
    <t>P11108</t>
  </si>
  <si>
    <t>P11109</t>
  </si>
  <si>
    <t>02/09/2005</t>
  </si>
  <si>
    <t>13/08/2024</t>
  </si>
  <si>
    <t>P11110</t>
  </si>
  <si>
    <t>20/05/2025</t>
  </si>
  <si>
    <t>₹5,359.83</t>
  </si>
  <si>
    <t>P11111</t>
  </si>
  <si>
    <t>05-May-1955</t>
  </si>
  <si>
    <t>02-02-2023</t>
  </si>
  <si>
    <t>P11112</t>
  </si>
  <si>
    <t>10-01-1970</t>
  </si>
  <si>
    <t>16/10/2023</t>
  </si>
  <si>
    <t>P11113</t>
  </si>
  <si>
    <t>P11114</t>
  </si>
  <si>
    <t>2023/04/26</t>
  </si>
  <si>
    <t>P11115</t>
  </si>
  <si>
    <t>08-Apr-2024</t>
  </si>
  <si>
    <t>₹215,874.60</t>
  </si>
  <si>
    <t>P11116</t>
  </si>
  <si>
    <t>P11117</t>
  </si>
  <si>
    <t>05-Feb-2024</t>
  </si>
  <si>
    <t>P11118</t>
  </si>
  <si>
    <t>P11119</t>
  </si>
  <si>
    <t>₹56,917.26</t>
  </si>
  <si>
    <t>P11120</t>
  </si>
  <si>
    <t>1956/02/22</t>
  </si>
  <si>
    <t xml:space="preserve"> P11121 </t>
  </si>
  <si>
    <t>08-17-1955</t>
  </si>
  <si>
    <t>P11122</t>
  </si>
  <si>
    <t>02-28-2024</t>
  </si>
  <si>
    <t>03/03/2024</t>
  </si>
  <si>
    <t>P11123</t>
  </si>
  <si>
    <t>26/03/1957</t>
  </si>
  <si>
    <t>2023/09/22</t>
  </si>
  <si>
    <t>107</t>
  </si>
  <si>
    <t>P11124</t>
  </si>
  <si>
    <t>22-Dec-2024</t>
  </si>
  <si>
    <t>P11125</t>
  </si>
  <si>
    <t>Aarav Rao</t>
  </si>
  <si>
    <t>08/12/1995</t>
  </si>
  <si>
    <t>97</t>
  </si>
  <si>
    <t>P11126</t>
  </si>
  <si>
    <t>11/06/2025</t>
  </si>
  <si>
    <t>P11127</t>
  </si>
  <si>
    <t>13/10/2025</t>
  </si>
  <si>
    <t>P11128</t>
  </si>
  <si>
    <t>P11129</t>
  </si>
  <si>
    <t>15-Jan-2025</t>
  </si>
  <si>
    <t>₹224,211.77</t>
  </si>
  <si>
    <t>P11130</t>
  </si>
  <si>
    <t>P11131</t>
  </si>
  <si>
    <t xml:space="preserve"> Kavya Naidu </t>
  </si>
  <si>
    <t>05-16-1967</t>
  </si>
  <si>
    <t>P11132</t>
  </si>
  <si>
    <t>21/06/2005</t>
  </si>
  <si>
    <t>15/03/2023</t>
  </si>
  <si>
    <t>P11133</t>
  </si>
  <si>
    <t>1973/04/18</t>
  </si>
  <si>
    <t>P11134</t>
  </si>
  <si>
    <t>2003/01/11</t>
  </si>
  <si>
    <t>31-Jul-2023</t>
  </si>
  <si>
    <t>₹59,539.09</t>
  </si>
  <si>
    <t>P11135</t>
  </si>
  <si>
    <t>P11136</t>
  </si>
  <si>
    <t xml:space="preserve"> P11137 </t>
  </si>
  <si>
    <t>P11138</t>
  </si>
  <si>
    <t>20-Apr-2025</t>
  </si>
  <si>
    <t>140</t>
  </si>
  <si>
    <t xml:space="preserve"> P11139 </t>
  </si>
  <si>
    <t>11-01-1994</t>
  </si>
  <si>
    <t>08-19-2024</t>
  </si>
  <si>
    <t>P11140</t>
  </si>
  <si>
    <t>P11141</t>
  </si>
  <si>
    <t>03-08-2002</t>
  </si>
  <si>
    <t>P11142</t>
  </si>
  <si>
    <t>18-Nov-1955</t>
  </si>
  <si>
    <t>P11143</t>
  </si>
  <si>
    <t>12-05-2010</t>
  </si>
  <si>
    <t>P11144</t>
  </si>
  <si>
    <t>11-20-2024</t>
  </si>
  <si>
    <t xml:space="preserve"> P11145 </t>
  </si>
  <si>
    <t>1982/10/05</t>
  </si>
  <si>
    <t>06-Jun-2024</t>
  </si>
  <si>
    <t>₹9,123.64</t>
  </si>
  <si>
    <t>P11146</t>
  </si>
  <si>
    <t>10-Jul-2024</t>
  </si>
  <si>
    <t>P11147</t>
  </si>
  <si>
    <t>08-19-2023</t>
  </si>
  <si>
    <t>₹165,600.28</t>
  </si>
  <si>
    <t>P11148</t>
  </si>
  <si>
    <t>10/02/1962</t>
  </si>
  <si>
    <t>P11149</t>
  </si>
  <si>
    <t>P11150</t>
  </si>
  <si>
    <t>P11151</t>
  </si>
  <si>
    <t>10-02-1981</t>
  </si>
  <si>
    <t>15-Jan-2024</t>
  </si>
  <si>
    <t>P11152</t>
  </si>
  <si>
    <t>11-15-2025</t>
  </si>
  <si>
    <t>P11153</t>
  </si>
  <si>
    <t>P11154</t>
  </si>
  <si>
    <t>2004/09/19</t>
  </si>
  <si>
    <t>234</t>
  </si>
  <si>
    <t xml:space="preserve"> P11155 </t>
  </si>
  <si>
    <t>07-08-2024</t>
  </si>
  <si>
    <t>P11156</t>
  </si>
  <si>
    <t>71</t>
  </si>
  <si>
    <t>P11157</t>
  </si>
  <si>
    <t>22/07/2025</t>
  </si>
  <si>
    <t>26/07/2025</t>
  </si>
  <si>
    <t>P11158</t>
  </si>
  <si>
    <t>P11159</t>
  </si>
  <si>
    <t>P11160</t>
  </si>
  <si>
    <t>11-15-2023</t>
  </si>
  <si>
    <t>P11161</t>
  </si>
  <si>
    <t>P11162</t>
  </si>
  <si>
    <t>10-01-1977</t>
  </si>
  <si>
    <t xml:space="preserve"> P11163 </t>
  </si>
  <si>
    <t>P11164</t>
  </si>
  <si>
    <t>P11165</t>
  </si>
  <si>
    <t xml:space="preserve"> P11166 </t>
  </si>
  <si>
    <t>28-Apr-2023</t>
  </si>
  <si>
    <t>2023/05/10</t>
  </si>
  <si>
    <t>P11167</t>
  </si>
  <si>
    <t>P11168</t>
  </si>
  <si>
    <t>P11169</t>
  </si>
  <si>
    <t>P11170</t>
  </si>
  <si>
    <t>P11171</t>
  </si>
  <si>
    <t>₹78,456.50</t>
  </si>
  <si>
    <t>P11172</t>
  </si>
  <si>
    <t>10-19-1976</t>
  </si>
  <si>
    <t>P11173</t>
  </si>
  <si>
    <t>P11174</t>
  </si>
  <si>
    <t>P11175</t>
  </si>
  <si>
    <t>P11176</t>
  </si>
  <si>
    <t>P11177</t>
  </si>
  <si>
    <t>19/10/2025</t>
  </si>
  <si>
    <t>2025/10/21</t>
  </si>
  <si>
    <t>P11178</t>
  </si>
  <si>
    <t>P11179</t>
  </si>
  <si>
    <t>04/06/1986</t>
  </si>
  <si>
    <t>12/03/2025</t>
  </si>
  <si>
    <t>P11180</t>
  </si>
  <si>
    <t>2023/01/26</t>
  </si>
  <si>
    <t>P11181</t>
  </si>
  <si>
    <t xml:space="preserve"> Arjun Das </t>
  </si>
  <si>
    <t>06-May-1991</t>
  </si>
  <si>
    <t>07-07-2024</t>
  </si>
  <si>
    <t>P11182</t>
  </si>
  <si>
    <t>09-11-2024</t>
  </si>
  <si>
    <t>P11183</t>
  </si>
  <si>
    <t>P11184</t>
  </si>
  <si>
    <t>1990/04/25</t>
  </si>
  <si>
    <t>P11185</t>
  </si>
  <si>
    <t>P11186</t>
  </si>
  <si>
    <t>12-Jul-1961</t>
  </si>
  <si>
    <t>p11187</t>
  </si>
  <si>
    <t>14-Nov-1985</t>
  </si>
  <si>
    <t>11-22-2025</t>
  </si>
  <si>
    <t>P11188</t>
  </si>
  <si>
    <t>08-28-2002</t>
  </si>
  <si>
    <t>23-Jan-2023</t>
  </si>
  <si>
    <t>p11189</t>
  </si>
  <si>
    <t>P11190</t>
  </si>
  <si>
    <t>25-Jul-1964</t>
  </si>
  <si>
    <t>30/12/2024</t>
  </si>
  <si>
    <t>P11191</t>
  </si>
  <si>
    <t>05-27-2023</t>
  </si>
  <si>
    <t>P11192</t>
  </si>
  <si>
    <t>10-Nov-2025</t>
  </si>
  <si>
    <t>P11193</t>
  </si>
  <si>
    <t>P11194</t>
  </si>
  <si>
    <t>P11195</t>
  </si>
  <si>
    <t>26/07/1981</t>
  </si>
  <si>
    <t>06-24-2023</t>
  </si>
  <si>
    <t>P11196</t>
  </si>
  <si>
    <t>₹103,947.58</t>
  </si>
  <si>
    <t>P11197</t>
  </si>
  <si>
    <t>04-19-1989</t>
  </si>
  <si>
    <t>P11198</t>
  </si>
  <si>
    <t>P11199</t>
  </si>
  <si>
    <t>₹195,457.44</t>
  </si>
  <si>
    <t xml:space="preserve"> P11200 </t>
  </si>
  <si>
    <t>p11201</t>
  </si>
  <si>
    <t>01-15-1964</t>
  </si>
  <si>
    <t>05-15-2024</t>
  </si>
  <si>
    <t>P11202</t>
  </si>
  <si>
    <t>₹232,450.09</t>
  </si>
  <si>
    <t>P11203</t>
  </si>
  <si>
    <t>09/07/2024</t>
  </si>
  <si>
    <t>17/07/2024</t>
  </si>
  <si>
    <t>125</t>
  </si>
  <si>
    <t>P11204</t>
  </si>
  <si>
    <t>1990/03/01</t>
  </si>
  <si>
    <t>P11205</t>
  </si>
  <si>
    <t>P11206</t>
  </si>
  <si>
    <t>P11207</t>
  </si>
  <si>
    <t>P11208</t>
  </si>
  <si>
    <t>P11209</t>
  </si>
  <si>
    <t>P11210</t>
  </si>
  <si>
    <t>P11211</t>
  </si>
  <si>
    <t>2023/10/25</t>
  </si>
  <si>
    <t>P11212</t>
  </si>
  <si>
    <t>26-Sep-2023</t>
  </si>
  <si>
    <t>P11213</t>
  </si>
  <si>
    <t>P11214</t>
  </si>
  <si>
    <t>P11215</t>
  </si>
  <si>
    <t>2023/11/24</t>
  </si>
  <si>
    <t>P11216</t>
  </si>
  <si>
    <t>01-05-1999</t>
  </si>
  <si>
    <t>P11217</t>
  </si>
  <si>
    <t>1982/11/18</t>
  </si>
  <si>
    <t>P11218</t>
  </si>
  <si>
    <t>P11219</t>
  </si>
  <si>
    <t>₹80,379.70</t>
  </si>
  <si>
    <t>P11220</t>
  </si>
  <si>
    <t>P11221</t>
  </si>
  <si>
    <t>P11222</t>
  </si>
  <si>
    <t>02/01/2023</t>
  </si>
  <si>
    <t>P11223</t>
  </si>
  <si>
    <t>26/12/2005</t>
  </si>
  <si>
    <t>P11224</t>
  </si>
  <si>
    <t>27/07/2025</t>
  </si>
  <si>
    <t>P11225</t>
  </si>
  <si>
    <t>P11226</t>
  </si>
  <si>
    <t>P11227</t>
  </si>
  <si>
    <t>P11228</t>
  </si>
  <si>
    <t>P11229</t>
  </si>
  <si>
    <t>2023/02/26</t>
  </si>
  <si>
    <t>P11230</t>
  </si>
  <si>
    <t>159</t>
  </si>
  <si>
    <t>P11231</t>
  </si>
  <si>
    <t>05-29-2025</t>
  </si>
  <si>
    <t>P11232</t>
  </si>
  <si>
    <t>P11233</t>
  </si>
  <si>
    <t>P11234</t>
  </si>
  <si>
    <t>01-26-2025</t>
  </si>
  <si>
    <t>P11235</t>
  </si>
  <si>
    <t>1998/08/16</t>
  </si>
  <si>
    <t>P11236</t>
  </si>
  <si>
    <t xml:space="preserve"> Diya Gupta </t>
  </si>
  <si>
    <t>P11237</t>
  </si>
  <si>
    <t>P11238</t>
  </si>
  <si>
    <t>P11239</t>
  </si>
  <si>
    <t>2024/10/16</t>
  </si>
  <si>
    <t>₹188,275.94</t>
  </si>
  <si>
    <t>P11240</t>
  </si>
  <si>
    <t>₹47,993.10</t>
  </si>
  <si>
    <t>P11241</t>
  </si>
  <si>
    <t>P11242</t>
  </si>
  <si>
    <t>01-24-2025</t>
  </si>
  <si>
    <t>P11243</t>
  </si>
  <si>
    <t>26-Jan-2025</t>
  </si>
  <si>
    <t>P11244</t>
  </si>
  <si>
    <t>P11245</t>
  </si>
  <si>
    <t>P11246</t>
  </si>
  <si>
    <t>1955/09/02</t>
  </si>
  <si>
    <t>P11247</t>
  </si>
  <si>
    <t>11-10-1964</t>
  </si>
  <si>
    <t>13/07/2024</t>
  </si>
  <si>
    <t>2024/07/15</t>
  </si>
  <si>
    <t>P11248</t>
  </si>
  <si>
    <t>1960/01/03</t>
  </si>
  <si>
    <t>2025/02/28</t>
  </si>
  <si>
    <t>07-Mar-2025</t>
  </si>
  <si>
    <t xml:space="preserve"> P11249 </t>
  </si>
  <si>
    <t>P11250</t>
  </si>
  <si>
    <t>09-24-2024</t>
  </si>
  <si>
    <t>P11251</t>
  </si>
  <si>
    <t>50</t>
  </si>
  <si>
    <t>P11252</t>
  </si>
  <si>
    <t>29-Mar-2023</t>
  </si>
  <si>
    <t>P11253</t>
  </si>
  <si>
    <t>P11254</t>
  </si>
  <si>
    <t>P11255</t>
  </si>
  <si>
    <t>2023/12/09</t>
  </si>
  <si>
    <t>P11256</t>
  </si>
  <si>
    <t>P11257</t>
  </si>
  <si>
    <t>06/06/2024</t>
  </si>
  <si>
    <t>₹27,200.11</t>
  </si>
  <si>
    <t>P11258</t>
  </si>
  <si>
    <t>P11259</t>
  </si>
  <si>
    <t xml:space="preserve"> P11260 </t>
  </si>
  <si>
    <t>27/03/2025</t>
  </si>
  <si>
    <t>P11261</t>
  </si>
  <si>
    <t>04-Jan-1967</t>
  </si>
  <si>
    <t>25/06/2024</t>
  </si>
  <si>
    <t>P11262</t>
  </si>
  <si>
    <t>05-May-2005</t>
  </si>
  <si>
    <t>P11263</t>
  </si>
  <si>
    <t>P11264</t>
  </si>
  <si>
    <t>1961/11/08</t>
  </si>
  <si>
    <t>P11265</t>
  </si>
  <si>
    <t>1950/07/14</t>
  </si>
  <si>
    <t xml:space="preserve"> P11266 </t>
  </si>
  <si>
    <t>07-02-1955</t>
  </si>
  <si>
    <t>P11267</t>
  </si>
  <si>
    <t>P11268</t>
  </si>
  <si>
    <t>₹176,326.09</t>
  </si>
  <si>
    <t>P11269</t>
  </si>
  <si>
    <t>₹16,279.52</t>
  </si>
  <si>
    <t>P11270</t>
  </si>
  <si>
    <t>P11271</t>
  </si>
  <si>
    <t>2024/11/10</t>
  </si>
  <si>
    <t>P11272</t>
  </si>
  <si>
    <t>P11273</t>
  </si>
  <si>
    <t>P11274</t>
  </si>
  <si>
    <t>P11275</t>
  </si>
  <si>
    <t>02-Jul-1955</t>
  </si>
  <si>
    <t>05-17-2024</t>
  </si>
  <si>
    <t>P11276</t>
  </si>
  <si>
    <t>16/07/1965</t>
  </si>
  <si>
    <t>P11277</t>
  </si>
  <si>
    <t>P11278</t>
  </si>
  <si>
    <t>45</t>
  </si>
  <si>
    <t xml:space="preserve"> P11279 </t>
  </si>
  <si>
    <t>10/03/2023</t>
  </si>
  <si>
    <t>P11280</t>
  </si>
  <si>
    <t>30-Jul-2024</t>
  </si>
  <si>
    <t>P11281</t>
  </si>
  <si>
    <t>08-20-1980</t>
  </si>
  <si>
    <t>2024/12/12</t>
  </si>
  <si>
    <t>₹234,874.27</t>
  </si>
  <si>
    <t>P11282</t>
  </si>
  <si>
    <t>P11283</t>
  </si>
  <si>
    <t>1971/02/12</t>
  </si>
  <si>
    <t>₹91,247.03</t>
  </si>
  <si>
    <t>P11284</t>
  </si>
  <si>
    <t>2025/04/26</t>
  </si>
  <si>
    <t>P11285</t>
  </si>
  <si>
    <t>09-13-2025</t>
  </si>
  <si>
    <t>P11286</t>
  </si>
  <si>
    <t>19/07/1968</t>
  </si>
  <si>
    <t>2023/01/21</t>
  </si>
  <si>
    <t>P11287</t>
  </si>
  <si>
    <t>1996/05/06</t>
  </si>
  <si>
    <t>12-12-2025</t>
  </si>
  <si>
    <t>₹209,928.74</t>
  </si>
  <si>
    <t>P11288</t>
  </si>
  <si>
    <t>18-Feb-1955</t>
  </si>
  <si>
    <t>₹214,594.52</t>
  </si>
  <si>
    <t>P11289</t>
  </si>
  <si>
    <t>04-21-1951</t>
  </si>
  <si>
    <t>P11290</t>
  </si>
  <si>
    <t>23/11/1972</t>
  </si>
  <si>
    <t>14/02/2024</t>
  </si>
  <si>
    <t>P11291</t>
  </si>
  <si>
    <t xml:space="preserve"> P11292 </t>
  </si>
  <si>
    <t>P11293</t>
  </si>
  <si>
    <t>05-Jul-2023</t>
  </si>
  <si>
    <t>171</t>
  </si>
  <si>
    <t>P11294</t>
  </si>
  <si>
    <t>1981/09/02</t>
  </si>
  <si>
    <t>P11295</t>
  </si>
  <si>
    <t>26-Jul-2023</t>
  </si>
  <si>
    <t>P11296</t>
  </si>
  <si>
    <t>P11297</t>
  </si>
  <si>
    <t>08-14-2025</t>
  </si>
  <si>
    <t xml:space="preserve"> P11298 </t>
  </si>
  <si>
    <t>P11299</t>
  </si>
  <si>
    <t>02-27-1968</t>
  </si>
  <si>
    <t>01-07-2024</t>
  </si>
  <si>
    <t xml:space="preserve"> P11300 </t>
  </si>
  <si>
    <t>Rahul Sharma</t>
  </si>
  <si>
    <t>08-21-2025</t>
  </si>
  <si>
    <t>P11301</t>
  </si>
  <si>
    <t>P11302</t>
  </si>
  <si>
    <t>P11303</t>
  </si>
  <si>
    <t>08-24-1972</t>
  </si>
  <si>
    <t>07-Sep-2024</t>
  </si>
  <si>
    <t>09-17-2024</t>
  </si>
  <si>
    <t xml:space="preserve"> P11304 </t>
  </si>
  <si>
    <t>16-Jul-1997</t>
  </si>
  <si>
    <t>P11305</t>
  </si>
  <si>
    <t>19-Sep-1999</t>
  </si>
  <si>
    <t>13-Nov-2023</t>
  </si>
  <si>
    <t>P11306</t>
  </si>
  <si>
    <t>09-Mar-2025</t>
  </si>
  <si>
    <t>P11307</t>
  </si>
  <si>
    <t>2024/07/31</t>
  </si>
  <si>
    <t>₹128,831.10</t>
  </si>
  <si>
    <t>p11308</t>
  </si>
  <si>
    <t>P11309</t>
  </si>
  <si>
    <t>2024/10/04</t>
  </si>
  <si>
    <t>P11310</t>
  </si>
  <si>
    <t>P11311</t>
  </si>
  <si>
    <t>P11312</t>
  </si>
  <si>
    <t>P11313</t>
  </si>
  <si>
    <t>16/10/2024</t>
  </si>
  <si>
    <t>01/11/2024</t>
  </si>
  <si>
    <t>P11314</t>
  </si>
  <si>
    <t>22/04/1960</t>
  </si>
  <si>
    <t>03-06-2023</t>
  </si>
  <si>
    <t>P11315</t>
  </si>
  <si>
    <t>01/03/1961</t>
  </si>
  <si>
    <t>04-Jan-2024</t>
  </si>
  <si>
    <t>P11316</t>
  </si>
  <si>
    <t>P11317</t>
  </si>
  <si>
    <t>1959/12/18</t>
  </si>
  <si>
    <t>P11318</t>
  </si>
  <si>
    <t>64</t>
  </si>
  <si>
    <t>P11319</t>
  </si>
  <si>
    <t>P11320</t>
  </si>
  <si>
    <t>P11321</t>
  </si>
  <si>
    <t>120</t>
  </si>
  <si>
    <t>P11322</t>
  </si>
  <si>
    <t>30/09/2024</t>
  </si>
  <si>
    <t>P11323</t>
  </si>
  <si>
    <t xml:space="preserve"> P11324 </t>
  </si>
  <si>
    <t>P11325</t>
  </si>
  <si>
    <t>1960/08/25</t>
  </si>
  <si>
    <t>2025/12/29</t>
  </si>
  <si>
    <t>₹238,932.65</t>
  </si>
  <si>
    <t>P11326</t>
  </si>
  <si>
    <t>1983/06/12</t>
  </si>
  <si>
    <t>P11327</t>
  </si>
  <si>
    <t>P11328</t>
  </si>
  <si>
    <t>27-Aug-1982</t>
  </si>
  <si>
    <t>P11329</t>
  </si>
  <si>
    <t>02/01/2000</t>
  </si>
  <si>
    <t>P11330</t>
  </si>
  <si>
    <t>14/11/2025</t>
  </si>
  <si>
    <t>P11331</t>
  </si>
  <si>
    <t>P11332</t>
  </si>
  <si>
    <t>08-10-2024</t>
  </si>
  <si>
    <t>P11333</t>
  </si>
  <si>
    <t>₹90,832.28</t>
  </si>
  <si>
    <t>P11334</t>
  </si>
  <si>
    <t>04-11-1999</t>
  </si>
  <si>
    <t>₹39,741.11</t>
  </si>
  <si>
    <t>P11335</t>
  </si>
  <si>
    <t>11-Oct-1966</t>
  </si>
  <si>
    <t>2024/03/22</t>
  </si>
  <si>
    <t>P11336</t>
  </si>
  <si>
    <t>03-26-1965</t>
  </si>
  <si>
    <t>10-17-2023</t>
  </si>
  <si>
    <t>P11337</t>
  </si>
  <si>
    <t>13/03/2001</t>
  </si>
  <si>
    <t>25-Nov-2025</t>
  </si>
  <si>
    <t>P11338</t>
  </si>
  <si>
    <t>12-16-2024</t>
  </si>
  <si>
    <t>P11339</t>
  </si>
  <si>
    <t>12-22-1959</t>
  </si>
  <si>
    <t>11/12/2024</t>
  </si>
  <si>
    <t>P11340</t>
  </si>
  <si>
    <t>11-Jan-2025</t>
  </si>
  <si>
    <t>P11341</t>
  </si>
  <si>
    <t>08-29-2025</t>
  </si>
  <si>
    <t>₹65,531.60</t>
  </si>
  <si>
    <t>P11342</t>
  </si>
  <si>
    <t>07-30-2024</t>
  </si>
  <si>
    <t>P11343</t>
  </si>
  <si>
    <t>P11344</t>
  </si>
  <si>
    <t>24/01/2025</t>
  </si>
  <si>
    <t>P11345</t>
  </si>
  <si>
    <t>₹186,065.62</t>
  </si>
  <si>
    <t>172</t>
  </si>
  <si>
    <t>P11346</t>
  </si>
  <si>
    <t>18-Jul-2025</t>
  </si>
  <si>
    <t>P11347</t>
  </si>
  <si>
    <t>Nisha Naidu</t>
  </si>
  <si>
    <t>2024/08/22</t>
  </si>
  <si>
    <t>197</t>
  </si>
  <si>
    <t>P11348</t>
  </si>
  <si>
    <t>P11349</t>
  </si>
  <si>
    <t>07/08/1967</t>
  </si>
  <si>
    <t>P11350</t>
  </si>
  <si>
    <t>P11351</t>
  </si>
  <si>
    <t>17/11/2023</t>
  </si>
  <si>
    <t>23/11/2023</t>
  </si>
  <si>
    <t>P11352</t>
  </si>
  <si>
    <t xml:space="preserve"> P11353 </t>
  </si>
  <si>
    <t>P11354</t>
  </si>
  <si>
    <t>25-Dec-2025</t>
  </si>
  <si>
    <t>01-09-2026</t>
  </si>
  <si>
    <t>P11355</t>
  </si>
  <si>
    <t xml:space="preserve"> P11356 </t>
  </si>
  <si>
    <t>P11357</t>
  </si>
  <si>
    <t>P11358</t>
  </si>
  <si>
    <t>07/10/1982</t>
  </si>
  <si>
    <t>P11359</t>
  </si>
  <si>
    <t>Rohan Singh</t>
  </si>
  <si>
    <t>P11360</t>
  </si>
  <si>
    <t>04-19-2025</t>
  </si>
  <si>
    <t>P11361</t>
  </si>
  <si>
    <t>P11362</t>
  </si>
  <si>
    <t>2024/09/07</t>
  </si>
  <si>
    <t>P11363</t>
  </si>
  <si>
    <t>P11364</t>
  </si>
  <si>
    <t xml:space="preserve"> Priya Joshi </t>
  </si>
  <si>
    <t>P11365</t>
  </si>
  <si>
    <t>07-Sep-2025</t>
  </si>
  <si>
    <t>16-Sep-2025</t>
  </si>
  <si>
    <t>P11366</t>
  </si>
  <si>
    <t>06/12/1958</t>
  </si>
  <si>
    <t>25-Mar-2023</t>
  </si>
  <si>
    <t>P11367</t>
  </si>
  <si>
    <t xml:space="preserve"> Diya Patel </t>
  </si>
  <si>
    <t>04-02-1964</t>
  </si>
  <si>
    <t>04-23-2025</t>
  </si>
  <si>
    <t>P11368</t>
  </si>
  <si>
    <t>04-24-2023</t>
  </si>
  <si>
    <t>P11369</t>
  </si>
  <si>
    <t xml:space="preserve"> Aarav Das </t>
  </si>
  <si>
    <t>1951/08/20</t>
  </si>
  <si>
    <t>18-Apr-2024</t>
  </si>
  <si>
    <t>P11370</t>
  </si>
  <si>
    <t xml:space="preserve"> Neha Joshi </t>
  </si>
  <si>
    <t>P11371</t>
  </si>
  <si>
    <t>P11372</t>
  </si>
  <si>
    <t>01-31-2024</t>
  </si>
  <si>
    <t>P11373</t>
  </si>
  <si>
    <t>P11374</t>
  </si>
  <si>
    <t>₹184,447.74</t>
  </si>
  <si>
    <t>P11375</t>
  </si>
  <si>
    <t xml:space="preserve"> Neha Iyer </t>
  </si>
  <si>
    <t>P11376</t>
  </si>
  <si>
    <t>24/09/2025</t>
  </si>
  <si>
    <t>P11377</t>
  </si>
  <si>
    <t>₹158,911.67</t>
  </si>
  <si>
    <t>P11378</t>
  </si>
  <si>
    <t>P11379</t>
  </si>
  <si>
    <t>10-Oct-2024</t>
  </si>
  <si>
    <t>P11380</t>
  </si>
  <si>
    <t>28-Jan-1971</t>
  </si>
  <si>
    <t>2024/06/26</t>
  </si>
  <si>
    <t>P11381</t>
  </si>
  <si>
    <t>P11382</t>
  </si>
  <si>
    <t>36</t>
  </si>
  <si>
    <t>P11383</t>
  </si>
  <si>
    <t>09-06-1991</t>
  </si>
  <si>
    <t>P11384</t>
  </si>
  <si>
    <t>P11385</t>
  </si>
  <si>
    <t>11-Nov-2008</t>
  </si>
  <si>
    <t>P11386</t>
  </si>
  <si>
    <t>08-13-2024</t>
  </si>
  <si>
    <t>P11387</t>
  </si>
  <si>
    <t>1987/02/01</t>
  </si>
  <si>
    <t>P11388</t>
  </si>
  <si>
    <t>P11389</t>
  </si>
  <si>
    <t>P11390</t>
  </si>
  <si>
    <t>P11391</t>
  </si>
  <si>
    <t>04/01/1966</t>
  </si>
  <si>
    <t>30/08/2024</t>
  </si>
  <si>
    <t>P11392</t>
  </si>
  <si>
    <t>P11393</t>
  </si>
  <si>
    <t>P11394</t>
  </si>
  <si>
    <t>P11395</t>
  </si>
  <si>
    <t>26/08/1976</t>
  </si>
  <si>
    <t>05-03-2024</t>
  </si>
  <si>
    <t>p11396</t>
  </si>
  <si>
    <t>P11397</t>
  </si>
  <si>
    <t>09-04-2025</t>
  </si>
  <si>
    <t>79</t>
  </si>
  <si>
    <t>P11398</t>
  </si>
  <si>
    <t>Aarav Das</t>
  </si>
  <si>
    <t>11/10/1975</t>
  </si>
  <si>
    <t>09-27-2024</t>
  </si>
  <si>
    <t>P11399</t>
  </si>
  <si>
    <t>05-26-2024</t>
  </si>
  <si>
    <t>P11400</t>
  </si>
  <si>
    <t>20/08/2024</t>
  </si>
  <si>
    <t>2024/09/02</t>
  </si>
  <si>
    <t>P11401</t>
  </si>
  <si>
    <t>10-11-2025</t>
  </si>
  <si>
    <t>P11402</t>
  </si>
  <si>
    <t>10-31-2025</t>
  </si>
  <si>
    <t>P11403</t>
  </si>
  <si>
    <t>P11404</t>
  </si>
  <si>
    <t>P11405</t>
  </si>
  <si>
    <t>P11406</t>
  </si>
  <si>
    <t>P11407</t>
  </si>
  <si>
    <t>P11408</t>
  </si>
  <si>
    <t>2024/12/29</t>
  </si>
  <si>
    <t>P11409</t>
  </si>
  <si>
    <t>P11410</t>
  </si>
  <si>
    <t>2023/12/14</t>
  </si>
  <si>
    <t>P11411</t>
  </si>
  <si>
    <t>P11412</t>
  </si>
  <si>
    <t>P11413</t>
  </si>
  <si>
    <t>P11414</t>
  </si>
  <si>
    <t>08/06/2023</t>
  </si>
  <si>
    <t>P11415</t>
  </si>
  <si>
    <t>₹179,834.83</t>
  </si>
  <si>
    <t>P11416</t>
  </si>
  <si>
    <t>16-May-2025</t>
  </si>
  <si>
    <t>P11417</t>
  </si>
  <si>
    <t>P11418</t>
  </si>
  <si>
    <t>P11419</t>
  </si>
  <si>
    <t>22-Mar-2023</t>
  </si>
  <si>
    <t>P11420</t>
  </si>
  <si>
    <t>P11421</t>
  </si>
  <si>
    <t>01-04-2024</t>
  </si>
  <si>
    <t>P11422</t>
  </si>
  <si>
    <t>25/09/2024</t>
  </si>
  <si>
    <t>P11423</t>
  </si>
  <si>
    <t>07-15-2024</t>
  </si>
  <si>
    <t>P11424</t>
  </si>
  <si>
    <t>10-14-2025</t>
  </si>
  <si>
    <t>P11425</t>
  </si>
  <si>
    <t>17/01/2025</t>
  </si>
  <si>
    <t>18/01/2025</t>
  </si>
  <si>
    <t>P11426</t>
  </si>
  <si>
    <t>P11427</t>
  </si>
  <si>
    <t>P11428</t>
  </si>
  <si>
    <t xml:space="preserve"> P11429 </t>
  </si>
  <si>
    <t>P11430</t>
  </si>
  <si>
    <t>P11431</t>
  </si>
  <si>
    <t>P11432</t>
  </si>
  <si>
    <t>23/02/2024</t>
  </si>
  <si>
    <t>P11433</t>
  </si>
  <si>
    <t>2024/01/04</t>
  </si>
  <si>
    <t>P11434</t>
  </si>
  <si>
    <t>P11435</t>
  </si>
  <si>
    <t>02/09/2023</t>
  </si>
  <si>
    <t>P11436</t>
  </si>
  <si>
    <t>07/08/1963</t>
  </si>
  <si>
    <t>28/04/2024</t>
  </si>
  <si>
    <t>P11437</t>
  </si>
  <si>
    <t>03/10/2024</t>
  </si>
  <si>
    <t>₹181,162.12</t>
  </si>
  <si>
    <t>P11438</t>
  </si>
  <si>
    <t>₹110,662.79</t>
  </si>
  <si>
    <t>P11439</t>
  </si>
  <si>
    <t>P11440</t>
  </si>
  <si>
    <t>21-Jun-2024</t>
  </si>
  <si>
    <t>P11441</t>
  </si>
  <si>
    <t>23-Aug-2024</t>
  </si>
  <si>
    <t>P11442</t>
  </si>
  <si>
    <t>01-11-1993</t>
  </si>
  <si>
    <t>P11443</t>
  </si>
  <si>
    <t>₹190,531.51</t>
  </si>
  <si>
    <t>P11444</t>
  </si>
  <si>
    <t>22-Sep-2007</t>
  </si>
  <si>
    <t>P11445</t>
  </si>
  <si>
    <t>P11446</t>
  </si>
  <si>
    <t xml:space="preserve"> Kavya Verma </t>
  </si>
  <si>
    <t>160</t>
  </si>
  <si>
    <t>P11447</t>
  </si>
  <si>
    <t xml:space="preserve"> Sanjay Mishra </t>
  </si>
  <si>
    <t>P11448</t>
  </si>
  <si>
    <t>1986/11/08</t>
  </si>
  <si>
    <t>P11449</t>
  </si>
  <si>
    <t>20-Feb-2007</t>
  </si>
  <si>
    <t>02/11/2024</t>
  </si>
  <si>
    <t>P11450</t>
  </si>
  <si>
    <t>06-18-2023</t>
  </si>
  <si>
    <t>P11451</t>
  </si>
  <si>
    <t>03-11-2024</t>
  </si>
  <si>
    <t>233</t>
  </si>
  <si>
    <t>P11452</t>
  </si>
  <si>
    <t>27-May-1959</t>
  </si>
  <si>
    <t>P11453</t>
  </si>
  <si>
    <t>29-Aug-2023</t>
  </si>
  <si>
    <t>P11454</t>
  </si>
  <si>
    <t>03-Mar-2025</t>
  </si>
  <si>
    <t>P11455</t>
  </si>
  <si>
    <t>07/01/2025</t>
  </si>
  <si>
    <t>P11456</t>
  </si>
  <si>
    <t>2023/12/23</t>
  </si>
  <si>
    <t>01-09-2024</t>
  </si>
  <si>
    <t>P11457</t>
  </si>
  <si>
    <t>11-10-1960</t>
  </si>
  <si>
    <t>P11458</t>
  </si>
  <si>
    <t>P11459</t>
  </si>
  <si>
    <t>11-23-2024</t>
  </si>
  <si>
    <t>P11460</t>
  </si>
  <si>
    <t>P11461</t>
  </si>
  <si>
    <t>21-Sep-2025</t>
  </si>
  <si>
    <t>10-08-2025</t>
  </si>
  <si>
    <t>P11462</t>
  </si>
  <si>
    <t>158</t>
  </si>
  <si>
    <t>P11463</t>
  </si>
  <si>
    <t xml:space="preserve"> Meera Singh </t>
  </si>
  <si>
    <t>17/04/2023</t>
  </si>
  <si>
    <t>P11464</t>
  </si>
  <si>
    <t>07/04/2023</t>
  </si>
  <si>
    <t>P11465</t>
  </si>
  <si>
    <t>P11466</t>
  </si>
  <si>
    <t xml:space="preserve"> Neha Sharma </t>
  </si>
  <si>
    <t>P11467</t>
  </si>
  <si>
    <t>10-17-2025</t>
  </si>
  <si>
    <t>P11468</t>
  </si>
  <si>
    <t>P11469</t>
  </si>
  <si>
    <t>25-Nov-1963</t>
  </si>
  <si>
    <t>2024/08/28</t>
  </si>
  <si>
    <t>P11470</t>
  </si>
  <si>
    <t>27-May-2023</t>
  </si>
  <si>
    <t>P11471</t>
  </si>
  <si>
    <t>P11472</t>
  </si>
  <si>
    <t>25-Sep-2025</t>
  </si>
  <si>
    <t>P11473</t>
  </si>
  <si>
    <t>05-24-1953</t>
  </si>
  <si>
    <t>04/10/2025</t>
  </si>
  <si>
    <t>P11474</t>
  </si>
  <si>
    <t>2023/11/28</t>
  </si>
  <si>
    <t>P11475</t>
  </si>
  <si>
    <t>10-Oct-2025</t>
  </si>
  <si>
    <t>P11476</t>
  </si>
  <si>
    <t>₹26,149.56</t>
  </si>
  <si>
    <t>P11477</t>
  </si>
  <si>
    <t>P11478</t>
  </si>
  <si>
    <t>P11479</t>
  </si>
  <si>
    <t>2000/01/07</t>
  </si>
  <si>
    <t>P11480</t>
  </si>
  <si>
    <t>16-Dec-2024</t>
  </si>
  <si>
    <t>P11481</t>
  </si>
  <si>
    <t>28/05/2000</t>
  </si>
  <si>
    <t>P11482</t>
  </si>
  <si>
    <t>P11483</t>
  </si>
  <si>
    <t>P11484</t>
  </si>
  <si>
    <t>29-Dec-2023</t>
  </si>
  <si>
    <t>P11485</t>
  </si>
  <si>
    <t>P11486</t>
  </si>
  <si>
    <t>09-May-2023</t>
  </si>
  <si>
    <t>P11487</t>
  </si>
  <si>
    <t>06-04-2023</t>
  </si>
  <si>
    <t>P11488</t>
  </si>
  <si>
    <t>09-01-1953</t>
  </si>
  <si>
    <t>19-Dec-2024</t>
  </si>
  <si>
    <t>P11489</t>
  </si>
  <si>
    <t>07-06-1988</t>
  </si>
  <si>
    <t>18/11/2023</t>
  </si>
  <si>
    <t>P11490</t>
  </si>
  <si>
    <t>2025/12/24</t>
  </si>
  <si>
    <t>01-04-2026</t>
  </si>
  <si>
    <t>P11491</t>
  </si>
  <si>
    <t>P11492</t>
  </si>
  <si>
    <t>P11493</t>
  </si>
  <si>
    <t>P11494</t>
  </si>
  <si>
    <t>P11495</t>
  </si>
  <si>
    <t>04/06/2023</t>
  </si>
  <si>
    <t>P11496</t>
  </si>
  <si>
    <t>07-27-1999</t>
  </si>
  <si>
    <t>06-09-2024</t>
  </si>
  <si>
    <t>P11497</t>
  </si>
  <si>
    <t>01-15-2024</t>
  </si>
  <si>
    <t>P11498</t>
  </si>
  <si>
    <t>P11499</t>
  </si>
  <si>
    <t>09-Oct-2025</t>
  </si>
  <si>
    <t>P11500</t>
  </si>
  <si>
    <t>P11501</t>
  </si>
  <si>
    <t>P11502</t>
  </si>
  <si>
    <t>P11503</t>
  </si>
  <si>
    <t>2024/08/01</t>
  </si>
  <si>
    <t>P11504</t>
  </si>
  <si>
    <t>22/06/1952</t>
  </si>
  <si>
    <t>P11505</t>
  </si>
  <si>
    <t>P11506</t>
  </si>
  <si>
    <t>17/08/2024</t>
  </si>
  <si>
    <t>P11507</t>
  </si>
  <si>
    <t>P11508</t>
  </si>
  <si>
    <t>09-25-2025</t>
  </si>
  <si>
    <t>P11509</t>
  </si>
  <si>
    <t>P11510</t>
  </si>
  <si>
    <t>P11511</t>
  </si>
  <si>
    <t xml:space="preserve"> Ananya Iyer </t>
  </si>
  <si>
    <t xml:space="preserve"> P11512 </t>
  </si>
  <si>
    <t>22/02/2025</t>
  </si>
  <si>
    <t>P11513</t>
  </si>
  <si>
    <t>P11514</t>
  </si>
  <si>
    <t>p11515</t>
  </si>
  <si>
    <t>11-Jan-1997</t>
  </si>
  <si>
    <t>12/02/2023</t>
  </si>
  <si>
    <t>P11516</t>
  </si>
  <si>
    <t>P11517</t>
  </si>
  <si>
    <t>P11518</t>
  </si>
  <si>
    <t>P11519</t>
  </si>
  <si>
    <t>P11520</t>
  </si>
  <si>
    <t>08/11/2025</t>
  </si>
  <si>
    <t>P11521</t>
  </si>
  <si>
    <t>P11522</t>
  </si>
  <si>
    <t>04-24-1963</t>
  </si>
  <si>
    <t>04/09/2025</t>
  </si>
  <si>
    <t>P11523</t>
  </si>
  <si>
    <t>1950/03/17</t>
  </si>
  <si>
    <t>P11524</t>
  </si>
  <si>
    <t>P11525</t>
  </si>
  <si>
    <t>P11526</t>
  </si>
  <si>
    <t>25-Jul-2025</t>
  </si>
  <si>
    <t>122</t>
  </si>
  <si>
    <t xml:space="preserve"> P11527 </t>
  </si>
  <si>
    <t>P11528</t>
  </si>
  <si>
    <t>P11529</t>
  </si>
  <si>
    <t>P11530</t>
  </si>
  <si>
    <t>P11531</t>
  </si>
  <si>
    <t>P11532</t>
  </si>
  <si>
    <t>P11533</t>
  </si>
  <si>
    <t>26/12/1984</t>
  </si>
  <si>
    <t>P11534</t>
  </si>
  <si>
    <t>₹198,292.36</t>
  </si>
  <si>
    <t>P11535</t>
  </si>
  <si>
    <t>₹27,013.29</t>
  </si>
  <si>
    <t>P11536</t>
  </si>
  <si>
    <t>2024/11/25</t>
  </si>
  <si>
    <t>P11537</t>
  </si>
  <si>
    <t>2024/08/31</t>
  </si>
  <si>
    <t>04-Sep-2024</t>
  </si>
  <si>
    <t>P11538</t>
  </si>
  <si>
    <t>2024/10/15</t>
  </si>
  <si>
    <t>P11539</t>
  </si>
  <si>
    <t>03/02/2024</t>
  </si>
  <si>
    <t>P11540</t>
  </si>
  <si>
    <t>P11541</t>
  </si>
  <si>
    <t>11-11-1986</t>
  </si>
  <si>
    <t>11-Aug-2024</t>
  </si>
  <si>
    <t>₹14,478.18</t>
  </si>
  <si>
    <t>P11542</t>
  </si>
  <si>
    <t>P11543</t>
  </si>
  <si>
    <t>P11544</t>
  </si>
  <si>
    <t>p11545</t>
  </si>
  <si>
    <t>16-Nov-2025</t>
  </si>
  <si>
    <t>P11546</t>
  </si>
  <si>
    <t>07/06/2023</t>
  </si>
  <si>
    <t>P11547</t>
  </si>
  <si>
    <t>P11548</t>
  </si>
  <si>
    <t>P11549</t>
  </si>
  <si>
    <t>P11550</t>
  </si>
  <si>
    <t>P11551</t>
  </si>
  <si>
    <t>P11552</t>
  </si>
  <si>
    <t>P11553</t>
  </si>
  <si>
    <t>P11554</t>
  </si>
  <si>
    <t>P11555</t>
  </si>
  <si>
    <t>1953/07/15</t>
  </si>
  <si>
    <t>2024/04/30</t>
  </si>
  <si>
    <t>P11556</t>
  </si>
  <si>
    <t>P11557</t>
  </si>
  <si>
    <t>P11558</t>
  </si>
  <si>
    <t>P11559</t>
  </si>
  <si>
    <t>P11560</t>
  </si>
  <si>
    <t xml:space="preserve"> P11561 </t>
  </si>
  <si>
    <t>2023/12/20</t>
  </si>
  <si>
    <t>P11562</t>
  </si>
  <si>
    <t>06-19-2023</t>
  </si>
  <si>
    <t>P11563</t>
  </si>
  <si>
    <t>05-Feb-2023</t>
  </si>
  <si>
    <t>₹180,610.78</t>
  </si>
  <si>
    <t>P11564</t>
  </si>
  <si>
    <t>25-Nov-1989</t>
  </si>
  <si>
    <t>P11565</t>
  </si>
  <si>
    <t>12-Dec-2023</t>
  </si>
  <si>
    <t>P11566</t>
  </si>
  <si>
    <t>29/11/2024</t>
  </si>
  <si>
    <t>P11567</t>
  </si>
  <si>
    <t>09-Aug-1972</t>
  </si>
  <si>
    <t>P11568</t>
  </si>
  <si>
    <t>P11569</t>
  </si>
  <si>
    <t>P11570</t>
  </si>
  <si>
    <t>11-24-2023</t>
  </si>
  <si>
    <t>₹207,459.02</t>
  </si>
  <si>
    <t>P11571</t>
  </si>
  <si>
    <t>06-Jul-1970</t>
  </si>
  <si>
    <t>P11572</t>
  </si>
  <si>
    <t xml:space="preserve"> P11573 </t>
  </si>
  <si>
    <t>P11574</t>
  </si>
  <si>
    <t xml:space="preserve"> P11575 </t>
  </si>
  <si>
    <t>P11576</t>
  </si>
  <si>
    <t>P11577</t>
  </si>
  <si>
    <t>01-23-1982</t>
  </si>
  <si>
    <t>07-03-2024</t>
  </si>
  <si>
    <t>P11578</t>
  </si>
  <si>
    <t>05-Jul-2024</t>
  </si>
  <si>
    <t>P11579</t>
  </si>
  <si>
    <t>14/06/2023</t>
  </si>
  <si>
    <t>P11580</t>
  </si>
  <si>
    <t>P11581</t>
  </si>
  <si>
    <t>01-10-1979</t>
  </si>
  <si>
    <t>P11582</t>
  </si>
  <si>
    <t>P11583</t>
  </si>
  <si>
    <t>P11584</t>
  </si>
  <si>
    <t>P11585</t>
  </si>
  <si>
    <t>05-25-2024</t>
  </si>
  <si>
    <t>P11586</t>
  </si>
  <si>
    <t>09-Aug-2023</t>
  </si>
  <si>
    <t>P11587</t>
  </si>
  <si>
    <t xml:space="preserve"> P11588 </t>
  </si>
  <si>
    <t>P11589</t>
  </si>
  <si>
    <t>P11590</t>
  </si>
  <si>
    <t>16-Jun-1995</t>
  </si>
  <si>
    <t>P11591</t>
  </si>
  <si>
    <t>P11592</t>
  </si>
  <si>
    <t>P11593</t>
  </si>
  <si>
    <t>P11594</t>
  </si>
  <si>
    <t>22</t>
  </si>
  <si>
    <t>P11595</t>
  </si>
  <si>
    <t>P11596</t>
  </si>
  <si>
    <t>₹122,622.98</t>
  </si>
  <si>
    <t>P11597</t>
  </si>
  <si>
    <t xml:space="preserve"> Nisha Das </t>
  </si>
  <si>
    <t>23-Oct-1964</t>
  </si>
  <si>
    <t>09/04/2024</t>
  </si>
  <si>
    <t>P11598</t>
  </si>
  <si>
    <t>P11599</t>
  </si>
  <si>
    <t>17/12/2024</t>
  </si>
  <si>
    <t>P11600</t>
  </si>
  <si>
    <t>P11601</t>
  </si>
  <si>
    <t>11/07/1951</t>
  </si>
  <si>
    <t>P11602</t>
  </si>
  <si>
    <t>20/01/2025</t>
  </si>
  <si>
    <t>P11603</t>
  </si>
  <si>
    <t>04-Oct-2023</t>
  </si>
  <si>
    <t>P11604</t>
  </si>
  <si>
    <t>03-01-2024</t>
  </si>
  <si>
    <t>P11605</t>
  </si>
  <si>
    <t>09/02/1991</t>
  </si>
  <si>
    <t>P11606</t>
  </si>
  <si>
    <t>03/02/2025</t>
  </si>
  <si>
    <t>P11607</t>
  </si>
  <si>
    <t>18-Jan-1969</t>
  </si>
  <si>
    <t>P11608</t>
  </si>
  <si>
    <t>135</t>
  </si>
  <si>
    <t xml:space="preserve"> P11609 </t>
  </si>
  <si>
    <t>P11610</t>
  </si>
  <si>
    <t>25/12/1962</t>
  </si>
  <si>
    <t>P11611</t>
  </si>
  <si>
    <t>02-03-1999</t>
  </si>
  <si>
    <t>2023/02/28</t>
  </si>
  <si>
    <t>P11612</t>
  </si>
  <si>
    <t>P11613</t>
  </si>
  <si>
    <t>P11614</t>
  </si>
  <si>
    <t xml:space="preserve"> P11615 </t>
  </si>
  <si>
    <t>P11616</t>
  </si>
  <si>
    <t>02/07/2023</t>
  </si>
  <si>
    <t>P11617</t>
  </si>
  <si>
    <t>07-28-2024</t>
  </si>
  <si>
    <t>P11618</t>
  </si>
  <si>
    <t xml:space="preserve"> P11619 </t>
  </si>
  <si>
    <t>2024/04/04</t>
  </si>
  <si>
    <t>P11620</t>
  </si>
  <si>
    <t>Ishaan Das</t>
  </si>
  <si>
    <t>06-06-1984</t>
  </si>
  <si>
    <t>20-Feb-2024</t>
  </si>
  <si>
    <t>P11621</t>
  </si>
  <si>
    <t>P11622</t>
  </si>
  <si>
    <t>01-11-2024</t>
  </si>
  <si>
    <t>P11623</t>
  </si>
  <si>
    <t>03-Jan-2024</t>
  </si>
  <si>
    <t>20-Jan-2024</t>
  </si>
  <si>
    <t>P11624</t>
  </si>
  <si>
    <t>₹49,552.29</t>
  </si>
  <si>
    <t>181</t>
  </si>
  <si>
    <t>P11625</t>
  </si>
  <si>
    <t>10-11-1959</t>
  </si>
  <si>
    <t>27-Jun-2025</t>
  </si>
  <si>
    <t>₹164,014.26</t>
  </si>
  <si>
    <t>P11626</t>
  </si>
  <si>
    <t>₹169,959.21</t>
  </si>
  <si>
    <t>P11627</t>
  </si>
  <si>
    <t>P11628</t>
  </si>
  <si>
    <t>2025/01/09</t>
  </si>
  <si>
    <t>P11629</t>
  </si>
  <si>
    <t>1960/08/02</t>
  </si>
  <si>
    <t>P11630</t>
  </si>
  <si>
    <t>P11631</t>
  </si>
  <si>
    <t>14-May-2023</t>
  </si>
  <si>
    <t>P11632</t>
  </si>
  <si>
    <t>P11633</t>
  </si>
  <si>
    <t>17/10/1959</t>
  </si>
  <si>
    <t>P11634</t>
  </si>
  <si>
    <t>01-14-2002</t>
  </si>
  <si>
    <t>2025/08/08</t>
  </si>
  <si>
    <t>P11635</t>
  </si>
  <si>
    <t>06-Apr-2025</t>
  </si>
  <si>
    <t>P11636</t>
  </si>
  <si>
    <t>07/04/2025</t>
  </si>
  <si>
    <t>P11637</t>
  </si>
  <si>
    <t>11-02-2023</t>
  </si>
  <si>
    <t>P11638</t>
  </si>
  <si>
    <t xml:space="preserve"> P11639 </t>
  </si>
  <si>
    <t>12-25-2001</t>
  </si>
  <si>
    <t>P11640</t>
  </si>
  <si>
    <t>P11641</t>
  </si>
  <si>
    <t>08-27-2024</t>
  </si>
  <si>
    <t>P11642</t>
  </si>
  <si>
    <t>2023/02/15</t>
  </si>
  <si>
    <t>P11643</t>
  </si>
  <si>
    <t>₹204,045.01</t>
  </si>
  <si>
    <t>P11644</t>
  </si>
  <si>
    <t>11-20-2025</t>
  </si>
  <si>
    <t>P11645</t>
  </si>
  <si>
    <t>1979/05/17</t>
  </si>
  <si>
    <t>28-Jul-2025</t>
  </si>
  <si>
    <t>P11646</t>
  </si>
  <si>
    <t>28/05/2024</t>
  </si>
  <si>
    <t>2024/06/14</t>
  </si>
  <si>
    <t>₹43,439.85</t>
  </si>
  <si>
    <t>P11647</t>
  </si>
  <si>
    <t>1992/03/04</t>
  </si>
  <si>
    <t>P11648</t>
  </si>
  <si>
    <t>1950/02/03</t>
  </si>
  <si>
    <t>P11649</t>
  </si>
  <si>
    <t>P11650</t>
  </si>
  <si>
    <t>₹85,697.51</t>
  </si>
  <si>
    <t>P11651</t>
  </si>
  <si>
    <t>P11652</t>
  </si>
  <si>
    <t>P11653</t>
  </si>
  <si>
    <t>15/09/1997</t>
  </si>
  <si>
    <t>01-12-2024</t>
  </si>
  <si>
    <t xml:space="preserve"> P11654 </t>
  </si>
  <si>
    <t>2024/12/30</t>
  </si>
  <si>
    <t>P11655</t>
  </si>
  <si>
    <t>01-Oct-2024</t>
  </si>
  <si>
    <t>P11656</t>
  </si>
  <si>
    <t>₹185,839.95</t>
  </si>
  <si>
    <t xml:space="preserve"> P11657 </t>
  </si>
  <si>
    <t>P11658</t>
  </si>
  <si>
    <t>P11659</t>
  </si>
  <si>
    <t>P11660</t>
  </si>
  <si>
    <t>1973/06/11</t>
  </si>
  <si>
    <t>P11661</t>
  </si>
  <si>
    <t>2024/11/28</t>
  </si>
  <si>
    <t>P11662</t>
  </si>
  <si>
    <t>P11663</t>
  </si>
  <si>
    <t>04-06-1959</t>
  </si>
  <si>
    <t>2023/07/17</t>
  </si>
  <si>
    <t>P11664</t>
  </si>
  <si>
    <t>21/10/2023</t>
  </si>
  <si>
    <t>₹142,686.78</t>
  </si>
  <si>
    <t>P11665</t>
  </si>
  <si>
    <t>23/12/2024</t>
  </si>
  <si>
    <t>P11666</t>
  </si>
  <si>
    <t>24/12/1975</t>
  </si>
  <si>
    <t>P11667</t>
  </si>
  <si>
    <t>P11668</t>
  </si>
  <si>
    <t>P11669</t>
  </si>
  <si>
    <t>06-08-1959</t>
  </si>
  <si>
    <t>P11670</t>
  </si>
  <si>
    <t>21/12/2024</t>
  </si>
  <si>
    <t>P11671</t>
  </si>
  <si>
    <t>2024/03/30</t>
  </si>
  <si>
    <t>P11672</t>
  </si>
  <si>
    <t>24-Jul-2010</t>
  </si>
  <si>
    <t>P11673</t>
  </si>
  <si>
    <t>P11674</t>
  </si>
  <si>
    <t>P11675</t>
  </si>
  <si>
    <t>08-03-2008</t>
  </si>
  <si>
    <t xml:space="preserve"> P11676 </t>
  </si>
  <si>
    <t>P11677</t>
  </si>
  <si>
    <t>2025/08/16</t>
  </si>
  <si>
    <t>01-Sep-2025</t>
  </si>
  <si>
    <t>₹38,418.59</t>
  </si>
  <si>
    <t>P11678</t>
  </si>
  <si>
    <t>24-Apr-1984</t>
  </si>
  <si>
    <t>101</t>
  </si>
  <si>
    <t>P11679</t>
  </si>
  <si>
    <t>06-09-1998</t>
  </si>
  <si>
    <t>P11680</t>
  </si>
  <si>
    <t>01-Aug-2025</t>
  </si>
  <si>
    <t>P11681</t>
  </si>
  <si>
    <t>06-01-2025</t>
  </si>
  <si>
    <t>P11682</t>
  </si>
  <si>
    <t>P11683</t>
  </si>
  <si>
    <t>P11684</t>
  </si>
  <si>
    <t>P11685</t>
  </si>
  <si>
    <t>01-28-2025</t>
  </si>
  <si>
    <t>P11686</t>
  </si>
  <si>
    <t>P11687</t>
  </si>
  <si>
    <t>09/02/1995</t>
  </si>
  <si>
    <t>22/11/2023</t>
  </si>
  <si>
    <t>P11688</t>
  </si>
  <si>
    <t>P11689</t>
  </si>
  <si>
    <t>P11690</t>
  </si>
  <si>
    <t>08-Mar-2023</t>
  </si>
  <si>
    <t>P11691</t>
  </si>
  <si>
    <t>P11692</t>
  </si>
  <si>
    <t>21/02/2003</t>
  </si>
  <si>
    <t>P11693</t>
  </si>
  <si>
    <t>P11694</t>
  </si>
  <si>
    <t>P11695</t>
  </si>
  <si>
    <t>P11696</t>
  </si>
  <si>
    <t>16-May-1985</t>
  </si>
  <si>
    <t>P11697</t>
  </si>
  <si>
    <t>P11698</t>
  </si>
  <si>
    <t>P11699</t>
  </si>
  <si>
    <t>19/12/2007</t>
  </si>
  <si>
    <t>P11700</t>
  </si>
  <si>
    <t>20-Oct-2024</t>
  </si>
  <si>
    <t>P11701</t>
  </si>
  <si>
    <t>18/12/1952</t>
  </si>
  <si>
    <t>P11702</t>
  </si>
  <si>
    <t>06/01/1985</t>
  </si>
  <si>
    <t>08-Aug-2024</t>
  </si>
  <si>
    <t>P11703</t>
  </si>
  <si>
    <t>P11704</t>
  </si>
  <si>
    <t>P11705</t>
  </si>
  <si>
    <t>P11706</t>
  </si>
  <si>
    <t>₹147,772.81</t>
  </si>
  <si>
    <t>P11707</t>
  </si>
  <si>
    <t xml:space="preserve"> P11708 </t>
  </si>
  <si>
    <t>27/06/2024</t>
  </si>
  <si>
    <t>136</t>
  </si>
  <si>
    <t>P11709</t>
  </si>
  <si>
    <t>P11710</t>
  </si>
  <si>
    <t>2023/04/21</t>
  </si>
  <si>
    <t>P11711</t>
  </si>
  <si>
    <t>P11712</t>
  </si>
  <si>
    <t>P11713</t>
  </si>
  <si>
    <t>19/09/2023</t>
  </si>
  <si>
    <t>P11714</t>
  </si>
  <si>
    <t>2024/08/26</t>
  </si>
  <si>
    <t>P11715</t>
  </si>
  <si>
    <t>05-24-2001</t>
  </si>
  <si>
    <t>10-19-2024</t>
  </si>
  <si>
    <t>P11716</t>
  </si>
  <si>
    <t>P11717</t>
  </si>
  <si>
    <t>P11718</t>
  </si>
  <si>
    <t>P11719</t>
  </si>
  <si>
    <t>04-22-1962</t>
  </si>
  <si>
    <t>26-Oct-2024</t>
  </si>
  <si>
    <t>P11720</t>
  </si>
  <si>
    <t>08/04/1974</t>
  </si>
  <si>
    <t>219</t>
  </si>
  <si>
    <t>P11721</t>
  </si>
  <si>
    <t>P11722</t>
  </si>
  <si>
    <t>06/05/2023</t>
  </si>
  <si>
    <t>P11723</t>
  </si>
  <si>
    <t>P11724</t>
  </si>
  <si>
    <t>01-12-1978</t>
  </si>
  <si>
    <t>P11725</t>
  </si>
  <si>
    <t>2023/12/02</t>
  </si>
  <si>
    <t>P11726</t>
  </si>
  <si>
    <t>P11727</t>
  </si>
  <si>
    <t>p11728</t>
  </si>
  <si>
    <t>15-Oct-1998</t>
  </si>
  <si>
    <t>2025/09/25</t>
  </si>
  <si>
    <t>P11729</t>
  </si>
  <si>
    <t>₹3,911.86</t>
  </si>
  <si>
    <t>P11730</t>
  </si>
  <si>
    <t>₹114,468.09</t>
  </si>
  <si>
    <t>51</t>
  </si>
  <si>
    <t>P11731</t>
  </si>
  <si>
    <t>P11732</t>
  </si>
  <si>
    <t>₹199,177.02</t>
  </si>
  <si>
    <t>P11733</t>
  </si>
  <si>
    <t>22/11/1973</t>
  </si>
  <si>
    <t>P11734</t>
  </si>
  <si>
    <t>09-10-2023</t>
  </si>
  <si>
    <t>P11735</t>
  </si>
  <si>
    <t>18/08/2023</t>
  </si>
  <si>
    <t>2023/08/31</t>
  </si>
  <si>
    <t>P11736</t>
  </si>
  <si>
    <t>P11737</t>
  </si>
  <si>
    <t>P11738</t>
  </si>
  <si>
    <t>P11739</t>
  </si>
  <si>
    <t>2023/09/07</t>
  </si>
  <si>
    <t>P11740</t>
  </si>
  <si>
    <t>2024/08/16</t>
  </si>
  <si>
    <t>P11741</t>
  </si>
  <si>
    <t>P11742</t>
  </si>
  <si>
    <t>P11743</t>
  </si>
  <si>
    <t>01-16-2025</t>
  </si>
  <si>
    <t>P11744</t>
  </si>
  <si>
    <t>13/12/2025</t>
  </si>
  <si>
    <t>30</t>
  </si>
  <si>
    <t>P11745</t>
  </si>
  <si>
    <t>P11746</t>
  </si>
  <si>
    <t>P11747</t>
  </si>
  <si>
    <t>11/09/1978</t>
  </si>
  <si>
    <t>P11748</t>
  </si>
  <si>
    <t>P11749</t>
  </si>
  <si>
    <t xml:space="preserve"> P11750 </t>
  </si>
  <si>
    <t>P11751</t>
  </si>
  <si>
    <t>P11752</t>
  </si>
  <si>
    <t>04-17-2025</t>
  </si>
  <si>
    <t>P11753</t>
  </si>
  <si>
    <t>28/05/1967</t>
  </si>
  <si>
    <t>P11754</t>
  </si>
  <si>
    <t>P11755</t>
  </si>
  <si>
    <t>₹163,006.07</t>
  </si>
  <si>
    <t>P11756</t>
  </si>
  <si>
    <t>1981/02/13</t>
  </si>
  <si>
    <t>P11757</t>
  </si>
  <si>
    <t>P11758</t>
  </si>
  <si>
    <t>P11759</t>
  </si>
  <si>
    <t>17-Jul-2023</t>
  </si>
  <si>
    <t>P11760</t>
  </si>
  <si>
    <t>P11761</t>
  </si>
  <si>
    <t>P11762</t>
  </si>
  <si>
    <t>P11763</t>
  </si>
  <si>
    <t>12/11/2025</t>
  </si>
  <si>
    <t>₹172,651.83</t>
  </si>
  <si>
    <t>P11764</t>
  </si>
  <si>
    <t>1985/09/10</t>
  </si>
  <si>
    <t>2024/12/17</t>
  </si>
  <si>
    <t>01-03-2025</t>
  </si>
  <si>
    <t>P11765</t>
  </si>
  <si>
    <t>2024/02/28</t>
  </si>
  <si>
    <t xml:space="preserve"> P11766 </t>
  </si>
  <si>
    <t>07-22-2023</t>
  </si>
  <si>
    <t>P11767</t>
  </si>
  <si>
    <t xml:space="preserve"> Pooja Iyer </t>
  </si>
  <si>
    <t>21/08/2023</t>
  </si>
  <si>
    <t>P11768</t>
  </si>
  <si>
    <t>P11769</t>
  </si>
  <si>
    <t>10-Sep-2025</t>
  </si>
  <si>
    <t>P11770</t>
  </si>
  <si>
    <t>P11771</t>
  </si>
  <si>
    <t>₹167,299.80</t>
  </si>
  <si>
    <t>P11772</t>
  </si>
  <si>
    <t>2024/08/10</t>
  </si>
  <si>
    <t xml:space="preserve"> P11773 </t>
  </si>
  <si>
    <t>P11774</t>
  </si>
  <si>
    <t>03-Feb-2025</t>
  </si>
  <si>
    <t>P11775</t>
  </si>
  <si>
    <t>p11776</t>
  </si>
  <si>
    <t>15/02/1982</t>
  </si>
  <si>
    <t>2024/03/06</t>
  </si>
  <si>
    <t>24/03/2024</t>
  </si>
  <si>
    <t>P11777</t>
  </si>
  <si>
    <t>07/04/1992</t>
  </si>
  <si>
    <t>08-21-2024</t>
  </si>
  <si>
    <t>P11778</t>
  </si>
  <si>
    <t>P11779</t>
  </si>
  <si>
    <t>04-Jan-2026</t>
  </si>
  <si>
    <t>P11780</t>
  </si>
  <si>
    <t>P11781</t>
  </si>
  <si>
    <t>09-Jun-1981</t>
  </si>
  <si>
    <t>04-07-2024</t>
  </si>
  <si>
    <t>P11782</t>
  </si>
  <si>
    <t xml:space="preserve"> Meera Sharma </t>
  </si>
  <si>
    <t>08-01-1959</t>
  </si>
  <si>
    <t>₹201,720.81</t>
  </si>
  <si>
    <t>P11783</t>
  </si>
  <si>
    <t xml:space="preserve"> P11784 </t>
  </si>
  <si>
    <t>2023/07/09</t>
  </si>
  <si>
    <t>P11785</t>
  </si>
  <si>
    <t>P11786</t>
  </si>
  <si>
    <t>P11787</t>
  </si>
  <si>
    <t>₹128,811.14</t>
  </si>
  <si>
    <t>P11788</t>
  </si>
  <si>
    <t>P11789</t>
  </si>
  <si>
    <t>2023/04/03</t>
  </si>
  <si>
    <t>P11790</t>
  </si>
  <si>
    <t>P11791</t>
  </si>
  <si>
    <t>14/11/2024</t>
  </si>
  <si>
    <t>₹145,002.60</t>
  </si>
  <si>
    <t>P11792</t>
  </si>
  <si>
    <t>18/07/2024</t>
  </si>
  <si>
    <t>P11793</t>
  </si>
  <si>
    <t>P11794</t>
  </si>
  <si>
    <t>₹56,436.03</t>
  </si>
  <si>
    <t>P11795</t>
  </si>
  <si>
    <t>P11796</t>
  </si>
  <si>
    <t>P11797</t>
  </si>
  <si>
    <t xml:space="preserve"> P11798 </t>
  </si>
  <si>
    <t>12-Aug-2023</t>
  </si>
  <si>
    <t>₹58,905.32</t>
  </si>
  <si>
    <t>P11799</t>
  </si>
  <si>
    <t>07-Aug-2024</t>
  </si>
  <si>
    <t>P11800</t>
  </si>
  <si>
    <t>P11801</t>
  </si>
  <si>
    <t>2023/12/07</t>
  </si>
  <si>
    <t>P11802</t>
  </si>
  <si>
    <t>16-Aug-2025</t>
  </si>
  <si>
    <t>2025/08/23</t>
  </si>
  <si>
    <t>P11803</t>
  </si>
  <si>
    <t>P11804</t>
  </si>
  <si>
    <t>131</t>
  </si>
  <si>
    <t>P11805</t>
  </si>
  <si>
    <t>05-17-2025</t>
  </si>
  <si>
    <t>P11806</t>
  </si>
  <si>
    <t xml:space="preserve"> Riya Joshi </t>
  </si>
  <si>
    <t>P11807</t>
  </si>
  <si>
    <t>P11808</t>
  </si>
  <si>
    <t>1985/06/09</t>
  </si>
  <si>
    <t>22-Jul-2023</t>
  </si>
  <si>
    <t>₹104,583.90</t>
  </si>
  <si>
    <t>P11809</t>
  </si>
  <si>
    <t>P11810</t>
  </si>
  <si>
    <t>₹160,613.11</t>
  </si>
  <si>
    <t>p11811</t>
  </si>
  <si>
    <t>19/10/1975</t>
  </si>
  <si>
    <t>P11812</t>
  </si>
  <si>
    <t>P11813</t>
  </si>
  <si>
    <t>2025/01/24</t>
  </si>
  <si>
    <t>P11814</t>
  </si>
  <si>
    <t>₹44,283.66</t>
  </si>
  <si>
    <t>P11815</t>
  </si>
  <si>
    <t>P11816</t>
  </si>
  <si>
    <t>P11817</t>
  </si>
  <si>
    <t>2009/05/06</t>
  </si>
  <si>
    <t xml:space="preserve"> P11818 </t>
  </si>
  <si>
    <t>P11819</t>
  </si>
  <si>
    <t>P11820</t>
  </si>
  <si>
    <t>P11821</t>
  </si>
  <si>
    <t>P11822</t>
  </si>
  <si>
    <t>08-21-2023</t>
  </si>
  <si>
    <t>P11823</t>
  </si>
  <si>
    <t>11-25-2025</t>
  </si>
  <si>
    <t xml:space="preserve"> P11824 </t>
  </si>
  <si>
    <t>2025/03/02</t>
  </si>
  <si>
    <t>P11825</t>
  </si>
  <si>
    <t>P11826</t>
  </si>
  <si>
    <t>03-12-2024</t>
  </si>
  <si>
    <t>P11827</t>
  </si>
  <si>
    <t>23/02/1954</t>
  </si>
  <si>
    <t>P11828</t>
  </si>
  <si>
    <t>P11829</t>
  </si>
  <si>
    <t>P11830</t>
  </si>
  <si>
    <t xml:space="preserve"> Aarav Kumar </t>
  </si>
  <si>
    <t>2023/08/17</t>
  </si>
  <si>
    <t>P11831</t>
  </si>
  <si>
    <t>P11832</t>
  </si>
  <si>
    <t>₹210,166.83</t>
  </si>
  <si>
    <t>P11833</t>
  </si>
  <si>
    <t>03-23-1957</t>
  </si>
  <si>
    <t>05-22-2024</t>
  </si>
  <si>
    <t>₹204,695.08</t>
  </si>
  <si>
    <t>P11834</t>
  </si>
  <si>
    <t>12-Jan-1997</t>
  </si>
  <si>
    <t>2023/07/02</t>
  </si>
  <si>
    <t>P11835</t>
  </si>
  <si>
    <t>2025/08/09</t>
  </si>
  <si>
    <t>P11836</t>
  </si>
  <si>
    <t>P11837</t>
  </si>
  <si>
    <t>P11838</t>
  </si>
  <si>
    <t>P11839</t>
  </si>
  <si>
    <t>P11840</t>
  </si>
  <si>
    <t>16-Jan-2024</t>
  </si>
  <si>
    <t xml:space="preserve"> P11841 </t>
  </si>
  <si>
    <t>1959/03/19</t>
  </si>
  <si>
    <t>P11842</t>
  </si>
  <si>
    <t>14-Jun-1952</t>
  </si>
  <si>
    <t xml:space="preserve"> P11843 </t>
  </si>
  <si>
    <t xml:space="preserve"> P11844 </t>
  </si>
  <si>
    <t>P11845</t>
  </si>
  <si>
    <t>04-11-2024</t>
  </si>
  <si>
    <t>P11846</t>
  </si>
  <si>
    <t>06/02/2024</t>
  </si>
  <si>
    <t>P11847</t>
  </si>
  <si>
    <t>178</t>
  </si>
  <si>
    <t>P11848</t>
  </si>
  <si>
    <t>2023/05/22</t>
  </si>
  <si>
    <t>P11849</t>
  </si>
  <si>
    <t>26-Mar-1977</t>
  </si>
  <si>
    <t>19-Jan-2024</t>
  </si>
  <si>
    <t>P11850</t>
  </si>
  <si>
    <t>15-Nov-1964</t>
  </si>
  <si>
    <t>P11851</t>
  </si>
  <si>
    <t>p11852</t>
  </si>
  <si>
    <t>P11853</t>
  </si>
  <si>
    <t>2025/02/21</t>
  </si>
  <si>
    <t>P11854</t>
  </si>
  <si>
    <t>P11855</t>
  </si>
  <si>
    <t>P11856</t>
  </si>
  <si>
    <t>1953/03/03</t>
  </si>
  <si>
    <t>P11857</t>
  </si>
  <si>
    <t>09/12/1987</t>
  </si>
  <si>
    <t>P11858</t>
  </si>
  <si>
    <t>03-Mar-2023</t>
  </si>
  <si>
    <t>P11859</t>
  </si>
  <si>
    <t>P11860</t>
  </si>
  <si>
    <t>16/08/2005</t>
  </si>
  <si>
    <t>P11861</t>
  </si>
  <si>
    <t>P11862</t>
  </si>
  <si>
    <t>2023/12/11</t>
  </si>
  <si>
    <t>P11863</t>
  </si>
  <si>
    <t>12/02/2003</t>
  </si>
  <si>
    <t>30-Apr-2025</t>
  </si>
  <si>
    <t>P11864</t>
  </si>
  <si>
    <t>06-Nov-1962</t>
  </si>
  <si>
    <t>08-27-2025</t>
  </si>
  <si>
    <t>P11865</t>
  </si>
  <si>
    <t>1987/12/20</t>
  </si>
  <si>
    <t>P11866</t>
  </si>
  <si>
    <t>12-10-2023</t>
  </si>
  <si>
    <t>P11867</t>
  </si>
  <si>
    <t xml:space="preserve"> Arjun Joshi </t>
  </si>
  <si>
    <t>P11868</t>
  </si>
  <si>
    <t>115</t>
  </si>
  <si>
    <t>P11869</t>
  </si>
  <si>
    <t>09-Mar-2024</t>
  </si>
  <si>
    <t>P11870</t>
  </si>
  <si>
    <t>02-Jun-1967</t>
  </si>
  <si>
    <t>25-Aug-2023</t>
  </si>
  <si>
    <t>P11871</t>
  </si>
  <si>
    <t>24/06/2023</t>
  </si>
  <si>
    <t>P11872</t>
  </si>
  <si>
    <t>29/07/2024</t>
  </si>
  <si>
    <t>P11873</t>
  </si>
  <si>
    <t>₹88,134.87</t>
  </si>
  <si>
    <t>P11874</t>
  </si>
  <si>
    <t>P11875</t>
  </si>
  <si>
    <t>P11876</t>
  </si>
  <si>
    <t xml:space="preserve"> Pooja Mishra </t>
  </si>
  <si>
    <t>1992/03/11</t>
  </si>
  <si>
    <t>03/12/2024</t>
  </si>
  <si>
    <t>2024/12/20</t>
  </si>
  <si>
    <t>₹134,838.71</t>
  </si>
  <si>
    <t>P11877</t>
  </si>
  <si>
    <t>15/03/2003</t>
  </si>
  <si>
    <t>02-Dec-2023</t>
  </si>
  <si>
    <t>12-17-2023</t>
  </si>
  <si>
    <t>P11878</t>
  </si>
  <si>
    <t>09-28-2024</t>
  </si>
  <si>
    <t>P11879</t>
  </si>
  <si>
    <t>19-Nov-2003</t>
  </si>
  <si>
    <t>P11880</t>
  </si>
  <si>
    <t>07-11-1963</t>
  </si>
  <si>
    <t>06-26-2025</t>
  </si>
  <si>
    <t>06-Jul-2025</t>
  </si>
  <si>
    <t>P11881</t>
  </si>
  <si>
    <t>P11882</t>
  </si>
  <si>
    <t>P11883</t>
  </si>
  <si>
    <t>09/06/2007</t>
  </si>
  <si>
    <t>04-04-2025</t>
  </si>
  <si>
    <t>P11884</t>
  </si>
  <si>
    <t>P11885</t>
  </si>
  <si>
    <t>19/06/2025</t>
  </si>
  <si>
    <t>P11886</t>
  </si>
  <si>
    <t>2023/05/13</t>
  </si>
  <si>
    <t>P11887</t>
  </si>
  <si>
    <t>225</t>
  </si>
  <si>
    <t>P11888</t>
  </si>
  <si>
    <t>26-Aug-2024</t>
  </si>
  <si>
    <t>P11889</t>
  </si>
  <si>
    <t>05-18-2010</t>
  </si>
  <si>
    <t>P11890</t>
  </si>
  <si>
    <t>P11891</t>
  </si>
  <si>
    <t>P11892</t>
  </si>
  <si>
    <t>07/10/2025</t>
  </si>
  <si>
    <t>P11893</t>
  </si>
  <si>
    <t>15-Feb-2023</t>
  </si>
  <si>
    <t>02-24-2023</t>
  </si>
  <si>
    <t>P11894</t>
  </si>
  <si>
    <t>P11895</t>
  </si>
  <si>
    <t>P11896</t>
  </si>
  <si>
    <t>1957/10/19</t>
  </si>
  <si>
    <t>P11897</t>
  </si>
  <si>
    <t>P11898</t>
  </si>
  <si>
    <t xml:space="preserve"> Nisha Naidu </t>
  </si>
  <si>
    <t>17/09/1988</t>
  </si>
  <si>
    <t>P11899</t>
  </si>
  <si>
    <t>P11900</t>
  </si>
  <si>
    <t>₹75,187.35</t>
  </si>
  <si>
    <t>P11901</t>
  </si>
  <si>
    <t>08-16-2024</t>
  </si>
  <si>
    <t>P11902</t>
  </si>
  <si>
    <t xml:space="preserve"> P11903 </t>
  </si>
  <si>
    <t>01-Apr-2024</t>
  </si>
  <si>
    <t>P11904</t>
  </si>
  <si>
    <t>1957/12/17</t>
  </si>
  <si>
    <t>P11905</t>
  </si>
  <si>
    <t>1953/02/27</t>
  </si>
  <si>
    <t>P11906</t>
  </si>
  <si>
    <t>P11907</t>
  </si>
  <si>
    <t>11-Dec-2023</t>
  </si>
  <si>
    <t>P11908</t>
  </si>
  <si>
    <t>16/03/2024</t>
  </si>
  <si>
    <t>P11909</t>
  </si>
  <si>
    <t>P11910</t>
  </si>
  <si>
    <t>P11911</t>
  </si>
  <si>
    <t>13-Oct-1955</t>
  </si>
  <si>
    <t>11/05/2023</t>
  </si>
  <si>
    <t>P11912</t>
  </si>
  <si>
    <t>08-07-2025</t>
  </si>
  <si>
    <t>P11913</t>
  </si>
  <si>
    <t>P11914</t>
  </si>
  <si>
    <t>P11915</t>
  </si>
  <si>
    <t>P11916</t>
  </si>
  <si>
    <t>15-Sep-2010</t>
  </si>
  <si>
    <t>P11917</t>
  </si>
  <si>
    <t>01-05-2024</t>
  </si>
  <si>
    <t>P11918</t>
  </si>
  <si>
    <t>02-Mar-1997</t>
  </si>
  <si>
    <t>22-Apr-2024</t>
  </si>
  <si>
    <t>P11919</t>
  </si>
  <si>
    <t>P11920</t>
  </si>
  <si>
    <t>20/01/1954</t>
  </si>
  <si>
    <t>P11921</t>
  </si>
  <si>
    <t xml:space="preserve"> P11922 </t>
  </si>
  <si>
    <t>25/11/1960</t>
  </si>
  <si>
    <t>08-Sep-2024</t>
  </si>
  <si>
    <t>P11923</t>
  </si>
  <si>
    <t>P11924</t>
  </si>
  <si>
    <t>P11925</t>
  </si>
  <si>
    <t>P11926</t>
  </si>
  <si>
    <t xml:space="preserve"> Ananya Rao </t>
  </si>
  <si>
    <t>P11927</t>
  </si>
  <si>
    <t>₹200,429.27</t>
  </si>
  <si>
    <t>P11928</t>
  </si>
  <si>
    <t>P11929</t>
  </si>
  <si>
    <t>14/11/1987</t>
  </si>
  <si>
    <t>27-Jan-2024</t>
  </si>
  <si>
    <t>239</t>
  </si>
  <si>
    <t>P11930</t>
  </si>
  <si>
    <t>07-02-2024</t>
  </si>
  <si>
    <t>P11931</t>
  </si>
  <si>
    <t>P11932</t>
  </si>
  <si>
    <t>06/12/2010</t>
  </si>
  <si>
    <t>P11933</t>
  </si>
  <si>
    <t>p11934</t>
  </si>
  <si>
    <t>22-Jan-1966</t>
  </si>
  <si>
    <t>P11935</t>
  </si>
  <si>
    <t>10-23-1999</t>
  </si>
  <si>
    <t>P11936</t>
  </si>
  <si>
    <t>P11937</t>
  </si>
  <si>
    <t>21/01/2023</t>
  </si>
  <si>
    <t>2023/01/25</t>
  </si>
  <si>
    <t>P11938</t>
  </si>
  <si>
    <t>P11939</t>
  </si>
  <si>
    <t>P11940</t>
  </si>
  <si>
    <t>18-Dec-2024</t>
  </si>
  <si>
    <t>P11941</t>
  </si>
  <si>
    <t>₹22,781.50</t>
  </si>
  <si>
    <t>P11942</t>
  </si>
  <si>
    <t>P11943</t>
  </si>
  <si>
    <t>₹55,533.94</t>
  </si>
  <si>
    <t>P11944</t>
  </si>
  <si>
    <t>P11945</t>
  </si>
  <si>
    <t>P11946</t>
  </si>
  <si>
    <t>05/08/2025</t>
  </si>
  <si>
    <t>P11947</t>
  </si>
  <si>
    <t>11-02-2000</t>
  </si>
  <si>
    <t>13/11/2024</t>
  </si>
  <si>
    <t>P11948</t>
  </si>
  <si>
    <t>23-Aug-1957</t>
  </si>
  <si>
    <t>P11949</t>
  </si>
  <si>
    <t>P11950</t>
  </si>
  <si>
    <t>₹111,653.07</t>
  </si>
  <si>
    <t xml:space="preserve"> Aarav Reddy </t>
  </si>
  <si>
    <t>01/01/2023</t>
  </si>
  <si>
    <t>92</t>
  </si>
  <si>
    <t xml:space="preserve"> P11090 </t>
  </si>
  <si>
    <t>24/01/2024</t>
  </si>
  <si>
    <t>P11999</t>
  </si>
  <si>
    <t>03-20-2023</t>
  </si>
  <si>
    <t>03-11-2023</t>
  </si>
  <si>
    <t>2023/03/23</t>
  </si>
  <si>
    <t xml:space="preserve"> P10515 </t>
  </si>
  <si>
    <t>2025/05/14</t>
  </si>
  <si>
    <t>19-Oct-2024</t>
  </si>
  <si>
    <t>22/12/2024</t>
  </si>
  <si>
    <t>11-28-2023</t>
  </si>
  <si>
    <t>14/09/1975</t>
  </si>
  <si>
    <t xml:space="preserve"> P11235 </t>
  </si>
  <si>
    <t>14-Jan-2004</t>
  </si>
  <si>
    <t>1985/12/18</t>
  </si>
  <si>
    <t>1971/11/22</t>
  </si>
  <si>
    <t>06-07-2023</t>
  </si>
  <si>
    <t>1983/06/25</t>
  </si>
  <si>
    <t>2025/06/01</t>
  </si>
  <si>
    <t>05-15-1990</t>
  </si>
  <si>
    <t>2024/05/19</t>
  </si>
  <si>
    <t>102</t>
  </si>
  <si>
    <t xml:space="preserve"> Ananya Kumar </t>
  </si>
  <si>
    <t>P11139</t>
  </si>
  <si>
    <t>08-28-2024</t>
  </si>
  <si>
    <t>146</t>
  </si>
  <si>
    <t>2000/12/21</t>
  </si>
  <si>
    <t>15/09/2023</t>
  </si>
  <si>
    <t xml:space="preserve"> P10937 </t>
  </si>
  <si>
    <t>25/04/2000</t>
  </si>
  <si>
    <t>P10159</t>
  </si>
  <si>
    <t>07-11-2025</t>
  </si>
  <si>
    <t>06-05-2023</t>
  </si>
  <si>
    <t>P10011</t>
  </si>
  <si>
    <t>P10026</t>
  </si>
  <si>
    <t>P10040</t>
  </si>
  <si>
    <t>P10084</t>
  </si>
  <si>
    <t>P10090</t>
  </si>
  <si>
    <t>P10098</t>
  </si>
  <si>
    <t>P10140</t>
  </si>
  <si>
    <t>P10206</t>
  </si>
  <si>
    <t>P10252</t>
  </si>
  <si>
    <t>P10253</t>
  </si>
  <si>
    <t>P10286</t>
  </si>
  <si>
    <t>P10299</t>
  </si>
  <si>
    <t>P10322</t>
  </si>
  <si>
    <t>P10349</t>
  </si>
  <si>
    <t>P10383</t>
  </si>
  <si>
    <t>P10392</t>
  </si>
  <si>
    <t>P10399</t>
  </si>
  <si>
    <t>P10456</t>
  </si>
  <si>
    <t>P10465</t>
  </si>
  <si>
    <t>P10467</t>
  </si>
  <si>
    <t>P10529</t>
  </si>
  <si>
    <t>P10532</t>
  </si>
  <si>
    <t>P10574</t>
  </si>
  <si>
    <t>P10589</t>
  </si>
  <si>
    <t>P10602</t>
  </si>
  <si>
    <t>P10614</t>
  </si>
  <si>
    <t>P10632</t>
  </si>
  <si>
    <t>P10634</t>
  </si>
  <si>
    <t>P10661</t>
  </si>
  <si>
    <t>P10669</t>
  </si>
  <si>
    <t>P10674</t>
  </si>
  <si>
    <t>P10681</t>
  </si>
  <si>
    <t>P10724</t>
  </si>
  <si>
    <t>P10748</t>
  </si>
  <si>
    <t>P10780</t>
  </si>
  <si>
    <t>P10814</t>
  </si>
  <si>
    <t>P10818</t>
  </si>
  <si>
    <t>P10824</t>
  </si>
  <si>
    <t>P10832</t>
  </si>
  <si>
    <t>P10850</t>
  </si>
  <si>
    <t>P10880</t>
  </si>
  <si>
    <t>P10888</t>
  </si>
  <si>
    <t>P10911</t>
  </si>
  <si>
    <t>P10920</t>
  </si>
  <si>
    <t>P10929</t>
  </si>
  <si>
    <t>P10939</t>
  </si>
  <si>
    <t>P10951</t>
  </si>
  <si>
    <t>P11009</t>
  </si>
  <si>
    <t>P11017</t>
  </si>
  <si>
    <t>P11028</t>
  </si>
  <si>
    <t>P11039</t>
  </si>
  <si>
    <t>P11049</t>
  </si>
  <si>
    <t>P11071</t>
  </si>
  <si>
    <t>P11074</t>
  </si>
  <si>
    <t>P11092</t>
  </si>
  <si>
    <t>P11093</t>
  </si>
  <si>
    <t>P11121</t>
  </si>
  <si>
    <t>P11137</t>
  </si>
  <si>
    <t>P11145</t>
  </si>
  <si>
    <t>P11155</t>
  </si>
  <si>
    <t>P11163</t>
  </si>
  <si>
    <t>P11166</t>
  </si>
  <si>
    <t>P11187</t>
  </si>
  <si>
    <t>P11189</t>
  </si>
  <si>
    <t>P11200</t>
  </si>
  <si>
    <t>P11201</t>
  </si>
  <si>
    <t>P11249</t>
  </si>
  <si>
    <t>P11260</t>
  </si>
  <si>
    <t>P11266</t>
  </si>
  <si>
    <t>P11279</t>
  </si>
  <si>
    <t>P11292</t>
  </si>
  <si>
    <t>P11298</t>
  </si>
  <si>
    <t>P11300</t>
  </si>
  <si>
    <t>P11304</t>
  </si>
  <si>
    <t>P11308</t>
  </si>
  <si>
    <t>P11324</t>
  </si>
  <si>
    <t>P11353</t>
  </si>
  <si>
    <t>P11356</t>
  </si>
  <si>
    <t>P11396</t>
  </si>
  <si>
    <t>P11429</t>
  </si>
  <si>
    <t>P11512</t>
  </si>
  <si>
    <t>P11515</t>
  </si>
  <si>
    <t>P11527</t>
  </si>
  <si>
    <t>P11545</t>
  </si>
  <si>
    <t>P11561</t>
  </si>
  <si>
    <t>P11573</t>
  </si>
  <si>
    <t>P11575</t>
  </si>
  <si>
    <t>P11588</t>
  </si>
  <si>
    <t>P11609</t>
  </si>
  <si>
    <t>P11615</t>
  </si>
  <si>
    <t>P11619</t>
  </si>
  <si>
    <t>P11639</t>
  </si>
  <si>
    <t>P11654</t>
  </si>
  <si>
    <t>P11657</t>
  </si>
  <si>
    <t>P11676</t>
  </si>
  <si>
    <t>P11708</t>
  </si>
  <si>
    <t>P11728</t>
  </si>
  <si>
    <t>P11750</t>
  </si>
  <si>
    <t>P11766</t>
  </si>
  <si>
    <t>P11773</t>
  </si>
  <si>
    <t>P11776</t>
  </si>
  <si>
    <t>P11784</t>
  </si>
  <si>
    <t>P11798</t>
  </si>
  <si>
    <t>P11811</t>
  </si>
  <si>
    <t>P11818</t>
  </si>
  <si>
    <t>P11824</t>
  </si>
  <si>
    <t>P11841</t>
  </si>
  <si>
    <t>P11843</t>
  </si>
  <si>
    <t>P11844</t>
  </si>
  <si>
    <t>P11852</t>
  </si>
  <si>
    <t>P11903</t>
  </si>
  <si>
    <t>P11922</t>
  </si>
  <si>
    <t>P11934</t>
  </si>
  <si>
    <t>Dr . Meena Iyer</t>
  </si>
  <si>
    <t>Dr . Priya Rao</t>
  </si>
  <si>
    <t>Dr . S. Reddy</t>
  </si>
  <si>
    <t>Dr . Rahul Sharma</t>
  </si>
  <si>
    <t>Dr . Vikram Singh</t>
  </si>
  <si>
    <t>D01</t>
  </si>
  <si>
    <t>D02</t>
  </si>
  <si>
    <t>D03</t>
  </si>
  <si>
    <t>D04</t>
  </si>
  <si>
    <t>D05</t>
  </si>
  <si>
    <t>D06</t>
  </si>
  <si>
    <t>D07</t>
  </si>
  <si>
    <t>pneumonia</t>
  </si>
  <si>
    <t>Unknown</t>
  </si>
  <si>
    <t>Department_ID</t>
  </si>
  <si>
    <t>Energency</t>
  </si>
  <si>
    <t>DEP01</t>
  </si>
  <si>
    <t>DEP02</t>
  </si>
  <si>
    <t>DEP03</t>
  </si>
  <si>
    <t>DEP04</t>
  </si>
  <si>
    <t>DEP05</t>
  </si>
  <si>
    <t>DEP06</t>
  </si>
  <si>
    <t>DEP07</t>
  </si>
  <si>
    <t>DEP08</t>
  </si>
  <si>
    <t>DEP09</t>
  </si>
  <si>
    <t>DEP10</t>
  </si>
  <si>
    <t>Age</t>
  </si>
  <si>
    <t>Doctor_Name</t>
  </si>
  <si>
    <t>Doctor_ID</t>
  </si>
  <si>
    <t>Stay_Days</t>
  </si>
  <si>
    <t>Year</t>
  </si>
  <si>
    <t>Month</t>
  </si>
  <si>
    <t>Quarter</t>
  </si>
  <si>
    <t>Month_Name</t>
  </si>
  <si>
    <t>Day</t>
  </si>
  <si>
    <t>Std_Day</t>
  </si>
  <si>
    <t>Insurance_ID</t>
  </si>
  <si>
    <t>Healthplus</t>
  </si>
  <si>
    <t>Medicare</t>
  </si>
  <si>
    <t>INS01</t>
  </si>
  <si>
    <t>PAY01</t>
  </si>
  <si>
    <t>INS02</t>
  </si>
  <si>
    <t>INS03</t>
  </si>
  <si>
    <t>INS04</t>
  </si>
  <si>
    <t>INS05</t>
  </si>
  <si>
    <t>INS06</t>
  </si>
  <si>
    <t>INS07</t>
  </si>
  <si>
    <t>INS08</t>
  </si>
  <si>
    <t>Payment_ID</t>
  </si>
  <si>
    <t>PAY02</t>
  </si>
  <si>
    <t>PAY03</t>
  </si>
  <si>
    <t>PAY04</t>
  </si>
  <si>
    <t>PAY05</t>
  </si>
  <si>
    <t>PAY06</t>
  </si>
  <si>
    <t>Healthcare Data Analytics</t>
  </si>
  <si>
    <t>Business Problem</t>
  </si>
  <si>
    <t>A multi-specialty healthcare organization wants to understand patient admissions, hospital operations, billing, payment collection, and patient experience.</t>
  </si>
  <si>
    <t>Objective</t>
  </si>
  <si>
    <t>Clean, validate, transform, and analyze the raw healthcare data to create reliable KPIs and actionable insights for hospital management.</t>
  </si>
  <si>
    <t>Business Queries</t>
  </si>
  <si>
    <t>What are the monthly admission trends?</t>
  </si>
  <si>
    <t>Which departments have the highest patient volume?</t>
  </si>
  <si>
    <t>What are the average length of stay and average waiting time by department?</t>
  </si>
  <si>
    <t>Which diagnoses contribute most to admissions and billing?</t>
  </si>
  <si>
    <t>What is the total billed amount, amount collected, outstanding amount, and collection rate?</t>
  </si>
  <si>
    <t>How does insurance provider performance compare?</t>
  </si>
  <si>
    <t>What factors are associated with lower patient satisfaction?</t>
  </si>
  <si>
    <t>What percentage of records contain missing or invalid data?</t>
  </si>
  <si>
    <t>Identify duplicate patient/admission records and define a deduplication rule.</t>
  </si>
  <si>
    <t>Build a management dashboard showing admissions, revenue, collections, outstanding amount, average stay, waiting time, and satisfaction.</t>
  </si>
  <si>
    <t>Outstanding Balance</t>
  </si>
  <si>
    <t>Age_Group</t>
  </si>
  <si>
    <t>Senior</t>
  </si>
  <si>
    <t>Jul</t>
  </si>
  <si>
    <t>Sat</t>
  </si>
  <si>
    <t>Dec</t>
  </si>
  <si>
    <t>Thu</t>
  </si>
  <si>
    <t>Mon</t>
  </si>
  <si>
    <t>Oct</t>
  </si>
  <si>
    <t>Tue</t>
  </si>
  <si>
    <t>Sep</t>
  </si>
  <si>
    <t>May</t>
  </si>
  <si>
    <t>Fri</t>
  </si>
  <si>
    <t>Jan</t>
  </si>
  <si>
    <t>Wed</t>
  </si>
  <si>
    <t>Sun</t>
  </si>
  <si>
    <t>Jun</t>
  </si>
  <si>
    <t>Mar</t>
  </si>
  <si>
    <t>Feb</t>
  </si>
  <si>
    <t>Aug</t>
  </si>
  <si>
    <t>Apr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</si>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</sst>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rgb="FF374151"/>
      <name val="Inherit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6" fillId="0" borderId="0" xfId="0" applyFont="1"/>
    <xf numFmtId="0" fontId="5" fillId="0" borderId="0" xfId="0" applyFont="1"/>
    <xf numFmtId="22" fontId="0" fillId="0" borderId="0" xfId="0" applyNumberFormat="1"/>
  </cellXfs>
  <cellStyles count="1">
    <cellStyle name="Normal" xfId="0" builtinId="0"/>
  </cellStyles>
  <dxfs count="37">
    <dxf>
      <numFmt numFmtId="164" formatCode="yyyy\-mm\-dd\ h:mm:ss"/>
    </dxf>
    <dxf>
      <numFmt numFmtId="164" formatCode="yyyy\-mm\-dd\ h:mm:ss"/>
    </dxf>
    <dxf>
      <numFmt numFmtId="164" formatCode="yyyy\-mm\-dd\ h:mm:ss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rgb="FFD9EAF7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FDB761-714E-4320-92C7-48E4A356E9EE}" autoFormatId="16" applyNumberFormats="0" applyBorderFormats="0" applyFontFormats="0" applyPatternFormats="0" applyAlignmentFormats="0" applyWidthHeightFormats="0">
  <queryTableRefresh nextId="25" unboundColumnsRight="4">
    <queryTableFields count="24">
      <queryTableField id="1" name="Patient_ID" tableColumnId="1"/>
      <queryTableField id="2" name="Patient_Name" tableColumnId="2"/>
      <queryTableField id="3" name="Gender" tableColumnId="3"/>
      <queryTableField id="4" name="Date_of_Birth" tableColumnId="4"/>
      <queryTableField id="5" name="Admission_Date" tableColumnId="5"/>
      <queryTableField id="6" name="Discharge_Date" tableColumnId="6"/>
      <queryTableField id="7" name="Department" tableColumnId="7"/>
      <queryTableField id="8" name="Diagnosis" tableColumnId="8"/>
      <queryTableField id="9" name="Doctor" tableColumnId="9"/>
      <queryTableField id="10" name="Insurance_Provider" tableColumnId="10"/>
      <queryTableField id="11" name="Ward" tableColumnId="11"/>
      <queryTableField id="12" name="Bill_Amount_INR" tableColumnId="12"/>
      <queryTableField id="13" name="Amount_Paid_INR" tableColumnId="13"/>
      <queryTableField id="14" name="Payment_Mode" tableColumnId="14"/>
      <queryTableField id="15" name="Length_of_Stay_Days" tableColumnId="15"/>
      <queryTableField id="16" name="Wait_Time_Minutes" tableColumnId="16"/>
      <queryTableField id="17" name="Satisfaction_Score" tableColumnId="17"/>
      <queryTableField id="18" name="Systolic_BP" tableColumnId="18"/>
      <queryTableField id="19" name="Glucose_mg_dL" tableColumnId="19"/>
      <queryTableField id="20" name="Admission_Status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E0C7C5D-78C8-4DE0-BF8B-DFED814A090B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FC92A33F-D6CD-498A-B6DD-5E2981BFF892}" autoFormatId="16" applyNumberFormats="0" applyBorderFormats="0" applyFontFormats="0" applyPatternFormats="0" applyAlignmentFormats="0" applyWidthHeightFormats="0">
  <queryTableRefresh nextId="8">
    <queryTableFields count="7">
      <queryTableField id="1" name="Patient_ID" tableColumnId="1"/>
      <queryTableField id="2" name="Patient_Name" tableColumnId="2"/>
      <queryTableField id="3" name="Gender" tableColumnId="3"/>
      <queryTableField id="4" name="Date_of_Birth" tableColumnId="4"/>
      <queryTableField id="5" name="Admission_Date" tableColumnId="5"/>
      <queryTableField id="6" name="Age" tableColumnId="6"/>
      <queryTableField id="7" name="Age_Group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4AAF79D0-6855-4210-B710-026C2A79D6F8}" autoFormatId="16" applyNumberFormats="0" applyBorderFormats="0" applyFontFormats="0" applyPatternFormats="0" applyAlignmentFormats="0" applyWidthHeightFormats="0">
  <queryTableRefresh nextId="8">
    <queryTableFields count="7">
      <queryTableField id="1" name="Admission_Date" tableColumnId="1"/>
      <queryTableField id="2" name="Year" tableColumnId="2"/>
      <queryTableField id="3" name="Month" tableColumnId="3"/>
      <queryTableField id="4" name="Month_Name" tableColumnId="4"/>
      <queryTableField id="5" name="Quarter" tableColumnId="5"/>
      <queryTableField id="6" name="Day" tableColumnId="6"/>
      <queryTableField id="7" name="Std_Day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FA930026-283E-4B87-B83E-5E58D8FEF684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C8A87DB-BBF6-4FD5-9230-1504570AB7E6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E48053-AE72-4E53-A4E7-847820008DFE}" name="Table1_1" displayName="Table1_1" ref="A1:X2001" tableType="queryTable" totalsRowShown="0">
  <autoFilter ref="A1:X2001" xr:uid="{A5E48053-AE72-4E53-A4E7-847820008DFE}"/>
  <tableColumns count="24">
    <tableColumn id="1" xr3:uid="{BAD252AE-53B4-40D9-B56E-CF148EC0ECC6}" uniqueName="1" name="Patient_ID" queryTableFieldId="1" dataDxfId="36"/>
    <tableColumn id="2" xr3:uid="{90005037-7F50-48A0-9195-BA0A498F2D75}" uniqueName="2" name="Patient_Name" queryTableFieldId="2" dataDxfId="35"/>
    <tableColumn id="3" xr3:uid="{D6A94E6C-3EA8-49DC-8C58-9D18F40D00F3}" uniqueName="3" name="Gender" queryTableFieldId="3" dataDxfId="34"/>
    <tableColumn id="4" xr3:uid="{195DE7FF-4ECF-4B9F-88F7-F649BECC4606}" uniqueName="4" name="Date_of_Birth" queryTableFieldId="4" dataDxfId="33"/>
    <tableColumn id="5" xr3:uid="{58667074-79AB-4172-8ADB-5655D8D3546D}" uniqueName="5" name="Admission_Date" queryTableFieldId="5" dataDxfId="32"/>
    <tableColumn id="6" xr3:uid="{0F5AD25C-C062-43EE-9861-5F363DA59CC4}" uniqueName="6" name="Discharge_Date" queryTableFieldId="6" dataDxfId="31"/>
    <tableColumn id="7" xr3:uid="{6E539767-DFB6-49AF-BEDE-0E1EF9C621FC}" uniqueName="7" name="Department" queryTableFieldId="7" dataDxfId="30"/>
    <tableColumn id="8" xr3:uid="{4D73111D-8B3C-4FF0-A151-7ACC09EB3E21}" uniqueName="8" name="Diagnosis" queryTableFieldId="8" dataDxfId="29"/>
    <tableColumn id="9" xr3:uid="{04D77B06-61A7-4B7B-8174-87C356D577CF}" uniqueName="9" name="Doctor" queryTableFieldId="9" dataDxfId="28"/>
    <tableColumn id="10" xr3:uid="{BC0FC742-E728-4E71-99FF-1F3A7DB78EE0}" uniqueName="10" name="Insurance_Provider" queryTableFieldId="10" dataDxfId="27"/>
    <tableColumn id="11" xr3:uid="{A0B117C2-ACBC-4F3D-ADBF-F39389DA13BD}" uniqueName="11" name="Ward" queryTableFieldId="11" dataDxfId="26"/>
    <tableColumn id="12" xr3:uid="{562566E6-52E4-4C1C-9F90-57DCABBEC2F8}" uniqueName="12" name="Bill_Amount_INR" queryTableFieldId="12" dataDxfId="25"/>
    <tableColumn id="13" xr3:uid="{F7C43F18-7F4F-421A-81A7-AAE90DFE3EBD}" uniqueName="13" name="Amount_Paid_INR" queryTableFieldId="13"/>
    <tableColumn id="14" xr3:uid="{7A4F4382-8337-404D-A8B6-9A89CA157B0D}" uniqueName="14" name="Payment_Mode" queryTableFieldId="14" dataDxfId="24"/>
    <tableColumn id="15" xr3:uid="{8991D37C-BD1E-46EA-8F6E-C3C56A008284}" uniqueName="15" name="Length_of_Stay_Days" queryTableFieldId="15"/>
    <tableColumn id="16" xr3:uid="{42B37BD0-7DFD-4549-BD29-1B811C7CBBC1}" uniqueName="16" name="Wait_Time_Minutes" queryTableFieldId="16"/>
    <tableColumn id="17" xr3:uid="{786FAEA4-52C0-485A-ADCF-576E82C6D0DB}" uniqueName="17" name="Satisfaction_Score" queryTableFieldId="17"/>
    <tableColumn id="18" xr3:uid="{72060DD2-7853-471B-858F-3D5EB41731B2}" uniqueName="18" name="Systolic_BP" queryTableFieldId="18"/>
    <tableColumn id="19" xr3:uid="{07DF7902-26E8-4DB0-AA1A-6F84EB15C157}" uniqueName="19" name="Glucose_mg_dL" queryTableFieldId="19"/>
    <tableColumn id="20" xr3:uid="{FCDF35FD-55EE-442A-A106-62B6BE0DACD1}" uniqueName="20" name="Admission_Status" queryTableFieldId="20" dataDxfId="23"/>
    <tableColumn id="21" xr3:uid="{677A531F-BA8A-4837-A0B9-B2CAA3440563}" uniqueName="21" name="Age" queryTableFieldId="21" dataDxfId="22">
      <calculatedColumnFormula>DATEDIF(D2,E2,"Y")</calculatedColumnFormula>
    </tableColumn>
    <tableColumn id="22" xr3:uid="{F47EEDFC-EAA3-4222-9875-8E0F0964CF5A}" uniqueName="22" name="Stay_Days" queryTableFieldId="22" dataDxfId="21">
      <calculatedColumnFormula>IF(OR(E2=" ",F2=" ",E2="Unknown",F2="Unknown")," ",F2-E2)</calculatedColumnFormula>
    </tableColumn>
    <tableColumn id="23" xr3:uid="{5FA29AC6-5065-44E0-B976-5B66D78FAA95}" uniqueName="23" name="Outstanding Balance" queryTableFieldId="23" dataDxfId="20">
      <calculatedColumnFormula>L2-M2</calculatedColumnFormula>
    </tableColumn>
    <tableColumn id="24" xr3:uid="{E9E80B92-23B8-4AB7-A9C5-63F95908E75B}" uniqueName="24" name="Age_Group" queryTableFieldId="24" dataDxfId="19">
      <calculatedColumnFormula>IF(OR(U2="",U2="Unknown"),"",IF(U2&lt;18,"Child",IF(U2&lt;40,"Adult",IF(U2&lt;60,"Middle Age","Senior"))))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6483DC-981C-46C4-AB84-33307C166879}" name="Table3_1" displayName="Table3_1" ref="A1:B8" tableType="queryTable" totalsRowShown="0">
  <autoFilter ref="A1:B8" xr:uid="{0D6483DC-981C-46C4-AB84-33307C166879}"/>
  <tableColumns count="2">
    <tableColumn id="1" xr3:uid="{38BED6B1-8DF7-4787-B26E-54ED9FF6ABE1}" uniqueName="1" name="Doctor_Name" queryTableFieldId="1" dataDxfId="18"/>
    <tableColumn id="2" xr3:uid="{1EE90843-13B9-4F10-A994-F0032B7B1ED8}" uniqueName="2" name="Doctor_ID" queryTableFieldId="2" dataDxfId="1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DE2D6-946B-4439-92BA-76434BE5044A}" name="Table9" displayName="Table9" ref="A1:B11" totalsRowShown="0">
  <autoFilter ref="A1:B11" xr:uid="{831DE2D6-946B-4439-92BA-76434BE5044A}"/>
  <tableColumns count="2">
    <tableColumn id="1" xr3:uid="{C9763751-C50B-465B-A83E-41186B94D1F0}" name="Department_ID"/>
    <tableColumn id="2" xr3:uid="{8DD8EBD2-971F-4D20-8B68-AB70A3C2528F}" name="Department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EC10828-D50B-411D-8AEA-7AEEE03FC134}" name="Table3__2" displayName="Table3__2" ref="A1:G2001" tableType="queryTable" totalsRowShown="0">
  <autoFilter ref="A1:G2001" xr:uid="{0EC10828-D50B-411D-8AEA-7AEEE03FC134}"/>
  <tableColumns count="7">
    <tableColumn id="1" xr3:uid="{398F3CD9-4126-48A3-8149-930B1C6A7331}" uniqueName="1" name="Patient_ID" queryTableFieldId="1" dataDxfId="16"/>
    <tableColumn id="2" xr3:uid="{1834E8D3-F51B-445B-9E09-78F50EA04090}" uniqueName="2" name="Patient_Name" queryTableFieldId="2" dataDxfId="15"/>
    <tableColumn id="3" xr3:uid="{765693B8-F414-45D2-9261-BF0C7DF922DD}" uniqueName="3" name="Gender" queryTableFieldId="3" dataDxfId="14"/>
    <tableColumn id="4" xr3:uid="{619B9482-3FCF-4F0D-AAE0-3777BE64B0E7}" uniqueName="4" name="Date_of_Birth" queryTableFieldId="4" dataDxfId="13"/>
    <tableColumn id="5" xr3:uid="{AFF74F38-4CDC-4019-A6C6-D15A8C9B84E3}" uniqueName="5" name="Admission_Date" queryTableFieldId="5" dataDxfId="12"/>
    <tableColumn id="6" xr3:uid="{3748C7EB-3E01-4757-9479-EADA24937E6B}" uniqueName="6" name="Age" queryTableFieldId="6"/>
    <tableColumn id="7" xr3:uid="{EF972EFD-5F39-4F3D-A32E-D7A10309E138}" uniqueName="7" name="Age_Group" queryTableFieldId="7" dataDxf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EA4EC29-DD5F-4100-9DDF-DD241A3B67E9}" name="Table6_1" displayName="Table6_1" ref="A1:G2001" tableType="queryTable" totalsRowShown="0">
  <autoFilter ref="A1:G2001" xr:uid="{3EA4EC29-DD5F-4100-9DDF-DD241A3B67E9}"/>
  <tableColumns count="7">
    <tableColumn id="1" xr3:uid="{37729795-620B-42B1-A942-5368D795332D}" uniqueName="1" name="Admission_Date" queryTableFieldId="1" dataDxfId="10"/>
    <tableColumn id="2" xr3:uid="{5A26480A-A6E9-498F-893E-9C4072E9B19D}" uniqueName="2" name="Year" queryTableFieldId="2"/>
    <tableColumn id="3" xr3:uid="{343E0D97-29B4-47C4-90F9-67CFF05B2D27}" uniqueName="3" name="Month" queryTableFieldId="3"/>
    <tableColumn id="4" xr3:uid="{DB5D42B0-ADE1-4F29-9E1D-822C7994CE1B}" uniqueName="4" name="Month_Name" queryTableFieldId="4" dataDxfId="9"/>
    <tableColumn id="5" xr3:uid="{5AC49293-CDB1-4BAA-9B26-32972A8CA9C0}" uniqueName="5" name="Quarter" queryTableFieldId="5"/>
    <tableColumn id="6" xr3:uid="{C755E069-F2E8-4164-A881-3B1E4559C2CD}" uniqueName="6" name="Day" queryTableFieldId="6"/>
    <tableColumn id="7" xr3:uid="{6C5B69A1-A7D5-471F-9D20-5426A9984112}" uniqueName="7" name="Std_Day" queryTableFieldId="7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B83C1C-4C2C-4B26-8671-F65D23E13765}" name="Table8_1" displayName="Table8_1" ref="A1:B9" tableType="queryTable" totalsRowShown="0">
  <autoFilter ref="A1:B9" xr:uid="{B3B83C1C-4C2C-4B26-8671-F65D23E13765}"/>
  <tableColumns count="2">
    <tableColumn id="1" xr3:uid="{15CAFAEE-7D95-4A22-BC1B-08BE139B4180}" uniqueName="1" name="Insurance_ID" queryTableFieldId="1" dataDxfId="7"/>
    <tableColumn id="2" xr3:uid="{0103DBCB-D0F4-4665-94E6-FF21EFAB7DCD}" uniqueName="2" name="Insurance_Provider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FC58D47-7CBA-4B62-B06C-C6FD2200FF03}" name="Table11_1" displayName="Table11_1" ref="A1:B7" tableType="queryTable" totalsRowShown="0">
  <autoFilter ref="A1:B7" xr:uid="{7FC58D47-7CBA-4B62-B06C-C6FD2200FF03}"/>
  <tableColumns count="2">
    <tableColumn id="1" xr3:uid="{AD3BC1A4-2DD6-4A85-9C44-BCA5D206AEF2}" uniqueName="1" name="Payment_ID" queryTableFieldId="1" dataDxfId="5"/>
    <tableColumn id="2" xr3:uid="{4885FE91-A559-42FF-953E-C7F5D61432D2}" uniqueName="2" name="Payment_Mode" queryTableFieldId="2" dataDxf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20D874-DDA8-49C1-A164-63E649782EE8}" name="Table1" displayName="Table1" ref="A1:T2001" totalsRowShown="0" headerRowDxfId="3">
  <autoFilter ref="A1:T2001" xr:uid="{3220D874-DDA8-49C1-A164-63E649782EE8}"/>
  <tableColumns count="20">
    <tableColumn id="1" xr3:uid="{7A4CAF79-74B1-42F4-80F3-15F66FF6B975}" name="Patient_ID"/>
    <tableColumn id="2" xr3:uid="{1DA24C65-25E4-4F74-A296-86D554EAD08E}" name="Patient_Name"/>
    <tableColumn id="3" xr3:uid="{09963CF5-1AE0-4D6F-A0E4-66980929BC7A}" name="Gender"/>
    <tableColumn id="4" xr3:uid="{40B37225-1F1E-4F65-BB45-DB1FFA1DC4D0}" name="Date_of_Birth" dataDxfId="2"/>
    <tableColumn id="5" xr3:uid="{1EFFF76F-D2DB-4D9B-8D3B-B3E9023BAF67}" name="Admission_Date" dataDxfId="1"/>
    <tableColumn id="6" xr3:uid="{1C5DC3FA-2B3E-4B74-B3D5-C065C9E51CAC}" name="Discharge_Date" dataDxfId="0"/>
    <tableColumn id="7" xr3:uid="{346CE11E-8B28-43E0-ABA1-ADB5D5A881AD}" name="Department"/>
    <tableColumn id="8" xr3:uid="{BCC9A89A-B54B-4B3D-9973-BA4E6DF71A65}" name="Diagnosis"/>
    <tableColumn id="9" xr3:uid="{5E471A7D-4F1B-415A-97AB-6EE35E36A741}" name="Doctor"/>
    <tableColumn id="10" xr3:uid="{FDE0A2F0-DA46-4BDF-B770-9569FEA5824D}" name="Insurance_Provider"/>
    <tableColumn id="11" xr3:uid="{1EF0121A-9401-402E-9F91-7E1E62BAF3B4}" name="Ward"/>
    <tableColumn id="12" xr3:uid="{12176BB0-0E90-4BC9-99A3-DF0AC9F2827D}" name="Bill_Amount_INR"/>
    <tableColumn id="13" xr3:uid="{1C384F4F-3498-4D33-981A-4287B9552E32}" name="Amount_Paid_INR"/>
    <tableColumn id="14" xr3:uid="{2994170F-7FE4-40EF-9D09-F9821B4D0599}" name="Payment_Mode"/>
    <tableColumn id="15" xr3:uid="{07E5B452-78BE-4593-94A3-3F3D1C695F53}" name="Length_of_Stay_Days"/>
    <tableColumn id="16" xr3:uid="{BC01C8DB-9B67-4FBC-8E12-D321CC71E6B5}" name="Wait_Time_Minutes"/>
    <tableColumn id="17" xr3:uid="{D2CBB6F3-5A6D-41FF-9612-52AA63B4C070}" name="Satisfaction_Score"/>
    <tableColumn id="18" xr3:uid="{7D046F8D-3AAD-4776-A7A3-127BF78615CC}" name="Systolic_BP"/>
    <tableColumn id="19" xr3:uid="{610213AB-B7BC-4BDA-81DA-7D148919C662}" name="Glucose_mg_dL"/>
    <tableColumn id="20" xr3:uid="{ECA50843-CBD1-4ABF-88FB-F484CA565203}" name="Admission_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7E2D6-1381-4BFE-9EAF-CE782C261821}">
  <dimension ref="A1:X2001"/>
  <sheetViews>
    <sheetView workbookViewId="0">
      <selection activeCell="A2" sqref="A2"/>
    </sheetView>
  </sheetViews>
  <sheetFormatPr defaultRowHeight="14.4"/>
  <cols>
    <col min="1" max="1" width="12" bestFit="1" customWidth="1"/>
    <col min="2" max="2" width="15.33203125" bestFit="1" customWidth="1"/>
    <col min="3" max="3" width="9.33203125" bestFit="1" customWidth="1"/>
    <col min="4" max="4" width="14.88671875" style="5" bestFit="1" customWidth="1"/>
    <col min="5" max="5" width="16.88671875" style="5" bestFit="1" customWidth="1"/>
    <col min="6" max="6" width="16.33203125" style="5" bestFit="1" customWidth="1"/>
    <col min="7" max="7" width="15.33203125" bestFit="1" customWidth="1"/>
    <col min="8" max="8" width="13.109375" bestFit="1" customWidth="1"/>
    <col min="9" max="9" width="15.109375" bestFit="1" customWidth="1"/>
    <col min="10" max="10" width="19.77734375" bestFit="1" customWidth="1"/>
    <col min="11" max="11" width="12.21875" bestFit="1" customWidth="1"/>
    <col min="12" max="12" width="17.6640625" bestFit="1" customWidth="1"/>
    <col min="13" max="13" width="18.88671875" bestFit="1" customWidth="1"/>
    <col min="14" max="14" width="16.88671875" bestFit="1" customWidth="1"/>
    <col min="15" max="15" width="21.6640625" bestFit="1" customWidth="1"/>
    <col min="16" max="16" width="20.33203125" bestFit="1" customWidth="1"/>
    <col min="17" max="17" width="18.77734375" bestFit="1" customWidth="1"/>
    <col min="18" max="18" width="12.77734375" bestFit="1" customWidth="1"/>
    <col min="19" max="19" width="16.5546875" bestFit="1" customWidth="1"/>
    <col min="20" max="20" width="18.21875" bestFit="1" customWidth="1"/>
    <col min="21" max="21" width="8.88671875" style="7"/>
    <col min="22" max="22" width="10.33203125" style="7" bestFit="1" customWidth="1"/>
    <col min="23" max="23" width="17.21875" customWidth="1"/>
    <col min="24" max="24" width="12.5546875" customWidth="1"/>
  </cols>
  <sheetData>
    <row r="1" spans="1:24">
      <c r="A1" t="s">
        <v>0</v>
      </c>
      <c r="B1" t="s">
        <v>1</v>
      </c>
      <c r="C1" t="s">
        <v>2</v>
      </c>
      <c r="D1" s="5" t="s">
        <v>3</v>
      </c>
      <c r="E1" s="5" t="s">
        <v>4</v>
      </c>
      <c r="F1" s="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7" t="s">
        <v>4250</v>
      </c>
      <c r="V1" s="7" t="s">
        <v>4253</v>
      </c>
      <c r="W1" t="s">
        <v>4294</v>
      </c>
      <c r="X1" t="s">
        <v>4295</v>
      </c>
    </row>
    <row r="2" spans="1:24">
      <c r="A2" t="s">
        <v>20</v>
      </c>
      <c r="B2" t="s">
        <v>21</v>
      </c>
      <c r="C2" t="s">
        <v>133</v>
      </c>
      <c r="D2" s="5">
        <v>23837</v>
      </c>
      <c r="E2" s="5">
        <v>45136</v>
      </c>
      <c r="F2" s="5">
        <v>45154</v>
      </c>
      <c r="G2" t="s">
        <v>43</v>
      </c>
      <c r="H2" t="s">
        <v>24</v>
      </c>
      <c r="I2" t="s">
        <v>25</v>
      </c>
      <c r="J2" t="s">
        <v>26</v>
      </c>
      <c r="K2" t="s">
        <v>27</v>
      </c>
      <c r="L2" s="6">
        <v>56612.9</v>
      </c>
      <c r="M2">
        <v>44868.27</v>
      </c>
      <c r="N2" t="s">
        <v>192</v>
      </c>
      <c r="O2">
        <v>18</v>
      </c>
      <c r="P2">
        <v>148</v>
      </c>
      <c r="Q2">
        <v>4</v>
      </c>
      <c r="R2">
        <v>181</v>
      </c>
      <c r="S2">
        <v>193.5</v>
      </c>
      <c r="T2" t="s">
        <v>37</v>
      </c>
      <c r="U2" s="7">
        <f t="shared" ref="U2:U65" si="0">DATEDIF(D2,E2,"Y")</f>
        <v>58</v>
      </c>
      <c r="V2" s="7">
        <f t="shared" ref="V2:V65" si="1">IF(OR(E2=" ",F2=" ",E2="Unknown",F2="Unknown")," ",F2-E2)</f>
        <v>18</v>
      </c>
      <c r="W2" s="6">
        <f t="shared" ref="W2:W65" si="2">L2-M2</f>
        <v>11744.630000000005</v>
      </c>
      <c r="X2" t="str">
        <f t="shared" ref="X2:X65" si="3">IF(OR(U2="",U2="Unknown"),"",IF(U2&lt;18,"Child",IF(U2&lt;40,"Adult",IF(U2&lt;60,"Middle Age","Senior"))))</f>
        <v>Middle Age</v>
      </c>
    </row>
    <row r="3" spans="1:24">
      <c r="A3" t="s">
        <v>28</v>
      </c>
      <c r="B3" t="s">
        <v>29</v>
      </c>
      <c r="C3" t="s">
        <v>133</v>
      </c>
      <c r="D3" s="5">
        <v>20634</v>
      </c>
      <c r="E3" s="5">
        <v>45631</v>
      </c>
      <c r="F3" s="5">
        <v>45640</v>
      </c>
      <c r="G3" t="s">
        <v>161</v>
      </c>
      <c r="H3" t="s">
        <v>32</v>
      </c>
      <c r="I3" t="s">
        <v>33</v>
      </c>
      <c r="J3" t="s">
        <v>34</v>
      </c>
      <c r="K3" t="s">
        <v>27</v>
      </c>
      <c r="L3" s="6">
        <v>22003.05</v>
      </c>
      <c r="M3">
        <v>20876.96</v>
      </c>
      <c r="N3" t="s">
        <v>35</v>
      </c>
      <c r="O3">
        <v>9</v>
      </c>
      <c r="P3">
        <v>163</v>
      </c>
      <c r="Q3">
        <v>5</v>
      </c>
      <c r="R3">
        <v>163</v>
      </c>
      <c r="S3">
        <v>106.5</v>
      </c>
      <c r="T3" t="s">
        <v>37</v>
      </c>
      <c r="U3" s="7">
        <f t="shared" si="0"/>
        <v>68</v>
      </c>
      <c r="V3" s="7">
        <f t="shared" si="1"/>
        <v>9</v>
      </c>
      <c r="W3" s="6">
        <f t="shared" si="2"/>
        <v>1126.0900000000001</v>
      </c>
      <c r="X3" t="str">
        <f t="shared" si="3"/>
        <v>Senior</v>
      </c>
    </row>
    <row r="4" spans="1:24">
      <c r="A4" t="s">
        <v>38</v>
      </c>
      <c r="B4" t="s">
        <v>39</v>
      </c>
      <c r="C4" t="s">
        <v>40</v>
      </c>
      <c r="D4" s="5">
        <v>32453</v>
      </c>
      <c r="E4" s="5">
        <v>46020</v>
      </c>
      <c r="F4" s="5">
        <v>46028</v>
      </c>
      <c r="G4" t="s">
        <v>43</v>
      </c>
      <c r="H4" t="s">
        <v>44</v>
      </c>
      <c r="I4" t="s">
        <v>45</v>
      </c>
      <c r="J4" t="s">
        <v>46</v>
      </c>
      <c r="K4" t="s">
        <v>27</v>
      </c>
      <c r="L4" s="6">
        <v>211105.85</v>
      </c>
      <c r="M4">
        <v>162280.10999999999</v>
      </c>
      <c r="N4" t="s">
        <v>73</v>
      </c>
      <c r="O4">
        <v>8</v>
      </c>
      <c r="P4">
        <v>13</v>
      </c>
      <c r="Q4">
        <v>5</v>
      </c>
      <c r="R4">
        <v>141</v>
      </c>
      <c r="S4">
        <v>120.9</v>
      </c>
      <c r="T4" t="s">
        <v>47</v>
      </c>
      <c r="U4" s="7">
        <f t="shared" si="0"/>
        <v>37</v>
      </c>
      <c r="V4" s="7">
        <f t="shared" si="1"/>
        <v>8</v>
      </c>
      <c r="W4" s="6">
        <f t="shared" si="2"/>
        <v>48825.74000000002</v>
      </c>
      <c r="X4" t="str">
        <f t="shared" si="3"/>
        <v>Adult</v>
      </c>
    </row>
    <row r="5" spans="1:24">
      <c r="A5" t="s">
        <v>48</v>
      </c>
      <c r="B5" t="s">
        <v>49</v>
      </c>
      <c r="C5" t="s">
        <v>40</v>
      </c>
      <c r="D5" s="5">
        <v>23453</v>
      </c>
      <c r="E5" s="5">
        <v>45937</v>
      </c>
      <c r="F5" s="5">
        <v>45940</v>
      </c>
      <c r="G5" t="s">
        <v>94</v>
      </c>
      <c r="H5" t="s">
        <v>52</v>
      </c>
      <c r="I5" t="s">
        <v>53</v>
      </c>
      <c r="J5" t="s">
        <v>97</v>
      </c>
      <c r="K5" t="s">
        <v>55</v>
      </c>
      <c r="L5" s="6">
        <v>198539.64</v>
      </c>
      <c r="M5">
        <v>165775.95000000001</v>
      </c>
      <c r="N5" t="s">
        <v>56</v>
      </c>
      <c r="O5">
        <v>3</v>
      </c>
      <c r="P5">
        <v>103</v>
      </c>
      <c r="Q5">
        <v>4</v>
      </c>
      <c r="R5">
        <v>141</v>
      </c>
      <c r="S5">
        <v>259.3</v>
      </c>
      <c r="T5" t="s">
        <v>37</v>
      </c>
      <c r="U5" s="7">
        <f t="shared" si="0"/>
        <v>61</v>
      </c>
      <c r="V5" s="7">
        <f t="shared" si="1"/>
        <v>3</v>
      </c>
      <c r="W5" s="6">
        <f t="shared" si="2"/>
        <v>32763.690000000002</v>
      </c>
      <c r="X5" t="str">
        <f t="shared" si="3"/>
        <v>Senior</v>
      </c>
    </row>
    <row r="6" spans="1:24">
      <c r="A6" t="s">
        <v>58</v>
      </c>
      <c r="B6" t="s">
        <v>59</v>
      </c>
      <c r="C6" t="s">
        <v>133</v>
      </c>
      <c r="D6" s="5">
        <v>30010</v>
      </c>
      <c r="E6" s="5">
        <v>45538</v>
      </c>
      <c r="F6" s="5">
        <v>45555</v>
      </c>
      <c r="G6" t="s">
        <v>62</v>
      </c>
      <c r="H6" t="s">
        <v>63</v>
      </c>
      <c r="I6" t="s">
        <v>53</v>
      </c>
      <c r="J6" t="s">
        <v>64</v>
      </c>
      <c r="K6" t="s">
        <v>27</v>
      </c>
      <c r="L6" s="6">
        <v>238491.19</v>
      </c>
      <c r="M6">
        <v>209393.65</v>
      </c>
      <c r="N6" t="s">
        <v>56</v>
      </c>
      <c r="O6">
        <v>17</v>
      </c>
      <c r="P6">
        <v>158</v>
      </c>
      <c r="Q6">
        <v>5</v>
      </c>
      <c r="R6">
        <v>152</v>
      </c>
      <c r="S6">
        <v>73.7</v>
      </c>
      <c r="T6" t="s">
        <v>65</v>
      </c>
      <c r="U6" s="7">
        <f t="shared" si="0"/>
        <v>42</v>
      </c>
      <c r="V6" s="7">
        <f t="shared" si="1"/>
        <v>17</v>
      </c>
      <c r="W6" s="6">
        <f t="shared" si="2"/>
        <v>29097.540000000008</v>
      </c>
      <c r="X6" t="str">
        <f t="shared" si="3"/>
        <v>Middle Age</v>
      </c>
    </row>
    <row r="7" spans="1:24">
      <c r="A7" t="s">
        <v>66</v>
      </c>
      <c r="B7" t="s">
        <v>67</v>
      </c>
      <c r="C7" t="s">
        <v>133</v>
      </c>
      <c r="D7" s="5">
        <v>24378</v>
      </c>
      <c r="E7" s="5">
        <v>45793</v>
      </c>
      <c r="F7" s="5" t="s">
        <v>4237</v>
      </c>
      <c r="G7" t="s">
        <v>94</v>
      </c>
      <c r="H7" t="s">
        <v>52</v>
      </c>
      <c r="I7" t="s">
        <v>45</v>
      </c>
      <c r="J7" t="s">
        <v>71</v>
      </c>
      <c r="K7" t="s">
        <v>120</v>
      </c>
      <c r="L7" s="6">
        <v>101250.59</v>
      </c>
      <c r="M7">
        <v>77023.240000000005</v>
      </c>
      <c r="N7" t="s">
        <v>73</v>
      </c>
      <c r="O7">
        <v>7</v>
      </c>
      <c r="P7">
        <v>117</v>
      </c>
      <c r="Q7">
        <v>4</v>
      </c>
      <c r="R7">
        <v>147</v>
      </c>
      <c r="S7">
        <v>163.5</v>
      </c>
      <c r="T7" t="s">
        <v>47</v>
      </c>
      <c r="U7" s="7">
        <f t="shared" si="0"/>
        <v>58</v>
      </c>
      <c r="V7" s="7" t="s">
        <v>4237</v>
      </c>
      <c r="W7" s="6">
        <f t="shared" si="2"/>
        <v>24227.349999999991</v>
      </c>
      <c r="X7" t="str">
        <f t="shared" si="3"/>
        <v>Middle Age</v>
      </c>
    </row>
    <row r="8" spans="1:24">
      <c r="A8" t="s">
        <v>75</v>
      </c>
      <c r="B8" t="s">
        <v>76</v>
      </c>
      <c r="C8" t="s">
        <v>40</v>
      </c>
      <c r="D8" s="5">
        <v>33823</v>
      </c>
      <c r="E8" s="5">
        <v>45197</v>
      </c>
      <c r="F8" s="5">
        <v>45213</v>
      </c>
      <c r="G8" t="s">
        <v>77</v>
      </c>
      <c r="H8" t="s">
        <v>78</v>
      </c>
      <c r="I8" t="s">
        <v>79</v>
      </c>
      <c r="J8" t="s">
        <v>80</v>
      </c>
      <c r="K8" t="s">
        <v>55</v>
      </c>
      <c r="L8" s="6">
        <v>25845.63</v>
      </c>
      <c r="M8">
        <v>18219.05</v>
      </c>
      <c r="N8" t="s">
        <v>73</v>
      </c>
      <c r="O8">
        <v>16</v>
      </c>
      <c r="P8">
        <v>113</v>
      </c>
      <c r="Q8">
        <v>4</v>
      </c>
      <c r="R8">
        <v>149</v>
      </c>
      <c r="S8">
        <v>234.1</v>
      </c>
      <c r="T8" t="s">
        <v>37</v>
      </c>
      <c r="U8" s="7">
        <f t="shared" si="0"/>
        <v>31</v>
      </c>
      <c r="V8" s="7">
        <f t="shared" si="1"/>
        <v>16</v>
      </c>
      <c r="W8" s="6">
        <f t="shared" si="2"/>
        <v>7626.5800000000017</v>
      </c>
      <c r="X8" t="str">
        <f t="shared" si="3"/>
        <v>Adult</v>
      </c>
    </row>
    <row r="9" spans="1:24">
      <c r="A9" t="s">
        <v>82</v>
      </c>
      <c r="B9" t="s">
        <v>83</v>
      </c>
      <c r="C9" t="s">
        <v>133</v>
      </c>
      <c r="D9" s="5">
        <v>20475</v>
      </c>
      <c r="E9" s="5">
        <v>44957</v>
      </c>
      <c r="F9" s="5">
        <v>44960</v>
      </c>
      <c r="G9" t="s">
        <v>94</v>
      </c>
      <c r="H9" t="s">
        <v>86</v>
      </c>
      <c r="I9" t="s">
        <v>53</v>
      </c>
      <c r="J9" t="s">
        <v>34</v>
      </c>
      <c r="K9" t="s">
        <v>55</v>
      </c>
      <c r="L9" s="6">
        <v>122696.18</v>
      </c>
      <c r="M9">
        <v>117714.12</v>
      </c>
      <c r="N9" t="s">
        <v>56</v>
      </c>
      <c r="O9">
        <v>3</v>
      </c>
      <c r="P9">
        <v>236</v>
      </c>
      <c r="Q9">
        <v>1</v>
      </c>
      <c r="R9">
        <v>111</v>
      </c>
      <c r="S9">
        <v>142</v>
      </c>
      <c r="T9" t="s">
        <v>37</v>
      </c>
      <c r="U9" s="7">
        <f t="shared" si="0"/>
        <v>67</v>
      </c>
      <c r="V9" s="7">
        <f t="shared" si="1"/>
        <v>3</v>
      </c>
      <c r="W9" s="6">
        <f t="shared" si="2"/>
        <v>4982.0599999999977</v>
      </c>
      <c r="X9" t="str">
        <f t="shared" si="3"/>
        <v>Senior</v>
      </c>
    </row>
    <row r="10" spans="1:24">
      <c r="A10" t="s">
        <v>87</v>
      </c>
      <c r="B10" t="s">
        <v>88</v>
      </c>
      <c r="C10" t="s">
        <v>133</v>
      </c>
      <c r="D10" s="5">
        <v>19378</v>
      </c>
      <c r="E10" s="5">
        <v>45903</v>
      </c>
      <c r="F10" s="5">
        <v>45920</v>
      </c>
      <c r="G10" t="s">
        <v>89</v>
      </c>
      <c r="H10" t="s">
        <v>124</v>
      </c>
      <c r="I10" t="s">
        <v>25</v>
      </c>
      <c r="J10" t="s">
        <v>64</v>
      </c>
      <c r="K10" t="s">
        <v>55</v>
      </c>
      <c r="L10" s="6">
        <v>22327.59</v>
      </c>
      <c r="M10">
        <v>16088.29</v>
      </c>
      <c r="N10" t="s">
        <v>91</v>
      </c>
      <c r="O10">
        <v>17</v>
      </c>
      <c r="P10">
        <v>22</v>
      </c>
      <c r="Q10">
        <v>4</v>
      </c>
      <c r="R10">
        <v>141</v>
      </c>
      <c r="S10">
        <v>92.8</v>
      </c>
      <c r="T10" t="s">
        <v>37</v>
      </c>
      <c r="U10" s="7">
        <f t="shared" si="0"/>
        <v>72</v>
      </c>
      <c r="V10" s="7">
        <f t="shared" si="1"/>
        <v>17</v>
      </c>
      <c r="W10" s="6">
        <f t="shared" si="2"/>
        <v>6239.2999999999993</v>
      </c>
      <c r="X10" t="str">
        <f t="shared" si="3"/>
        <v>Senior</v>
      </c>
    </row>
    <row r="11" spans="1:24">
      <c r="A11" t="s">
        <v>92</v>
      </c>
      <c r="B11" t="s">
        <v>93</v>
      </c>
      <c r="C11" t="s">
        <v>40</v>
      </c>
      <c r="D11" s="5">
        <v>39845</v>
      </c>
      <c r="E11" s="5">
        <v>45865</v>
      </c>
      <c r="F11" s="5" t="s">
        <v>4237</v>
      </c>
      <c r="G11" t="s">
        <v>94</v>
      </c>
      <c r="H11" t="s">
        <v>95</v>
      </c>
      <c r="I11" t="s">
        <v>96</v>
      </c>
      <c r="J11" t="s">
        <v>97</v>
      </c>
      <c r="K11" t="s">
        <v>55</v>
      </c>
      <c r="L11" s="6">
        <v>233481.7</v>
      </c>
      <c r="M11">
        <v>225025.24</v>
      </c>
      <c r="N11" t="s">
        <v>56</v>
      </c>
      <c r="O11">
        <v>4</v>
      </c>
      <c r="P11">
        <v>99</v>
      </c>
      <c r="Q11">
        <v>5</v>
      </c>
      <c r="R11">
        <v>110</v>
      </c>
      <c r="S11">
        <v>153.30000000000001</v>
      </c>
      <c r="T11" t="s">
        <v>37</v>
      </c>
      <c r="U11" s="7">
        <f t="shared" si="0"/>
        <v>16</v>
      </c>
      <c r="V11" s="7" t="s">
        <v>4237</v>
      </c>
      <c r="W11" s="6">
        <f t="shared" si="2"/>
        <v>8456.460000000021</v>
      </c>
      <c r="X11" t="str">
        <f t="shared" si="3"/>
        <v>Child</v>
      </c>
    </row>
    <row r="12" spans="1:24">
      <c r="A12" t="s">
        <v>4111</v>
      </c>
      <c r="B12" t="s">
        <v>99</v>
      </c>
      <c r="C12" t="s">
        <v>133</v>
      </c>
      <c r="D12" s="5">
        <v>34857</v>
      </c>
      <c r="E12" s="5">
        <v>45467</v>
      </c>
      <c r="F12" s="5">
        <v>45484</v>
      </c>
      <c r="G12" t="s">
        <v>161</v>
      </c>
      <c r="H12" t="s">
        <v>24</v>
      </c>
      <c r="I12" t="s">
        <v>33</v>
      </c>
      <c r="J12" t="s">
        <v>34</v>
      </c>
      <c r="K12" t="s">
        <v>55</v>
      </c>
      <c r="L12" s="6">
        <v>207763.65</v>
      </c>
      <c r="M12">
        <v>145655.54999999999</v>
      </c>
      <c r="N12" t="s">
        <v>4237</v>
      </c>
      <c r="O12">
        <v>17</v>
      </c>
      <c r="P12">
        <v>202</v>
      </c>
      <c r="Q12">
        <v>3</v>
      </c>
      <c r="R12">
        <v>171</v>
      </c>
      <c r="S12">
        <v>256.2</v>
      </c>
      <c r="T12" t="s">
        <v>47</v>
      </c>
      <c r="U12" s="7">
        <f t="shared" si="0"/>
        <v>29</v>
      </c>
      <c r="V12" s="7">
        <f t="shared" si="1"/>
        <v>17</v>
      </c>
      <c r="W12" s="6">
        <f t="shared" si="2"/>
        <v>62108.100000000006</v>
      </c>
      <c r="X12" t="str">
        <f t="shared" si="3"/>
        <v>Adult</v>
      </c>
    </row>
    <row r="13" spans="1:24">
      <c r="A13" t="s">
        <v>103</v>
      </c>
      <c r="B13" t="s">
        <v>104</v>
      </c>
      <c r="C13" t="s">
        <v>133</v>
      </c>
      <c r="D13" s="5">
        <v>39094</v>
      </c>
      <c r="E13" s="5">
        <v>45357</v>
      </c>
      <c r="F13" s="5">
        <v>45365</v>
      </c>
      <c r="G13" t="s">
        <v>105</v>
      </c>
      <c r="H13" t="s">
        <v>78</v>
      </c>
      <c r="I13" t="s">
        <v>79</v>
      </c>
      <c r="J13" t="s">
        <v>64</v>
      </c>
      <c r="K13" t="s">
        <v>55</v>
      </c>
      <c r="L13" s="6">
        <v>187995.71</v>
      </c>
      <c r="M13">
        <v>180359.65</v>
      </c>
      <c r="N13" t="s">
        <v>73</v>
      </c>
      <c r="O13">
        <v>8</v>
      </c>
      <c r="P13">
        <v>209</v>
      </c>
      <c r="Q13">
        <v>3</v>
      </c>
      <c r="R13">
        <v>142</v>
      </c>
      <c r="S13">
        <v>74.7</v>
      </c>
      <c r="T13" t="s">
        <v>4237</v>
      </c>
      <c r="U13" s="7">
        <f t="shared" si="0"/>
        <v>17</v>
      </c>
      <c r="V13" s="7">
        <f t="shared" si="1"/>
        <v>8</v>
      </c>
      <c r="W13" s="6">
        <f t="shared" si="2"/>
        <v>7636.0599999999977</v>
      </c>
      <c r="X13" t="str">
        <f t="shared" si="3"/>
        <v>Child</v>
      </c>
    </row>
    <row r="14" spans="1:24">
      <c r="A14" t="s">
        <v>107</v>
      </c>
      <c r="B14" t="s">
        <v>108</v>
      </c>
      <c r="C14" t="s">
        <v>40</v>
      </c>
      <c r="D14" s="5">
        <v>37354</v>
      </c>
      <c r="E14" s="5">
        <v>44975</v>
      </c>
      <c r="F14" s="5">
        <v>44982</v>
      </c>
      <c r="G14" t="s">
        <v>109</v>
      </c>
      <c r="H14" t="s">
        <v>44</v>
      </c>
      <c r="I14" t="s">
        <v>33</v>
      </c>
      <c r="J14" t="s">
        <v>71</v>
      </c>
      <c r="K14" t="s">
        <v>110</v>
      </c>
      <c r="L14" s="6">
        <v>89408.67</v>
      </c>
      <c r="M14">
        <v>65975.83</v>
      </c>
      <c r="N14" t="s">
        <v>56</v>
      </c>
      <c r="O14">
        <v>7</v>
      </c>
      <c r="P14">
        <v>220</v>
      </c>
      <c r="Q14">
        <v>4</v>
      </c>
      <c r="R14">
        <v>132</v>
      </c>
      <c r="S14">
        <v>248.5</v>
      </c>
      <c r="T14" t="s">
        <v>37</v>
      </c>
      <c r="U14" s="7">
        <f t="shared" si="0"/>
        <v>20</v>
      </c>
      <c r="V14" s="7">
        <f t="shared" si="1"/>
        <v>7</v>
      </c>
      <c r="W14" s="6">
        <f t="shared" si="2"/>
        <v>23432.839999999997</v>
      </c>
      <c r="X14" t="str">
        <f t="shared" si="3"/>
        <v>Adult</v>
      </c>
    </row>
    <row r="15" spans="1:24">
      <c r="A15" t="s">
        <v>111</v>
      </c>
      <c r="B15" t="s">
        <v>112</v>
      </c>
      <c r="C15" t="s">
        <v>133</v>
      </c>
      <c r="D15" s="5">
        <v>19342</v>
      </c>
      <c r="E15" s="5">
        <v>44930</v>
      </c>
      <c r="F15" s="5">
        <v>44947</v>
      </c>
      <c r="G15" t="s">
        <v>89</v>
      </c>
      <c r="H15" t="s">
        <v>113</v>
      </c>
      <c r="I15" t="s">
        <v>45</v>
      </c>
      <c r="J15" t="s">
        <v>46</v>
      </c>
      <c r="K15" t="s">
        <v>161</v>
      </c>
      <c r="L15" s="6">
        <v>109246.11</v>
      </c>
      <c r="M15">
        <v>90652.05</v>
      </c>
      <c r="N15" t="s">
        <v>56</v>
      </c>
      <c r="O15">
        <v>17</v>
      </c>
      <c r="P15">
        <v>164</v>
      </c>
      <c r="Q15">
        <v>5</v>
      </c>
      <c r="R15">
        <v>174</v>
      </c>
      <c r="S15">
        <v>231.1</v>
      </c>
      <c r="T15" t="s">
        <v>4237</v>
      </c>
      <c r="U15" s="7">
        <f t="shared" si="0"/>
        <v>70</v>
      </c>
      <c r="V15" s="7">
        <f t="shared" si="1"/>
        <v>17</v>
      </c>
      <c r="W15" s="6">
        <f t="shared" si="2"/>
        <v>18594.059999999998</v>
      </c>
      <c r="X15" t="str">
        <f t="shared" si="3"/>
        <v>Senior</v>
      </c>
    </row>
    <row r="16" spans="1:24">
      <c r="A16" t="s">
        <v>115</v>
      </c>
      <c r="B16" t="s">
        <v>116</v>
      </c>
      <c r="C16" t="s">
        <v>133</v>
      </c>
      <c r="D16" s="5">
        <v>31057</v>
      </c>
      <c r="E16" s="5">
        <v>45514</v>
      </c>
      <c r="F16" s="5">
        <v>45521</v>
      </c>
      <c r="G16" t="s">
        <v>117</v>
      </c>
      <c r="H16" t="s">
        <v>118</v>
      </c>
      <c r="I16" t="s">
        <v>119</v>
      </c>
      <c r="J16" t="s">
        <v>34</v>
      </c>
      <c r="K16" t="s">
        <v>120</v>
      </c>
      <c r="L16" s="6">
        <v>111842.04</v>
      </c>
      <c r="M16">
        <v>98646.34</v>
      </c>
      <c r="N16" t="s">
        <v>73</v>
      </c>
      <c r="O16">
        <v>7</v>
      </c>
      <c r="P16">
        <v>126</v>
      </c>
      <c r="Q16">
        <v>3</v>
      </c>
      <c r="R16">
        <v>174</v>
      </c>
      <c r="S16">
        <v>86.1</v>
      </c>
      <c r="T16" t="s">
        <v>37</v>
      </c>
      <c r="U16" s="7">
        <f t="shared" si="0"/>
        <v>39</v>
      </c>
      <c r="V16" s="7">
        <f t="shared" si="1"/>
        <v>7</v>
      </c>
      <c r="W16" s="6">
        <f t="shared" si="2"/>
        <v>13195.699999999997</v>
      </c>
      <c r="X16" t="str">
        <f t="shared" si="3"/>
        <v>Adult</v>
      </c>
    </row>
    <row r="17" spans="1:24">
      <c r="A17" t="s">
        <v>122</v>
      </c>
      <c r="B17" t="s">
        <v>83</v>
      </c>
      <c r="C17" t="s">
        <v>40</v>
      </c>
      <c r="D17" s="5" t="s">
        <v>4237</v>
      </c>
      <c r="E17" s="5">
        <v>45325</v>
      </c>
      <c r="F17" s="5">
        <v>45338</v>
      </c>
      <c r="G17" t="s">
        <v>94</v>
      </c>
      <c r="H17" t="s">
        <v>124</v>
      </c>
      <c r="I17" t="s">
        <v>25</v>
      </c>
      <c r="J17" t="s">
        <v>26</v>
      </c>
      <c r="K17" t="s">
        <v>55</v>
      </c>
      <c r="L17" s="6">
        <v>195159.05</v>
      </c>
      <c r="M17">
        <v>146909.1</v>
      </c>
      <c r="N17" t="s">
        <v>73</v>
      </c>
      <c r="O17">
        <v>13</v>
      </c>
      <c r="P17">
        <v>183</v>
      </c>
      <c r="Q17">
        <v>4</v>
      </c>
      <c r="R17">
        <v>149</v>
      </c>
      <c r="S17">
        <v>79.5</v>
      </c>
      <c r="T17" t="s">
        <v>47</v>
      </c>
      <c r="U17" s="7" t="s">
        <v>4237</v>
      </c>
      <c r="V17" s="7">
        <f t="shared" si="1"/>
        <v>13</v>
      </c>
      <c r="W17" s="6">
        <f t="shared" si="2"/>
        <v>48249.949999999983</v>
      </c>
      <c r="X17" t="s">
        <v>4237</v>
      </c>
    </row>
    <row r="18" spans="1:24">
      <c r="A18" t="s">
        <v>125</v>
      </c>
      <c r="B18" t="s">
        <v>126</v>
      </c>
      <c r="C18" t="s">
        <v>40</v>
      </c>
      <c r="D18" s="5">
        <v>28573</v>
      </c>
      <c r="E18" s="5">
        <v>45899</v>
      </c>
      <c r="F18" s="5">
        <v>45914</v>
      </c>
      <c r="G18" t="s">
        <v>94</v>
      </c>
      <c r="H18" t="s">
        <v>24</v>
      </c>
      <c r="I18" t="s">
        <v>96</v>
      </c>
      <c r="J18" t="s">
        <v>64</v>
      </c>
      <c r="K18" t="s">
        <v>110</v>
      </c>
      <c r="L18" s="6">
        <v>122437.75999999999</v>
      </c>
      <c r="M18">
        <v>95792.76</v>
      </c>
      <c r="N18" t="s">
        <v>73</v>
      </c>
      <c r="O18">
        <v>15</v>
      </c>
      <c r="P18">
        <v>24</v>
      </c>
      <c r="Q18">
        <v>5</v>
      </c>
      <c r="R18">
        <v>120</v>
      </c>
      <c r="S18">
        <v>121.6</v>
      </c>
      <c r="T18" t="s">
        <v>65</v>
      </c>
      <c r="U18" s="7">
        <f t="shared" si="0"/>
        <v>47</v>
      </c>
      <c r="V18" s="7">
        <f t="shared" si="1"/>
        <v>15</v>
      </c>
      <c r="W18" s="6">
        <f t="shared" si="2"/>
        <v>26645</v>
      </c>
      <c r="X18" t="str">
        <f t="shared" si="3"/>
        <v>Middle Age</v>
      </c>
    </row>
    <row r="19" spans="1:24">
      <c r="A19" t="s">
        <v>128</v>
      </c>
      <c r="B19" t="s">
        <v>129</v>
      </c>
      <c r="C19" t="s">
        <v>40</v>
      </c>
      <c r="D19" s="5">
        <v>40513</v>
      </c>
      <c r="E19" s="5" t="s">
        <v>4237</v>
      </c>
      <c r="F19" s="5" t="s">
        <v>4237</v>
      </c>
      <c r="G19" t="s">
        <v>105</v>
      </c>
      <c r="H19" t="s">
        <v>44</v>
      </c>
      <c r="I19" t="s">
        <v>79</v>
      </c>
      <c r="J19" t="s">
        <v>34</v>
      </c>
      <c r="K19" t="s">
        <v>55</v>
      </c>
      <c r="L19" s="6">
        <v>135709.59</v>
      </c>
      <c r="M19">
        <v>99646.63</v>
      </c>
      <c r="N19" t="s">
        <v>4237</v>
      </c>
      <c r="O19">
        <v>16</v>
      </c>
      <c r="P19">
        <v>159</v>
      </c>
      <c r="Q19">
        <v>4</v>
      </c>
      <c r="R19">
        <v>152</v>
      </c>
      <c r="S19">
        <v>111.7</v>
      </c>
      <c r="T19" t="s">
        <v>37</v>
      </c>
      <c r="U19" s="7" t="s">
        <v>4237</v>
      </c>
      <c r="V19" s="7" t="s">
        <v>4237</v>
      </c>
      <c r="W19" s="6">
        <f t="shared" si="2"/>
        <v>36062.959999999992</v>
      </c>
      <c r="X19" t="s">
        <v>4237</v>
      </c>
    </row>
    <row r="20" spans="1:24">
      <c r="A20" t="s">
        <v>131</v>
      </c>
      <c r="B20" t="s">
        <v>132</v>
      </c>
      <c r="C20" t="s">
        <v>133</v>
      </c>
      <c r="D20" s="5">
        <v>20407</v>
      </c>
      <c r="E20" s="5">
        <v>45204</v>
      </c>
      <c r="F20" s="5">
        <v>45219</v>
      </c>
      <c r="G20" t="s">
        <v>109</v>
      </c>
      <c r="H20" t="s">
        <v>134</v>
      </c>
      <c r="I20" t="s">
        <v>119</v>
      </c>
      <c r="J20" t="s">
        <v>80</v>
      </c>
      <c r="K20" t="s">
        <v>120</v>
      </c>
      <c r="L20" s="6">
        <v>115038.08</v>
      </c>
      <c r="M20">
        <v>106797.78</v>
      </c>
      <c r="N20" t="s">
        <v>56</v>
      </c>
      <c r="O20">
        <v>15</v>
      </c>
      <c r="P20">
        <v>102</v>
      </c>
      <c r="Q20">
        <v>5</v>
      </c>
      <c r="R20">
        <v>186</v>
      </c>
      <c r="S20">
        <v>250.7</v>
      </c>
      <c r="T20" t="s">
        <v>37</v>
      </c>
      <c r="U20" s="7">
        <f t="shared" si="0"/>
        <v>67</v>
      </c>
      <c r="V20" s="7">
        <f t="shared" si="1"/>
        <v>15</v>
      </c>
      <c r="W20" s="6">
        <f t="shared" si="2"/>
        <v>8240.3000000000029</v>
      </c>
      <c r="X20" t="str">
        <f t="shared" si="3"/>
        <v>Senior</v>
      </c>
    </row>
    <row r="21" spans="1:24">
      <c r="A21" t="s">
        <v>135</v>
      </c>
      <c r="B21" t="s">
        <v>877</v>
      </c>
      <c r="C21" t="s">
        <v>40</v>
      </c>
      <c r="D21" s="5">
        <v>32575</v>
      </c>
      <c r="E21" s="5">
        <v>45185</v>
      </c>
      <c r="F21" s="5">
        <v>45201</v>
      </c>
      <c r="G21" t="s">
        <v>117</v>
      </c>
      <c r="H21" t="s">
        <v>86</v>
      </c>
      <c r="I21" t="s">
        <v>33</v>
      </c>
      <c r="J21" t="s">
        <v>71</v>
      </c>
      <c r="K21" t="s">
        <v>55</v>
      </c>
      <c r="L21" s="6">
        <v>192307.28</v>
      </c>
      <c r="M21">
        <v>169570.37</v>
      </c>
      <c r="N21" t="s">
        <v>73</v>
      </c>
      <c r="O21">
        <v>16</v>
      </c>
      <c r="P21">
        <v>196</v>
      </c>
      <c r="Q21">
        <v>2</v>
      </c>
      <c r="R21">
        <v>189</v>
      </c>
      <c r="S21">
        <v>225.7</v>
      </c>
      <c r="T21" t="s">
        <v>65</v>
      </c>
      <c r="U21" s="7">
        <f t="shared" si="0"/>
        <v>34</v>
      </c>
      <c r="V21" s="7">
        <f t="shared" si="1"/>
        <v>16</v>
      </c>
      <c r="W21" s="6">
        <f t="shared" si="2"/>
        <v>22736.910000000003</v>
      </c>
      <c r="X21" t="str">
        <f t="shared" si="3"/>
        <v>Adult</v>
      </c>
    </row>
    <row r="22" spans="1:24">
      <c r="A22" t="s">
        <v>138</v>
      </c>
      <c r="B22" t="s">
        <v>139</v>
      </c>
      <c r="C22" t="s">
        <v>133</v>
      </c>
      <c r="D22" s="5">
        <v>36948</v>
      </c>
      <c r="E22" s="5" t="s">
        <v>4237</v>
      </c>
      <c r="F22" s="5">
        <v>45023</v>
      </c>
      <c r="G22" t="s">
        <v>152</v>
      </c>
      <c r="H22" t="s">
        <v>63</v>
      </c>
      <c r="I22" t="s">
        <v>33</v>
      </c>
      <c r="J22" t="s">
        <v>64</v>
      </c>
      <c r="K22" t="s">
        <v>110</v>
      </c>
      <c r="L22" s="6">
        <v>162766.96</v>
      </c>
      <c r="M22">
        <v>155421.72</v>
      </c>
      <c r="N22" t="s">
        <v>4237</v>
      </c>
      <c r="O22">
        <v>12</v>
      </c>
      <c r="P22">
        <v>215</v>
      </c>
      <c r="Q22">
        <v>4</v>
      </c>
      <c r="R22">
        <v>103</v>
      </c>
      <c r="S22">
        <v>152.4</v>
      </c>
      <c r="T22" t="s">
        <v>65</v>
      </c>
      <c r="U22" s="7" t="s">
        <v>4237</v>
      </c>
      <c r="V22" s="7" t="s">
        <v>4237</v>
      </c>
      <c r="W22" s="6">
        <f t="shared" si="2"/>
        <v>7345.2399999999907</v>
      </c>
      <c r="X22" t="s">
        <v>4237</v>
      </c>
    </row>
    <row r="23" spans="1:24">
      <c r="A23" t="s">
        <v>142</v>
      </c>
      <c r="B23" t="s">
        <v>143</v>
      </c>
      <c r="C23" t="s">
        <v>133</v>
      </c>
      <c r="D23" s="5">
        <v>37661</v>
      </c>
      <c r="E23" s="5">
        <v>45850</v>
      </c>
      <c r="F23" s="5">
        <v>45858</v>
      </c>
      <c r="G23" t="s">
        <v>117</v>
      </c>
      <c r="H23" t="s">
        <v>118</v>
      </c>
      <c r="I23" t="s">
        <v>79</v>
      </c>
      <c r="J23" t="s">
        <v>46</v>
      </c>
      <c r="K23" t="s">
        <v>55</v>
      </c>
      <c r="L23" s="6">
        <v>9603.25</v>
      </c>
      <c r="M23">
        <v>7246.15</v>
      </c>
      <c r="N23" t="s">
        <v>56</v>
      </c>
      <c r="O23">
        <v>8</v>
      </c>
      <c r="P23">
        <v>59</v>
      </c>
      <c r="Q23">
        <v>5</v>
      </c>
      <c r="R23">
        <v>123</v>
      </c>
      <c r="S23">
        <v>134.69999999999999</v>
      </c>
      <c r="T23" t="s">
        <v>37</v>
      </c>
      <c r="U23" s="7">
        <f t="shared" si="0"/>
        <v>22</v>
      </c>
      <c r="V23" s="7">
        <f t="shared" si="1"/>
        <v>8</v>
      </c>
      <c r="W23" s="6">
        <f t="shared" si="2"/>
        <v>2357.1000000000004</v>
      </c>
      <c r="X23" t="str">
        <f t="shared" si="3"/>
        <v>Adult</v>
      </c>
    </row>
    <row r="24" spans="1:24">
      <c r="A24" t="s">
        <v>146</v>
      </c>
      <c r="B24" t="s">
        <v>147</v>
      </c>
      <c r="C24" t="s">
        <v>133</v>
      </c>
      <c r="D24" s="5">
        <v>23581</v>
      </c>
      <c r="E24" s="5">
        <v>45425</v>
      </c>
      <c r="F24" s="5">
        <v>45435</v>
      </c>
      <c r="G24" t="s">
        <v>105</v>
      </c>
      <c r="H24" t="s">
        <v>32</v>
      </c>
      <c r="I24" t="s">
        <v>119</v>
      </c>
      <c r="J24" t="s">
        <v>34</v>
      </c>
      <c r="K24" t="s">
        <v>27</v>
      </c>
      <c r="L24" s="6">
        <v>249166.29</v>
      </c>
      <c r="M24">
        <v>179228.71</v>
      </c>
      <c r="N24" t="s">
        <v>73</v>
      </c>
      <c r="O24">
        <v>10</v>
      </c>
      <c r="P24">
        <v>184</v>
      </c>
      <c r="Q24">
        <v>4</v>
      </c>
      <c r="R24">
        <v>124</v>
      </c>
      <c r="S24">
        <v>128.30000000000001</v>
      </c>
      <c r="T24" t="s">
        <v>47</v>
      </c>
      <c r="U24" s="7">
        <f t="shared" si="0"/>
        <v>59</v>
      </c>
      <c r="V24" s="7">
        <f t="shared" si="1"/>
        <v>10</v>
      </c>
      <c r="W24" s="6">
        <f t="shared" si="2"/>
        <v>69937.580000000016</v>
      </c>
      <c r="X24" t="str">
        <f t="shared" si="3"/>
        <v>Middle Age</v>
      </c>
    </row>
    <row r="25" spans="1:24">
      <c r="A25" t="s">
        <v>149</v>
      </c>
      <c r="B25" t="s">
        <v>150</v>
      </c>
      <c r="C25" t="s">
        <v>40</v>
      </c>
      <c r="D25" s="5">
        <v>37721</v>
      </c>
      <c r="E25" s="5">
        <v>45392</v>
      </c>
      <c r="F25" s="5">
        <v>45404</v>
      </c>
      <c r="G25" t="s">
        <v>152</v>
      </c>
      <c r="H25" t="s">
        <v>153</v>
      </c>
      <c r="I25" t="s">
        <v>53</v>
      </c>
      <c r="J25" t="s">
        <v>71</v>
      </c>
      <c r="K25" t="s">
        <v>55</v>
      </c>
      <c r="L25" s="6">
        <v>13765.14</v>
      </c>
      <c r="M25">
        <v>11920.72</v>
      </c>
      <c r="N25" t="s">
        <v>73</v>
      </c>
      <c r="O25">
        <v>12</v>
      </c>
      <c r="P25">
        <v>183</v>
      </c>
      <c r="Q25">
        <v>3</v>
      </c>
      <c r="R25">
        <v>171</v>
      </c>
      <c r="S25">
        <v>235</v>
      </c>
      <c r="T25" t="s">
        <v>37</v>
      </c>
      <c r="U25" s="7">
        <f t="shared" si="0"/>
        <v>21</v>
      </c>
      <c r="V25" s="7">
        <f t="shared" si="1"/>
        <v>12</v>
      </c>
      <c r="W25" s="6">
        <f t="shared" si="2"/>
        <v>1844.42</v>
      </c>
      <c r="X25" t="str">
        <f t="shared" si="3"/>
        <v>Adult</v>
      </c>
    </row>
    <row r="26" spans="1:24">
      <c r="A26" t="s">
        <v>154</v>
      </c>
      <c r="B26" t="s">
        <v>155</v>
      </c>
      <c r="C26" t="s">
        <v>40</v>
      </c>
      <c r="D26" s="5">
        <v>21635</v>
      </c>
      <c r="E26" s="5">
        <v>45549</v>
      </c>
      <c r="F26" s="5">
        <v>45552</v>
      </c>
      <c r="G26" t="s">
        <v>161</v>
      </c>
      <c r="H26" t="s">
        <v>95</v>
      </c>
      <c r="I26" t="s">
        <v>79</v>
      </c>
      <c r="J26" t="s">
        <v>64</v>
      </c>
      <c r="K26" t="s">
        <v>161</v>
      </c>
      <c r="L26" s="6">
        <v>150041.39000000001</v>
      </c>
      <c r="M26">
        <v>103668.93</v>
      </c>
      <c r="N26" t="s">
        <v>192</v>
      </c>
      <c r="O26">
        <v>3</v>
      </c>
      <c r="P26">
        <v>138</v>
      </c>
      <c r="Q26">
        <v>4</v>
      </c>
      <c r="R26">
        <v>147</v>
      </c>
      <c r="S26">
        <v>242.6</v>
      </c>
      <c r="T26" t="s">
        <v>65</v>
      </c>
      <c r="U26" s="7">
        <f t="shared" si="0"/>
        <v>65</v>
      </c>
      <c r="V26" s="7">
        <f t="shared" si="1"/>
        <v>3</v>
      </c>
      <c r="W26" s="6">
        <f t="shared" si="2"/>
        <v>46372.460000000021</v>
      </c>
      <c r="X26" t="str">
        <f t="shared" si="3"/>
        <v>Senior</v>
      </c>
    </row>
    <row r="27" spans="1:24">
      <c r="A27" t="s">
        <v>4112</v>
      </c>
      <c r="B27" t="s">
        <v>159</v>
      </c>
      <c r="C27" t="s">
        <v>133</v>
      </c>
      <c r="D27" s="5">
        <v>18459</v>
      </c>
      <c r="E27" s="5">
        <v>45889</v>
      </c>
      <c r="F27" s="5" t="s">
        <v>4237</v>
      </c>
      <c r="G27" t="s">
        <v>109</v>
      </c>
      <c r="H27" t="s">
        <v>153</v>
      </c>
      <c r="I27" t="s">
        <v>96</v>
      </c>
      <c r="J27" t="s">
        <v>34</v>
      </c>
      <c r="K27" t="s">
        <v>161</v>
      </c>
      <c r="L27" s="6">
        <v>20116.990000000002</v>
      </c>
      <c r="M27">
        <v>19657.79</v>
      </c>
      <c r="N27" t="s">
        <v>192</v>
      </c>
      <c r="O27">
        <v>10</v>
      </c>
      <c r="P27">
        <v>206</v>
      </c>
      <c r="Q27">
        <v>4</v>
      </c>
      <c r="R27">
        <v>144</v>
      </c>
      <c r="S27">
        <v>91.8</v>
      </c>
      <c r="T27" t="s">
        <v>47</v>
      </c>
      <c r="U27" s="7">
        <f t="shared" si="0"/>
        <v>75</v>
      </c>
      <c r="V27" s="7" t="s">
        <v>4237</v>
      </c>
      <c r="W27" s="6">
        <f t="shared" si="2"/>
        <v>459.20000000000073</v>
      </c>
      <c r="X27" t="str">
        <f t="shared" si="3"/>
        <v>Senior</v>
      </c>
    </row>
    <row r="28" spans="1:24">
      <c r="A28" t="s">
        <v>163</v>
      </c>
      <c r="B28" t="s">
        <v>164</v>
      </c>
      <c r="C28" t="s">
        <v>133</v>
      </c>
      <c r="D28" s="5">
        <v>30909</v>
      </c>
      <c r="E28" s="5">
        <v>45091</v>
      </c>
      <c r="F28" s="5">
        <v>45093</v>
      </c>
      <c r="G28" t="s">
        <v>161</v>
      </c>
      <c r="H28" t="s">
        <v>63</v>
      </c>
      <c r="I28" t="s">
        <v>96</v>
      </c>
      <c r="J28" t="s">
        <v>179</v>
      </c>
      <c r="K28" t="s">
        <v>110</v>
      </c>
      <c r="L28" s="6">
        <v>25103.4</v>
      </c>
      <c r="M28">
        <v>20287.8</v>
      </c>
      <c r="N28" t="s">
        <v>35</v>
      </c>
      <c r="O28">
        <v>2</v>
      </c>
      <c r="P28">
        <v>152</v>
      </c>
      <c r="Q28">
        <v>1</v>
      </c>
      <c r="R28">
        <v>187</v>
      </c>
      <c r="S28">
        <v>197.7</v>
      </c>
      <c r="T28" t="s">
        <v>65</v>
      </c>
      <c r="U28" s="7">
        <f t="shared" si="0"/>
        <v>38</v>
      </c>
      <c r="V28" s="7">
        <f t="shared" si="1"/>
        <v>2</v>
      </c>
      <c r="W28" s="6">
        <f t="shared" si="2"/>
        <v>4815.6000000000022</v>
      </c>
      <c r="X28" t="str">
        <f t="shared" si="3"/>
        <v>Adult</v>
      </c>
    </row>
    <row r="29" spans="1:24">
      <c r="A29" t="s">
        <v>167</v>
      </c>
      <c r="B29" t="s">
        <v>168</v>
      </c>
      <c r="C29" t="s">
        <v>40</v>
      </c>
      <c r="D29" s="5">
        <v>38057</v>
      </c>
      <c r="E29" s="5">
        <v>45770</v>
      </c>
      <c r="F29" s="5">
        <v>45786</v>
      </c>
      <c r="G29" t="s">
        <v>43</v>
      </c>
      <c r="H29" t="s">
        <v>153</v>
      </c>
      <c r="I29" t="s">
        <v>25</v>
      </c>
      <c r="J29" t="s">
        <v>34</v>
      </c>
      <c r="K29" t="s">
        <v>55</v>
      </c>
      <c r="L29" s="6">
        <v>24294.799999999999</v>
      </c>
      <c r="M29">
        <v>19362.52</v>
      </c>
      <c r="N29" t="s">
        <v>4237</v>
      </c>
      <c r="O29">
        <v>16</v>
      </c>
      <c r="P29">
        <v>202</v>
      </c>
      <c r="Q29">
        <v>4</v>
      </c>
      <c r="R29">
        <v>155</v>
      </c>
      <c r="S29">
        <v>226.7</v>
      </c>
      <c r="T29" t="s">
        <v>37</v>
      </c>
      <c r="U29" s="7">
        <f t="shared" si="0"/>
        <v>21</v>
      </c>
      <c r="V29" s="7">
        <f t="shared" si="1"/>
        <v>16</v>
      </c>
      <c r="W29" s="6">
        <f t="shared" si="2"/>
        <v>4932.2799999999988</v>
      </c>
      <c r="X29" t="str">
        <f t="shared" si="3"/>
        <v>Adult</v>
      </c>
    </row>
    <row r="30" spans="1:24">
      <c r="A30" t="s">
        <v>170</v>
      </c>
      <c r="B30" t="s">
        <v>171</v>
      </c>
      <c r="C30" t="s">
        <v>133</v>
      </c>
      <c r="D30" s="5">
        <v>33172</v>
      </c>
      <c r="E30" s="5">
        <v>45417</v>
      </c>
      <c r="F30" s="5">
        <v>45423</v>
      </c>
      <c r="G30" t="s">
        <v>152</v>
      </c>
      <c r="H30" t="s">
        <v>95</v>
      </c>
      <c r="I30" t="s">
        <v>79</v>
      </c>
      <c r="J30" t="s">
        <v>26</v>
      </c>
      <c r="K30" t="s">
        <v>55</v>
      </c>
      <c r="L30" s="6">
        <v>58113.41</v>
      </c>
      <c r="M30">
        <v>48724.28</v>
      </c>
      <c r="N30" t="s">
        <v>56</v>
      </c>
      <c r="O30">
        <v>6</v>
      </c>
      <c r="P30">
        <v>35</v>
      </c>
      <c r="Q30">
        <v>3</v>
      </c>
      <c r="R30">
        <v>153</v>
      </c>
      <c r="S30">
        <v>247.2</v>
      </c>
      <c r="T30" t="s">
        <v>65</v>
      </c>
      <c r="U30" s="7">
        <f t="shared" si="0"/>
        <v>33</v>
      </c>
      <c r="V30" s="7">
        <f t="shared" si="1"/>
        <v>6</v>
      </c>
      <c r="W30" s="6">
        <f t="shared" si="2"/>
        <v>9389.1300000000047</v>
      </c>
      <c r="X30" t="str">
        <f t="shared" si="3"/>
        <v>Adult</v>
      </c>
    </row>
    <row r="31" spans="1:24">
      <c r="A31" t="s">
        <v>172</v>
      </c>
      <c r="B31" t="s">
        <v>173</v>
      </c>
      <c r="C31" t="s">
        <v>133</v>
      </c>
      <c r="D31" s="5">
        <v>26185</v>
      </c>
      <c r="E31" s="5">
        <v>44932</v>
      </c>
      <c r="F31" s="5" t="s">
        <v>4237</v>
      </c>
      <c r="G31" t="s">
        <v>117</v>
      </c>
      <c r="H31" t="s">
        <v>118</v>
      </c>
      <c r="I31" t="s">
        <v>33</v>
      </c>
      <c r="J31" t="s">
        <v>97</v>
      </c>
      <c r="K31" t="s">
        <v>27</v>
      </c>
      <c r="L31" s="6">
        <v>113020.48</v>
      </c>
      <c r="M31">
        <v>86275.35</v>
      </c>
      <c r="N31" t="s">
        <v>91</v>
      </c>
      <c r="O31">
        <v>10</v>
      </c>
      <c r="P31">
        <v>146</v>
      </c>
      <c r="Q31">
        <v>4</v>
      </c>
      <c r="R31">
        <v>138</v>
      </c>
      <c r="S31">
        <v>156.5</v>
      </c>
      <c r="T31" t="s">
        <v>65</v>
      </c>
      <c r="U31" s="7">
        <f t="shared" si="0"/>
        <v>51</v>
      </c>
      <c r="V31" s="7" t="s">
        <v>4237</v>
      </c>
      <c r="W31" s="6">
        <f t="shared" si="2"/>
        <v>26745.12999999999</v>
      </c>
      <c r="X31" t="str">
        <f t="shared" si="3"/>
        <v>Middle Age</v>
      </c>
    </row>
    <row r="32" spans="1:24">
      <c r="A32" t="s">
        <v>176</v>
      </c>
      <c r="B32" t="s">
        <v>378</v>
      </c>
      <c r="C32" t="s">
        <v>40</v>
      </c>
      <c r="D32" s="5">
        <v>21447</v>
      </c>
      <c r="E32" s="5">
        <v>45576</v>
      </c>
      <c r="F32" s="5">
        <v>45610</v>
      </c>
      <c r="G32" t="s">
        <v>77</v>
      </c>
      <c r="H32" t="s">
        <v>52</v>
      </c>
      <c r="I32" t="s">
        <v>33</v>
      </c>
      <c r="J32" t="s">
        <v>179</v>
      </c>
      <c r="K32" t="s">
        <v>55</v>
      </c>
      <c r="L32" s="6">
        <v>181304.85</v>
      </c>
      <c r="M32">
        <v>165570.47</v>
      </c>
      <c r="N32" t="s">
        <v>73</v>
      </c>
      <c r="O32">
        <v>4</v>
      </c>
      <c r="P32">
        <v>44</v>
      </c>
      <c r="Q32">
        <v>2</v>
      </c>
      <c r="R32">
        <v>150</v>
      </c>
      <c r="S32">
        <v>218.5</v>
      </c>
      <c r="T32" t="s">
        <v>65</v>
      </c>
      <c r="U32" s="7">
        <f t="shared" si="0"/>
        <v>66</v>
      </c>
      <c r="V32" s="7">
        <f t="shared" si="1"/>
        <v>34</v>
      </c>
      <c r="W32" s="6">
        <f t="shared" si="2"/>
        <v>15734.380000000005</v>
      </c>
      <c r="X32" t="str">
        <f t="shared" si="3"/>
        <v>Senior</v>
      </c>
    </row>
    <row r="33" spans="1:24">
      <c r="A33" t="s">
        <v>180</v>
      </c>
      <c r="B33" t="s">
        <v>181</v>
      </c>
      <c r="C33" t="s">
        <v>40</v>
      </c>
      <c r="D33" s="5">
        <v>24068</v>
      </c>
      <c r="E33" s="5">
        <v>45515</v>
      </c>
      <c r="F33" s="5">
        <v>45523</v>
      </c>
      <c r="G33" t="s">
        <v>43</v>
      </c>
      <c r="H33" t="s">
        <v>52</v>
      </c>
      <c r="I33" t="s">
        <v>33</v>
      </c>
      <c r="J33" t="s">
        <v>34</v>
      </c>
      <c r="K33" t="s">
        <v>110</v>
      </c>
      <c r="L33" s="6">
        <v>43675.28</v>
      </c>
      <c r="M33">
        <v>42409.89</v>
      </c>
      <c r="N33" t="s">
        <v>192</v>
      </c>
      <c r="O33">
        <v>8</v>
      </c>
      <c r="P33">
        <v>16</v>
      </c>
      <c r="Q33">
        <v>5</v>
      </c>
      <c r="R33">
        <v>97</v>
      </c>
      <c r="S33">
        <v>125.7</v>
      </c>
      <c r="T33" t="s">
        <v>65</v>
      </c>
      <c r="U33" s="7">
        <f t="shared" si="0"/>
        <v>58</v>
      </c>
      <c r="V33" s="7">
        <f t="shared" si="1"/>
        <v>8</v>
      </c>
      <c r="W33" s="6">
        <f t="shared" si="2"/>
        <v>1265.3899999999994</v>
      </c>
      <c r="X33" t="str">
        <f t="shared" si="3"/>
        <v>Middle Age</v>
      </c>
    </row>
    <row r="34" spans="1:24">
      <c r="A34" t="s">
        <v>184</v>
      </c>
      <c r="B34" t="s">
        <v>185</v>
      </c>
      <c r="C34" t="s">
        <v>133</v>
      </c>
      <c r="D34" s="5">
        <v>29168</v>
      </c>
      <c r="E34" s="5">
        <v>45868</v>
      </c>
      <c r="F34" s="5">
        <v>45877</v>
      </c>
      <c r="G34" t="s">
        <v>94</v>
      </c>
      <c r="H34" t="s">
        <v>32</v>
      </c>
      <c r="I34" t="s">
        <v>96</v>
      </c>
      <c r="J34" t="s">
        <v>64</v>
      </c>
      <c r="K34" t="s">
        <v>55</v>
      </c>
      <c r="L34" s="6">
        <v>41598.97</v>
      </c>
      <c r="M34">
        <v>38869.75</v>
      </c>
      <c r="N34" t="s">
        <v>56</v>
      </c>
      <c r="O34">
        <v>9</v>
      </c>
      <c r="P34">
        <v>155</v>
      </c>
      <c r="Q34">
        <v>5</v>
      </c>
      <c r="R34">
        <v>171</v>
      </c>
      <c r="S34">
        <v>252.8</v>
      </c>
      <c r="T34" t="s">
        <v>4237</v>
      </c>
      <c r="U34" s="7">
        <f t="shared" si="0"/>
        <v>45</v>
      </c>
      <c r="V34" s="7">
        <f t="shared" si="1"/>
        <v>9</v>
      </c>
      <c r="W34" s="6">
        <f t="shared" si="2"/>
        <v>2729.2200000000012</v>
      </c>
      <c r="X34" t="str">
        <f t="shared" si="3"/>
        <v>Middle Age</v>
      </c>
    </row>
    <row r="35" spans="1:24">
      <c r="A35" t="s">
        <v>187</v>
      </c>
      <c r="B35" t="s">
        <v>164</v>
      </c>
      <c r="C35" t="s">
        <v>133</v>
      </c>
      <c r="D35" s="5">
        <v>31741</v>
      </c>
      <c r="E35" s="5">
        <v>45027</v>
      </c>
      <c r="F35" s="5">
        <v>45043</v>
      </c>
      <c r="G35" t="s">
        <v>109</v>
      </c>
      <c r="H35" t="s">
        <v>78</v>
      </c>
      <c r="I35" t="s">
        <v>45</v>
      </c>
      <c r="J35" t="s">
        <v>64</v>
      </c>
      <c r="K35" t="s">
        <v>120</v>
      </c>
      <c r="L35" s="6">
        <v>200978.16</v>
      </c>
      <c r="M35">
        <v>179068.6</v>
      </c>
      <c r="N35" t="s">
        <v>192</v>
      </c>
      <c r="O35">
        <v>16</v>
      </c>
      <c r="P35">
        <v>163</v>
      </c>
      <c r="Q35">
        <v>5</v>
      </c>
      <c r="R35">
        <v>176</v>
      </c>
      <c r="S35">
        <v>213.6</v>
      </c>
      <c r="T35" t="s">
        <v>4237</v>
      </c>
      <c r="U35" s="7">
        <f t="shared" si="0"/>
        <v>36</v>
      </c>
      <c r="V35" s="7">
        <f t="shared" si="1"/>
        <v>16</v>
      </c>
      <c r="W35" s="6">
        <f t="shared" si="2"/>
        <v>21909.559999999998</v>
      </c>
      <c r="X35" t="str">
        <f t="shared" si="3"/>
        <v>Adult</v>
      </c>
    </row>
    <row r="36" spans="1:24">
      <c r="A36" t="s">
        <v>193</v>
      </c>
      <c r="B36" t="s">
        <v>194</v>
      </c>
      <c r="C36" t="s">
        <v>40</v>
      </c>
      <c r="D36" s="5">
        <v>36781</v>
      </c>
      <c r="E36" s="5">
        <v>46014</v>
      </c>
      <c r="F36" s="5">
        <v>46031</v>
      </c>
      <c r="G36" t="s">
        <v>109</v>
      </c>
      <c r="H36" t="s">
        <v>124</v>
      </c>
      <c r="I36" t="s">
        <v>96</v>
      </c>
      <c r="J36" t="s">
        <v>34</v>
      </c>
      <c r="K36" t="s">
        <v>55</v>
      </c>
      <c r="L36" s="6">
        <v>123663.9</v>
      </c>
      <c r="M36">
        <v>223533.28</v>
      </c>
      <c r="N36" t="s">
        <v>91</v>
      </c>
      <c r="O36">
        <v>17</v>
      </c>
      <c r="P36">
        <v>91</v>
      </c>
      <c r="Q36">
        <v>2</v>
      </c>
      <c r="R36">
        <v>149</v>
      </c>
      <c r="S36">
        <v>252.9</v>
      </c>
      <c r="T36" t="s">
        <v>47</v>
      </c>
      <c r="U36" s="7">
        <f t="shared" si="0"/>
        <v>25</v>
      </c>
      <c r="V36" s="7">
        <f t="shared" si="1"/>
        <v>17</v>
      </c>
      <c r="W36" s="6">
        <f t="shared" si="2"/>
        <v>-99869.38</v>
      </c>
      <c r="X36" t="str">
        <f t="shared" si="3"/>
        <v>Adult</v>
      </c>
    </row>
    <row r="37" spans="1:24">
      <c r="A37" t="s">
        <v>195</v>
      </c>
      <c r="B37" t="s">
        <v>49</v>
      </c>
      <c r="C37" t="s">
        <v>133</v>
      </c>
      <c r="D37" s="5">
        <v>20767</v>
      </c>
      <c r="E37" s="5">
        <v>45892</v>
      </c>
      <c r="F37" s="5">
        <v>45893</v>
      </c>
      <c r="G37" t="s">
        <v>89</v>
      </c>
      <c r="H37" t="s">
        <v>63</v>
      </c>
      <c r="I37" t="s">
        <v>45</v>
      </c>
      <c r="J37" t="s">
        <v>26</v>
      </c>
      <c r="K37" t="s">
        <v>55</v>
      </c>
      <c r="L37" s="6">
        <v>159762.47</v>
      </c>
      <c r="M37">
        <v>147648.56</v>
      </c>
      <c r="N37" t="s">
        <v>56</v>
      </c>
      <c r="O37">
        <v>1</v>
      </c>
      <c r="P37">
        <v>82</v>
      </c>
      <c r="Q37">
        <v>4</v>
      </c>
      <c r="R37">
        <v>104</v>
      </c>
      <c r="S37">
        <v>96.6</v>
      </c>
      <c r="T37" t="s">
        <v>37</v>
      </c>
      <c r="U37" s="7">
        <f t="shared" si="0"/>
        <v>68</v>
      </c>
      <c r="V37" s="7">
        <f t="shared" si="1"/>
        <v>1</v>
      </c>
      <c r="W37" s="6">
        <f t="shared" si="2"/>
        <v>12113.910000000003</v>
      </c>
      <c r="X37" t="str">
        <f t="shared" si="3"/>
        <v>Senior</v>
      </c>
    </row>
    <row r="38" spans="1:24">
      <c r="A38" t="s">
        <v>198</v>
      </c>
      <c r="B38" t="s">
        <v>199</v>
      </c>
      <c r="C38" t="s">
        <v>133</v>
      </c>
      <c r="D38" s="5">
        <v>33296</v>
      </c>
      <c r="E38" s="5">
        <v>45929</v>
      </c>
      <c r="F38" s="5">
        <v>45943</v>
      </c>
      <c r="G38" t="s">
        <v>109</v>
      </c>
      <c r="H38" t="s">
        <v>24</v>
      </c>
      <c r="I38" t="s">
        <v>119</v>
      </c>
      <c r="J38" t="s">
        <v>80</v>
      </c>
      <c r="K38" t="s">
        <v>55</v>
      </c>
      <c r="L38" s="6">
        <v>112237.31</v>
      </c>
      <c r="M38">
        <v>107370.15</v>
      </c>
      <c r="N38" t="s">
        <v>73</v>
      </c>
      <c r="O38">
        <v>14</v>
      </c>
      <c r="P38">
        <v>30</v>
      </c>
      <c r="Q38">
        <v>5</v>
      </c>
      <c r="R38">
        <v>141</v>
      </c>
      <c r="S38">
        <v>241.3</v>
      </c>
      <c r="T38" t="s">
        <v>4237</v>
      </c>
      <c r="U38" s="7">
        <f t="shared" si="0"/>
        <v>34</v>
      </c>
      <c r="V38" s="7">
        <f t="shared" si="1"/>
        <v>14</v>
      </c>
      <c r="W38" s="6">
        <f t="shared" si="2"/>
        <v>4867.1600000000035</v>
      </c>
      <c r="X38" t="str">
        <f t="shared" si="3"/>
        <v>Adult</v>
      </c>
    </row>
    <row r="39" spans="1:24">
      <c r="A39" t="s">
        <v>201</v>
      </c>
      <c r="B39" t="s">
        <v>202</v>
      </c>
      <c r="C39" t="s">
        <v>40</v>
      </c>
      <c r="D39" s="5">
        <v>36806</v>
      </c>
      <c r="E39" s="5" t="s">
        <v>4237</v>
      </c>
      <c r="F39" s="5">
        <v>45085</v>
      </c>
      <c r="G39" t="s">
        <v>94</v>
      </c>
      <c r="H39" t="s">
        <v>52</v>
      </c>
      <c r="I39" t="s">
        <v>45</v>
      </c>
      <c r="J39" t="s">
        <v>46</v>
      </c>
      <c r="K39" t="s">
        <v>55</v>
      </c>
      <c r="L39" s="6">
        <v>123663.9</v>
      </c>
      <c r="M39">
        <v>122467.06</v>
      </c>
      <c r="N39" t="s">
        <v>73</v>
      </c>
      <c r="O39">
        <v>18</v>
      </c>
      <c r="P39">
        <v>224</v>
      </c>
      <c r="Q39">
        <v>3</v>
      </c>
      <c r="R39">
        <v>106</v>
      </c>
      <c r="S39">
        <v>172.6</v>
      </c>
      <c r="T39" t="s">
        <v>47</v>
      </c>
      <c r="U39" s="7" t="s">
        <v>4237</v>
      </c>
      <c r="V39" s="7" t="s">
        <v>4237</v>
      </c>
      <c r="W39" s="6">
        <f t="shared" si="2"/>
        <v>1196.8399999999965</v>
      </c>
      <c r="X39" t="s">
        <v>4237</v>
      </c>
    </row>
    <row r="40" spans="1:24">
      <c r="A40" t="s">
        <v>205</v>
      </c>
      <c r="B40" t="s">
        <v>83</v>
      </c>
      <c r="C40" t="s">
        <v>133</v>
      </c>
      <c r="D40" s="5">
        <v>36328</v>
      </c>
      <c r="E40" s="5">
        <v>45150</v>
      </c>
      <c r="F40" s="5">
        <v>45165</v>
      </c>
      <c r="G40" t="s">
        <v>117</v>
      </c>
      <c r="H40" t="s">
        <v>24</v>
      </c>
      <c r="I40" t="s">
        <v>96</v>
      </c>
      <c r="J40" t="s">
        <v>34</v>
      </c>
      <c r="K40" t="s">
        <v>120</v>
      </c>
      <c r="L40" s="6">
        <v>161726.82</v>
      </c>
      <c r="M40">
        <v>116159.9</v>
      </c>
      <c r="N40" t="s">
        <v>4237</v>
      </c>
      <c r="O40">
        <v>15</v>
      </c>
      <c r="P40">
        <v>127</v>
      </c>
      <c r="Q40">
        <v>4</v>
      </c>
      <c r="R40">
        <v>144</v>
      </c>
      <c r="S40">
        <v>200.4</v>
      </c>
      <c r="T40" t="s">
        <v>37</v>
      </c>
      <c r="U40" s="7">
        <f t="shared" si="0"/>
        <v>24</v>
      </c>
      <c r="V40" s="7">
        <f t="shared" si="1"/>
        <v>15</v>
      </c>
      <c r="W40" s="6">
        <f t="shared" si="2"/>
        <v>45566.920000000013</v>
      </c>
      <c r="X40" t="str">
        <f t="shared" si="3"/>
        <v>Adult</v>
      </c>
    </row>
    <row r="41" spans="1:24">
      <c r="A41" t="s">
        <v>4113</v>
      </c>
      <c r="B41" t="s">
        <v>93</v>
      </c>
      <c r="C41" t="s">
        <v>40</v>
      </c>
      <c r="D41" s="5">
        <v>32328</v>
      </c>
      <c r="E41" s="5">
        <v>45161</v>
      </c>
      <c r="F41" s="5">
        <v>45179</v>
      </c>
      <c r="G41" t="s">
        <v>94</v>
      </c>
      <c r="H41" t="s">
        <v>134</v>
      </c>
      <c r="I41" t="s">
        <v>33</v>
      </c>
      <c r="J41" t="s">
        <v>80</v>
      </c>
      <c r="K41" t="s">
        <v>120</v>
      </c>
      <c r="L41" s="6">
        <v>104918.86</v>
      </c>
      <c r="M41">
        <v>81693.820000000007</v>
      </c>
      <c r="N41" t="s">
        <v>56</v>
      </c>
      <c r="O41">
        <v>18</v>
      </c>
      <c r="P41">
        <v>191</v>
      </c>
      <c r="Q41">
        <v>2</v>
      </c>
      <c r="R41">
        <v>130</v>
      </c>
      <c r="S41">
        <v>151.1</v>
      </c>
      <c r="T41" t="s">
        <v>4237</v>
      </c>
      <c r="U41" s="7">
        <f t="shared" si="0"/>
        <v>35</v>
      </c>
      <c r="V41" s="7">
        <f t="shared" si="1"/>
        <v>18</v>
      </c>
      <c r="W41" s="6">
        <f t="shared" si="2"/>
        <v>23225.039999999994</v>
      </c>
      <c r="X41" t="str">
        <f t="shared" si="3"/>
        <v>Adult</v>
      </c>
    </row>
    <row r="42" spans="1:24">
      <c r="A42" t="s">
        <v>209</v>
      </c>
      <c r="B42" t="s">
        <v>181</v>
      </c>
      <c r="C42" t="s">
        <v>133</v>
      </c>
      <c r="D42" s="5">
        <v>31220</v>
      </c>
      <c r="E42" s="5">
        <v>45177</v>
      </c>
      <c r="F42" s="5">
        <v>45191</v>
      </c>
      <c r="G42" t="s">
        <v>152</v>
      </c>
      <c r="H42" t="s">
        <v>78</v>
      </c>
      <c r="I42" t="s">
        <v>79</v>
      </c>
      <c r="J42" t="s">
        <v>179</v>
      </c>
      <c r="K42" t="s">
        <v>120</v>
      </c>
      <c r="L42" s="6">
        <v>242178.66</v>
      </c>
      <c r="M42">
        <v>173003.04</v>
      </c>
      <c r="N42" t="s">
        <v>91</v>
      </c>
      <c r="O42">
        <v>14</v>
      </c>
      <c r="P42">
        <v>31</v>
      </c>
      <c r="Q42">
        <v>4</v>
      </c>
      <c r="R42">
        <v>117</v>
      </c>
      <c r="S42">
        <v>99.4</v>
      </c>
      <c r="T42" t="s">
        <v>37</v>
      </c>
      <c r="U42" s="7">
        <f t="shared" si="0"/>
        <v>38</v>
      </c>
      <c r="V42" s="7">
        <f t="shared" si="1"/>
        <v>14</v>
      </c>
      <c r="W42" s="6">
        <f t="shared" si="2"/>
        <v>69175.62</v>
      </c>
      <c r="X42" t="str">
        <f t="shared" si="3"/>
        <v>Adult</v>
      </c>
    </row>
    <row r="43" spans="1:24">
      <c r="A43" t="s">
        <v>213</v>
      </c>
      <c r="B43" t="s">
        <v>88</v>
      </c>
      <c r="C43" t="s">
        <v>133</v>
      </c>
      <c r="D43" s="5">
        <v>40144</v>
      </c>
      <c r="E43" s="5">
        <v>45474</v>
      </c>
      <c r="F43" s="5">
        <v>45475</v>
      </c>
      <c r="G43" t="s">
        <v>161</v>
      </c>
      <c r="H43" t="s">
        <v>78</v>
      </c>
      <c r="I43" t="s">
        <v>96</v>
      </c>
      <c r="J43" t="s">
        <v>46</v>
      </c>
      <c r="K43" t="s">
        <v>120</v>
      </c>
      <c r="L43" s="6">
        <v>89378.3</v>
      </c>
      <c r="M43">
        <v>85888.86</v>
      </c>
      <c r="N43" t="s">
        <v>35</v>
      </c>
      <c r="O43">
        <v>1</v>
      </c>
      <c r="P43">
        <v>149</v>
      </c>
      <c r="Q43">
        <v>4</v>
      </c>
      <c r="R43">
        <v>98</v>
      </c>
      <c r="S43">
        <v>97</v>
      </c>
      <c r="T43" t="s">
        <v>4237</v>
      </c>
      <c r="U43" s="7">
        <f t="shared" si="0"/>
        <v>14</v>
      </c>
      <c r="V43" s="7">
        <f t="shared" si="1"/>
        <v>1</v>
      </c>
      <c r="W43" s="6">
        <f t="shared" si="2"/>
        <v>3489.4400000000023</v>
      </c>
      <c r="X43" t="str">
        <f t="shared" si="3"/>
        <v>Child</v>
      </c>
    </row>
    <row r="44" spans="1:24">
      <c r="A44" t="s">
        <v>215</v>
      </c>
      <c r="B44" t="s">
        <v>926</v>
      </c>
      <c r="C44" t="s">
        <v>40</v>
      </c>
      <c r="D44" s="5">
        <v>36070</v>
      </c>
      <c r="E44" s="5">
        <v>45094</v>
      </c>
      <c r="F44" s="5">
        <v>45103</v>
      </c>
      <c r="G44" t="s">
        <v>43</v>
      </c>
      <c r="H44" t="s">
        <v>153</v>
      </c>
      <c r="I44" t="s">
        <v>33</v>
      </c>
      <c r="J44" t="s">
        <v>34</v>
      </c>
      <c r="K44" t="s">
        <v>161</v>
      </c>
      <c r="L44" s="6">
        <v>70108.789999999994</v>
      </c>
      <c r="M44">
        <v>46323.03</v>
      </c>
      <c r="N44" t="s">
        <v>4237</v>
      </c>
      <c r="O44">
        <v>9</v>
      </c>
      <c r="P44">
        <v>115</v>
      </c>
      <c r="Q44">
        <v>2</v>
      </c>
      <c r="R44">
        <v>126</v>
      </c>
      <c r="S44">
        <v>198.9</v>
      </c>
      <c r="T44" t="s">
        <v>37</v>
      </c>
      <c r="U44" s="7">
        <f t="shared" si="0"/>
        <v>24</v>
      </c>
      <c r="V44" s="7">
        <f t="shared" si="1"/>
        <v>9</v>
      </c>
      <c r="W44" s="6">
        <f t="shared" si="2"/>
        <v>23785.759999999995</v>
      </c>
      <c r="X44" t="str">
        <f t="shared" si="3"/>
        <v>Adult</v>
      </c>
    </row>
    <row r="45" spans="1:24">
      <c r="A45" t="s">
        <v>217</v>
      </c>
      <c r="B45" t="s">
        <v>218</v>
      </c>
      <c r="C45" t="s">
        <v>40</v>
      </c>
      <c r="D45" s="5">
        <v>22353</v>
      </c>
      <c r="E45" s="5">
        <v>46017</v>
      </c>
      <c r="F45" s="5">
        <v>46025</v>
      </c>
      <c r="G45" t="s">
        <v>117</v>
      </c>
      <c r="H45" t="s">
        <v>113</v>
      </c>
      <c r="I45" t="s">
        <v>119</v>
      </c>
      <c r="J45" t="s">
        <v>26</v>
      </c>
      <c r="K45" t="s">
        <v>55</v>
      </c>
      <c r="L45" s="6">
        <v>100775.12</v>
      </c>
      <c r="M45">
        <v>61048.27</v>
      </c>
      <c r="N45" t="s">
        <v>192</v>
      </c>
      <c r="O45">
        <v>8</v>
      </c>
      <c r="P45">
        <v>9</v>
      </c>
      <c r="Q45">
        <v>4</v>
      </c>
      <c r="R45">
        <v>99</v>
      </c>
      <c r="S45">
        <v>233.8</v>
      </c>
      <c r="T45" t="s">
        <v>37</v>
      </c>
      <c r="U45" s="7">
        <f t="shared" si="0"/>
        <v>64</v>
      </c>
      <c r="V45" s="7">
        <f t="shared" si="1"/>
        <v>8</v>
      </c>
      <c r="W45" s="6">
        <f t="shared" si="2"/>
        <v>39726.85</v>
      </c>
      <c r="X45" t="str">
        <f t="shared" si="3"/>
        <v>Senior</v>
      </c>
    </row>
    <row r="46" spans="1:24">
      <c r="A46" t="s">
        <v>220</v>
      </c>
      <c r="B46" t="s">
        <v>221</v>
      </c>
      <c r="C46" t="s">
        <v>40</v>
      </c>
      <c r="D46" s="5">
        <v>23942</v>
      </c>
      <c r="E46" s="5" t="s">
        <v>4237</v>
      </c>
      <c r="F46" s="5" t="s">
        <v>4237</v>
      </c>
      <c r="G46" t="s">
        <v>117</v>
      </c>
      <c r="H46" t="s">
        <v>44</v>
      </c>
      <c r="I46" t="s">
        <v>119</v>
      </c>
      <c r="J46" t="s">
        <v>80</v>
      </c>
      <c r="K46" t="s">
        <v>110</v>
      </c>
      <c r="L46" s="6">
        <v>84934.48</v>
      </c>
      <c r="M46">
        <v>61400.31</v>
      </c>
      <c r="N46" t="s">
        <v>73</v>
      </c>
      <c r="O46">
        <v>17</v>
      </c>
      <c r="P46">
        <v>167</v>
      </c>
      <c r="Q46">
        <v>2</v>
      </c>
      <c r="R46">
        <v>157</v>
      </c>
      <c r="S46">
        <v>166.9</v>
      </c>
      <c r="T46" t="s">
        <v>65</v>
      </c>
      <c r="U46" s="7" t="s">
        <v>4237</v>
      </c>
      <c r="V46" s="7" t="s">
        <v>4237</v>
      </c>
      <c r="W46" s="6">
        <f t="shared" si="2"/>
        <v>23534.17</v>
      </c>
      <c r="X46" t="s">
        <v>4237</v>
      </c>
    </row>
    <row r="47" spans="1:24">
      <c r="A47" t="s">
        <v>223</v>
      </c>
      <c r="B47" t="s">
        <v>224</v>
      </c>
      <c r="C47" t="s">
        <v>40</v>
      </c>
      <c r="D47" s="5">
        <v>28813</v>
      </c>
      <c r="E47" s="5" t="s">
        <v>4237</v>
      </c>
      <c r="F47" s="5">
        <v>45599</v>
      </c>
      <c r="G47" t="s">
        <v>161</v>
      </c>
      <c r="H47" t="s">
        <v>32</v>
      </c>
      <c r="I47" t="s">
        <v>33</v>
      </c>
      <c r="J47" t="s">
        <v>71</v>
      </c>
      <c r="K47" t="s">
        <v>120</v>
      </c>
      <c r="L47" s="6">
        <v>199591.6</v>
      </c>
      <c r="M47">
        <v>128769.81</v>
      </c>
      <c r="N47" t="s">
        <v>35</v>
      </c>
      <c r="O47">
        <v>11</v>
      </c>
      <c r="P47">
        <v>134</v>
      </c>
      <c r="Q47">
        <v>2</v>
      </c>
      <c r="R47">
        <v>129</v>
      </c>
      <c r="S47">
        <v>157.69999999999999</v>
      </c>
      <c r="T47" t="s">
        <v>37</v>
      </c>
      <c r="U47" s="7" t="s">
        <v>4237</v>
      </c>
      <c r="V47" s="7" t="s">
        <v>4237</v>
      </c>
      <c r="W47" s="6">
        <f t="shared" si="2"/>
        <v>70821.790000000008</v>
      </c>
      <c r="X47" t="s">
        <v>4237</v>
      </c>
    </row>
    <row r="48" spans="1:24">
      <c r="A48" t="s">
        <v>228</v>
      </c>
      <c r="B48" t="s">
        <v>229</v>
      </c>
      <c r="C48" t="s">
        <v>133</v>
      </c>
      <c r="D48" s="5">
        <v>33339</v>
      </c>
      <c r="E48" s="5">
        <v>45901</v>
      </c>
      <c r="F48" s="5">
        <v>45918</v>
      </c>
      <c r="G48" t="s">
        <v>152</v>
      </c>
      <c r="H48" t="s">
        <v>32</v>
      </c>
      <c r="I48" t="s">
        <v>33</v>
      </c>
      <c r="J48" t="s">
        <v>46</v>
      </c>
      <c r="K48" t="s">
        <v>120</v>
      </c>
      <c r="L48" s="6">
        <v>245640.43</v>
      </c>
      <c r="M48">
        <v>209129.59</v>
      </c>
      <c r="N48" t="s">
        <v>192</v>
      </c>
      <c r="O48">
        <v>17</v>
      </c>
      <c r="P48">
        <v>49</v>
      </c>
      <c r="Q48">
        <v>1</v>
      </c>
      <c r="R48">
        <v>121</v>
      </c>
      <c r="S48">
        <v>204.4</v>
      </c>
      <c r="T48" t="s">
        <v>37</v>
      </c>
      <c r="U48" s="7">
        <f t="shared" si="0"/>
        <v>34</v>
      </c>
      <c r="V48" s="7">
        <f t="shared" si="1"/>
        <v>17</v>
      </c>
      <c r="W48" s="6">
        <f t="shared" si="2"/>
        <v>36510.839999999997</v>
      </c>
      <c r="X48" t="str">
        <f t="shared" si="3"/>
        <v>Adult</v>
      </c>
    </row>
    <row r="49" spans="1:24">
      <c r="A49" t="s">
        <v>230</v>
      </c>
      <c r="B49" t="s">
        <v>164</v>
      </c>
      <c r="C49" t="s">
        <v>40</v>
      </c>
      <c r="D49" s="5">
        <v>35389</v>
      </c>
      <c r="E49" s="5">
        <v>45234</v>
      </c>
      <c r="F49" s="5">
        <v>45245</v>
      </c>
      <c r="G49" t="s">
        <v>152</v>
      </c>
      <c r="H49" t="s">
        <v>124</v>
      </c>
      <c r="I49" t="s">
        <v>119</v>
      </c>
      <c r="J49" t="s">
        <v>71</v>
      </c>
      <c r="K49" t="s">
        <v>110</v>
      </c>
      <c r="L49" s="6">
        <v>242004.89</v>
      </c>
      <c r="M49">
        <v>184854.1</v>
      </c>
      <c r="N49" t="s">
        <v>73</v>
      </c>
      <c r="O49">
        <v>11</v>
      </c>
      <c r="P49">
        <v>38</v>
      </c>
      <c r="Q49">
        <v>2</v>
      </c>
      <c r="R49">
        <v>129</v>
      </c>
      <c r="S49">
        <v>176.2</v>
      </c>
      <c r="T49" t="s">
        <v>4237</v>
      </c>
      <c r="U49" s="7">
        <f t="shared" si="0"/>
        <v>26</v>
      </c>
      <c r="V49" s="7">
        <f t="shared" si="1"/>
        <v>11</v>
      </c>
      <c r="W49" s="6">
        <f t="shared" si="2"/>
        <v>57150.790000000008</v>
      </c>
      <c r="X49" t="str">
        <f t="shared" si="3"/>
        <v>Adult</v>
      </c>
    </row>
    <row r="50" spans="1:24">
      <c r="A50" t="s">
        <v>231</v>
      </c>
      <c r="B50" t="s">
        <v>194</v>
      </c>
      <c r="C50" t="s">
        <v>40</v>
      </c>
      <c r="D50" s="5">
        <v>40397</v>
      </c>
      <c r="E50" s="5">
        <v>45390</v>
      </c>
      <c r="F50" s="5">
        <v>45395</v>
      </c>
      <c r="G50" t="s">
        <v>109</v>
      </c>
      <c r="H50" t="s">
        <v>44</v>
      </c>
      <c r="I50" t="s">
        <v>33</v>
      </c>
      <c r="J50" t="s">
        <v>64</v>
      </c>
      <c r="K50" t="s">
        <v>110</v>
      </c>
      <c r="L50" s="6">
        <v>193291.49</v>
      </c>
      <c r="M50">
        <v>158564.54</v>
      </c>
      <c r="N50" t="s">
        <v>192</v>
      </c>
      <c r="O50">
        <v>5</v>
      </c>
      <c r="P50">
        <v>14</v>
      </c>
      <c r="Q50">
        <v>5</v>
      </c>
      <c r="R50">
        <v>188</v>
      </c>
      <c r="S50">
        <v>187.4</v>
      </c>
      <c r="T50" t="s">
        <v>37</v>
      </c>
      <c r="U50" s="7">
        <f t="shared" si="0"/>
        <v>13</v>
      </c>
      <c r="V50" s="7">
        <f t="shared" si="1"/>
        <v>5</v>
      </c>
      <c r="W50" s="6">
        <f t="shared" si="2"/>
        <v>34726.949999999983</v>
      </c>
      <c r="X50" t="str">
        <f t="shared" si="3"/>
        <v>Child</v>
      </c>
    </row>
    <row r="51" spans="1:24">
      <c r="A51" t="s">
        <v>233</v>
      </c>
      <c r="B51" t="s">
        <v>234</v>
      </c>
      <c r="C51" t="s">
        <v>133</v>
      </c>
      <c r="D51" s="5">
        <v>36155</v>
      </c>
      <c r="E51" s="5">
        <v>45846</v>
      </c>
      <c r="F51" s="5">
        <v>45854</v>
      </c>
      <c r="G51" t="s">
        <v>109</v>
      </c>
      <c r="H51" t="s">
        <v>78</v>
      </c>
      <c r="I51" t="s">
        <v>33</v>
      </c>
      <c r="J51" t="s">
        <v>80</v>
      </c>
      <c r="K51" t="s">
        <v>110</v>
      </c>
      <c r="L51" s="6">
        <v>93540.64</v>
      </c>
      <c r="M51">
        <v>83793.59</v>
      </c>
      <c r="N51" t="s">
        <v>192</v>
      </c>
      <c r="O51">
        <v>8</v>
      </c>
      <c r="P51">
        <v>123</v>
      </c>
      <c r="Q51">
        <v>5</v>
      </c>
      <c r="R51">
        <v>189</v>
      </c>
      <c r="S51">
        <v>142.6</v>
      </c>
      <c r="T51" t="s">
        <v>37</v>
      </c>
      <c r="U51" s="7">
        <f t="shared" si="0"/>
        <v>26</v>
      </c>
      <c r="V51" s="7">
        <f t="shared" si="1"/>
        <v>8</v>
      </c>
      <c r="W51" s="6">
        <f t="shared" si="2"/>
        <v>9747.0500000000029</v>
      </c>
      <c r="X51" t="str">
        <f t="shared" si="3"/>
        <v>Adult</v>
      </c>
    </row>
    <row r="52" spans="1:24">
      <c r="A52" t="s">
        <v>237</v>
      </c>
      <c r="B52" t="s">
        <v>238</v>
      </c>
      <c r="C52" t="s">
        <v>133</v>
      </c>
      <c r="D52" s="5">
        <v>35863</v>
      </c>
      <c r="E52" s="5">
        <v>45847</v>
      </c>
      <c r="F52" s="5">
        <v>45864</v>
      </c>
      <c r="G52" t="s">
        <v>43</v>
      </c>
      <c r="H52" t="s">
        <v>52</v>
      </c>
      <c r="I52" t="s">
        <v>45</v>
      </c>
      <c r="J52" t="s">
        <v>34</v>
      </c>
      <c r="K52" t="s">
        <v>27</v>
      </c>
      <c r="L52" s="6">
        <v>221445.87</v>
      </c>
      <c r="M52">
        <v>182575.27</v>
      </c>
      <c r="N52" t="s">
        <v>73</v>
      </c>
      <c r="O52">
        <v>17</v>
      </c>
      <c r="P52">
        <v>106</v>
      </c>
      <c r="Q52">
        <v>4</v>
      </c>
      <c r="R52">
        <v>137</v>
      </c>
      <c r="S52">
        <v>114.8</v>
      </c>
      <c r="T52" t="s">
        <v>37</v>
      </c>
      <c r="U52" s="7">
        <f t="shared" si="0"/>
        <v>27</v>
      </c>
      <c r="V52" s="7">
        <f t="shared" si="1"/>
        <v>17</v>
      </c>
      <c r="W52" s="6">
        <f t="shared" si="2"/>
        <v>38870.600000000006</v>
      </c>
      <c r="X52" t="str">
        <f t="shared" si="3"/>
        <v>Adult</v>
      </c>
    </row>
    <row r="53" spans="1:24">
      <c r="A53" t="s">
        <v>240</v>
      </c>
      <c r="B53" t="s">
        <v>241</v>
      </c>
      <c r="C53" t="s">
        <v>133</v>
      </c>
      <c r="D53" s="5">
        <v>28764</v>
      </c>
      <c r="E53" s="5">
        <v>45089</v>
      </c>
      <c r="F53" s="5">
        <v>45090</v>
      </c>
      <c r="G53" t="s">
        <v>161</v>
      </c>
      <c r="H53" t="s">
        <v>134</v>
      </c>
      <c r="I53" t="s">
        <v>79</v>
      </c>
      <c r="J53" t="s">
        <v>26</v>
      </c>
      <c r="K53" t="s">
        <v>120</v>
      </c>
      <c r="L53" s="6">
        <v>194602.73</v>
      </c>
      <c r="M53">
        <v>153803.35999999999</v>
      </c>
      <c r="N53" t="s">
        <v>35</v>
      </c>
      <c r="O53">
        <v>1</v>
      </c>
      <c r="P53">
        <v>17</v>
      </c>
      <c r="Q53">
        <v>4</v>
      </c>
      <c r="R53">
        <v>143</v>
      </c>
      <c r="S53">
        <v>191.4</v>
      </c>
      <c r="T53" t="s">
        <v>37</v>
      </c>
      <c r="U53" s="7">
        <f t="shared" si="0"/>
        <v>44</v>
      </c>
      <c r="V53" s="7">
        <f t="shared" si="1"/>
        <v>1</v>
      </c>
      <c r="W53" s="6">
        <f t="shared" si="2"/>
        <v>40799.370000000024</v>
      </c>
      <c r="X53" t="str">
        <f t="shared" si="3"/>
        <v>Middle Age</v>
      </c>
    </row>
    <row r="54" spans="1:24">
      <c r="A54" t="s">
        <v>243</v>
      </c>
      <c r="B54" t="s">
        <v>244</v>
      </c>
      <c r="C54" t="s">
        <v>40</v>
      </c>
      <c r="D54" s="5">
        <v>22607</v>
      </c>
      <c r="E54" s="5">
        <v>45102</v>
      </c>
      <c r="F54" s="5">
        <v>45119</v>
      </c>
      <c r="G54" t="s">
        <v>161</v>
      </c>
      <c r="H54" t="s">
        <v>95</v>
      </c>
      <c r="I54" t="s">
        <v>25</v>
      </c>
      <c r="J54" t="s">
        <v>34</v>
      </c>
      <c r="K54" t="s">
        <v>27</v>
      </c>
      <c r="L54" s="6">
        <v>218649.53</v>
      </c>
      <c r="M54">
        <v>194751.41</v>
      </c>
      <c r="N54" t="s">
        <v>73</v>
      </c>
      <c r="O54">
        <v>17</v>
      </c>
      <c r="P54">
        <v>100</v>
      </c>
      <c r="Q54">
        <v>5</v>
      </c>
      <c r="R54">
        <v>185</v>
      </c>
      <c r="S54">
        <v>73.099999999999994</v>
      </c>
      <c r="T54" t="s">
        <v>37</v>
      </c>
      <c r="U54" s="7">
        <f t="shared" si="0"/>
        <v>61</v>
      </c>
      <c r="V54" s="7">
        <f t="shared" si="1"/>
        <v>17</v>
      </c>
      <c r="W54" s="6">
        <f t="shared" si="2"/>
        <v>23898.119999999995</v>
      </c>
      <c r="X54" t="str">
        <f t="shared" si="3"/>
        <v>Senior</v>
      </c>
    </row>
    <row r="55" spans="1:24">
      <c r="A55" t="s">
        <v>246</v>
      </c>
      <c r="B55" t="s">
        <v>247</v>
      </c>
      <c r="C55" t="s">
        <v>40</v>
      </c>
      <c r="D55" s="5">
        <v>32958</v>
      </c>
      <c r="E55" s="5">
        <v>45203</v>
      </c>
      <c r="F55" s="5">
        <v>45206</v>
      </c>
      <c r="G55" t="s">
        <v>77</v>
      </c>
      <c r="H55" t="s">
        <v>24</v>
      </c>
      <c r="I55" t="s">
        <v>96</v>
      </c>
      <c r="J55" t="s">
        <v>80</v>
      </c>
      <c r="K55" t="s">
        <v>161</v>
      </c>
      <c r="L55" s="6">
        <v>13342.05</v>
      </c>
      <c r="M55">
        <v>12884.91</v>
      </c>
      <c r="N55" t="s">
        <v>35</v>
      </c>
      <c r="O55">
        <v>3</v>
      </c>
      <c r="P55">
        <v>85</v>
      </c>
      <c r="Q55">
        <v>5</v>
      </c>
      <c r="R55">
        <v>155</v>
      </c>
      <c r="S55">
        <v>145.69999999999999</v>
      </c>
      <c r="T55" t="s">
        <v>37</v>
      </c>
      <c r="U55" s="7">
        <f t="shared" si="0"/>
        <v>33</v>
      </c>
      <c r="V55" s="7">
        <f t="shared" si="1"/>
        <v>3</v>
      </c>
      <c r="W55" s="6">
        <f t="shared" si="2"/>
        <v>457.13999999999942</v>
      </c>
      <c r="X55" t="str">
        <f t="shared" si="3"/>
        <v>Adult</v>
      </c>
    </row>
    <row r="56" spans="1:24">
      <c r="A56" t="s">
        <v>248</v>
      </c>
      <c r="B56" t="s">
        <v>249</v>
      </c>
      <c r="C56" t="s">
        <v>133</v>
      </c>
      <c r="D56" s="5">
        <v>39274</v>
      </c>
      <c r="E56" s="5">
        <v>45309</v>
      </c>
      <c r="F56" s="5">
        <v>45325</v>
      </c>
      <c r="G56" t="s">
        <v>105</v>
      </c>
      <c r="H56" t="s">
        <v>78</v>
      </c>
      <c r="I56" t="s">
        <v>96</v>
      </c>
      <c r="J56" t="s">
        <v>26</v>
      </c>
      <c r="K56" t="s">
        <v>120</v>
      </c>
      <c r="L56" s="6">
        <v>182452.63</v>
      </c>
      <c r="M56">
        <v>151286.46</v>
      </c>
      <c r="N56" t="s">
        <v>73</v>
      </c>
      <c r="O56">
        <v>16</v>
      </c>
      <c r="P56">
        <v>215</v>
      </c>
      <c r="Q56">
        <v>3</v>
      </c>
      <c r="R56">
        <v>159</v>
      </c>
      <c r="S56">
        <v>125.8</v>
      </c>
      <c r="T56" t="s">
        <v>37</v>
      </c>
      <c r="U56" s="7">
        <f t="shared" si="0"/>
        <v>16</v>
      </c>
      <c r="V56" s="7">
        <f t="shared" si="1"/>
        <v>16</v>
      </c>
      <c r="W56" s="6">
        <f t="shared" si="2"/>
        <v>31166.170000000013</v>
      </c>
      <c r="X56" t="str">
        <f t="shared" si="3"/>
        <v>Child</v>
      </c>
    </row>
    <row r="57" spans="1:24">
      <c r="A57" t="s">
        <v>250</v>
      </c>
      <c r="B57" t="s">
        <v>251</v>
      </c>
      <c r="C57" t="s">
        <v>133</v>
      </c>
      <c r="D57" s="5">
        <v>20049</v>
      </c>
      <c r="E57" s="5">
        <v>45758</v>
      </c>
      <c r="F57" s="5">
        <v>45770</v>
      </c>
      <c r="G57" t="s">
        <v>161</v>
      </c>
      <c r="H57" t="s">
        <v>113</v>
      </c>
      <c r="I57" t="s">
        <v>53</v>
      </c>
      <c r="J57" t="s">
        <v>179</v>
      </c>
      <c r="K57" t="s">
        <v>120</v>
      </c>
      <c r="L57" s="6">
        <v>37837.919999999998</v>
      </c>
      <c r="M57">
        <v>30765.41</v>
      </c>
      <c r="N57" t="s">
        <v>73</v>
      </c>
      <c r="O57">
        <v>12</v>
      </c>
      <c r="P57">
        <v>117</v>
      </c>
      <c r="Q57">
        <v>1</v>
      </c>
      <c r="R57">
        <v>106</v>
      </c>
      <c r="S57">
        <v>82.8</v>
      </c>
      <c r="T57" t="s">
        <v>4237</v>
      </c>
      <c r="U57" s="7">
        <f t="shared" si="0"/>
        <v>70</v>
      </c>
      <c r="V57" s="7">
        <f t="shared" si="1"/>
        <v>12</v>
      </c>
      <c r="W57" s="6">
        <f t="shared" si="2"/>
        <v>7072.5099999999984</v>
      </c>
      <c r="X57" t="str">
        <f t="shared" si="3"/>
        <v>Senior</v>
      </c>
    </row>
    <row r="58" spans="1:24">
      <c r="A58" t="s">
        <v>252</v>
      </c>
      <c r="B58" t="s">
        <v>253</v>
      </c>
      <c r="C58" t="s">
        <v>133</v>
      </c>
      <c r="D58" s="5">
        <v>23774</v>
      </c>
      <c r="E58" s="5">
        <v>45308</v>
      </c>
      <c r="F58" s="5">
        <v>45324</v>
      </c>
      <c r="G58" t="s">
        <v>89</v>
      </c>
      <c r="H58" t="s">
        <v>52</v>
      </c>
      <c r="I58" t="s">
        <v>96</v>
      </c>
      <c r="J58" t="s">
        <v>71</v>
      </c>
      <c r="K58" t="s">
        <v>110</v>
      </c>
      <c r="L58" s="6">
        <v>176749.36</v>
      </c>
      <c r="M58">
        <v>176556.62</v>
      </c>
      <c r="N58" t="s">
        <v>35</v>
      </c>
      <c r="O58">
        <v>16</v>
      </c>
      <c r="P58">
        <v>78</v>
      </c>
      <c r="Q58">
        <v>4</v>
      </c>
      <c r="R58">
        <v>115</v>
      </c>
      <c r="S58">
        <v>93.3</v>
      </c>
      <c r="T58" t="s">
        <v>37</v>
      </c>
      <c r="U58" s="7">
        <f t="shared" si="0"/>
        <v>58</v>
      </c>
      <c r="V58" s="7">
        <f t="shared" si="1"/>
        <v>16</v>
      </c>
      <c r="W58" s="6">
        <f t="shared" si="2"/>
        <v>192.73999999999069</v>
      </c>
      <c r="X58" t="str">
        <f t="shared" si="3"/>
        <v>Middle Age</v>
      </c>
    </row>
    <row r="59" spans="1:24">
      <c r="A59" t="s">
        <v>256</v>
      </c>
      <c r="B59" t="s">
        <v>139</v>
      </c>
      <c r="C59" t="s">
        <v>40</v>
      </c>
      <c r="D59" s="5">
        <v>35056</v>
      </c>
      <c r="E59" s="5">
        <v>45283</v>
      </c>
      <c r="F59" s="5">
        <v>45295</v>
      </c>
      <c r="G59" t="s">
        <v>161</v>
      </c>
      <c r="H59" t="s">
        <v>86</v>
      </c>
      <c r="I59" t="s">
        <v>53</v>
      </c>
      <c r="J59" t="s">
        <v>80</v>
      </c>
      <c r="K59" t="s">
        <v>120</v>
      </c>
      <c r="L59" s="6">
        <v>198117.33</v>
      </c>
      <c r="M59">
        <v>160132.09</v>
      </c>
      <c r="N59" t="s">
        <v>192</v>
      </c>
      <c r="O59">
        <v>12</v>
      </c>
      <c r="P59">
        <v>151</v>
      </c>
      <c r="Q59">
        <v>5</v>
      </c>
      <c r="R59">
        <v>149</v>
      </c>
      <c r="S59">
        <v>222.7</v>
      </c>
      <c r="T59" t="s">
        <v>37</v>
      </c>
      <c r="U59" s="7">
        <f t="shared" si="0"/>
        <v>28</v>
      </c>
      <c r="V59" s="7">
        <f t="shared" si="1"/>
        <v>12</v>
      </c>
      <c r="W59" s="6">
        <f t="shared" si="2"/>
        <v>37985.239999999991</v>
      </c>
      <c r="X59" t="str">
        <f t="shared" si="3"/>
        <v>Adult</v>
      </c>
    </row>
    <row r="60" spans="1:24">
      <c r="A60" t="s">
        <v>257</v>
      </c>
      <c r="B60" t="s">
        <v>83</v>
      </c>
      <c r="C60" t="s">
        <v>40</v>
      </c>
      <c r="D60" s="5">
        <v>34224</v>
      </c>
      <c r="E60" s="5">
        <v>45189</v>
      </c>
      <c r="F60" s="5">
        <v>45207</v>
      </c>
      <c r="G60" t="s">
        <v>62</v>
      </c>
      <c r="H60" t="s">
        <v>78</v>
      </c>
      <c r="I60" t="s">
        <v>53</v>
      </c>
      <c r="J60" t="s">
        <v>34</v>
      </c>
      <c r="K60" t="s">
        <v>120</v>
      </c>
      <c r="L60" s="6">
        <v>126958.79</v>
      </c>
      <c r="M60">
        <v>120536.86</v>
      </c>
      <c r="N60" t="s">
        <v>91</v>
      </c>
      <c r="O60">
        <v>18</v>
      </c>
      <c r="P60">
        <v>137</v>
      </c>
      <c r="Q60">
        <v>3</v>
      </c>
      <c r="R60">
        <v>128</v>
      </c>
      <c r="S60">
        <v>101.3</v>
      </c>
      <c r="T60" t="s">
        <v>65</v>
      </c>
      <c r="U60" s="7">
        <f t="shared" si="0"/>
        <v>30</v>
      </c>
      <c r="V60" s="7">
        <f t="shared" si="1"/>
        <v>18</v>
      </c>
      <c r="W60" s="6">
        <f t="shared" si="2"/>
        <v>6421.929999999993</v>
      </c>
      <c r="X60" t="str">
        <f t="shared" si="3"/>
        <v>Adult</v>
      </c>
    </row>
    <row r="61" spans="1:24">
      <c r="A61" t="s">
        <v>258</v>
      </c>
      <c r="B61" t="s">
        <v>332</v>
      </c>
      <c r="C61" t="s">
        <v>40</v>
      </c>
      <c r="D61" s="5">
        <v>32055</v>
      </c>
      <c r="E61" s="5">
        <v>45277</v>
      </c>
      <c r="F61" s="5">
        <v>45288</v>
      </c>
      <c r="G61" t="s">
        <v>117</v>
      </c>
      <c r="H61" t="s">
        <v>24</v>
      </c>
      <c r="I61" t="s">
        <v>25</v>
      </c>
      <c r="J61" t="s">
        <v>26</v>
      </c>
      <c r="K61" t="s">
        <v>55</v>
      </c>
      <c r="L61" s="6">
        <v>13751.8</v>
      </c>
      <c r="M61">
        <v>10886.07</v>
      </c>
      <c r="N61" t="s">
        <v>35</v>
      </c>
      <c r="O61">
        <v>11</v>
      </c>
      <c r="P61">
        <v>72</v>
      </c>
      <c r="Q61">
        <v>4</v>
      </c>
      <c r="R61">
        <v>188</v>
      </c>
      <c r="S61">
        <v>178.7</v>
      </c>
      <c r="T61" t="s">
        <v>37</v>
      </c>
      <c r="U61" s="7">
        <f t="shared" si="0"/>
        <v>36</v>
      </c>
      <c r="V61" s="7">
        <f t="shared" si="1"/>
        <v>11</v>
      </c>
      <c r="W61" s="6">
        <f t="shared" si="2"/>
        <v>2865.7299999999996</v>
      </c>
      <c r="X61" t="str">
        <f t="shared" si="3"/>
        <v>Adult</v>
      </c>
    </row>
    <row r="62" spans="1:24">
      <c r="A62" t="s">
        <v>260</v>
      </c>
      <c r="B62" t="s">
        <v>261</v>
      </c>
      <c r="C62" t="s">
        <v>40</v>
      </c>
      <c r="D62" s="5">
        <v>29440</v>
      </c>
      <c r="E62" s="5">
        <v>45623</v>
      </c>
      <c r="F62" s="5">
        <v>45628</v>
      </c>
      <c r="G62" t="s">
        <v>161</v>
      </c>
      <c r="H62" t="s">
        <v>63</v>
      </c>
      <c r="I62" t="s">
        <v>119</v>
      </c>
      <c r="J62" t="s">
        <v>34</v>
      </c>
      <c r="K62" t="s">
        <v>27</v>
      </c>
      <c r="L62" s="6">
        <v>34864.620000000003</v>
      </c>
      <c r="M62">
        <v>29791.61</v>
      </c>
      <c r="N62" t="s">
        <v>4237</v>
      </c>
      <c r="O62">
        <v>5</v>
      </c>
      <c r="P62">
        <v>32</v>
      </c>
      <c r="Q62">
        <v>5</v>
      </c>
      <c r="R62">
        <v>120</v>
      </c>
      <c r="S62">
        <v>158.6</v>
      </c>
      <c r="T62" t="s">
        <v>65</v>
      </c>
      <c r="U62" s="7">
        <f t="shared" si="0"/>
        <v>44</v>
      </c>
      <c r="V62" s="7">
        <f t="shared" si="1"/>
        <v>5</v>
      </c>
      <c r="W62" s="6">
        <f t="shared" si="2"/>
        <v>5073.010000000002</v>
      </c>
      <c r="X62" t="str">
        <f t="shared" si="3"/>
        <v>Middle Age</v>
      </c>
    </row>
    <row r="63" spans="1:24">
      <c r="A63" t="s">
        <v>262</v>
      </c>
      <c r="B63" t="s">
        <v>202</v>
      </c>
      <c r="C63" t="s">
        <v>133</v>
      </c>
      <c r="D63" s="5">
        <v>29844</v>
      </c>
      <c r="E63" s="5">
        <v>45948</v>
      </c>
      <c r="F63" s="5">
        <v>45958</v>
      </c>
      <c r="G63" t="s">
        <v>161</v>
      </c>
      <c r="H63" t="s">
        <v>134</v>
      </c>
      <c r="I63" t="s">
        <v>33</v>
      </c>
      <c r="J63" t="s">
        <v>80</v>
      </c>
      <c r="K63" t="s">
        <v>161</v>
      </c>
      <c r="L63" s="6">
        <v>55748.24</v>
      </c>
      <c r="M63">
        <v>39837.550000000003</v>
      </c>
      <c r="N63" t="s">
        <v>35</v>
      </c>
      <c r="O63">
        <v>10</v>
      </c>
      <c r="P63">
        <v>77</v>
      </c>
      <c r="Q63">
        <v>4</v>
      </c>
      <c r="R63">
        <v>166</v>
      </c>
      <c r="S63">
        <v>237.6</v>
      </c>
      <c r="T63" t="s">
        <v>4237</v>
      </c>
      <c r="U63" s="7">
        <f t="shared" si="0"/>
        <v>44</v>
      </c>
      <c r="V63" s="7">
        <f t="shared" si="1"/>
        <v>10</v>
      </c>
      <c r="W63" s="6">
        <f t="shared" si="2"/>
        <v>15910.689999999995</v>
      </c>
      <c r="X63" t="str">
        <f t="shared" si="3"/>
        <v>Middle Age</v>
      </c>
    </row>
    <row r="64" spans="1:24">
      <c r="A64" t="s">
        <v>267</v>
      </c>
      <c r="B64" t="s">
        <v>311</v>
      </c>
      <c r="C64" t="s">
        <v>133</v>
      </c>
      <c r="D64" s="5">
        <v>24881</v>
      </c>
      <c r="E64" s="5">
        <v>45959</v>
      </c>
      <c r="F64" s="5">
        <v>45974</v>
      </c>
      <c r="G64" t="s">
        <v>109</v>
      </c>
      <c r="H64" t="s">
        <v>44</v>
      </c>
      <c r="I64" t="s">
        <v>33</v>
      </c>
      <c r="J64" t="s">
        <v>97</v>
      </c>
      <c r="K64" t="s">
        <v>55</v>
      </c>
      <c r="L64" s="6">
        <v>243833</v>
      </c>
      <c r="M64">
        <v>188083.39</v>
      </c>
      <c r="N64" t="s">
        <v>192</v>
      </c>
      <c r="O64">
        <v>15</v>
      </c>
      <c r="P64">
        <v>91</v>
      </c>
      <c r="Q64">
        <v>4</v>
      </c>
      <c r="R64">
        <v>136</v>
      </c>
      <c r="S64">
        <v>213.4</v>
      </c>
      <c r="T64" t="s">
        <v>47</v>
      </c>
      <c r="U64" s="7">
        <f t="shared" si="0"/>
        <v>57</v>
      </c>
      <c r="V64" s="7">
        <f t="shared" si="1"/>
        <v>15</v>
      </c>
      <c r="W64" s="6">
        <f t="shared" si="2"/>
        <v>55749.609999999986</v>
      </c>
      <c r="X64" t="str">
        <f t="shared" si="3"/>
        <v>Middle Age</v>
      </c>
    </row>
    <row r="65" spans="1:24">
      <c r="A65" t="s">
        <v>269</v>
      </c>
      <c r="B65" t="s">
        <v>270</v>
      </c>
      <c r="C65" t="s">
        <v>133</v>
      </c>
      <c r="D65" s="5">
        <v>35569</v>
      </c>
      <c r="E65" s="5">
        <v>45615</v>
      </c>
      <c r="F65" s="5">
        <v>45455</v>
      </c>
      <c r="G65" t="s">
        <v>89</v>
      </c>
      <c r="H65" t="s">
        <v>32</v>
      </c>
      <c r="I65" t="s">
        <v>96</v>
      </c>
      <c r="J65" t="s">
        <v>34</v>
      </c>
      <c r="K65" t="s">
        <v>55</v>
      </c>
      <c r="L65" s="6">
        <v>204397.84</v>
      </c>
      <c r="M65">
        <v>163389.89000000001</v>
      </c>
      <c r="N65" t="s">
        <v>35</v>
      </c>
      <c r="O65">
        <v>17</v>
      </c>
      <c r="P65">
        <v>33</v>
      </c>
      <c r="Q65">
        <v>4</v>
      </c>
      <c r="R65">
        <v>164</v>
      </c>
      <c r="S65">
        <v>128.5</v>
      </c>
      <c r="T65" t="s">
        <v>4237</v>
      </c>
      <c r="U65" s="7">
        <f t="shared" si="0"/>
        <v>27</v>
      </c>
      <c r="V65" s="7">
        <f t="shared" si="1"/>
        <v>-160</v>
      </c>
      <c r="W65" s="6">
        <f t="shared" si="2"/>
        <v>41007.949999999983</v>
      </c>
      <c r="X65" t="str">
        <f t="shared" si="3"/>
        <v>Adult</v>
      </c>
    </row>
    <row r="66" spans="1:24">
      <c r="A66" t="s">
        <v>273</v>
      </c>
      <c r="B66" t="s">
        <v>274</v>
      </c>
      <c r="C66" t="s">
        <v>40</v>
      </c>
      <c r="D66" s="5" t="s">
        <v>4237</v>
      </c>
      <c r="E66" s="5">
        <v>45152</v>
      </c>
      <c r="F66" s="5" t="s">
        <v>4237</v>
      </c>
      <c r="G66" t="s">
        <v>105</v>
      </c>
      <c r="H66" t="s">
        <v>134</v>
      </c>
      <c r="I66" t="s">
        <v>53</v>
      </c>
      <c r="J66" t="s">
        <v>34</v>
      </c>
      <c r="K66" t="s">
        <v>27</v>
      </c>
      <c r="L66" s="6">
        <v>173398.81</v>
      </c>
      <c r="M66">
        <v>140109.46</v>
      </c>
      <c r="N66" t="s">
        <v>192</v>
      </c>
      <c r="O66">
        <v>7</v>
      </c>
      <c r="P66">
        <v>161</v>
      </c>
      <c r="Q66">
        <v>4</v>
      </c>
      <c r="R66">
        <v>184</v>
      </c>
      <c r="S66">
        <v>208.2</v>
      </c>
      <c r="T66" t="s">
        <v>4237</v>
      </c>
      <c r="U66" s="7" t="s">
        <v>4237</v>
      </c>
      <c r="V66" s="7" t="s">
        <v>4237</v>
      </c>
      <c r="W66" s="6">
        <f t="shared" ref="W66:W129" si="4">L66-M66</f>
        <v>33289.350000000006</v>
      </c>
      <c r="X66" t="s">
        <v>4237</v>
      </c>
    </row>
    <row r="67" spans="1:24">
      <c r="A67" t="s">
        <v>276</v>
      </c>
      <c r="B67" t="s">
        <v>277</v>
      </c>
      <c r="C67" t="s">
        <v>40</v>
      </c>
      <c r="D67" s="5">
        <v>22745</v>
      </c>
      <c r="E67" s="5">
        <v>45538</v>
      </c>
      <c r="F67" s="5">
        <v>45546</v>
      </c>
      <c r="G67" t="s">
        <v>109</v>
      </c>
      <c r="H67" t="s">
        <v>78</v>
      </c>
      <c r="I67" t="s">
        <v>96</v>
      </c>
      <c r="J67" t="s">
        <v>80</v>
      </c>
      <c r="K67" t="s">
        <v>55</v>
      </c>
      <c r="L67" s="6">
        <v>173334.38</v>
      </c>
      <c r="M67">
        <v>130929.27</v>
      </c>
      <c r="N67" t="s">
        <v>192</v>
      </c>
      <c r="O67">
        <v>8</v>
      </c>
      <c r="P67">
        <v>94</v>
      </c>
      <c r="Q67">
        <v>4</v>
      </c>
      <c r="R67">
        <v>182</v>
      </c>
      <c r="S67">
        <v>122</v>
      </c>
      <c r="T67" t="s">
        <v>37</v>
      </c>
      <c r="U67" s="7">
        <f t="shared" ref="U67:U129" si="5">DATEDIF(D67,E67,"Y")</f>
        <v>62</v>
      </c>
      <c r="V67" s="7">
        <f t="shared" ref="V67:V129" si="6">IF(OR(E67=" ",F67=" ",E67="Unknown",F67="Unknown")," ",F67-E67)</f>
        <v>8</v>
      </c>
      <c r="W67" s="6">
        <f t="shared" si="4"/>
        <v>42405.11</v>
      </c>
      <c r="X67" t="str">
        <f t="shared" ref="X67:X129" si="7">IF(OR(U67="",U67="Unknown"),"",IF(U67&lt;18,"Child",IF(U67&lt;40,"Adult",IF(U67&lt;60,"Middle Age","Senior"))))</f>
        <v>Senior</v>
      </c>
    </row>
    <row r="68" spans="1:24">
      <c r="A68" t="s">
        <v>279</v>
      </c>
      <c r="B68" t="s">
        <v>280</v>
      </c>
      <c r="C68" t="s">
        <v>133</v>
      </c>
      <c r="D68" s="5">
        <v>37508</v>
      </c>
      <c r="E68" s="5">
        <v>45483</v>
      </c>
      <c r="F68" s="5">
        <v>45488</v>
      </c>
      <c r="G68" t="s">
        <v>161</v>
      </c>
      <c r="H68" t="s">
        <v>118</v>
      </c>
      <c r="I68" t="s">
        <v>45</v>
      </c>
      <c r="J68" t="s">
        <v>80</v>
      </c>
      <c r="K68" t="s">
        <v>120</v>
      </c>
      <c r="L68" s="6">
        <v>15064.44</v>
      </c>
      <c r="M68">
        <v>10408.49</v>
      </c>
      <c r="N68" t="s">
        <v>35</v>
      </c>
      <c r="O68">
        <v>5</v>
      </c>
      <c r="P68">
        <v>64</v>
      </c>
      <c r="Q68">
        <v>1</v>
      </c>
      <c r="R68">
        <v>102</v>
      </c>
      <c r="S68">
        <v>148.5</v>
      </c>
      <c r="T68" t="s">
        <v>4237</v>
      </c>
      <c r="U68" s="7">
        <f t="shared" si="5"/>
        <v>21</v>
      </c>
      <c r="V68" s="7">
        <f t="shared" si="6"/>
        <v>5</v>
      </c>
      <c r="W68" s="6">
        <f t="shared" si="4"/>
        <v>4655.9500000000007</v>
      </c>
      <c r="X68" t="str">
        <f t="shared" si="7"/>
        <v>Adult</v>
      </c>
    </row>
    <row r="69" spans="1:24">
      <c r="A69" t="s">
        <v>282</v>
      </c>
      <c r="B69" t="s">
        <v>283</v>
      </c>
      <c r="C69" t="s">
        <v>133</v>
      </c>
      <c r="D69" s="5">
        <v>33263</v>
      </c>
      <c r="E69" s="5">
        <v>45110</v>
      </c>
      <c r="F69" s="5">
        <v>45118</v>
      </c>
      <c r="G69" t="s">
        <v>161</v>
      </c>
      <c r="H69" t="s">
        <v>134</v>
      </c>
      <c r="I69" t="s">
        <v>25</v>
      </c>
      <c r="J69" t="s">
        <v>97</v>
      </c>
      <c r="K69" t="s">
        <v>55</v>
      </c>
      <c r="L69" s="6">
        <v>105926.53</v>
      </c>
      <c r="M69">
        <v>103826.73</v>
      </c>
      <c r="N69" t="s">
        <v>56</v>
      </c>
      <c r="O69">
        <v>8</v>
      </c>
      <c r="P69">
        <v>14</v>
      </c>
      <c r="Q69">
        <v>4</v>
      </c>
      <c r="R69">
        <v>190</v>
      </c>
      <c r="S69">
        <v>164.1</v>
      </c>
      <c r="T69" t="s">
        <v>4237</v>
      </c>
      <c r="U69" s="7">
        <f t="shared" si="5"/>
        <v>32</v>
      </c>
      <c r="V69" s="7">
        <f t="shared" si="6"/>
        <v>8</v>
      </c>
      <c r="W69" s="6">
        <f t="shared" si="4"/>
        <v>2099.8000000000029</v>
      </c>
      <c r="X69" t="str">
        <f t="shared" si="7"/>
        <v>Adult</v>
      </c>
    </row>
    <row r="70" spans="1:24">
      <c r="A70" t="s">
        <v>287</v>
      </c>
      <c r="B70" t="s">
        <v>288</v>
      </c>
      <c r="C70" t="s">
        <v>133</v>
      </c>
      <c r="D70" s="5">
        <v>22952</v>
      </c>
      <c r="E70" s="5">
        <v>45259</v>
      </c>
      <c r="F70" s="5">
        <v>45274</v>
      </c>
      <c r="G70" t="s">
        <v>161</v>
      </c>
      <c r="H70" t="s">
        <v>124</v>
      </c>
      <c r="I70" t="s">
        <v>25</v>
      </c>
      <c r="J70" t="s">
        <v>46</v>
      </c>
      <c r="K70" t="s">
        <v>120</v>
      </c>
      <c r="L70" s="6">
        <v>198215</v>
      </c>
      <c r="M70">
        <v>160968.07999999999</v>
      </c>
      <c r="N70" t="s">
        <v>192</v>
      </c>
      <c r="O70">
        <v>15</v>
      </c>
      <c r="P70">
        <v>54</v>
      </c>
      <c r="Q70">
        <v>3</v>
      </c>
      <c r="R70">
        <v>168</v>
      </c>
      <c r="S70">
        <v>232.7</v>
      </c>
      <c r="T70" t="s">
        <v>37</v>
      </c>
      <c r="U70" s="7">
        <f t="shared" si="5"/>
        <v>61</v>
      </c>
      <c r="V70" s="7">
        <f t="shared" si="6"/>
        <v>15</v>
      </c>
      <c r="W70" s="6">
        <f t="shared" si="4"/>
        <v>37246.920000000013</v>
      </c>
      <c r="X70" t="str">
        <f t="shared" si="7"/>
        <v>Senior</v>
      </c>
    </row>
    <row r="71" spans="1:24">
      <c r="A71" t="s">
        <v>291</v>
      </c>
      <c r="B71" t="s">
        <v>292</v>
      </c>
      <c r="C71" t="s">
        <v>40</v>
      </c>
      <c r="D71" s="5">
        <v>35339</v>
      </c>
      <c r="E71" s="5" t="s">
        <v>4237</v>
      </c>
      <c r="F71" s="5">
        <v>45474</v>
      </c>
      <c r="G71" t="s">
        <v>152</v>
      </c>
      <c r="H71" t="s">
        <v>113</v>
      </c>
      <c r="I71" t="s">
        <v>33</v>
      </c>
      <c r="J71" t="s">
        <v>34</v>
      </c>
      <c r="K71" t="s">
        <v>27</v>
      </c>
      <c r="L71" s="6">
        <v>78434.570000000007</v>
      </c>
      <c r="M71">
        <v>67495.38</v>
      </c>
      <c r="N71" t="s">
        <v>73</v>
      </c>
      <c r="O71">
        <v>12</v>
      </c>
      <c r="P71">
        <v>234</v>
      </c>
      <c r="Q71">
        <v>5</v>
      </c>
      <c r="R71">
        <v>178</v>
      </c>
      <c r="S71">
        <v>92.3</v>
      </c>
      <c r="T71" t="s">
        <v>65</v>
      </c>
      <c r="U71" s="7" t="s">
        <v>4237</v>
      </c>
      <c r="V71" s="7" t="s">
        <v>4237</v>
      </c>
      <c r="W71" s="6">
        <f t="shared" si="4"/>
        <v>10939.190000000002</v>
      </c>
      <c r="X71" t="s">
        <v>4237</v>
      </c>
    </row>
    <row r="72" spans="1:24">
      <c r="A72" t="s">
        <v>294</v>
      </c>
      <c r="B72" t="s">
        <v>295</v>
      </c>
      <c r="C72" t="s">
        <v>133</v>
      </c>
      <c r="D72" s="5">
        <v>34270</v>
      </c>
      <c r="E72" s="5">
        <v>45094</v>
      </c>
      <c r="F72" s="5">
        <v>45111</v>
      </c>
      <c r="G72" t="s">
        <v>161</v>
      </c>
      <c r="H72" t="s">
        <v>63</v>
      </c>
      <c r="I72" t="s">
        <v>33</v>
      </c>
      <c r="J72" t="s">
        <v>64</v>
      </c>
      <c r="K72" t="s">
        <v>120</v>
      </c>
      <c r="L72" s="6">
        <v>30271.68</v>
      </c>
      <c r="M72">
        <v>26450.78</v>
      </c>
      <c r="N72" t="s">
        <v>4237</v>
      </c>
      <c r="O72">
        <v>17</v>
      </c>
      <c r="P72">
        <v>56</v>
      </c>
      <c r="Q72">
        <v>4</v>
      </c>
      <c r="R72">
        <v>109</v>
      </c>
      <c r="S72">
        <v>101.3</v>
      </c>
      <c r="T72" t="s">
        <v>37</v>
      </c>
      <c r="U72" s="7">
        <f t="shared" si="5"/>
        <v>29</v>
      </c>
      <c r="V72" s="7">
        <f t="shared" si="6"/>
        <v>17</v>
      </c>
      <c r="W72" s="6">
        <f t="shared" si="4"/>
        <v>3820.9000000000015</v>
      </c>
      <c r="X72" t="str">
        <f t="shared" si="7"/>
        <v>Adult</v>
      </c>
    </row>
    <row r="73" spans="1:24">
      <c r="A73" t="s">
        <v>297</v>
      </c>
      <c r="B73" t="s">
        <v>298</v>
      </c>
      <c r="C73" t="s">
        <v>133</v>
      </c>
      <c r="D73" s="5">
        <v>35077</v>
      </c>
      <c r="E73" s="5">
        <v>45448</v>
      </c>
      <c r="F73" s="5">
        <v>45449</v>
      </c>
      <c r="G73" t="s">
        <v>117</v>
      </c>
      <c r="H73" t="s">
        <v>52</v>
      </c>
      <c r="I73" t="s">
        <v>25</v>
      </c>
      <c r="J73" t="s">
        <v>34</v>
      </c>
      <c r="K73" t="s">
        <v>110</v>
      </c>
      <c r="L73" s="6">
        <v>87770.89</v>
      </c>
      <c r="M73">
        <v>75689.14</v>
      </c>
      <c r="N73" t="s">
        <v>192</v>
      </c>
      <c r="O73">
        <v>1</v>
      </c>
      <c r="P73">
        <v>20</v>
      </c>
      <c r="Q73">
        <v>2</v>
      </c>
      <c r="R73">
        <v>150</v>
      </c>
      <c r="S73">
        <v>76</v>
      </c>
      <c r="T73" t="s">
        <v>37</v>
      </c>
      <c r="U73" s="7">
        <f t="shared" si="5"/>
        <v>28</v>
      </c>
      <c r="V73" s="7">
        <f t="shared" si="6"/>
        <v>1</v>
      </c>
      <c r="W73" s="6">
        <f t="shared" si="4"/>
        <v>12081.75</v>
      </c>
      <c r="X73" t="str">
        <f t="shared" si="7"/>
        <v>Adult</v>
      </c>
    </row>
    <row r="74" spans="1:24">
      <c r="A74" t="s">
        <v>300</v>
      </c>
      <c r="B74" t="s">
        <v>301</v>
      </c>
      <c r="C74" t="s">
        <v>40</v>
      </c>
      <c r="D74" s="5">
        <v>20897</v>
      </c>
      <c r="E74" s="5">
        <v>45731</v>
      </c>
      <c r="F74" s="5">
        <v>45748</v>
      </c>
      <c r="G74" t="s">
        <v>94</v>
      </c>
      <c r="H74" t="s">
        <v>63</v>
      </c>
      <c r="I74" t="s">
        <v>25</v>
      </c>
      <c r="J74" t="s">
        <v>179</v>
      </c>
      <c r="K74" t="s">
        <v>55</v>
      </c>
      <c r="L74" s="6">
        <v>244676.44</v>
      </c>
      <c r="M74">
        <v>209674.85</v>
      </c>
      <c r="N74" t="s">
        <v>91</v>
      </c>
      <c r="O74">
        <v>17</v>
      </c>
      <c r="P74">
        <v>144</v>
      </c>
      <c r="Q74">
        <v>4</v>
      </c>
      <c r="R74">
        <v>158</v>
      </c>
      <c r="S74">
        <v>142.1</v>
      </c>
      <c r="T74" t="s">
        <v>47</v>
      </c>
      <c r="U74" s="7">
        <f t="shared" si="5"/>
        <v>67</v>
      </c>
      <c r="V74" s="7">
        <f t="shared" si="6"/>
        <v>17</v>
      </c>
      <c r="W74" s="6">
        <f t="shared" si="4"/>
        <v>35001.589999999997</v>
      </c>
      <c r="X74" t="str">
        <f t="shared" si="7"/>
        <v>Senior</v>
      </c>
    </row>
    <row r="75" spans="1:24">
      <c r="A75" t="s">
        <v>303</v>
      </c>
      <c r="B75" t="s">
        <v>304</v>
      </c>
      <c r="C75" t="s">
        <v>40</v>
      </c>
      <c r="D75" s="5">
        <v>19775</v>
      </c>
      <c r="E75" s="5">
        <v>44995</v>
      </c>
      <c r="F75" s="5">
        <v>45010</v>
      </c>
      <c r="G75" t="s">
        <v>161</v>
      </c>
      <c r="H75" t="s">
        <v>78</v>
      </c>
      <c r="I75" t="s">
        <v>25</v>
      </c>
      <c r="J75" t="s">
        <v>80</v>
      </c>
      <c r="K75" t="s">
        <v>161</v>
      </c>
      <c r="L75" s="6">
        <v>185783.92</v>
      </c>
      <c r="M75">
        <v>146788.69</v>
      </c>
      <c r="N75" t="s">
        <v>192</v>
      </c>
      <c r="O75">
        <v>15</v>
      </c>
      <c r="P75">
        <v>143</v>
      </c>
      <c r="Q75">
        <v>4</v>
      </c>
      <c r="R75">
        <v>186</v>
      </c>
      <c r="S75">
        <v>234.1</v>
      </c>
      <c r="T75" t="s">
        <v>37</v>
      </c>
      <c r="U75" s="7">
        <f t="shared" si="5"/>
        <v>69</v>
      </c>
      <c r="V75" s="7">
        <f t="shared" si="6"/>
        <v>15</v>
      </c>
      <c r="W75" s="6">
        <f t="shared" si="4"/>
        <v>38995.23000000001</v>
      </c>
      <c r="X75" t="str">
        <f t="shared" si="7"/>
        <v>Senior</v>
      </c>
    </row>
    <row r="76" spans="1:24">
      <c r="A76" t="s">
        <v>306</v>
      </c>
      <c r="B76" t="s">
        <v>76</v>
      </c>
      <c r="C76" t="s">
        <v>40</v>
      </c>
      <c r="D76" s="5">
        <v>25325</v>
      </c>
      <c r="E76" s="5">
        <v>45285</v>
      </c>
      <c r="F76" s="5">
        <v>45299</v>
      </c>
      <c r="G76" t="s">
        <v>152</v>
      </c>
      <c r="H76" t="s">
        <v>63</v>
      </c>
      <c r="I76" t="s">
        <v>79</v>
      </c>
      <c r="J76" t="s">
        <v>64</v>
      </c>
      <c r="K76" t="s">
        <v>27</v>
      </c>
      <c r="L76" s="6">
        <v>81386.78</v>
      </c>
      <c r="M76">
        <v>63591.88</v>
      </c>
      <c r="N76" t="s">
        <v>91</v>
      </c>
      <c r="O76">
        <v>14</v>
      </c>
      <c r="P76">
        <v>81</v>
      </c>
      <c r="Q76">
        <v>4</v>
      </c>
      <c r="R76">
        <v>113</v>
      </c>
      <c r="S76">
        <v>213.3</v>
      </c>
      <c r="T76" t="s">
        <v>37</v>
      </c>
      <c r="U76" s="7">
        <f t="shared" si="5"/>
        <v>54</v>
      </c>
      <c r="V76" s="7">
        <f t="shared" si="6"/>
        <v>14</v>
      </c>
      <c r="W76" s="6">
        <f t="shared" si="4"/>
        <v>17794.900000000001</v>
      </c>
      <c r="X76" t="str">
        <f t="shared" si="7"/>
        <v>Middle Age</v>
      </c>
    </row>
    <row r="77" spans="1:24">
      <c r="A77" t="s">
        <v>310</v>
      </c>
      <c r="B77" t="s">
        <v>311</v>
      </c>
      <c r="C77" t="s">
        <v>133</v>
      </c>
      <c r="D77" s="5">
        <v>40053</v>
      </c>
      <c r="E77" s="5">
        <v>45686</v>
      </c>
      <c r="F77" s="5">
        <v>45689</v>
      </c>
      <c r="G77" t="s">
        <v>43</v>
      </c>
      <c r="H77" t="s">
        <v>86</v>
      </c>
      <c r="I77" t="s">
        <v>25</v>
      </c>
      <c r="J77" t="s">
        <v>71</v>
      </c>
      <c r="K77" t="s">
        <v>55</v>
      </c>
      <c r="L77" s="6">
        <v>95849.07</v>
      </c>
      <c r="M77">
        <v>75988.08</v>
      </c>
      <c r="N77" t="s">
        <v>91</v>
      </c>
      <c r="O77">
        <v>3</v>
      </c>
      <c r="P77">
        <v>228</v>
      </c>
      <c r="Q77">
        <v>2</v>
      </c>
      <c r="R77">
        <v>114</v>
      </c>
      <c r="S77">
        <v>222.9</v>
      </c>
      <c r="T77" t="s">
        <v>37</v>
      </c>
      <c r="U77" s="7">
        <f t="shared" si="5"/>
        <v>15</v>
      </c>
      <c r="V77" s="7">
        <f t="shared" si="6"/>
        <v>3</v>
      </c>
      <c r="W77" s="6">
        <f t="shared" si="4"/>
        <v>19860.990000000005</v>
      </c>
      <c r="X77" t="str">
        <f t="shared" si="7"/>
        <v>Child</v>
      </c>
    </row>
    <row r="78" spans="1:24">
      <c r="A78" t="s">
        <v>313</v>
      </c>
      <c r="B78" t="s">
        <v>314</v>
      </c>
      <c r="C78" t="s">
        <v>40</v>
      </c>
      <c r="D78" s="5" t="s">
        <v>4237</v>
      </c>
      <c r="E78" s="5">
        <v>45417</v>
      </c>
      <c r="F78" s="5">
        <v>45435</v>
      </c>
      <c r="G78" t="s">
        <v>109</v>
      </c>
      <c r="H78" t="s">
        <v>134</v>
      </c>
      <c r="I78" t="s">
        <v>33</v>
      </c>
      <c r="J78" t="s">
        <v>64</v>
      </c>
      <c r="K78" t="s">
        <v>120</v>
      </c>
      <c r="L78" s="6">
        <v>163058.53</v>
      </c>
      <c r="M78">
        <v>126935.93</v>
      </c>
      <c r="N78" t="s">
        <v>4237</v>
      </c>
      <c r="O78">
        <v>18</v>
      </c>
      <c r="P78">
        <v>136</v>
      </c>
      <c r="Q78">
        <v>4</v>
      </c>
      <c r="R78">
        <v>149</v>
      </c>
      <c r="S78">
        <v>88.7</v>
      </c>
      <c r="T78" t="s">
        <v>4237</v>
      </c>
      <c r="U78" s="7" t="s">
        <v>4237</v>
      </c>
      <c r="V78" s="7">
        <f t="shared" si="6"/>
        <v>18</v>
      </c>
      <c r="W78" s="6">
        <f t="shared" si="4"/>
        <v>36122.600000000006</v>
      </c>
      <c r="X78" t="s">
        <v>4237</v>
      </c>
    </row>
    <row r="79" spans="1:24">
      <c r="A79" t="s">
        <v>317</v>
      </c>
      <c r="B79" t="s">
        <v>251</v>
      </c>
      <c r="C79" t="s">
        <v>40</v>
      </c>
      <c r="D79" s="5">
        <v>22805</v>
      </c>
      <c r="E79" s="5" t="s">
        <v>4237</v>
      </c>
      <c r="F79" s="5">
        <v>45712</v>
      </c>
      <c r="G79" t="s">
        <v>152</v>
      </c>
      <c r="H79" t="s">
        <v>113</v>
      </c>
      <c r="I79" t="s">
        <v>119</v>
      </c>
      <c r="J79" t="s">
        <v>71</v>
      </c>
      <c r="K79" t="s">
        <v>110</v>
      </c>
      <c r="L79" s="6">
        <v>191431.75</v>
      </c>
      <c r="M79">
        <v>180032.92</v>
      </c>
      <c r="N79" t="s">
        <v>192</v>
      </c>
      <c r="O79">
        <v>8</v>
      </c>
      <c r="P79">
        <v>121</v>
      </c>
      <c r="Q79">
        <v>4</v>
      </c>
      <c r="R79">
        <v>148</v>
      </c>
      <c r="S79">
        <v>102</v>
      </c>
      <c r="T79" t="s">
        <v>65</v>
      </c>
      <c r="U79" s="7" t="s">
        <v>4237</v>
      </c>
      <c r="V79" s="7" t="s">
        <v>4237</v>
      </c>
      <c r="W79" s="6">
        <f t="shared" si="4"/>
        <v>11398.829999999987</v>
      </c>
      <c r="X79" t="s">
        <v>4237</v>
      </c>
    </row>
    <row r="80" spans="1:24">
      <c r="A80" t="s">
        <v>320</v>
      </c>
      <c r="B80" t="s">
        <v>321</v>
      </c>
      <c r="C80" t="s">
        <v>133</v>
      </c>
      <c r="D80" s="5">
        <v>27846</v>
      </c>
      <c r="E80" s="5">
        <v>45400</v>
      </c>
      <c r="F80" s="5">
        <v>45403</v>
      </c>
      <c r="G80" t="s">
        <v>152</v>
      </c>
      <c r="H80" t="s">
        <v>86</v>
      </c>
      <c r="I80" t="s">
        <v>33</v>
      </c>
      <c r="J80" t="s">
        <v>46</v>
      </c>
      <c r="K80" t="s">
        <v>55</v>
      </c>
      <c r="L80" s="6">
        <v>17461.400000000001</v>
      </c>
      <c r="M80">
        <v>13358.36</v>
      </c>
      <c r="N80" t="s">
        <v>192</v>
      </c>
      <c r="O80">
        <v>3</v>
      </c>
      <c r="P80">
        <v>162</v>
      </c>
      <c r="Q80">
        <v>4</v>
      </c>
      <c r="R80">
        <v>174</v>
      </c>
      <c r="S80">
        <v>162.69999999999999</v>
      </c>
      <c r="T80" t="s">
        <v>37</v>
      </c>
      <c r="U80" s="7">
        <f t="shared" si="5"/>
        <v>48</v>
      </c>
      <c r="V80" s="7">
        <f t="shared" si="6"/>
        <v>3</v>
      </c>
      <c r="W80" s="6">
        <f t="shared" si="4"/>
        <v>4103.0400000000009</v>
      </c>
      <c r="X80" t="str">
        <f t="shared" si="7"/>
        <v>Middle Age</v>
      </c>
    </row>
    <row r="81" spans="1:24">
      <c r="A81" t="s">
        <v>323</v>
      </c>
      <c r="B81" t="s">
        <v>324</v>
      </c>
      <c r="C81" t="s">
        <v>40</v>
      </c>
      <c r="D81" s="5">
        <v>23852</v>
      </c>
      <c r="E81" s="5">
        <v>46005</v>
      </c>
      <c r="F81" s="5">
        <v>46014</v>
      </c>
      <c r="G81" t="s">
        <v>109</v>
      </c>
      <c r="H81" t="s">
        <v>78</v>
      </c>
      <c r="I81" t="s">
        <v>79</v>
      </c>
      <c r="J81" t="s">
        <v>26</v>
      </c>
      <c r="K81" t="s">
        <v>120</v>
      </c>
      <c r="L81" s="6">
        <v>94830.27</v>
      </c>
      <c r="M81">
        <v>75467.289999999994</v>
      </c>
      <c r="N81" t="s">
        <v>35</v>
      </c>
      <c r="O81">
        <v>9</v>
      </c>
      <c r="P81">
        <v>67</v>
      </c>
      <c r="Q81">
        <v>4</v>
      </c>
      <c r="R81">
        <v>128</v>
      </c>
      <c r="S81">
        <v>200</v>
      </c>
      <c r="T81" t="s">
        <v>37</v>
      </c>
      <c r="U81" s="7">
        <f t="shared" si="5"/>
        <v>60</v>
      </c>
      <c r="V81" s="7">
        <f t="shared" si="6"/>
        <v>9</v>
      </c>
      <c r="W81" s="6">
        <f t="shared" si="4"/>
        <v>19362.98000000001</v>
      </c>
      <c r="X81" t="str">
        <f t="shared" si="7"/>
        <v>Senior</v>
      </c>
    </row>
    <row r="82" spans="1:24">
      <c r="A82" t="s">
        <v>327</v>
      </c>
      <c r="B82" t="s">
        <v>328</v>
      </c>
      <c r="C82" t="s">
        <v>40</v>
      </c>
      <c r="D82" s="5">
        <v>39455</v>
      </c>
      <c r="E82" s="5">
        <v>45359</v>
      </c>
      <c r="F82" s="5">
        <v>45375</v>
      </c>
      <c r="G82" t="s">
        <v>161</v>
      </c>
      <c r="H82" t="s">
        <v>113</v>
      </c>
      <c r="I82" t="s">
        <v>96</v>
      </c>
      <c r="J82" t="s">
        <v>64</v>
      </c>
      <c r="K82" t="s">
        <v>55</v>
      </c>
      <c r="L82" s="6">
        <v>141968.69</v>
      </c>
      <c r="M82">
        <v>107016.9</v>
      </c>
      <c r="N82" t="s">
        <v>192</v>
      </c>
      <c r="O82">
        <v>16</v>
      </c>
      <c r="P82">
        <v>222</v>
      </c>
      <c r="Q82">
        <v>5</v>
      </c>
      <c r="R82">
        <v>92</v>
      </c>
      <c r="S82">
        <v>252.7</v>
      </c>
      <c r="T82" t="s">
        <v>37</v>
      </c>
      <c r="U82" s="7">
        <f t="shared" si="5"/>
        <v>16</v>
      </c>
      <c r="V82" s="7">
        <f t="shared" si="6"/>
        <v>16</v>
      </c>
      <c r="W82" s="6">
        <f t="shared" si="4"/>
        <v>34951.790000000008</v>
      </c>
      <c r="X82" t="str">
        <f t="shared" si="7"/>
        <v>Child</v>
      </c>
    </row>
    <row r="83" spans="1:24">
      <c r="A83" t="s">
        <v>331</v>
      </c>
      <c r="B83" t="s">
        <v>332</v>
      </c>
      <c r="C83" t="s">
        <v>40</v>
      </c>
      <c r="D83" s="5">
        <v>19404</v>
      </c>
      <c r="E83" s="5">
        <v>45402</v>
      </c>
      <c r="F83" s="5">
        <v>45405</v>
      </c>
      <c r="G83" t="s">
        <v>94</v>
      </c>
      <c r="H83" t="s">
        <v>118</v>
      </c>
      <c r="I83" t="s">
        <v>79</v>
      </c>
      <c r="J83" t="s">
        <v>46</v>
      </c>
      <c r="K83" t="s">
        <v>110</v>
      </c>
      <c r="L83" s="6">
        <v>9832.35</v>
      </c>
      <c r="M83">
        <v>9193.8799999999992</v>
      </c>
      <c r="N83" t="s">
        <v>192</v>
      </c>
      <c r="O83">
        <v>3</v>
      </c>
      <c r="P83">
        <v>120</v>
      </c>
      <c r="Q83">
        <v>4</v>
      </c>
      <c r="R83">
        <v>119</v>
      </c>
      <c r="S83">
        <v>137.6</v>
      </c>
      <c r="T83" t="s">
        <v>37</v>
      </c>
      <c r="U83" s="7">
        <f t="shared" si="5"/>
        <v>71</v>
      </c>
      <c r="V83" s="7">
        <f t="shared" si="6"/>
        <v>3</v>
      </c>
      <c r="W83" s="6">
        <f t="shared" si="4"/>
        <v>638.47000000000116</v>
      </c>
      <c r="X83" t="str">
        <f t="shared" si="7"/>
        <v>Senior</v>
      </c>
    </row>
    <row r="84" spans="1:24">
      <c r="A84" t="s">
        <v>333</v>
      </c>
      <c r="B84" t="s">
        <v>334</v>
      </c>
      <c r="C84" t="s">
        <v>40</v>
      </c>
      <c r="D84" s="5">
        <v>25723</v>
      </c>
      <c r="E84" s="5">
        <v>45114</v>
      </c>
      <c r="F84" s="5">
        <v>45115</v>
      </c>
      <c r="G84" t="s">
        <v>77</v>
      </c>
      <c r="H84" t="s">
        <v>63</v>
      </c>
      <c r="I84" t="s">
        <v>96</v>
      </c>
      <c r="J84" t="s">
        <v>26</v>
      </c>
      <c r="K84" t="s">
        <v>120</v>
      </c>
      <c r="L84" s="6">
        <v>123663.9</v>
      </c>
      <c r="M84">
        <v>29270.32</v>
      </c>
      <c r="N84" t="s">
        <v>73</v>
      </c>
      <c r="O84">
        <v>1</v>
      </c>
      <c r="P84">
        <v>147</v>
      </c>
      <c r="Q84">
        <v>4</v>
      </c>
      <c r="R84">
        <v>155</v>
      </c>
      <c r="S84">
        <v>147.5</v>
      </c>
      <c r="T84" t="s">
        <v>37</v>
      </c>
      <c r="U84" s="7">
        <f t="shared" si="5"/>
        <v>53</v>
      </c>
      <c r="V84" s="7">
        <f t="shared" si="6"/>
        <v>1</v>
      </c>
      <c r="W84" s="6">
        <f t="shared" si="4"/>
        <v>94393.579999999987</v>
      </c>
      <c r="X84" t="str">
        <f t="shared" si="7"/>
        <v>Middle Age</v>
      </c>
    </row>
    <row r="85" spans="1:24">
      <c r="A85" t="s">
        <v>4114</v>
      </c>
      <c r="B85" t="s">
        <v>244</v>
      </c>
      <c r="C85" t="s">
        <v>40</v>
      </c>
      <c r="D85" s="5">
        <v>22233</v>
      </c>
      <c r="E85" s="5">
        <v>45274</v>
      </c>
      <c r="F85" s="5">
        <v>45279</v>
      </c>
      <c r="G85" t="s">
        <v>109</v>
      </c>
      <c r="H85" t="s">
        <v>32</v>
      </c>
      <c r="I85" t="s">
        <v>53</v>
      </c>
      <c r="J85" t="s">
        <v>64</v>
      </c>
      <c r="K85" t="s">
        <v>27</v>
      </c>
      <c r="L85" s="6">
        <v>43883.83</v>
      </c>
      <c r="M85">
        <v>36262.559999999998</v>
      </c>
      <c r="N85" t="s">
        <v>4237</v>
      </c>
      <c r="O85">
        <v>5</v>
      </c>
      <c r="P85">
        <v>128</v>
      </c>
      <c r="Q85">
        <v>2</v>
      </c>
      <c r="R85">
        <v>136</v>
      </c>
      <c r="S85">
        <v>117.8</v>
      </c>
      <c r="T85" t="s">
        <v>47</v>
      </c>
      <c r="U85" s="7">
        <f t="shared" si="5"/>
        <v>63</v>
      </c>
      <c r="V85" s="7">
        <f t="shared" si="6"/>
        <v>5</v>
      </c>
      <c r="W85" s="6">
        <f t="shared" si="4"/>
        <v>7621.2700000000041</v>
      </c>
      <c r="X85" t="str">
        <f t="shared" si="7"/>
        <v>Senior</v>
      </c>
    </row>
    <row r="86" spans="1:24">
      <c r="A86" t="s">
        <v>337</v>
      </c>
      <c r="B86" t="s">
        <v>338</v>
      </c>
      <c r="C86" t="s">
        <v>133</v>
      </c>
      <c r="D86" s="5">
        <v>25864</v>
      </c>
      <c r="E86" s="5" t="s">
        <v>4237</v>
      </c>
      <c r="F86" s="5">
        <v>45354</v>
      </c>
      <c r="G86" t="s">
        <v>43</v>
      </c>
      <c r="H86" t="s">
        <v>63</v>
      </c>
      <c r="I86" t="s">
        <v>96</v>
      </c>
      <c r="J86" t="s">
        <v>34</v>
      </c>
      <c r="K86" t="s">
        <v>110</v>
      </c>
      <c r="L86" s="6">
        <v>242021.36</v>
      </c>
      <c r="M86">
        <v>193076.38</v>
      </c>
      <c r="N86" t="s">
        <v>91</v>
      </c>
      <c r="O86">
        <v>16</v>
      </c>
      <c r="P86">
        <v>76</v>
      </c>
      <c r="Q86">
        <v>4</v>
      </c>
      <c r="R86">
        <v>136</v>
      </c>
      <c r="S86">
        <v>91.6</v>
      </c>
      <c r="T86" t="s">
        <v>37</v>
      </c>
      <c r="U86" s="7" t="s">
        <v>4237</v>
      </c>
      <c r="V86" s="7" t="s">
        <v>4237</v>
      </c>
      <c r="W86" s="6">
        <f t="shared" si="4"/>
        <v>48944.979999999981</v>
      </c>
      <c r="X86" t="s">
        <v>4237</v>
      </c>
    </row>
    <row r="87" spans="1:24">
      <c r="A87" t="s">
        <v>341</v>
      </c>
      <c r="B87" t="s">
        <v>342</v>
      </c>
      <c r="C87" t="s">
        <v>40</v>
      </c>
      <c r="D87" s="5">
        <v>21499</v>
      </c>
      <c r="E87" s="5">
        <v>45422</v>
      </c>
      <c r="F87" s="5">
        <v>45431</v>
      </c>
      <c r="G87" t="s">
        <v>161</v>
      </c>
      <c r="H87" t="s">
        <v>134</v>
      </c>
      <c r="I87" t="s">
        <v>79</v>
      </c>
      <c r="J87" t="s">
        <v>26</v>
      </c>
      <c r="K87" t="s">
        <v>55</v>
      </c>
      <c r="L87" s="6">
        <v>113644.01</v>
      </c>
      <c r="M87">
        <v>86300.51</v>
      </c>
      <c r="N87" t="s">
        <v>192</v>
      </c>
      <c r="O87">
        <v>9</v>
      </c>
      <c r="P87">
        <v>107</v>
      </c>
      <c r="Q87">
        <v>4</v>
      </c>
      <c r="R87">
        <v>154</v>
      </c>
      <c r="S87">
        <v>245.5</v>
      </c>
      <c r="T87" t="s">
        <v>4237</v>
      </c>
      <c r="U87" s="7">
        <f t="shared" si="5"/>
        <v>65</v>
      </c>
      <c r="V87" s="7">
        <f t="shared" si="6"/>
        <v>9</v>
      </c>
      <c r="W87" s="6">
        <f t="shared" si="4"/>
        <v>27343.5</v>
      </c>
      <c r="X87" t="str">
        <f t="shared" si="7"/>
        <v>Senior</v>
      </c>
    </row>
    <row r="88" spans="1:24">
      <c r="A88" t="s">
        <v>344</v>
      </c>
      <c r="B88" t="s">
        <v>345</v>
      </c>
      <c r="C88" t="s">
        <v>133</v>
      </c>
      <c r="D88" s="5">
        <v>33563</v>
      </c>
      <c r="E88" s="5">
        <v>45745</v>
      </c>
      <c r="F88" s="5">
        <v>45756</v>
      </c>
      <c r="G88" t="s">
        <v>43</v>
      </c>
      <c r="H88" t="s">
        <v>52</v>
      </c>
      <c r="I88" t="s">
        <v>25</v>
      </c>
      <c r="J88" t="s">
        <v>26</v>
      </c>
      <c r="K88" t="s">
        <v>120</v>
      </c>
      <c r="L88" s="6">
        <v>66537.75</v>
      </c>
      <c r="M88">
        <v>55336.14</v>
      </c>
      <c r="N88" t="s">
        <v>192</v>
      </c>
      <c r="O88">
        <v>11</v>
      </c>
      <c r="P88">
        <v>147</v>
      </c>
      <c r="Q88">
        <v>4</v>
      </c>
      <c r="R88">
        <v>147</v>
      </c>
      <c r="S88">
        <v>141.1</v>
      </c>
      <c r="T88" t="s">
        <v>37</v>
      </c>
      <c r="U88" s="7">
        <f t="shared" si="5"/>
        <v>33</v>
      </c>
      <c r="V88" s="7">
        <f t="shared" si="6"/>
        <v>11</v>
      </c>
      <c r="W88" s="6">
        <f t="shared" si="4"/>
        <v>11201.61</v>
      </c>
      <c r="X88" t="str">
        <f t="shared" si="7"/>
        <v>Adult</v>
      </c>
    </row>
    <row r="89" spans="1:24">
      <c r="A89" t="s">
        <v>349</v>
      </c>
      <c r="B89" t="s">
        <v>350</v>
      </c>
      <c r="C89" t="s">
        <v>133</v>
      </c>
      <c r="D89" s="5">
        <v>26515</v>
      </c>
      <c r="E89" s="5">
        <v>45824</v>
      </c>
      <c r="F89" s="5">
        <v>45839</v>
      </c>
      <c r="G89" t="s">
        <v>109</v>
      </c>
      <c r="H89" t="s">
        <v>24</v>
      </c>
      <c r="I89" t="s">
        <v>33</v>
      </c>
      <c r="J89" t="s">
        <v>179</v>
      </c>
      <c r="K89" t="s">
        <v>120</v>
      </c>
      <c r="L89" s="6">
        <v>212672.05</v>
      </c>
      <c r="M89">
        <v>132470.76</v>
      </c>
      <c r="N89" t="s">
        <v>192</v>
      </c>
      <c r="O89">
        <v>15</v>
      </c>
      <c r="P89">
        <v>209</v>
      </c>
      <c r="Q89">
        <v>3</v>
      </c>
      <c r="R89">
        <v>184</v>
      </c>
      <c r="S89">
        <v>163.5</v>
      </c>
      <c r="T89" t="s">
        <v>47</v>
      </c>
      <c r="U89" s="7">
        <f t="shared" si="5"/>
        <v>52</v>
      </c>
      <c r="V89" s="7">
        <f t="shared" si="6"/>
        <v>15</v>
      </c>
      <c r="W89" s="6">
        <f t="shared" si="4"/>
        <v>80201.289999999979</v>
      </c>
      <c r="X89" t="str">
        <f t="shared" si="7"/>
        <v>Middle Age</v>
      </c>
    </row>
    <row r="90" spans="1:24">
      <c r="A90" t="s">
        <v>353</v>
      </c>
      <c r="B90" t="s">
        <v>354</v>
      </c>
      <c r="C90" t="s">
        <v>40</v>
      </c>
      <c r="D90" s="5">
        <v>28307</v>
      </c>
      <c r="E90" s="5">
        <v>45366</v>
      </c>
      <c r="F90" s="5">
        <v>45373</v>
      </c>
      <c r="G90" t="s">
        <v>161</v>
      </c>
      <c r="H90" t="s">
        <v>78</v>
      </c>
      <c r="I90" t="s">
        <v>33</v>
      </c>
      <c r="J90" t="s">
        <v>64</v>
      </c>
      <c r="K90" t="s">
        <v>120</v>
      </c>
      <c r="L90" s="6">
        <v>27683.63</v>
      </c>
      <c r="M90">
        <v>18838.13</v>
      </c>
      <c r="N90" t="s">
        <v>4237</v>
      </c>
      <c r="O90">
        <v>7</v>
      </c>
      <c r="P90">
        <v>88</v>
      </c>
      <c r="Q90">
        <v>4</v>
      </c>
      <c r="R90">
        <v>148</v>
      </c>
      <c r="S90">
        <v>91.7</v>
      </c>
      <c r="T90" t="s">
        <v>4237</v>
      </c>
      <c r="U90" s="7">
        <f t="shared" si="5"/>
        <v>46</v>
      </c>
      <c r="V90" s="7">
        <f t="shared" si="6"/>
        <v>7</v>
      </c>
      <c r="W90" s="6">
        <f t="shared" si="4"/>
        <v>8845.5</v>
      </c>
      <c r="X90" t="str">
        <f t="shared" si="7"/>
        <v>Middle Age</v>
      </c>
    </row>
    <row r="91" spans="1:24">
      <c r="A91" t="s">
        <v>4115</v>
      </c>
      <c r="B91" t="s">
        <v>356</v>
      </c>
      <c r="C91" t="s">
        <v>133</v>
      </c>
      <c r="D91" s="5">
        <v>34039</v>
      </c>
      <c r="E91" s="5">
        <v>45168</v>
      </c>
      <c r="F91" s="5">
        <v>45176</v>
      </c>
      <c r="G91" t="s">
        <v>62</v>
      </c>
      <c r="H91" t="s">
        <v>63</v>
      </c>
      <c r="I91" t="s">
        <v>53</v>
      </c>
      <c r="J91" t="s">
        <v>64</v>
      </c>
      <c r="K91" t="s">
        <v>110</v>
      </c>
      <c r="L91" s="6">
        <v>98644.66</v>
      </c>
      <c r="M91">
        <v>65818.100000000006</v>
      </c>
      <c r="N91" t="s">
        <v>192</v>
      </c>
      <c r="O91">
        <v>8</v>
      </c>
      <c r="P91">
        <v>121</v>
      </c>
      <c r="Q91">
        <v>4</v>
      </c>
      <c r="R91">
        <v>113</v>
      </c>
      <c r="S91">
        <v>162.5</v>
      </c>
      <c r="T91" t="s">
        <v>37</v>
      </c>
      <c r="U91" s="7">
        <f t="shared" si="5"/>
        <v>30</v>
      </c>
      <c r="V91" s="7">
        <f t="shared" si="6"/>
        <v>8</v>
      </c>
      <c r="W91" s="6">
        <f t="shared" si="4"/>
        <v>32826.559999999998</v>
      </c>
      <c r="X91" t="str">
        <f t="shared" si="7"/>
        <v>Adult</v>
      </c>
    </row>
    <row r="92" spans="1:24">
      <c r="A92" t="s">
        <v>359</v>
      </c>
      <c r="B92" t="s">
        <v>464</v>
      </c>
      <c r="C92" t="s">
        <v>40</v>
      </c>
      <c r="D92" s="5">
        <v>28080</v>
      </c>
      <c r="E92" s="5">
        <v>45778</v>
      </c>
      <c r="F92" s="5">
        <v>45793</v>
      </c>
      <c r="G92" t="s">
        <v>161</v>
      </c>
      <c r="H92" t="s">
        <v>118</v>
      </c>
      <c r="I92" t="s">
        <v>25</v>
      </c>
      <c r="J92" t="s">
        <v>80</v>
      </c>
      <c r="K92" t="s">
        <v>120</v>
      </c>
      <c r="L92" s="6">
        <v>74792.25</v>
      </c>
      <c r="M92">
        <v>57399.54</v>
      </c>
      <c r="N92" t="s">
        <v>35</v>
      </c>
      <c r="O92">
        <v>15</v>
      </c>
      <c r="P92">
        <v>78</v>
      </c>
      <c r="Q92">
        <v>3</v>
      </c>
      <c r="R92">
        <v>189</v>
      </c>
      <c r="S92">
        <v>156.9</v>
      </c>
      <c r="T92" t="s">
        <v>4237</v>
      </c>
      <c r="U92" s="7">
        <f t="shared" si="5"/>
        <v>48</v>
      </c>
      <c r="V92" s="7">
        <f t="shared" si="6"/>
        <v>15</v>
      </c>
      <c r="W92" s="6">
        <f t="shared" si="4"/>
        <v>17392.71</v>
      </c>
      <c r="X92" t="str">
        <f t="shared" si="7"/>
        <v>Middle Age</v>
      </c>
    </row>
    <row r="93" spans="1:24">
      <c r="A93" t="s">
        <v>362</v>
      </c>
      <c r="B93" t="s">
        <v>363</v>
      </c>
      <c r="C93" t="s">
        <v>133</v>
      </c>
      <c r="D93" s="5" t="s">
        <v>4237</v>
      </c>
      <c r="E93" s="5">
        <v>45465</v>
      </c>
      <c r="F93" s="5">
        <v>45477</v>
      </c>
      <c r="G93" t="s">
        <v>161</v>
      </c>
      <c r="H93" t="s">
        <v>32</v>
      </c>
      <c r="I93" t="s">
        <v>33</v>
      </c>
      <c r="J93" t="s">
        <v>80</v>
      </c>
      <c r="K93" t="s">
        <v>55</v>
      </c>
      <c r="L93" s="6">
        <v>54444.85</v>
      </c>
      <c r="M93">
        <v>40557.089999999997</v>
      </c>
      <c r="N93" t="s">
        <v>91</v>
      </c>
      <c r="O93">
        <v>12</v>
      </c>
      <c r="P93">
        <v>94</v>
      </c>
      <c r="Q93">
        <v>4</v>
      </c>
      <c r="R93">
        <v>111</v>
      </c>
      <c r="S93">
        <v>187.1</v>
      </c>
      <c r="T93" t="s">
        <v>47</v>
      </c>
      <c r="U93" s="7" t="s">
        <v>4237</v>
      </c>
      <c r="V93" s="7">
        <f t="shared" si="6"/>
        <v>12</v>
      </c>
      <c r="W93" s="6">
        <f t="shared" si="4"/>
        <v>13887.760000000002</v>
      </c>
      <c r="X93" t="s">
        <v>4237</v>
      </c>
    </row>
    <row r="94" spans="1:24">
      <c r="A94" t="s">
        <v>367</v>
      </c>
      <c r="B94" t="s">
        <v>368</v>
      </c>
      <c r="C94" t="s">
        <v>133</v>
      </c>
      <c r="D94" s="5">
        <v>39456</v>
      </c>
      <c r="E94" s="5">
        <v>45186</v>
      </c>
      <c r="F94" s="5">
        <v>45191</v>
      </c>
      <c r="G94" t="s">
        <v>161</v>
      </c>
      <c r="H94" t="s">
        <v>63</v>
      </c>
      <c r="I94" t="s">
        <v>45</v>
      </c>
      <c r="J94" t="s">
        <v>34</v>
      </c>
      <c r="K94" t="s">
        <v>55</v>
      </c>
      <c r="L94" s="6">
        <v>123641.03</v>
      </c>
      <c r="M94">
        <v>99005.37</v>
      </c>
      <c r="N94" t="s">
        <v>73</v>
      </c>
      <c r="O94">
        <v>5</v>
      </c>
      <c r="P94">
        <v>121</v>
      </c>
      <c r="Q94">
        <v>4</v>
      </c>
      <c r="R94">
        <v>138</v>
      </c>
      <c r="S94">
        <v>155.9</v>
      </c>
      <c r="T94" t="s">
        <v>4237</v>
      </c>
      <c r="U94" s="7">
        <f t="shared" si="5"/>
        <v>15</v>
      </c>
      <c r="V94" s="7">
        <f t="shared" si="6"/>
        <v>5</v>
      </c>
      <c r="W94" s="6">
        <f t="shared" si="4"/>
        <v>24635.660000000003</v>
      </c>
      <c r="X94" t="str">
        <f t="shared" si="7"/>
        <v>Child</v>
      </c>
    </row>
    <row r="95" spans="1:24">
      <c r="A95" t="s">
        <v>372</v>
      </c>
      <c r="B95" t="s">
        <v>373</v>
      </c>
      <c r="C95" t="s">
        <v>40</v>
      </c>
      <c r="D95" s="5">
        <v>38043</v>
      </c>
      <c r="E95" s="5">
        <v>46021</v>
      </c>
      <c r="F95" s="5">
        <v>46034</v>
      </c>
      <c r="G95" t="s">
        <v>43</v>
      </c>
      <c r="H95" t="s">
        <v>153</v>
      </c>
      <c r="I95" t="s">
        <v>45</v>
      </c>
      <c r="J95" t="s">
        <v>34</v>
      </c>
      <c r="K95" t="s">
        <v>55</v>
      </c>
      <c r="L95" s="6">
        <v>68962.87</v>
      </c>
      <c r="M95">
        <v>55261.78</v>
      </c>
      <c r="N95" t="s">
        <v>35</v>
      </c>
      <c r="O95">
        <v>13</v>
      </c>
      <c r="P95">
        <v>121</v>
      </c>
      <c r="Q95">
        <v>3</v>
      </c>
      <c r="R95">
        <v>162</v>
      </c>
      <c r="S95">
        <v>232</v>
      </c>
      <c r="T95" t="s">
        <v>65</v>
      </c>
      <c r="U95" s="7">
        <f t="shared" si="5"/>
        <v>21</v>
      </c>
      <c r="V95" s="7">
        <f t="shared" si="6"/>
        <v>13</v>
      </c>
      <c r="W95" s="6">
        <f t="shared" si="4"/>
        <v>13701.089999999997</v>
      </c>
      <c r="X95" t="str">
        <f t="shared" si="7"/>
        <v>Adult</v>
      </c>
    </row>
    <row r="96" spans="1:24">
      <c r="A96" t="s">
        <v>374</v>
      </c>
      <c r="B96" t="s">
        <v>199</v>
      </c>
      <c r="C96" t="s">
        <v>40</v>
      </c>
      <c r="D96" s="5">
        <v>22039</v>
      </c>
      <c r="E96" s="5">
        <v>45665</v>
      </c>
      <c r="F96" s="5">
        <v>45674</v>
      </c>
      <c r="G96" t="s">
        <v>152</v>
      </c>
      <c r="H96" t="s">
        <v>113</v>
      </c>
      <c r="I96" t="s">
        <v>53</v>
      </c>
      <c r="J96" t="s">
        <v>179</v>
      </c>
      <c r="K96" t="s">
        <v>55</v>
      </c>
      <c r="L96" s="6">
        <v>100594.54</v>
      </c>
      <c r="M96">
        <v>98646.34</v>
      </c>
      <c r="N96" t="s">
        <v>73</v>
      </c>
      <c r="O96">
        <v>9</v>
      </c>
      <c r="P96">
        <v>198</v>
      </c>
      <c r="Q96">
        <v>4</v>
      </c>
      <c r="R96">
        <v>144</v>
      </c>
      <c r="S96">
        <v>194.5</v>
      </c>
      <c r="T96" t="s">
        <v>4237</v>
      </c>
      <c r="U96" s="7">
        <f t="shared" si="5"/>
        <v>64</v>
      </c>
      <c r="V96" s="7">
        <f t="shared" si="6"/>
        <v>9</v>
      </c>
      <c r="W96" s="6">
        <f t="shared" si="4"/>
        <v>1948.1999999999971</v>
      </c>
      <c r="X96" t="str">
        <f t="shared" si="7"/>
        <v>Senior</v>
      </c>
    </row>
    <row r="97" spans="1:24">
      <c r="A97" t="s">
        <v>377</v>
      </c>
      <c r="B97" t="s">
        <v>378</v>
      </c>
      <c r="C97" t="s">
        <v>133</v>
      </c>
      <c r="D97" s="5">
        <v>23561</v>
      </c>
      <c r="E97" s="5">
        <v>45136</v>
      </c>
      <c r="F97" s="5">
        <v>45140</v>
      </c>
      <c r="G97" t="s">
        <v>109</v>
      </c>
      <c r="H97" t="s">
        <v>124</v>
      </c>
      <c r="I97" t="s">
        <v>79</v>
      </c>
      <c r="J97" t="s">
        <v>97</v>
      </c>
      <c r="K97" t="s">
        <v>27</v>
      </c>
      <c r="L97" s="6">
        <v>161290.1</v>
      </c>
      <c r="M97">
        <v>101843.01</v>
      </c>
      <c r="N97" t="s">
        <v>73</v>
      </c>
      <c r="O97">
        <v>4</v>
      </c>
      <c r="P97">
        <v>140</v>
      </c>
      <c r="Q97">
        <v>1</v>
      </c>
      <c r="R97">
        <v>168</v>
      </c>
      <c r="S97">
        <v>193.5</v>
      </c>
      <c r="T97" t="s">
        <v>37</v>
      </c>
      <c r="U97" s="7">
        <f t="shared" si="5"/>
        <v>59</v>
      </c>
      <c r="V97" s="7">
        <f t="shared" si="6"/>
        <v>4</v>
      </c>
      <c r="W97" s="6">
        <f t="shared" si="4"/>
        <v>59447.090000000011</v>
      </c>
      <c r="X97" t="str">
        <f t="shared" si="7"/>
        <v>Middle Age</v>
      </c>
    </row>
    <row r="98" spans="1:24">
      <c r="A98" t="s">
        <v>381</v>
      </c>
      <c r="B98" t="s">
        <v>253</v>
      </c>
      <c r="C98" t="s">
        <v>133</v>
      </c>
      <c r="D98" s="5">
        <v>25635</v>
      </c>
      <c r="E98" s="5">
        <v>45494</v>
      </c>
      <c r="F98" s="5">
        <v>45497</v>
      </c>
      <c r="G98" t="s">
        <v>117</v>
      </c>
      <c r="H98" t="s">
        <v>118</v>
      </c>
      <c r="I98" t="s">
        <v>96</v>
      </c>
      <c r="J98" t="s">
        <v>179</v>
      </c>
      <c r="K98" t="s">
        <v>161</v>
      </c>
      <c r="L98" s="6">
        <v>212353.3</v>
      </c>
      <c r="M98">
        <v>173776.34</v>
      </c>
      <c r="N98" t="s">
        <v>192</v>
      </c>
      <c r="O98">
        <v>3</v>
      </c>
      <c r="P98">
        <v>57</v>
      </c>
      <c r="Q98">
        <v>4</v>
      </c>
      <c r="R98">
        <v>167</v>
      </c>
      <c r="S98">
        <v>166.8</v>
      </c>
      <c r="T98" t="s">
        <v>4237</v>
      </c>
      <c r="U98" s="7">
        <f t="shared" si="5"/>
        <v>54</v>
      </c>
      <c r="V98" s="7">
        <f t="shared" si="6"/>
        <v>3</v>
      </c>
      <c r="W98" s="6">
        <f t="shared" si="4"/>
        <v>38576.959999999992</v>
      </c>
      <c r="X98" t="str">
        <f t="shared" si="7"/>
        <v>Middle Age</v>
      </c>
    </row>
    <row r="99" spans="1:24">
      <c r="A99" t="s">
        <v>4116</v>
      </c>
      <c r="B99" t="s">
        <v>383</v>
      </c>
      <c r="C99" t="s">
        <v>133</v>
      </c>
      <c r="D99" s="5">
        <v>21394</v>
      </c>
      <c r="E99" s="5">
        <v>45788</v>
      </c>
      <c r="F99" s="5">
        <v>45800</v>
      </c>
      <c r="G99" t="s">
        <v>62</v>
      </c>
      <c r="H99" t="s">
        <v>78</v>
      </c>
      <c r="I99" t="s">
        <v>33</v>
      </c>
      <c r="J99" t="s">
        <v>26</v>
      </c>
      <c r="K99" t="s">
        <v>55</v>
      </c>
      <c r="L99" s="6">
        <v>6630.63</v>
      </c>
      <c r="M99">
        <v>4668.88</v>
      </c>
      <c r="N99" t="s">
        <v>56</v>
      </c>
      <c r="O99">
        <v>12</v>
      </c>
      <c r="P99">
        <v>60</v>
      </c>
      <c r="Q99">
        <v>1</v>
      </c>
      <c r="R99">
        <v>97</v>
      </c>
      <c r="S99">
        <v>250.2</v>
      </c>
      <c r="T99" t="s">
        <v>37</v>
      </c>
      <c r="U99" s="7">
        <f t="shared" si="5"/>
        <v>66</v>
      </c>
      <c r="V99" s="7">
        <f t="shared" si="6"/>
        <v>12</v>
      </c>
      <c r="W99" s="6">
        <f t="shared" si="4"/>
        <v>1961.75</v>
      </c>
      <c r="X99" t="str">
        <f t="shared" si="7"/>
        <v>Senior</v>
      </c>
    </row>
    <row r="100" spans="1:24">
      <c r="A100" t="s">
        <v>384</v>
      </c>
      <c r="B100" t="s">
        <v>385</v>
      </c>
      <c r="C100" t="s">
        <v>40</v>
      </c>
      <c r="D100" s="5">
        <v>27688</v>
      </c>
      <c r="E100" s="5">
        <v>45062</v>
      </c>
      <c r="F100" s="5">
        <v>45072</v>
      </c>
      <c r="G100" t="s">
        <v>161</v>
      </c>
      <c r="H100" t="s">
        <v>52</v>
      </c>
      <c r="I100" t="s">
        <v>45</v>
      </c>
      <c r="J100" t="s">
        <v>64</v>
      </c>
      <c r="K100" t="s">
        <v>120</v>
      </c>
      <c r="L100" s="6">
        <v>63008.74</v>
      </c>
      <c r="M100">
        <v>43983.64</v>
      </c>
      <c r="N100" t="s">
        <v>192</v>
      </c>
      <c r="O100">
        <v>10</v>
      </c>
      <c r="P100">
        <v>161</v>
      </c>
      <c r="Q100">
        <v>1</v>
      </c>
      <c r="R100">
        <v>129</v>
      </c>
      <c r="S100">
        <v>196.6</v>
      </c>
      <c r="T100" t="s">
        <v>4237</v>
      </c>
      <c r="U100" s="7">
        <f t="shared" si="5"/>
        <v>47</v>
      </c>
      <c r="V100" s="7">
        <f t="shared" si="6"/>
        <v>10</v>
      </c>
      <c r="W100" s="6">
        <f t="shared" si="4"/>
        <v>19025.099999999999</v>
      </c>
      <c r="X100" t="str">
        <f t="shared" si="7"/>
        <v>Middle Age</v>
      </c>
    </row>
    <row r="101" spans="1:24">
      <c r="A101" t="s">
        <v>387</v>
      </c>
      <c r="B101" t="s">
        <v>39</v>
      </c>
      <c r="C101" t="s">
        <v>133</v>
      </c>
      <c r="D101" s="5">
        <v>36171</v>
      </c>
      <c r="E101" s="5">
        <v>45806</v>
      </c>
      <c r="F101" s="5">
        <v>45815</v>
      </c>
      <c r="G101" t="s">
        <v>109</v>
      </c>
      <c r="H101" t="s">
        <v>4236</v>
      </c>
      <c r="I101" t="s">
        <v>33</v>
      </c>
      <c r="J101" t="s">
        <v>34</v>
      </c>
      <c r="K101" t="s">
        <v>27</v>
      </c>
      <c r="L101" s="6">
        <v>115161.45</v>
      </c>
      <c r="M101">
        <v>82528.350000000006</v>
      </c>
      <c r="N101" t="s">
        <v>73</v>
      </c>
      <c r="O101">
        <v>9</v>
      </c>
      <c r="P101">
        <v>224</v>
      </c>
      <c r="Q101">
        <v>3</v>
      </c>
      <c r="R101">
        <v>137</v>
      </c>
      <c r="S101">
        <v>99.9</v>
      </c>
      <c r="T101" t="s">
        <v>37</v>
      </c>
      <c r="U101" s="7">
        <f t="shared" si="5"/>
        <v>26</v>
      </c>
      <c r="V101" s="7">
        <f t="shared" si="6"/>
        <v>9</v>
      </c>
      <c r="W101" s="6">
        <f t="shared" si="4"/>
        <v>32633.099999999991</v>
      </c>
      <c r="X101" t="str">
        <f t="shared" si="7"/>
        <v>Adult</v>
      </c>
    </row>
    <row r="102" spans="1:24">
      <c r="A102" t="s">
        <v>389</v>
      </c>
      <c r="B102" t="s">
        <v>390</v>
      </c>
      <c r="C102" t="s">
        <v>40</v>
      </c>
      <c r="D102" s="5">
        <v>23536</v>
      </c>
      <c r="E102" s="5">
        <v>45779</v>
      </c>
      <c r="F102" s="5">
        <v>45790</v>
      </c>
      <c r="G102" t="s">
        <v>161</v>
      </c>
      <c r="H102" t="s">
        <v>118</v>
      </c>
      <c r="I102" t="s">
        <v>119</v>
      </c>
      <c r="J102" t="s">
        <v>26</v>
      </c>
      <c r="K102" t="s">
        <v>161</v>
      </c>
      <c r="L102" s="6">
        <v>126755.13</v>
      </c>
      <c r="M102">
        <v>95548.44</v>
      </c>
      <c r="N102" t="s">
        <v>35</v>
      </c>
      <c r="O102">
        <v>11</v>
      </c>
      <c r="P102">
        <v>210</v>
      </c>
      <c r="Q102">
        <v>4</v>
      </c>
      <c r="R102">
        <v>95</v>
      </c>
      <c r="S102">
        <v>251.3</v>
      </c>
      <c r="T102" t="s">
        <v>37</v>
      </c>
      <c r="U102" s="7">
        <f t="shared" si="5"/>
        <v>60</v>
      </c>
      <c r="V102" s="7">
        <f t="shared" si="6"/>
        <v>11</v>
      </c>
      <c r="W102" s="6">
        <f t="shared" si="4"/>
        <v>31206.690000000002</v>
      </c>
      <c r="X102" t="str">
        <f t="shared" si="7"/>
        <v>Senior</v>
      </c>
    </row>
    <row r="103" spans="1:24">
      <c r="A103" t="s">
        <v>391</v>
      </c>
      <c r="B103" t="s">
        <v>392</v>
      </c>
      <c r="C103" t="s">
        <v>133</v>
      </c>
      <c r="D103" s="5">
        <v>36274</v>
      </c>
      <c r="E103" s="5">
        <v>45429</v>
      </c>
      <c r="F103" s="5" t="s">
        <v>4237</v>
      </c>
      <c r="G103" t="s">
        <v>43</v>
      </c>
      <c r="H103" t="s">
        <v>24</v>
      </c>
      <c r="I103" t="s">
        <v>45</v>
      </c>
      <c r="J103" t="s">
        <v>64</v>
      </c>
      <c r="K103" t="s">
        <v>120</v>
      </c>
      <c r="L103" s="6">
        <v>88239.87</v>
      </c>
      <c r="M103">
        <v>72240.72</v>
      </c>
      <c r="N103" t="s">
        <v>56</v>
      </c>
      <c r="O103">
        <v>5</v>
      </c>
      <c r="P103">
        <v>90</v>
      </c>
      <c r="Q103">
        <v>1</v>
      </c>
      <c r="R103">
        <v>187</v>
      </c>
      <c r="S103">
        <v>194.9</v>
      </c>
      <c r="T103" t="s">
        <v>4237</v>
      </c>
      <c r="U103" s="7">
        <f t="shared" si="5"/>
        <v>25</v>
      </c>
      <c r="V103" s="7" t="s">
        <v>4237</v>
      </c>
      <c r="W103" s="6">
        <f t="shared" si="4"/>
        <v>15999.149999999994</v>
      </c>
      <c r="X103" t="str">
        <f t="shared" si="7"/>
        <v>Adult</v>
      </c>
    </row>
    <row r="104" spans="1:24">
      <c r="A104" t="s">
        <v>393</v>
      </c>
      <c r="B104" t="s">
        <v>394</v>
      </c>
      <c r="C104" t="s">
        <v>133</v>
      </c>
      <c r="D104" s="5">
        <v>29192</v>
      </c>
      <c r="E104" s="5">
        <v>45122</v>
      </c>
      <c r="F104" s="5">
        <v>45139</v>
      </c>
      <c r="G104" t="s">
        <v>161</v>
      </c>
      <c r="H104" t="s">
        <v>134</v>
      </c>
      <c r="I104" t="s">
        <v>33</v>
      </c>
      <c r="J104" t="s">
        <v>64</v>
      </c>
      <c r="K104" t="s">
        <v>120</v>
      </c>
      <c r="L104" s="6">
        <v>143035.63</v>
      </c>
      <c r="M104">
        <v>122123.32</v>
      </c>
      <c r="N104" t="s">
        <v>192</v>
      </c>
      <c r="O104">
        <v>17</v>
      </c>
      <c r="P104">
        <v>38</v>
      </c>
      <c r="Q104">
        <v>4</v>
      </c>
      <c r="R104">
        <v>127</v>
      </c>
      <c r="S104">
        <v>119.6</v>
      </c>
      <c r="T104" t="s">
        <v>65</v>
      </c>
      <c r="U104" s="7">
        <f t="shared" si="5"/>
        <v>43</v>
      </c>
      <c r="V104" s="7">
        <f t="shared" si="6"/>
        <v>17</v>
      </c>
      <c r="W104" s="6">
        <f t="shared" si="4"/>
        <v>20912.309999999998</v>
      </c>
      <c r="X104" t="str">
        <f t="shared" si="7"/>
        <v>Middle Age</v>
      </c>
    </row>
    <row r="105" spans="1:24">
      <c r="A105" t="s">
        <v>395</v>
      </c>
      <c r="B105" t="s">
        <v>363</v>
      </c>
      <c r="C105" t="s">
        <v>133</v>
      </c>
      <c r="D105" s="5">
        <v>26404</v>
      </c>
      <c r="E105" s="5">
        <v>45558</v>
      </c>
      <c r="F105" s="5">
        <v>45573</v>
      </c>
      <c r="G105" t="s">
        <v>161</v>
      </c>
      <c r="H105" t="s">
        <v>52</v>
      </c>
      <c r="I105" t="s">
        <v>53</v>
      </c>
      <c r="J105" t="s">
        <v>71</v>
      </c>
      <c r="K105" t="s">
        <v>55</v>
      </c>
      <c r="L105" s="6">
        <v>207030.71</v>
      </c>
      <c r="M105">
        <v>155033.32</v>
      </c>
      <c r="N105" t="s">
        <v>73</v>
      </c>
      <c r="O105">
        <v>15</v>
      </c>
      <c r="P105">
        <v>60</v>
      </c>
      <c r="Q105">
        <v>5</v>
      </c>
      <c r="R105">
        <v>108</v>
      </c>
      <c r="S105">
        <v>87.3</v>
      </c>
      <c r="T105" t="s">
        <v>47</v>
      </c>
      <c r="U105" s="7">
        <f t="shared" si="5"/>
        <v>52</v>
      </c>
      <c r="V105" s="7">
        <f t="shared" si="6"/>
        <v>15</v>
      </c>
      <c r="W105" s="6">
        <f t="shared" si="4"/>
        <v>51997.389999999985</v>
      </c>
      <c r="X105" t="str">
        <f t="shared" si="7"/>
        <v>Middle Age</v>
      </c>
    </row>
    <row r="106" spans="1:24">
      <c r="A106" t="s">
        <v>398</v>
      </c>
      <c r="B106" t="s">
        <v>728</v>
      </c>
      <c r="C106" t="s">
        <v>40</v>
      </c>
      <c r="D106" s="5">
        <v>20822</v>
      </c>
      <c r="E106" s="5">
        <v>45382</v>
      </c>
      <c r="F106" s="5">
        <v>45387</v>
      </c>
      <c r="G106" t="s">
        <v>43</v>
      </c>
      <c r="H106" t="s">
        <v>63</v>
      </c>
      <c r="I106" t="s">
        <v>33</v>
      </c>
      <c r="J106" t="s">
        <v>64</v>
      </c>
      <c r="K106" t="s">
        <v>120</v>
      </c>
      <c r="L106" s="6">
        <v>147564.39000000001</v>
      </c>
      <c r="M106">
        <v>104260.15</v>
      </c>
      <c r="N106" t="s">
        <v>73</v>
      </c>
      <c r="O106">
        <v>5</v>
      </c>
      <c r="P106">
        <v>21</v>
      </c>
      <c r="Q106">
        <v>4</v>
      </c>
      <c r="R106">
        <v>172</v>
      </c>
      <c r="S106">
        <v>154.30000000000001</v>
      </c>
      <c r="T106" t="s">
        <v>47</v>
      </c>
      <c r="U106" s="7">
        <f t="shared" si="5"/>
        <v>67</v>
      </c>
      <c r="V106" s="7">
        <f t="shared" si="6"/>
        <v>5</v>
      </c>
      <c r="W106" s="6">
        <f t="shared" si="4"/>
        <v>43304.24000000002</v>
      </c>
      <c r="X106" t="str">
        <f t="shared" si="7"/>
        <v>Senior</v>
      </c>
    </row>
    <row r="107" spans="1:24">
      <c r="A107" t="s">
        <v>402</v>
      </c>
      <c r="B107" t="s">
        <v>403</v>
      </c>
      <c r="C107" t="s">
        <v>40</v>
      </c>
      <c r="D107" s="5">
        <v>24607</v>
      </c>
      <c r="E107" s="5">
        <v>45231</v>
      </c>
      <c r="F107" s="5">
        <v>45233</v>
      </c>
      <c r="G107" t="s">
        <v>117</v>
      </c>
      <c r="H107" t="s">
        <v>86</v>
      </c>
      <c r="I107" t="s">
        <v>96</v>
      </c>
      <c r="J107" t="s">
        <v>34</v>
      </c>
      <c r="K107" t="s">
        <v>55</v>
      </c>
      <c r="L107" s="6">
        <v>104468.07</v>
      </c>
      <c r="M107">
        <v>79326.61</v>
      </c>
      <c r="N107" t="s">
        <v>91</v>
      </c>
      <c r="O107">
        <v>2</v>
      </c>
      <c r="P107">
        <v>27</v>
      </c>
      <c r="Q107">
        <v>5</v>
      </c>
      <c r="R107">
        <v>139</v>
      </c>
      <c r="S107">
        <v>96.1</v>
      </c>
      <c r="T107" t="s">
        <v>47</v>
      </c>
      <c r="U107" s="7">
        <f t="shared" si="5"/>
        <v>56</v>
      </c>
      <c r="V107" s="7">
        <f t="shared" si="6"/>
        <v>2</v>
      </c>
      <c r="W107" s="6">
        <f t="shared" si="4"/>
        <v>25141.460000000006</v>
      </c>
      <c r="X107" t="str">
        <f t="shared" si="7"/>
        <v>Middle Age</v>
      </c>
    </row>
    <row r="108" spans="1:24">
      <c r="A108" t="s">
        <v>405</v>
      </c>
      <c r="B108" t="s">
        <v>406</v>
      </c>
      <c r="C108" t="s">
        <v>133</v>
      </c>
      <c r="D108" s="5">
        <v>18750</v>
      </c>
      <c r="E108" s="5">
        <v>45893</v>
      </c>
      <c r="F108" s="5">
        <v>45910</v>
      </c>
      <c r="G108" t="s">
        <v>117</v>
      </c>
      <c r="H108" t="s">
        <v>86</v>
      </c>
      <c r="I108" t="s">
        <v>53</v>
      </c>
      <c r="J108" t="s">
        <v>26</v>
      </c>
      <c r="K108" t="s">
        <v>120</v>
      </c>
      <c r="L108" s="6">
        <v>63844.62</v>
      </c>
      <c r="M108">
        <v>49796.13</v>
      </c>
      <c r="N108" t="s">
        <v>192</v>
      </c>
      <c r="O108">
        <v>17</v>
      </c>
      <c r="P108">
        <v>213</v>
      </c>
      <c r="Q108">
        <v>1</v>
      </c>
      <c r="R108">
        <v>187</v>
      </c>
      <c r="S108">
        <v>259.3</v>
      </c>
      <c r="T108" t="s">
        <v>47</v>
      </c>
      <c r="U108" s="7">
        <f t="shared" si="5"/>
        <v>74</v>
      </c>
      <c r="V108" s="7">
        <f t="shared" si="6"/>
        <v>17</v>
      </c>
      <c r="W108" s="6">
        <f t="shared" si="4"/>
        <v>14048.490000000005</v>
      </c>
      <c r="X108" t="str">
        <f t="shared" si="7"/>
        <v>Senior</v>
      </c>
    </row>
    <row r="109" spans="1:24">
      <c r="A109" t="s">
        <v>410</v>
      </c>
      <c r="B109" t="s">
        <v>392</v>
      </c>
      <c r="C109" t="s">
        <v>133</v>
      </c>
      <c r="D109" s="5">
        <v>21830</v>
      </c>
      <c r="E109" s="5">
        <v>45935</v>
      </c>
      <c r="F109" s="5">
        <v>45953</v>
      </c>
      <c r="G109" t="s">
        <v>77</v>
      </c>
      <c r="H109" t="s">
        <v>24</v>
      </c>
      <c r="I109" t="s">
        <v>33</v>
      </c>
      <c r="J109" t="s">
        <v>179</v>
      </c>
      <c r="K109" t="s">
        <v>120</v>
      </c>
      <c r="L109" s="6">
        <v>123663.9</v>
      </c>
      <c r="M109">
        <v>42411.14</v>
      </c>
      <c r="N109" t="s">
        <v>192</v>
      </c>
      <c r="O109">
        <v>18</v>
      </c>
      <c r="P109">
        <v>127</v>
      </c>
      <c r="Q109">
        <v>1</v>
      </c>
      <c r="R109">
        <v>132</v>
      </c>
      <c r="S109">
        <v>244.4</v>
      </c>
      <c r="T109" t="s">
        <v>47</v>
      </c>
      <c r="U109" s="7">
        <f t="shared" si="5"/>
        <v>65</v>
      </c>
      <c r="V109" s="7">
        <f t="shared" si="6"/>
        <v>18</v>
      </c>
      <c r="W109" s="6">
        <f t="shared" si="4"/>
        <v>81252.759999999995</v>
      </c>
      <c r="X109" t="str">
        <f t="shared" si="7"/>
        <v>Senior</v>
      </c>
    </row>
    <row r="110" spans="1:24">
      <c r="A110" t="s">
        <v>413</v>
      </c>
      <c r="B110" t="s">
        <v>607</v>
      </c>
      <c r="C110" t="s">
        <v>133</v>
      </c>
      <c r="D110" s="5">
        <v>35016</v>
      </c>
      <c r="E110" s="5">
        <v>45133</v>
      </c>
      <c r="F110" s="5">
        <v>45144</v>
      </c>
      <c r="G110" t="s">
        <v>62</v>
      </c>
      <c r="H110" t="s">
        <v>134</v>
      </c>
      <c r="I110" t="s">
        <v>79</v>
      </c>
      <c r="J110" t="s">
        <v>34</v>
      </c>
      <c r="K110" t="s">
        <v>161</v>
      </c>
      <c r="L110" s="6">
        <v>163172.12</v>
      </c>
      <c r="M110">
        <v>148838.24</v>
      </c>
      <c r="N110" t="s">
        <v>192</v>
      </c>
      <c r="O110">
        <v>11</v>
      </c>
      <c r="P110">
        <v>148</v>
      </c>
      <c r="Q110">
        <v>5</v>
      </c>
      <c r="R110">
        <v>118</v>
      </c>
      <c r="S110">
        <v>196.5</v>
      </c>
      <c r="T110" t="s">
        <v>47</v>
      </c>
      <c r="U110" s="7">
        <f t="shared" si="5"/>
        <v>27</v>
      </c>
      <c r="V110" s="7">
        <f t="shared" si="6"/>
        <v>11</v>
      </c>
      <c r="W110" s="6">
        <f t="shared" si="4"/>
        <v>14333.880000000005</v>
      </c>
      <c r="X110" t="str">
        <f t="shared" si="7"/>
        <v>Adult</v>
      </c>
    </row>
    <row r="111" spans="1:24">
      <c r="A111" t="s">
        <v>416</v>
      </c>
      <c r="B111" t="s">
        <v>417</v>
      </c>
      <c r="C111" t="s">
        <v>40</v>
      </c>
      <c r="D111" s="5">
        <v>39729</v>
      </c>
      <c r="E111" s="5">
        <v>45140</v>
      </c>
      <c r="F111" s="5">
        <v>45156</v>
      </c>
      <c r="G111" t="s">
        <v>161</v>
      </c>
      <c r="H111" t="s">
        <v>52</v>
      </c>
      <c r="I111" t="s">
        <v>45</v>
      </c>
      <c r="J111" t="s">
        <v>46</v>
      </c>
      <c r="K111" t="s">
        <v>120</v>
      </c>
      <c r="L111" s="6">
        <v>245638.96</v>
      </c>
      <c r="M111">
        <v>218828.95</v>
      </c>
      <c r="N111" t="s">
        <v>91</v>
      </c>
      <c r="O111">
        <v>16</v>
      </c>
      <c r="P111">
        <v>27</v>
      </c>
      <c r="Q111">
        <v>5</v>
      </c>
      <c r="R111">
        <v>147</v>
      </c>
      <c r="S111">
        <v>72.2</v>
      </c>
      <c r="T111" t="s">
        <v>47</v>
      </c>
      <c r="U111" s="7">
        <f t="shared" si="5"/>
        <v>14</v>
      </c>
      <c r="V111" s="7">
        <f t="shared" si="6"/>
        <v>16</v>
      </c>
      <c r="W111" s="6">
        <f t="shared" si="4"/>
        <v>26810.00999999998</v>
      </c>
      <c r="X111" t="str">
        <f t="shared" si="7"/>
        <v>Child</v>
      </c>
    </row>
    <row r="112" spans="1:24">
      <c r="A112" t="s">
        <v>418</v>
      </c>
      <c r="B112" t="s">
        <v>419</v>
      </c>
      <c r="C112" t="s">
        <v>133</v>
      </c>
      <c r="D112" s="5">
        <v>20693</v>
      </c>
      <c r="E112" s="5">
        <v>45388</v>
      </c>
      <c r="F112" s="5">
        <v>45394</v>
      </c>
      <c r="G112" t="s">
        <v>94</v>
      </c>
      <c r="H112" t="s">
        <v>63</v>
      </c>
      <c r="I112" t="s">
        <v>25</v>
      </c>
      <c r="J112" t="s">
        <v>71</v>
      </c>
      <c r="K112" t="s">
        <v>120</v>
      </c>
      <c r="L112" s="6">
        <v>7469.3</v>
      </c>
      <c r="M112">
        <v>7360.98</v>
      </c>
      <c r="N112" t="s">
        <v>73</v>
      </c>
      <c r="O112">
        <v>6</v>
      </c>
      <c r="P112">
        <v>23</v>
      </c>
      <c r="Q112">
        <v>5</v>
      </c>
      <c r="R112">
        <v>111</v>
      </c>
      <c r="S112">
        <v>238.7</v>
      </c>
      <c r="T112" t="s">
        <v>47</v>
      </c>
      <c r="U112" s="7">
        <f t="shared" si="5"/>
        <v>67</v>
      </c>
      <c r="V112" s="7">
        <f t="shared" si="6"/>
        <v>6</v>
      </c>
      <c r="W112" s="6">
        <f t="shared" si="4"/>
        <v>108.32000000000062</v>
      </c>
      <c r="X112" t="str">
        <f t="shared" si="7"/>
        <v>Senior</v>
      </c>
    </row>
    <row r="113" spans="1:24">
      <c r="A113" t="s">
        <v>421</v>
      </c>
      <c r="B113" t="s">
        <v>202</v>
      </c>
      <c r="C113" t="s">
        <v>40</v>
      </c>
      <c r="D113" s="5">
        <v>28112</v>
      </c>
      <c r="E113" s="5">
        <v>45470</v>
      </c>
      <c r="F113" s="5">
        <v>45480</v>
      </c>
      <c r="G113" t="s">
        <v>161</v>
      </c>
      <c r="H113" t="s">
        <v>24</v>
      </c>
      <c r="I113" t="s">
        <v>79</v>
      </c>
      <c r="J113" t="s">
        <v>64</v>
      </c>
      <c r="K113" t="s">
        <v>27</v>
      </c>
      <c r="L113" s="6">
        <v>138541.5</v>
      </c>
      <c r="M113">
        <v>98194.49</v>
      </c>
      <c r="N113" t="s">
        <v>4237</v>
      </c>
      <c r="O113">
        <v>10</v>
      </c>
      <c r="P113">
        <v>97</v>
      </c>
      <c r="Q113">
        <v>1</v>
      </c>
      <c r="R113">
        <v>144</v>
      </c>
      <c r="S113">
        <v>86.6</v>
      </c>
      <c r="T113" t="s">
        <v>4237</v>
      </c>
      <c r="U113" s="7">
        <f t="shared" si="5"/>
        <v>47</v>
      </c>
      <c r="V113" s="7">
        <f t="shared" si="6"/>
        <v>10</v>
      </c>
      <c r="W113" s="6">
        <f t="shared" si="4"/>
        <v>40347.009999999995</v>
      </c>
      <c r="X113" t="str">
        <f t="shared" si="7"/>
        <v>Middle Age</v>
      </c>
    </row>
    <row r="114" spans="1:24">
      <c r="A114" t="s">
        <v>422</v>
      </c>
      <c r="B114" t="s">
        <v>423</v>
      </c>
      <c r="C114" t="s">
        <v>133</v>
      </c>
      <c r="D114" s="5">
        <v>27100</v>
      </c>
      <c r="E114" s="5">
        <v>45708</v>
      </c>
      <c r="F114" s="5">
        <v>45720</v>
      </c>
      <c r="G114" t="s">
        <v>152</v>
      </c>
      <c r="H114" t="s">
        <v>44</v>
      </c>
      <c r="I114" t="s">
        <v>33</v>
      </c>
      <c r="J114" t="s">
        <v>34</v>
      </c>
      <c r="K114" t="s">
        <v>27</v>
      </c>
      <c r="L114" s="6">
        <v>67691.7</v>
      </c>
      <c r="M114">
        <v>58842.63</v>
      </c>
      <c r="N114" t="s">
        <v>192</v>
      </c>
      <c r="O114">
        <v>12</v>
      </c>
      <c r="P114">
        <v>43</v>
      </c>
      <c r="Q114">
        <v>2</v>
      </c>
      <c r="R114">
        <v>100</v>
      </c>
      <c r="S114">
        <v>196.9</v>
      </c>
      <c r="T114" t="s">
        <v>37</v>
      </c>
      <c r="U114" s="7">
        <f t="shared" si="5"/>
        <v>50</v>
      </c>
      <c r="V114" s="7">
        <f t="shared" si="6"/>
        <v>12</v>
      </c>
      <c r="W114" s="6">
        <f t="shared" si="4"/>
        <v>8849.07</v>
      </c>
      <c r="X114" t="str">
        <f t="shared" si="7"/>
        <v>Middle Age</v>
      </c>
    </row>
    <row r="115" spans="1:24">
      <c r="A115" t="s">
        <v>424</v>
      </c>
      <c r="B115" t="s">
        <v>221</v>
      </c>
      <c r="C115" t="s">
        <v>133</v>
      </c>
      <c r="D115" s="5">
        <v>30241</v>
      </c>
      <c r="E115" s="5">
        <v>45228</v>
      </c>
      <c r="F115" s="5">
        <v>45232</v>
      </c>
      <c r="G115" t="s">
        <v>77</v>
      </c>
      <c r="H115" t="s">
        <v>124</v>
      </c>
      <c r="I115" t="s">
        <v>53</v>
      </c>
      <c r="J115" t="s">
        <v>80</v>
      </c>
      <c r="K115" t="s">
        <v>161</v>
      </c>
      <c r="L115" s="6">
        <v>202594.03</v>
      </c>
      <c r="M115">
        <v>144409.59</v>
      </c>
      <c r="N115" t="s">
        <v>192</v>
      </c>
      <c r="O115">
        <v>4</v>
      </c>
      <c r="P115">
        <v>25</v>
      </c>
      <c r="Q115">
        <v>4</v>
      </c>
      <c r="R115">
        <v>115</v>
      </c>
      <c r="S115">
        <v>259.5</v>
      </c>
      <c r="T115" t="s">
        <v>4237</v>
      </c>
      <c r="U115" s="7">
        <f t="shared" si="5"/>
        <v>41</v>
      </c>
      <c r="V115" s="7">
        <f t="shared" si="6"/>
        <v>4</v>
      </c>
      <c r="W115" s="6">
        <f t="shared" si="4"/>
        <v>58184.44</v>
      </c>
      <c r="X115" t="str">
        <f t="shared" si="7"/>
        <v>Middle Age</v>
      </c>
    </row>
    <row r="116" spans="1:24">
      <c r="A116" t="s">
        <v>426</v>
      </c>
      <c r="B116" t="s">
        <v>427</v>
      </c>
      <c r="C116" t="s">
        <v>133</v>
      </c>
      <c r="D116" s="5">
        <v>32046</v>
      </c>
      <c r="E116" s="5">
        <v>45786</v>
      </c>
      <c r="F116" s="5">
        <v>45790</v>
      </c>
      <c r="G116" t="s">
        <v>62</v>
      </c>
      <c r="H116" t="s">
        <v>118</v>
      </c>
      <c r="I116" t="s">
        <v>33</v>
      </c>
      <c r="J116" t="s">
        <v>26</v>
      </c>
      <c r="K116" t="s">
        <v>55</v>
      </c>
      <c r="L116" s="6">
        <v>141764.23000000001</v>
      </c>
      <c r="M116">
        <v>132652.15</v>
      </c>
      <c r="N116" t="s">
        <v>192</v>
      </c>
      <c r="O116">
        <v>4</v>
      </c>
      <c r="P116">
        <v>227</v>
      </c>
      <c r="Q116">
        <v>4</v>
      </c>
      <c r="R116">
        <v>134</v>
      </c>
      <c r="S116">
        <v>236.8</v>
      </c>
      <c r="T116" t="s">
        <v>65</v>
      </c>
      <c r="U116" s="7">
        <f t="shared" si="5"/>
        <v>37</v>
      </c>
      <c r="V116" s="7">
        <f t="shared" si="6"/>
        <v>4</v>
      </c>
      <c r="W116" s="6">
        <f t="shared" si="4"/>
        <v>9112.0800000000163</v>
      </c>
      <c r="X116" t="str">
        <f t="shared" si="7"/>
        <v>Adult</v>
      </c>
    </row>
    <row r="117" spans="1:24">
      <c r="A117" t="s">
        <v>428</v>
      </c>
      <c r="B117" t="s">
        <v>429</v>
      </c>
      <c r="C117" t="s">
        <v>133</v>
      </c>
      <c r="D117" s="5">
        <v>39580</v>
      </c>
      <c r="E117" s="5">
        <v>44968</v>
      </c>
      <c r="F117" s="5">
        <v>44979</v>
      </c>
      <c r="G117" t="s">
        <v>109</v>
      </c>
      <c r="H117" t="s">
        <v>44</v>
      </c>
      <c r="I117" t="s">
        <v>96</v>
      </c>
      <c r="J117" t="s">
        <v>34</v>
      </c>
      <c r="K117" t="s">
        <v>120</v>
      </c>
      <c r="L117" s="6">
        <v>214913.11</v>
      </c>
      <c r="M117">
        <v>133255.89000000001</v>
      </c>
      <c r="N117" t="s">
        <v>4237</v>
      </c>
      <c r="O117">
        <v>11</v>
      </c>
      <c r="P117">
        <v>227</v>
      </c>
      <c r="Q117">
        <v>4</v>
      </c>
      <c r="R117">
        <v>107</v>
      </c>
      <c r="S117">
        <v>127.1</v>
      </c>
      <c r="T117" t="s">
        <v>4237</v>
      </c>
      <c r="U117" s="7">
        <f t="shared" si="5"/>
        <v>14</v>
      </c>
      <c r="V117" s="7">
        <f t="shared" si="6"/>
        <v>11</v>
      </c>
      <c r="W117" s="6">
        <f t="shared" si="4"/>
        <v>81657.219999999972</v>
      </c>
      <c r="X117" t="str">
        <f t="shared" si="7"/>
        <v>Child</v>
      </c>
    </row>
    <row r="118" spans="1:24">
      <c r="A118" t="s">
        <v>430</v>
      </c>
      <c r="B118" t="s">
        <v>390</v>
      </c>
      <c r="C118" t="s">
        <v>133</v>
      </c>
      <c r="D118" s="5">
        <v>19867</v>
      </c>
      <c r="E118" s="5">
        <v>45964</v>
      </c>
      <c r="F118" s="5">
        <v>45977</v>
      </c>
      <c r="G118" t="s">
        <v>43</v>
      </c>
      <c r="H118" t="s">
        <v>95</v>
      </c>
      <c r="I118" t="s">
        <v>25</v>
      </c>
      <c r="J118" t="s">
        <v>97</v>
      </c>
      <c r="K118" t="s">
        <v>161</v>
      </c>
      <c r="L118" s="6">
        <v>50208.95</v>
      </c>
      <c r="M118">
        <v>47753.38</v>
      </c>
      <c r="N118" t="s">
        <v>91</v>
      </c>
      <c r="O118">
        <v>13</v>
      </c>
      <c r="P118">
        <v>68</v>
      </c>
      <c r="Q118">
        <v>1</v>
      </c>
      <c r="R118">
        <v>148</v>
      </c>
      <c r="S118">
        <v>79.599999999999994</v>
      </c>
      <c r="T118" t="s">
        <v>65</v>
      </c>
      <c r="U118" s="7">
        <f t="shared" si="5"/>
        <v>71</v>
      </c>
      <c r="V118" s="7">
        <f t="shared" si="6"/>
        <v>13</v>
      </c>
      <c r="W118" s="6">
        <f t="shared" si="4"/>
        <v>2455.5699999999997</v>
      </c>
      <c r="X118" t="str">
        <f t="shared" si="7"/>
        <v>Senior</v>
      </c>
    </row>
    <row r="119" spans="1:24">
      <c r="A119" t="s">
        <v>432</v>
      </c>
      <c r="B119" t="s">
        <v>433</v>
      </c>
      <c r="C119" t="s">
        <v>40</v>
      </c>
      <c r="D119" s="5">
        <v>26456</v>
      </c>
      <c r="E119" s="5">
        <v>45456</v>
      </c>
      <c r="F119" s="5">
        <v>45459</v>
      </c>
      <c r="G119" t="s">
        <v>43</v>
      </c>
      <c r="H119" t="s">
        <v>24</v>
      </c>
      <c r="I119" t="s">
        <v>53</v>
      </c>
      <c r="J119" t="s">
        <v>64</v>
      </c>
      <c r="K119" t="s">
        <v>55</v>
      </c>
      <c r="L119" s="6">
        <v>195507.96</v>
      </c>
      <c r="M119">
        <v>187127.19</v>
      </c>
      <c r="N119" t="s">
        <v>192</v>
      </c>
      <c r="O119">
        <v>3</v>
      </c>
      <c r="P119">
        <v>170</v>
      </c>
      <c r="Q119">
        <v>4</v>
      </c>
      <c r="R119">
        <v>176</v>
      </c>
      <c r="S119">
        <v>109.3</v>
      </c>
      <c r="T119" t="s">
        <v>4237</v>
      </c>
      <c r="U119" s="7">
        <f t="shared" si="5"/>
        <v>52</v>
      </c>
      <c r="V119" s="7">
        <f t="shared" si="6"/>
        <v>3</v>
      </c>
      <c r="W119" s="6">
        <f t="shared" si="4"/>
        <v>8380.7699999999895</v>
      </c>
      <c r="X119" t="str">
        <f t="shared" si="7"/>
        <v>Middle Age</v>
      </c>
    </row>
    <row r="120" spans="1:24">
      <c r="A120" t="s">
        <v>435</v>
      </c>
      <c r="B120" t="s">
        <v>436</v>
      </c>
      <c r="C120" t="s">
        <v>133</v>
      </c>
      <c r="D120" s="5">
        <v>28334</v>
      </c>
      <c r="E120" s="5">
        <v>45641</v>
      </c>
      <c r="F120" s="5">
        <v>45656</v>
      </c>
      <c r="G120" t="s">
        <v>77</v>
      </c>
      <c r="H120" t="s">
        <v>44</v>
      </c>
      <c r="I120" t="s">
        <v>79</v>
      </c>
      <c r="J120" t="s">
        <v>64</v>
      </c>
      <c r="K120" t="s">
        <v>161</v>
      </c>
      <c r="L120" s="6">
        <v>27822.25</v>
      </c>
      <c r="M120">
        <v>25035.74</v>
      </c>
      <c r="N120" t="s">
        <v>56</v>
      </c>
      <c r="O120">
        <v>15</v>
      </c>
      <c r="P120">
        <v>220</v>
      </c>
      <c r="Q120">
        <v>5</v>
      </c>
      <c r="R120">
        <v>161</v>
      </c>
      <c r="S120">
        <v>193</v>
      </c>
      <c r="T120" t="s">
        <v>37</v>
      </c>
      <c r="U120" s="7">
        <f t="shared" si="5"/>
        <v>47</v>
      </c>
      <c r="V120" s="7">
        <f t="shared" si="6"/>
        <v>15</v>
      </c>
      <c r="W120" s="6">
        <f t="shared" si="4"/>
        <v>2786.5099999999984</v>
      </c>
      <c r="X120" t="str">
        <f t="shared" si="7"/>
        <v>Middle Age</v>
      </c>
    </row>
    <row r="121" spans="1:24">
      <c r="A121" t="s">
        <v>437</v>
      </c>
      <c r="B121" t="s">
        <v>438</v>
      </c>
      <c r="C121" t="s">
        <v>40</v>
      </c>
      <c r="D121" s="5">
        <v>35887</v>
      </c>
      <c r="E121" s="5">
        <v>45754</v>
      </c>
      <c r="F121" s="5">
        <v>45765</v>
      </c>
      <c r="G121" t="s">
        <v>161</v>
      </c>
      <c r="H121" t="s">
        <v>24</v>
      </c>
      <c r="I121" t="s">
        <v>33</v>
      </c>
      <c r="J121" t="s">
        <v>71</v>
      </c>
      <c r="K121" t="s">
        <v>120</v>
      </c>
      <c r="L121" s="6">
        <v>66708</v>
      </c>
      <c r="M121">
        <v>52052.97</v>
      </c>
      <c r="N121" t="s">
        <v>91</v>
      </c>
      <c r="O121">
        <v>11</v>
      </c>
      <c r="P121">
        <v>193</v>
      </c>
      <c r="Q121">
        <v>1</v>
      </c>
      <c r="R121">
        <v>164</v>
      </c>
      <c r="S121">
        <v>204.5</v>
      </c>
      <c r="T121" t="s">
        <v>37</v>
      </c>
      <c r="U121" s="7">
        <f t="shared" si="5"/>
        <v>27</v>
      </c>
      <c r="V121" s="7">
        <f t="shared" si="6"/>
        <v>11</v>
      </c>
      <c r="W121" s="6">
        <f t="shared" si="4"/>
        <v>14655.029999999999</v>
      </c>
      <c r="X121" t="str">
        <f t="shared" si="7"/>
        <v>Adult</v>
      </c>
    </row>
    <row r="122" spans="1:24">
      <c r="A122" t="s">
        <v>439</v>
      </c>
      <c r="B122" t="s">
        <v>301</v>
      </c>
      <c r="C122" t="s">
        <v>40</v>
      </c>
      <c r="D122" s="5">
        <v>20672</v>
      </c>
      <c r="E122" s="5" t="s">
        <v>4237</v>
      </c>
      <c r="F122" s="5">
        <v>45474</v>
      </c>
      <c r="G122" t="s">
        <v>62</v>
      </c>
      <c r="H122" t="s">
        <v>113</v>
      </c>
      <c r="I122" t="s">
        <v>119</v>
      </c>
      <c r="J122" t="s">
        <v>26</v>
      </c>
      <c r="K122" t="s">
        <v>161</v>
      </c>
      <c r="L122" s="6">
        <v>57507.74</v>
      </c>
      <c r="M122">
        <v>53094.77</v>
      </c>
      <c r="N122" t="s">
        <v>56</v>
      </c>
      <c r="O122">
        <v>18</v>
      </c>
      <c r="P122">
        <v>83</v>
      </c>
      <c r="Q122">
        <v>4</v>
      </c>
      <c r="R122">
        <v>190</v>
      </c>
      <c r="S122">
        <v>238.5</v>
      </c>
      <c r="T122" t="s">
        <v>65</v>
      </c>
      <c r="U122" s="7" t="s">
        <v>4237</v>
      </c>
      <c r="V122" s="7" t="s">
        <v>4237</v>
      </c>
      <c r="W122" s="6">
        <f t="shared" si="4"/>
        <v>4412.9700000000012</v>
      </c>
      <c r="X122" t="s">
        <v>4237</v>
      </c>
    </row>
    <row r="123" spans="1:24">
      <c r="A123" t="s">
        <v>441</v>
      </c>
      <c r="B123" t="s">
        <v>442</v>
      </c>
      <c r="C123" t="s">
        <v>40</v>
      </c>
      <c r="D123" s="5">
        <v>27787</v>
      </c>
      <c r="E123" s="5">
        <v>45235</v>
      </c>
      <c r="F123" s="5">
        <v>45240</v>
      </c>
      <c r="G123" t="s">
        <v>105</v>
      </c>
      <c r="H123" t="s">
        <v>134</v>
      </c>
      <c r="I123" t="s">
        <v>33</v>
      </c>
      <c r="J123" t="s">
        <v>97</v>
      </c>
      <c r="K123" t="s">
        <v>55</v>
      </c>
      <c r="L123" s="6">
        <v>80804.91</v>
      </c>
      <c r="M123">
        <v>51795.22</v>
      </c>
      <c r="N123" t="s">
        <v>73</v>
      </c>
      <c r="O123">
        <v>5</v>
      </c>
      <c r="P123">
        <v>25</v>
      </c>
      <c r="Q123">
        <v>4</v>
      </c>
      <c r="R123">
        <v>132</v>
      </c>
      <c r="S123">
        <v>189.9</v>
      </c>
      <c r="T123" t="s">
        <v>47</v>
      </c>
      <c r="U123" s="7">
        <f t="shared" si="5"/>
        <v>47</v>
      </c>
      <c r="V123" s="7">
        <f t="shared" si="6"/>
        <v>5</v>
      </c>
      <c r="W123" s="6">
        <f t="shared" si="4"/>
        <v>29009.690000000002</v>
      </c>
      <c r="X123" t="str">
        <f t="shared" si="7"/>
        <v>Middle Age</v>
      </c>
    </row>
    <row r="124" spans="1:24">
      <c r="A124" t="s">
        <v>443</v>
      </c>
      <c r="B124" t="s">
        <v>444</v>
      </c>
      <c r="C124" t="s">
        <v>40</v>
      </c>
      <c r="D124" s="5">
        <v>29403</v>
      </c>
      <c r="E124" s="5">
        <v>45004</v>
      </c>
      <c r="F124" s="5">
        <v>45022</v>
      </c>
      <c r="G124" t="s">
        <v>105</v>
      </c>
      <c r="H124" t="s">
        <v>24</v>
      </c>
      <c r="I124" t="s">
        <v>119</v>
      </c>
      <c r="J124" t="s">
        <v>64</v>
      </c>
      <c r="K124" t="s">
        <v>110</v>
      </c>
      <c r="L124" s="6">
        <v>49667.74</v>
      </c>
      <c r="M124">
        <v>29604.53</v>
      </c>
      <c r="N124" t="s">
        <v>56</v>
      </c>
      <c r="O124">
        <v>18</v>
      </c>
      <c r="P124">
        <v>192</v>
      </c>
      <c r="Q124">
        <v>4</v>
      </c>
      <c r="R124">
        <v>118</v>
      </c>
      <c r="S124">
        <v>201.8</v>
      </c>
      <c r="T124" t="s">
        <v>65</v>
      </c>
      <c r="U124" s="7">
        <f t="shared" si="5"/>
        <v>42</v>
      </c>
      <c r="V124" s="7">
        <f t="shared" si="6"/>
        <v>18</v>
      </c>
      <c r="W124" s="6">
        <f t="shared" si="4"/>
        <v>20063.21</v>
      </c>
      <c r="X124" t="str">
        <f t="shared" si="7"/>
        <v>Middle Age</v>
      </c>
    </row>
    <row r="125" spans="1:24">
      <c r="A125" t="s">
        <v>447</v>
      </c>
      <c r="B125" t="s">
        <v>852</v>
      </c>
      <c r="C125" t="s">
        <v>133</v>
      </c>
      <c r="D125" s="5">
        <v>26157</v>
      </c>
      <c r="E125" s="5">
        <v>45312</v>
      </c>
      <c r="F125" s="5">
        <v>45318</v>
      </c>
      <c r="G125" t="s">
        <v>94</v>
      </c>
      <c r="H125" t="s">
        <v>134</v>
      </c>
      <c r="I125" t="s">
        <v>25</v>
      </c>
      <c r="J125" t="s">
        <v>80</v>
      </c>
      <c r="K125" t="s">
        <v>55</v>
      </c>
      <c r="L125" s="6">
        <v>58019.54</v>
      </c>
      <c r="M125">
        <v>44289.63</v>
      </c>
      <c r="N125" t="s">
        <v>35</v>
      </c>
      <c r="O125">
        <v>6</v>
      </c>
      <c r="P125">
        <v>10</v>
      </c>
      <c r="Q125">
        <v>4</v>
      </c>
      <c r="R125">
        <v>111</v>
      </c>
      <c r="S125">
        <v>163.5</v>
      </c>
      <c r="T125" t="s">
        <v>4237</v>
      </c>
      <c r="U125" s="7">
        <f t="shared" si="5"/>
        <v>52</v>
      </c>
      <c r="V125" s="7">
        <f t="shared" si="6"/>
        <v>6</v>
      </c>
      <c r="W125" s="6">
        <f t="shared" si="4"/>
        <v>13729.910000000003</v>
      </c>
      <c r="X125" t="str">
        <f t="shared" si="7"/>
        <v>Middle Age</v>
      </c>
    </row>
    <row r="126" spans="1:24">
      <c r="A126" t="s">
        <v>450</v>
      </c>
      <c r="B126" t="s">
        <v>451</v>
      </c>
      <c r="C126" t="s">
        <v>40</v>
      </c>
      <c r="D126" s="5">
        <v>21072</v>
      </c>
      <c r="E126" s="5">
        <v>45898</v>
      </c>
      <c r="F126" s="5">
        <v>45903</v>
      </c>
      <c r="G126" t="s">
        <v>152</v>
      </c>
      <c r="H126" t="s">
        <v>113</v>
      </c>
      <c r="I126" t="s">
        <v>25</v>
      </c>
      <c r="J126" t="s">
        <v>71</v>
      </c>
      <c r="K126" t="s">
        <v>161</v>
      </c>
      <c r="L126" s="6">
        <v>106665.69</v>
      </c>
      <c r="M126">
        <v>95865.24</v>
      </c>
      <c r="N126" t="s">
        <v>73</v>
      </c>
      <c r="O126">
        <v>5</v>
      </c>
      <c r="P126">
        <v>74</v>
      </c>
      <c r="Q126">
        <v>3</v>
      </c>
      <c r="R126">
        <v>143</v>
      </c>
      <c r="S126">
        <v>227.8</v>
      </c>
      <c r="T126" t="s">
        <v>37</v>
      </c>
      <c r="U126" s="7">
        <f t="shared" si="5"/>
        <v>67</v>
      </c>
      <c r="V126" s="7">
        <f t="shared" si="6"/>
        <v>5</v>
      </c>
      <c r="W126" s="6">
        <f t="shared" si="4"/>
        <v>10800.449999999997</v>
      </c>
      <c r="X126" t="str">
        <f t="shared" si="7"/>
        <v>Senior</v>
      </c>
    </row>
    <row r="127" spans="1:24">
      <c r="A127" t="s">
        <v>452</v>
      </c>
      <c r="B127" t="s">
        <v>390</v>
      </c>
      <c r="C127" t="s">
        <v>133</v>
      </c>
      <c r="D127" s="5">
        <v>39561</v>
      </c>
      <c r="E127" s="5">
        <v>45911</v>
      </c>
      <c r="F127" s="5">
        <v>45922</v>
      </c>
      <c r="G127" t="s">
        <v>152</v>
      </c>
      <c r="H127" t="s">
        <v>113</v>
      </c>
      <c r="I127" t="s">
        <v>33</v>
      </c>
      <c r="J127" t="s">
        <v>26</v>
      </c>
      <c r="K127" t="s">
        <v>27</v>
      </c>
      <c r="L127" s="6">
        <v>209219.96</v>
      </c>
      <c r="M127">
        <v>150846.85999999999</v>
      </c>
      <c r="N127" t="s">
        <v>56</v>
      </c>
      <c r="O127">
        <v>11</v>
      </c>
      <c r="P127">
        <v>28</v>
      </c>
      <c r="Q127">
        <v>4</v>
      </c>
      <c r="R127">
        <v>99</v>
      </c>
      <c r="S127">
        <v>207.5</v>
      </c>
      <c r="T127" t="s">
        <v>37</v>
      </c>
      <c r="U127" s="7">
        <f t="shared" si="5"/>
        <v>17</v>
      </c>
      <c r="V127" s="7">
        <f t="shared" si="6"/>
        <v>11</v>
      </c>
      <c r="W127" s="6">
        <f t="shared" si="4"/>
        <v>58373.100000000006</v>
      </c>
      <c r="X127" t="str">
        <f t="shared" si="7"/>
        <v>Child</v>
      </c>
    </row>
    <row r="128" spans="1:24">
      <c r="A128" t="s">
        <v>454</v>
      </c>
      <c r="B128" t="s">
        <v>455</v>
      </c>
      <c r="C128" t="s">
        <v>133</v>
      </c>
      <c r="D128" s="5">
        <v>20455</v>
      </c>
      <c r="E128" s="5">
        <v>45210</v>
      </c>
      <c r="F128" s="5">
        <v>45216</v>
      </c>
      <c r="G128" t="s">
        <v>77</v>
      </c>
      <c r="H128" t="s">
        <v>118</v>
      </c>
      <c r="I128" t="s">
        <v>96</v>
      </c>
      <c r="J128" t="s">
        <v>26</v>
      </c>
      <c r="K128" t="s">
        <v>55</v>
      </c>
      <c r="L128" s="6">
        <v>94723.98</v>
      </c>
      <c r="M128">
        <v>71503.42</v>
      </c>
      <c r="N128" t="s">
        <v>35</v>
      </c>
      <c r="O128">
        <v>6</v>
      </c>
      <c r="P128">
        <v>107</v>
      </c>
      <c r="Q128">
        <v>4</v>
      </c>
      <c r="R128">
        <v>148</v>
      </c>
      <c r="S128">
        <v>121.6</v>
      </c>
      <c r="T128" t="s">
        <v>37</v>
      </c>
      <c r="U128" s="7">
        <f t="shared" si="5"/>
        <v>67</v>
      </c>
      <c r="V128" s="7">
        <f t="shared" si="6"/>
        <v>6</v>
      </c>
      <c r="W128" s="6">
        <f t="shared" si="4"/>
        <v>23220.559999999998</v>
      </c>
      <c r="X128" t="str">
        <f t="shared" si="7"/>
        <v>Senior</v>
      </c>
    </row>
    <row r="129" spans="1:24">
      <c r="A129" t="s">
        <v>457</v>
      </c>
      <c r="B129" t="s">
        <v>458</v>
      </c>
      <c r="C129" t="s">
        <v>40</v>
      </c>
      <c r="D129" s="5">
        <v>22567</v>
      </c>
      <c r="E129" s="5">
        <v>45661</v>
      </c>
      <c r="F129" s="5">
        <v>45662</v>
      </c>
      <c r="G129" t="s">
        <v>94</v>
      </c>
      <c r="H129" t="s">
        <v>153</v>
      </c>
      <c r="I129" t="s">
        <v>53</v>
      </c>
      <c r="J129" t="s">
        <v>34</v>
      </c>
      <c r="K129" t="s">
        <v>27</v>
      </c>
      <c r="L129" s="6">
        <v>230298.5</v>
      </c>
      <c r="M129">
        <v>222532.42</v>
      </c>
      <c r="N129" t="s">
        <v>35</v>
      </c>
      <c r="O129">
        <v>1</v>
      </c>
      <c r="P129">
        <v>117</v>
      </c>
      <c r="Q129">
        <v>1</v>
      </c>
      <c r="R129">
        <v>98</v>
      </c>
      <c r="S129">
        <v>119.7</v>
      </c>
      <c r="T129" t="s">
        <v>65</v>
      </c>
      <c r="U129" s="7">
        <f t="shared" si="5"/>
        <v>63</v>
      </c>
      <c r="V129" s="7">
        <f t="shared" si="6"/>
        <v>1</v>
      </c>
      <c r="W129" s="6">
        <f t="shared" si="4"/>
        <v>7766.0799999999872</v>
      </c>
      <c r="X129" t="str">
        <f t="shared" si="7"/>
        <v>Senior</v>
      </c>
    </row>
    <row r="130" spans="1:24">
      <c r="A130" t="s">
        <v>461</v>
      </c>
      <c r="B130" t="s">
        <v>274</v>
      </c>
      <c r="C130" t="s">
        <v>133</v>
      </c>
      <c r="D130" s="5">
        <v>39357</v>
      </c>
      <c r="E130" s="5">
        <v>44950</v>
      </c>
      <c r="F130" s="5">
        <v>44956</v>
      </c>
      <c r="G130" t="s">
        <v>77</v>
      </c>
      <c r="H130" t="s">
        <v>78</v>
      </c>
      <c r="I130" t="s">
        <v>33</v>
      </c>
      <c r="J130" t="s">
        <v>97</v>
      </c>
      <c r="K130" t="s">
        <v>55</v>
      </c>
      <c r="L130" s="6">
        <v>21029.15</v>
      </c>
      <c r="M130">
        <v>15906.04</v>
      </c>
      <c r="N130" t="s">
        <v>192</v>
      </c>
      <c r="O130">
        <v>6</v>
      </c>
      <c r="P130">
        <v>89</v>
      </c>
      <c r="Q130">
        <v>5</v>
      </c>
      <c r="R130">
        <v>96</v>
      </c>
      <c r="S130">
        <v>166.3</v>
      </c>
      <c r="T130" t="s">
        <v>37</v>
      </c>
      <c r="U130" s="7">
        <f t="shared" ref="U130:U193" si="8">DATEDIF(D130,E130,"Y")</f>
        <v>15</v>
      </c>
      <c r="V130" s="7">
        <f t="shared" ref="V130:V193" si="9">IF(OR(E130=" ",F130=" ",E130="Unknown",F130="Unknown")," ",F130-E130)</f>
        <v>6</v>
      </c>
      <c r="W130" s="6">
        <f t="shared" ref="W130:W193" si="10">L130-M130</f>
        <v>5123.1100000000006</v>
      </c>
      <c r="X130" t="str">
        <f t="shared" ref="X130:X193" si="11">IF(OR(U130="",U130="Unknown"),"",IF(U130&lt;18,"Child",IF(U130&lt;40,"Adult",IF(U130&lt;60,"Middle Age","Senior"))))</f>
        <v>Child</v>
      </c>
    </row>
    <row r="131" spans="1:24">
      <c r="A131" t="s">
        <v>462</v>
      </c>
      <c r="B131" t="s">
        <v>147</v>
      </c>
      <c r="C131" t="s">
        <v>133</v>
      </c>
      <c r="D131" s="5">
        <v>27777</v>
      </c>
      <c r="E131" s="5">
        <v>44927</v>
      </c>
      <c r="F131" s="5">
        <v>44930</v>
      </c>
      <c r="G131" t="s">
        <v>117</v>
      </c>
      <c r="H131" t="s">
        <v>113</v>
      </c>
      <c r="I131" t="s">
        <v>96</v>
      </c>
      <c r="J131" t="s">
        <v>64</v>
      </c>
      <c r="K131" t="s">
        <v>55</v>
      </c>
      <c r="L131" s="6">
        <v>141677.31</v>
      </c>
      <c r="M131">
        <v>98646.34</v>
      </c>
      <c r="N131" t="s">
        <v>73</v>
      </c>
      <c r="O131">
        <v>3</v>
      </c>
      <c r="P131">
        <v>92</v>
      </c>
      <c r="Q131">
        <v>5</v>
      </c>
      <c r="R131">
        <v>96</v>
      </c>
      <c r="S131">
        <v>225.2</v>
      </c>
      <c r="T131" t="s">
        <v>37</v>
      </c>
      <c r="U131" s="7">
        <f t="shared" si="8"/>
        <v>46</v>
      </c>
      <c r="V131" s="7">
        <f t="shared" si="9"/>
        <v>3</v>
      </c>
      <c r="W131" s="6">
        <f t="shared" si="10"/>
        <v>43030.97</v>
      </c>
      <c r="X131" t="str">
        <f t="shared" si="11"/>
        <v>Middle Age</v>
      </c>
    </row>
    <row r="132" spans="1:24">
      <c r="A132" t="s">
        <v>463</v>
      </c>
      <c r="B132" t="s">
        <v>464</v>
      </c>
      <c r="C132" t="s">
        <v>133</v>
      </c>
      <c r="D132" s="5">
        <v>34367</v>
      </c>
      <c r="E132" s="5">
        <v>45263</v>
      </c>
      <c r="F132" s="5">
        <v>45279</v>
      </c>
      <c r="G132" t="s">
        <v>161</v>
      </c>
      <c r="H132" t="s">
        <v>153</v>
      </c>
      <c r="I132" t="s">
        <v>79</v>
      </c>
      <c r="J132" t="s">
        <v>26</v>
      </c>
      <c r="K132" t="s">
        <v>120</v>
      </c>
      <c r="L132" s="6">
        <v>65436.6</v>
      </c>
      <c r="M132">
        <v>49487.28</v>
      </c>
      <c r="N132" t="s">
        <v>73</v>
      </c>
      <c r="O132">
        <v>16</v>
      </c>
      <c r="P132">
        <v>223</v>
      </c>
      <c r="Q132">
        <v>4</v>
      </c>
      <c r="R132">
        <v>117</v>
      </c>
      <c r="S132">
        <v>156.80000000000001</v>
      </c>
      <c r="T132" t="s">
        <v>47</v>
      </c>
      <c r="U132" s="7">
        <f t="shared" si="8"/>
        <v>29</v>
      </c>
      <c r="V132" s="7">
        <f t="shared" si="9"/>
        <v>16</v>
      </c>
      <c r="W132" s="6">
        <f t="shared" si="10"/>
        <v>15949.32</v>
      </c>
      <c r="X132" t="str">
        <f t="shared" si="11"/>
        <v>Adult</v>
      </c>
    </row>
    <row r="133" spans="1:24">
      <c r="A133" t="s">
        <v>469</v>
      </c>
      <c r="B133" t="s">
        <v>470</v>
      </c>
      <c r="C133" t="s">
        <v>133</v>
      </c>
      <c r="D133" s="5">
        <v>35448</v>
      </c>
      <c r="E133" s="5">
        <v>45813</v>
      </c>
      <c r="F133" s="5">
        <v>45829</v>
      </c>
      <c r="G133" t="s">
        <v>94</v>
      </c>
      <c r="H133" t="s">
        <v>124</v>
      </c>
      <c r="I133" t="s">
        <v>53</v>
      </c>
      <c r="J133" t="s">
        <v>97</v>
      </c>
      <c r="K133" t="s">
        <v>161</v>
      </c>
      <c r="L133" s="6">
        <v>28129.61</v>
      </c>
      <c r="M133">
        <v>21044.86</v>
      </c>
      <c r="N133" t="s">
        <v>91</v>
      </c>
      <c r="O133">
        <v>16</v>
      </c>
      <c r="P133">
        <v>230</v>
      </c>
      <c r="Q133">
        <v>5</v>
      </c>
      <c r="R133">
        <v>154</v>
      </c>
      <c r="S133">
        <v>237.5</v>
      </c>
      <c r="T133" t="s">
        <v>37</v>
      </c>
      <c r="U133" s="7">
        <f t="shared" si="8"/>
        <v>28</v>
      </c>
      <c r="V133" s="7">
        <f t="shared" si="9"/>
        <v>16</v>
      </c>
      <c r="W133" s="6">
        <f t="shared" si="10"/>
        <v>7084.75</v>
      </c>
      <c r="X133" t="str">
        <f t="shared" si="11"/>
        <v>Adult</v>
      </c>
    </row>
    <row r="134" spans="1:24">
      <c r="A134" t="s">
        <v>471</v>
      </c>
      <c r="B134" t="s">
        <v>472</v>
      </c>
      <c r="C134" t="s">
        <v>133</v>
      </c>
      <c r="D134" s="5">
        <v>35051</v>
      </c>
      <c r="E134" s="5">
        <v>45372</v>
      </c>
      <c r="F134" s="5">
        <v>45379</v>
      </c>
      <c r="G134" t="s">
        <v>161</v>
      </c>
      <c r="H134" t="s">
        <v>44</v>
      </c>
      <c r="I134" t="s">
        <v>119</v>
      </c>
      <c r="J134" t="s">
        <v>97</v>
      </c>
      <c r="K134" t="s">
        <v>120</v>
      </c>
      <c r="L134" s="6">
        <v>245380.54</v>
      </c>
      <c r="M134">
        <v>207020.39</v>
      </c>
      <c r="N134" t="s">
        <v>73</v>
      </c>
      <c r="O134">
        <v>7</v>
      </c>
      <c r="P134">
        <v>50</v>
      </c>
      <c r="Q134">
        <v>4</v>
      </c>
      <c r="R134">
        <v>159</v>
      </c>
      <c r="S134">
        <v>201.9</v>
      </c>
      <c r="T134" t="s">
        <v>65</v>
      </c>
      <c r="U134" s="7">
        <f t="shared" si="8"/>
        <v>28</v>
      </c>
      <c r="V134" s="7">
        <f t="shared" si="9"/>
        <v>7</v>
      </c>
      <c r="W134" s="6">
        <f t="shared" si="10"/>
        <v>38360.149999999994</v>
      </c>
      <c r="X134" t="str">
        <f t="shared" si="11"/>
        <v>Adult</v>
      </c>
    </row>
    <row r="135" spans="1:24">
      <c r="A135" t="s">
        <v>474</v>
      </c>
      <c r="B135" t="s">
        <v>475</v>
      </c>
      <c r="C135" t="s">
        <v>40</v>
      </c>
      <c r="D135" s="5">
        <v>18814</v>
      </c>
      <c r="E135" s="5">
        <v>45035</v>
      </c>
      <c r="F135" s="5">
        <v>45037</v>
      </c>
      <c r="G135" t="s">
        <v>94</v>
      </c>
      <c r="H135" t="s">
        <v>78</v>
      </c>
      <c r="I135" t="s">
        <v>53</v>
      </c>
      <c r="J135" t="s">
        <v>71</v>
      </c>
      <c r="K135" t="s">
        <v>55</v>
      </c>
      <c r="L135" s="6">
        <v>171639.11</v>
      </c>
      <c r="M135">
        <v>163368.6</v>
      </c>
      <c r="N135" t="s">
        <v>73</v>
      </c>
      <c r="O135">
        <v>2</v>
      </c>
      <c r="P135">
        <v>181</v>
      </c>
      <c r="Q135">
        <v>5</v>
      </c>
      <c r="R135">
        <v>116</v>
      </c>
      <c r="S135">
        <v>213.2</v>
      </c>
      <c r="T135" t="s">
        <v>37</v>
      </c>
      <c r="U135" s="7">
        <f t="shared" si="8"/>
        <v>71</v>
      </c>
      <c r="V135" s="7">
        <f t="shared" si="9"/>
        <v>2</v>
      </c>
      <c r="W135" s="6">
        <f t="shared" si="10"/>
        <v>8270.5099999999802</v>
      </c>
      <c r="X135" t="str">
        <f t="shared" si="11"/>
        <v>Senior</v>
      </c>
    </row>
    <row r="136" spans="1:24">
      <c r="A136" t="s">
        <v>476</v>
      </c>
      <c r="B136" t="s">
        <v>436</v>
      </c>
      <c r="C136" t="s">
        <v>40</v>
      </c>
      <c r="D136" s="5">
        <v>40007</v>
      </c>
      <c r="E136" s="5">
        <v>45721</v>
      </c>
      <c r="F136" s="5">
        <v>45791</v>
      </c>
      <c r="G136" t="s">
        <v>152</v>
      </c>
      <c r="H136" t="s">
        <v>24</v>
      </c>
      <c r="I136" t="s">
        <v>96</v>
      </c>
      <c r="J136" t="s">
        <v>80</v>
      </c>
      <c r="K136" t="s">
        <v>27</v>
      </c>
      <c r="L136" s="6">
        <v>156089.01999999999</v>
      </c>
      <c r="M136">
        <v>140721.32</v>
      </c>
      <c r="N136" t="s">
        <v>91</v>
      </c>
      <c r="O136">
        <v>11</v>
      </c>
      <c r="P136">
        <v>238</v>
      </c>
      <c r="Q136">
        <v>5</v>
      </c>
      <c r="R136">
        <v>186</v>
      </c>
      <c r="S136">
        <v>181.8</v>
      </c>
      <c r="T136" t="s">
        <v>4237</v>
      </c>
      <c r="U136" s="7">
        <f t="shared" si="8"/>
        <v>15</v>
      </c>
      <c r="V136" s="7">
        <f t="shared" si="9"/>
        <v>70</v>
      </c>
      <c r="W136" s="6">
        <f t="shared" si="10"/>
        <v>15367.699999999983</v>
      </c>
      <c r="X136" t="str">
        <f t="shared" si="11"/>
        <v>Child</v>
      </c>
    </row>
    <row r="137" spans="1:24">
      <c r="A137" t="s">
        <v>479</v>
      </c>
      <c r="B137" t="s">
        <v>480</v>
      </c>
      <c r="C137" t="s">
        <v>40</v>
      </c>
      <c r="D137" s="5">
        <v>38108</v>
      </c>
      <c r="E137" s="5">
        <v>45603</v>
      </c>
      <c r="F137" s="5">
        <v>45618</v>
      </c>
      <c r="G137" t="s">
        <v>62</v>
      </c>
      <c r="H137" t="s">
        <v>24</v>
      </c>
      <c r="I137" t="s">
        <v>53</v>
      </c>
      <c r="J137" t="s">
        <v>46</v>
      </c>
      <c r="K137" t="s">
        <v>120</v>
      </c>
      <c r="L137" s="6">
        <v>150227.88</v>
      </c>
      <c r="M137">
        <v>112968.39</v>
      </c>
      <c r="N137" t="s">
        <v>73</v>
      </c>
      <c r="O137">
        <v>15</v>
      </c>
      <c r="P137">
        <v>174</v>
      </c>
      <c r="Q137">
        <v>5</v>
      </c>
      <c r="R137">
        <v>152</v>
      </c>
      <c r="S137">
        <v>220.1</v>
      </c>
      <c r="T137" t="s">
        <v>37</v>
      </c>
      <c r="U137" s="7">
        <f t="shared" si="8"/>
        <v>20</v>
      </c>
      <c r="V137" s="7">
        <f t="shared" si="9"/>
        <v>15</v>
      </c>
      <c r="W137" s="6">
        <f t="shared" si="10"/>
        <v>37259.490000000005</v>
      </c>
      <c r="X137" t="str">
        <f t="shared" si="11"/>
        <v>Adult</v>
      </c>
    </row>
    <row r="138" spans="1:24">
      <c r="A138" t="s">
        <v>484</v>
      </c>
      <c r="B138" t="s">
        <v>485</v>
      </c>
      <c r="C138" t="s">
        <v>133</v>
      </c>
      <c r="D138" s="5">
        <v>33766</v>
      </c>
      <c r="E138" s="5">
        <v>45665</v>
      </c>
      <c r="F138" s="5">
        <v>45675</v>
      </c>
      <c r="G138" t="s">
        <v>94</v>
      </c>
      <c r="H138" t="s">
        <v>118</v>
      </c>
      <c r="I138" t="s">
        <v>45</v>
      </c>
      <c r="J138" t="s">
        <v>64</v>
      </c>
      <c r="K138" t="s">
        <v>55</v>
      </c>
      <c r="L138" s="6">
        <v>206362.88</v>
      </c>
      <c r="M138">
        <v>123249.19</v>
      </c>
      <c r="N138" t="s">
        <v>91</v>
      </c>
      <c r="O138">
        <v>10</v>
      </c>
      <c r="P138">
        <v>176</v>
      </c>
      <c r="Q138">
        <v>5</v>
      </c>
      <c r="R138">
        <v>147</v>
      </c>
      <c r="S138">
        <v>115.7</v>
      </c>
      <c r="T138" t="s">
        <v>4237</v>
      </c>
      <c r="U138" s="7">
        <f t="shared" si="8"/>
        <v>32</v>
      </c>
      <c r="V138" s="7">
        <f t="shared" si="9"/>
        <v>10</v>
      </c>
      <c r="W138" s="6">
        <f t="shared" si="10"/>
        <v>83113.69</v>
      </c>
      <c r="X138" t="str">
        <f t="shared" si="11"/>
        <v>Adult</v>
      </c>
    </row>
    <row r="139" spans="1:24">
      <c r="A139" t="s">
        <v>487</v>
      </c>
      <c r="B139" t="s">
        <v>419</v>
      </c>
      <c r="C139" t="s">
        <v>40</v>
      </c>
      <c r="D139" s="5">
        <v>28704</v>
      </c>
      <c r="E139" s="5">
        <v>45534</v>
      </c>
      <c r="F139" s="5">
        <v>45541</v>
      </c>
      <c r="G139" t="s">
        <v>161</v>
      </c>
      <c r="H139" t="s">
        <v>52</v>
      </c>
      <c r="I139" t="s">
        <v>53</v>
      </c>
      <c r="J139" t="s">
        <v>64</v>
      </c>
      <c r="K139" t="s">
        <v>55</v>
      </c>
      <c r="L139" s="6">
        <v>134468.44</v>
      </c>
      <c r="M139">
        <v>82253.710000000006</v>
      </c>
      <c r="N139" t="s">
        <v>91</v>
      </c>
      <c r="O139">
        <v>7</v>
      </c>
      <c r="P139">
        <v>176</v>
      </c>
      <c r="Q139">
        <v>4</v>
      </c>
      <c r="R139">
        <v>177</v>
      </c>
      <c r="S139">
        <v>150.6</v>
      </c>
      <c r="T139" t="s">
        <v>37</v>
      </c>
      <c r="U139" s="7">
        <f t="shared" si="8"/>
        <v>46</v>
      </c>
      <c r="V139" s="7">
        <f t="shared" si="9"/>
        <v>7</v>
      </c>
      <c r="W139" s="6">
        <f t="shared" si="10"/>
        <v>52214.729999999996</v>
      </c>
      <c r="X139" t="str">
        <f t="shared" si="11"/>
        <v>Middle Age</v>
      </c>
    </row>
    <row r="140" spans="1:24">
      <c r="A140" t="s">
        <v>489</v>
      </c>
      <c r="B140" t="s">
        <v>159</v>
      </c>
      <c r="C140" t="s">
        <v>133</v>
      </c>
      <c r="D140" s="5">
        <v>37355</v>
      </c>
      <c r="E140" s="5">
        <v>45761</v>
      </c>
      <c r="F140" s="5">
        <v>45774</v>
      </c>
      <c r="G140" t="s">
        <v>43</v>
      </c>
      <c r="H140" t="s">
        <v>134</v>
      </c>
      <c r="I140" t="s">
        <v>119</v>
      </c>
      <c r="J140" t="s">
        <v>179</v>
      </c>
      <c r="K140" t="s">
        <v>120</v>
      </c>
      <c r="L140" s="6">
        <v>98901.71</v>
      </c>
      <c r="M140">
        <v>85100.01</v>
      </c>
      <c r="N140" t="s">
        <v>73</v>
      </c>
      <c r="O140">
        <v>13</v>
      </c>
      <c r="P140">
        <v>169</v>
      </c>
      <c r="Q140">
        <v>2</v>
      </c>
      <c r="R140">
        <v>186</v>
      </c>
      <c r="S140">
        <v>211.7</v>
      </c>
      <c r="T140" t="s">
        <v>37</v>
      </c>
      <c r="U140" s="7">
        <f t="shared" si="8"/>
        <v>23</v>
      </c>
      <c r="V140" s="7">
        <f t="shared" si="9"/>
        <v>13</v>
      </c>
      <c r="W140" s="6">
        <f t="shared" si="10"/>
        <v>13801.700000000012</v>
      </c>
      <c r="X140" t="str">
        <f t="shared" si="11"/>
        <v>Adult</v>
      </c>
    </row>
    <row r="141" spans="1:24">
      <c r="A141" t="s">
        <v>4117</v>
      </c>
      <c r="B141" t="s">
        <v>492</v>
      </c>
      <c r="C141" t="s">
        <v>40</v>
      </c>
      <c r="D141" s="5">
        <v>23460</v>
      </c>
      <c r="E141" s="5">
        <v>45727</v>
      </c>
      <c r="F141" s="5">
        <v>45745</v>
      </c>
      <c r="G141" t="s">
        <v>152</v>
      </c>
      <c r="H141" t="s">
        <v>124</v>
      </c>
      <c r="I141" t="s">
        <v>96</v>
      </c>
      <c r="J141" t="s">
        <v>46</v>
      </c>
      <c r="K141" t="s">
        <v>120</v>
      </c>
      <c r="L141" s="6">
        <v>239454.43</v>
      </c>
      <c r="M141">
        <v>207381.25</v>
      </c>
      <c r="N141" t="s">
        <v>192</v>
      </c>
      <c r="O141">
        <v>18</v>
      </c>
      <c r="P141">
        <v>147</v>
      </c>
      <c r="Q141">
        <v>3</v>
      </c>
      <c r="R141">
        <v>105</v>
      </c>
      <c r="S141">
        <v>77.900000000000006</v>
      </c>
      <c r="T141" t="s">
        <v>37</v>
      </c>
      <c r="U141" s="7">
        <f t="shared" si="8"/>
        <v>60</v>
      </c>
      <c r="V141" s="7">
        <f t="shared" si="9"/>
        <v>18</v>
      </c>
      <c r="W141" s="6">
        <f t="shared" si="10"/>
        <v>32073.179999999993</v>
      </c>
      <c r="X141" t="str">
        <f t="shared" si="11"/>
        <v>Senior</v>
      </c>
    </row>
    <row r="142" spans="1:24">
      <c r="A142" t="s">
        <v>494</v>
      </c>
      <c r="B142" t="s">
        <v>495</v>
      </c>
      <c r="C142" t="s">
        <v>40</v>
      </c>
      <c r="D142" s="5" t="s">
        <v>4237</v>
      </c>
      <c r="E142" s="5">
        <v>45038</v>
      </c>
      <c r="F142" s="5">
        <v>45056</v>
      </c>
      <c r="G142" t="s">
        <v>89</v>
      </c>
      <c r="H142" t="s">
        <v>52</v>
      </c>
      <c r="I142" t="s">
        <v>96</v>
      </c>
      <c r="J142" t="s">
        <v>26</v>
      </c>
      <c r="K142" t="s">
        <v>120</v>
      </c>
      <c r="L142" s="6">
        <v>64545.18</v>
      </c>
      <c r="M142">
        <v>59231.61</v>
      </c>
      <c r="N142" t="s">
        <v>91</v>
      </c>
      <c r="O142">
        <v>18</v>
      </c>
      <c r="P142">
        <v>129</v>
      </c>
      <c r="Q142">
        <v>5</v>
      </c>
      <c r="R142">
        <v>135</v>
      </c>
      <c r="S142">
        <v>94.4</v>
      </c>
      <c r="T142" t="s">
        <v>4237</v>
      </c>
      <c r="U142" s="7" t="s">
        <v>4237</v>
      </c>
      <c r="V142" s="7">
        <f t="shared" si="9"/>
        <v>18</v>
      </c>
      <c r="W142" s="6">
        <f t="shared" si="10"/>
        <v>5313.57</v>
      </c>
      <c r="X142" t="s">
        <v>4237</v>
      </c>
    </row>
    <row r="143" spans="1:24">
      <c r="A143" t="s">
        <v>499</v>
      </c>
      <c r="B143" t="s">
        <v>689</v>
      </c>
      <c r="C143" t="s">
        <v>133</v>
      </c>
      <c r="D143" s="5">
        <v>18422</v>
      </c>
      <c r="E143" s="5">
        <v>45380</v>
      </c>
      <c r="F143" s="5">
        <v>45394</v>
      </c>
      <c r="G143" t="s">
        <v>105</v>
      </c>
      <c r="H143" t="s">
        <v>124</v>
      </c>
      <c r="I143" t="s">
        <v>119</v>
      </c>
      <c r="J143" t="s">
        <v>34</v>
      </c>
      <c r="K143" t="s">
        <v>161</v>
      </c>
      <c r="L143" s="6">
        <v>117054.97</v>
      </c>
      <c r="M143">
        <v>109145.58</v>
      </c>
      <c r="N143" t="s">
        <v>73</v>
      </c>
      <c r="O143">
        <v>14</v>
      </c>
      <c r="P143">
        <v>129</v>
      </c>
      <c r="Q143">
        <v>4</v>
      </c>
      <c r="R143">
        <v>103</v>
      </c>
      <c r="S143">
        <v>163.5</v>
      </c>
      <c r="T143" t="s">
        <v>37</v>
      </c>
      <c r="U143" s="7">
        <f t="shared" si="8"/>
        <v>73</v>
      </c>
      <c r="V143" s="7">
        <f t="shared" si="9"/>
        <v>14</v>
      </c>
      <c r="W143" s="6">
        <f t="shared" si="10"/>
        <v>7909.3899999999994</v>
      </c>
      <c r="X143" t="str">
        <f t="shared" si="11"/>
        <v>Senior</v>
      </c>
    </row>
    <row r="144" spans="1:24">
      <c r="A144" t="s">
        <v>502</v>
      </c>
      <c r="B144" t="s">
        <v>503</v>
      </c>
      <c r="C144" t="s">
        <v>133</v>
      </c>
      <c r="D144" s="5">
        <v>31983</v>
      </c>
      <c r="E144" s="5">
        <v>45362</v>
      </c>
      <c r="F144" s="5">
        <v>45364</v>
      </c>
      <c r="G144" t="s">
        <v>89</v>
      </c>
      <c r="H144" t="s">
        <v>95</v>
      </c>
      <c r="I144" t="s">
        <v>33</v>
      </c>
      <c r="J144" t="s">
        <v>97</v>
      </c>
      <c r="K144" t="s">
        <v>55</v>
      </c>
      <c r="L144" s="6">
        <v>93040.11</v>
      </c>
      <c r="M144">
        <v>90009.91</v>
      </c>
      <c r="N144" t="s">
        <v>73</v>
      </c>
      <c r="O144">
        <v>2</v>
      </c>
      <c r="P144">
        <v>155</v>
      </c>
      <c r="Q144">
        <v>5</v>
      </c>
      <c r="R144">
        <v>107</v>
      </c>
      <c r="S144">
        <v>158.30000000000001</v>
      </c>
      <c r="T144" t="s">
        <v>37</v>
      </c>
      <c r="U144" s="7">
        <f t="shared" si="8"/>
        <v>36</v>
      </c>
      <c r="V144" s="7">
        <f t="shared" si="9"/>
        <v>2</v>
      </c>
      <c r="W144" s="6">
        <f t="shared" si="10"/>
        <v>3030.1999999999971</v>
      </c>
      <c r="X144" t="str">
        <f t="shared" si="11"/>
        <v>Adult</v>
      </c>
    </row>
    <row r="145" spans="1:24">
      <c r="A145" t="s">
        <v>505</v>
      </c>
      <c r="B145" t="s">
        <v>132</v>
      </c>
      <c r="C145" t="s">
        <v>133</v>
      </c>
      <c r="D145" s="5">
        <v>35780</v>
      </c>
      <c r="E145" s="5">
        <v>45661</v>
      </c>
      <c r="F145" s="5">
        <v>45663</v>
      </c>
      <c r="G145" t="s">
        <v>77</v>
      </c>
      <c r="H145" t="s">
        <v>86</v>
      </c>
      <c r="I145" t="s">
        <v>33</v>
      </c>
      <c r="J145" t="s">
        <v>71</v>
      </c>
      <c r="K145" t="s">
        <v>55</v>
      </c>
      <c r="L145" s="6">
        <v>93935.21</v>
      </c>
      <c r="M145">
        <v>84595.77</v>
      </c>
      <c r="N145" t="s">
        <v>35</v>
      </c>
      <c r="O145">
        <v>2</v>
      </c>
      <c r="P145">
        <v>137</v>
      </c>
      <c r="Q145">
        <v>5</v>
      </c>
      <c r="R145">
        <v>139</v>
      </c>
      <c r="S145">
        <v>159.19999999999999</v>
      </c>
      <c r="T145" t="s">
        <v>37</v>
      </c>
      <c r="U145" s="7">
        <f t="shared" si="8"/>
        <v>27</v>
      </c>
      <c r="V145" s="7">
        <f t="shared" si="9"/>
        <v>2</v>
      </c>
      <c r="W145" s="6">
        <f t="shared" si="10"/>
        <v>9339.4400000000023</v>
      </c>
      <c r="X145" t="str">
        <f t="shared" si="11"/>
        <v>Adult</v>
      </c>
    </row>
    <row r="146" spans="1:24">
      <c r="A146" t="s">
        <v>508</v>
      </c>
      <c r="B146" t="s">
        <v>253</v>
      </c>
      <c r="C146" t="s">
        <v>40</v>
      </c>
      <c r="D146" s="5">
        <v>33286</v>
      </c>
      <c r="E146" s="5">
        <v>45442</v>
      </c>
      <c r="F146" s="5">
        <v>45455</v>
      </c>
      <c r="G146" t="s">
        <v>94</v>
      </c>
      <c r="H146" t="s">
        <v>95</v>
      </c>
      <c r="I146" t="s">
        <v>79</v>
      </c>
      <c r="J146" t="s">
        <v>46</v>
      </c>
      <c r="K146" t="s">
        <v>27</v>
      </c>
      <c r="L146" s="6">
        <v>204766.1</v>
      </c>
      <c r="M146">
        <v>173244.09</v>
      </c>
      <c r="N146" t="s">
        <v>192</v>
      </c>
      <c r="O146">
        <v>13</v>
      </c>
      <c r="P146">
        <v>128</v>
      </c>
      <c r="Q146">
        <v>1</v>
      </c>
      <c r="R146">
        <v>154</v>
      </c>
      <c r="S146">
        <v>237.6</v>
      </c>
      <c r="T146" t="s">
        <v>37</v>
      </c>
      <c r="U146" s="7">
        <f t="shared" si="8"/>
        <v>33</v>
      </c>
      <c r="V146" s="7">
        <f t="shared" si="9"/>
        <v>13</v>
      </c>
      <c r="W146" s="6">
        <f t="shared" si="10"/>
        <v>31522.010000000009</v>
      </c>
      <c r="X146" t="str">
        <f t="shared" si="11"/>
        <v>Adult</v>
      </c>
    </row>
    <row r="147" spans="1:24">
      <c r="A147" t="s">
        <v>510</v>
      </c>
      <c r="B147" t="s">
        <v>511</v>
      </c>
      <c r="C147" t="s">
        <v>40</v>
      </c>
      <c r="D147" s="5" t="s">
        <v>4237</v>
      </c>
      <c r="E147" s="5">
        <v>45257</v>
      </c>
      <c r="F147" s="5" t="s">
        <v>4237</v>
      </c>
      <c r="G147" t="s">
        <v>152</v>
      </c>
      <c r="H147" t="s">
        <v>124</v>
      </c>
      <c r="I147" t="s">
        <v>53</v>
      </c>
      <c r="J147" t="s">
        <v>97</v>
      </c>
      <c r="K147" t="s">
        <v>55</v>
      </c>
      <c r="L147" s="6">
        <v>158311.26</v>
      </c>
      <c r="M147">
        <v>153124.87</v>
      </c>
      <c r="N147" t="s">
        <v>192</v>
      </c>
      <c r="O147">
        <v>14</v>
      </c>
      <c r="P147">
        <v>42</v>
      </c>
      <c r="Q147">
        <v>1</v>
      </c>
      <c r="R147">
        <v>111</v>
      </c>
      <c r="S147">
        <v>119.1</v>
      </c>
      <c r="T147" t="s">
        <v>47</v>
      </c>
      <c r="U147" s="7" t="s">
        <v>4237</v>
      </c>
      <c r="V147" s="7" t="s">
        <v>4237</v>
      </c>
      <c r="W147" s="6">
        <f t="shared" si="10"/>
        <v>5186.390000000014</v>
      </c>
      <c r="X147" t="s">
        <v>4237</v>
      </c>
    </row>
    <row r="148" spans="1:24">
      <c r="A148" t="s">
        <v>512</v>
      </c>
      <c r="B148" t="s">
        <v>513</v>
      </c>
      <c r="C148" t="s">
        <v>133</v>
      </c>
      <c r="D148" s="5">
        <v>36826</v>
      </c>
      <c r="E148" s="5">
        <v>45299</v>
      </c>
      <c r="F148" s="5">
        <v>45316</v>
      </c>
      <c r="G148" t="s">
        <v>161</v>
      </c>
      <c r="H148" t="s">
        <v>113</v>
      </c>
      <c r="I148" t="s">
        <v>119</v>
      </c>
      <c r="J148" t="s">
        <v>34</v>
      </c>
      <c r="K148" t="s">
        <v>110</v>
      </c>
      <c r="L148" s="6">
        <v>150142.01</v>
      </c>
      <c r="M148">
        <v>115450.82</v>
      </c>
      <c r="N148" t="s">
        <v>192</v>
      </c>
      <c r="O148">
        <v>17</v>
      </c>
      <c r="P148">
        <v>103</v>
      </c>
      <c r="Q148">
        <v>3</v>
      </c>
      <c r="R148">
        <v>103</v>
      </c>
      <c r="S148">
        <v>73.099999999999994</v>
      </c>
      <c r="T148" t="s">
        <v>37</v>
      </c>
      <c r="U148" s="7">
        <f t="shared" si="8"/>
        <v>23</v>
      </c>
      <c r="V148" s="7">
        <f t="shared" si="9"/>
        <v>17</v>
      </c>
      <c r="W148" s="6">
        <f t="shared" si="10"/>
        <v>34691.19</v>
      </c>
      <c r="X148" t="str">
        <f t="shared" si="11"/>
        <v>Adult</v>
      </c>
    </row>
    <row r="149" spans="1:24">
      <c r="A149" t="s">
        <v>514</v>
      </c>
      <c r="B149" t="s">
        <v>515</v>
      </c>
      <c r="C149" t="s">
        <v>40</v>
      </c>
      <c r="D149" s="5">
        <v>39407</v>
      </c>
      <c r="E149" s="5">
        <v>45810</v>
      </c>
      <c r="F149" s="5">
        <v>45827</v>
      </c>
      <c r="G149" t="s">
        <v>161</v>
      </c>
      <c r="H149" t="s">
        <v>24</v>
      </c>
      <c r="I149" t="s">
        <v>79</v>
      </c>
      <c r="J149" t="s">
        <v>80</v>
      </c>
      <c r="K149" t="s">
        <v>55</v>
      </c>
      <c r="L149" s="6">
        <v>234759.35</v>
      </c>
      <c r="M149">
        <v>208941.3</v>
      </c>
      <c r="N149" t="s">
        <v>73</v>
      </c>
      <c r="O149">
        <v>17</v>
      </c>
      <c r="P149">
        <v>102</v>
      </c>
      <c r="Q149">
        <v>5</v>
      </c>
      <c r="R149">
        <v>165</v>
      </c>
      <c r="S149">
        <v>222.9</v>
      </c>
      <c r="T149" t="s">
        <v>4237</v>
      </c>
      <c r="U149" s="7">
        <f t="shared" si="8"/>
        <v>17</v>
      </c>
      <c r="V149" s="7">
        <f t="shared" si="9"/>
        <v>17</v>
      </c>
      <c r="W149" s="6">
        <f t="shared" si="10"/>
        <v>25818.050000000017</v>
      </c>
      <c r="X149" t="str">
        <f t="shared" si="11"/>
        <v>Child</v>
      </c>
    </row>
    <row r="150" spans="1:24">
      <c r="A150" t="s">
        <v>516</v>
      </c>
      <c r="B150" t="s">
        <v>517</v>
      </c>
      <c r="C150" t="s">
        <v>40</v>
      </c>
      <c r="D150" s="5">
        <v>21064</v>
      </c>
      <c r="E150" s="5">
        <v>45695</v>
      </c>
      <c r="F150" s="5">
        <v>45702</v>
      </c>
      <c r="G150" t="s">
        <v>105</v>
      </c>
      <c r="H150" t="s">
        <v>134</v>
      </c>
      <c r="I150" t="s">
        <v>119</v>
      </c>
      <c r="J150" t="s">
        <v>26</v>
      </c>
      <c r="K150" t="s">
        <v>55</v>
      </c>
      <c r="L150" s="6">
        <v>40807.699999999997</v>
      </c>
      <c r="M150">
        <v>30371.919999999998</v>
      </c>
      <c r="N150" t="s">
        <v>56</v>
      </c>
      <c r="O150">
        <v>7</v>
      </c>
      <c r="P150">
        <v>71</v>
      </c>
      <c r="Q150">
        <v>4</v>
      </c>
      <c r="R150">
        <v>144</v>
      </c>
      <c r="S150">
        <v>177.3</v>
      </c>
      <c r="T150" t="s">
        <v>37</v>
      </c>
      <c r="U150" s="7">
        <f t="shared" si="8"/>
        <v>67</v>
      </c>
      <c r="V150" s="7">
        <f t="shared" si="9"/>
        <v>7</v>
      </c>
      <c r="W150" s="6">
        <f t="shared" si="10"/>
        <v>10435.779999999999</v>
      </c>
      <c r="X150" t="str">
        <f t="shared" si="11"/>
        <v>Senior</v>
      </c>
    </row>
    <row r="151" spans="1:24">
      <c r="A151" t="s">
        <v>519</v>
      </c>
      <c r="B151" t="s">
        <v>249</v>
      </c>
      <c r="C151" t="s">
        <v>40</v>
      </c>
      <c r="D151" s="5">
        <v>38295</v>
      </c>
      <c r="E151" s="5">
        <v>45397</v>
      </c>
      <c r="F151" s="5">
        <v>45412</v>
      </c>
      <c r="G151" t="s">
        <v>62</v>
      </c>
      <c r="H151" t="s">
        <v>52</v>
      </c>
      <c r="I151" t="s">
        <v>45</v>
      </c>
      <c r="J151" t="s">
        <v>64</v>
      </c>
      <c r="K151" t="s">
        <v>120</v>
      </c>
      <c r="L151" s="6">
        <v>101638.82</v>
      </c>
      <c r="M151">
        <v>95566.52</v>
      </c>
      <c r="N151" t="s">
        <v>35</v>
      </c>
      <c r="O151">
        <v>15</v>
      </c>
      <c r="P151">
        <v>162</v>
      </c>
      <c r="Q151">
        <v>1</v>
      </c>
      <c r="R151">
        <v>110</v>
      </c>
      <c r="S151">
        <v>143.9</v>
      </c>
      <c r="T151" t="s">
        <v>4237</v>
      </c>
      <c r="U151" s="7">
        <f t="shared" si="8"/>
        <v>19</v>
      </c>
      <c r="V151" s="7">
        <f t="shared" si="9"/>
        <v>15</v>
      </c>
      <c r="W151" s="6">
        <f t="shared" si="10"/>
        <v>6072.3000000000029</v>
      </c>
      <c r="X151" t="str">
        <f t="shared" si="11"/>
        <v>Adult</v>
      </c>
    </row>
    <row r="152" spans="1:24">
      <c r="A152" t="s">
        <v>521</v>
      </c>
      <c r="B152" t="s">
        <v>522</v>
      </c>
      <c r="C152" t="s">
        <v>40</v>
      </c>
      <c r="D152" s="5">
        <v>25192</v>
      </c>
      <c r="E152" s="5">
        <v>45044</v>
      </c>
      <c r="F152" s="5">
        <v>45050</v>
      </c>
      <c r="G152" t="s">
        <v>77</v>
      </c>
      <c r="H152" t="s">
        <v>24</v>
      </c>
      <c r="I152" t="s">
        <v>33</v>
      </c>
      <c r="J152" t="s">
        <v>64</v>
      </c>
      <c r="K152" t="s">
        <v>120</v>
      </c>
      <c r="L152" s="6">
        <v>73286.61</v>
      </c>
      <c r="M152">
        <v>68536.75</v>
      </c>
      <c r="N152" t="s">
        <v>35</v>
      </c>
      <c r="O152">
        <v>6</v>
      </c>
      <c r="P152">
        <v>135</v>
      </c>
      <c r="Q152">
        <v>4</v>
      </c>
      <c r="R152">
        <v>179</v>
      </c>
      <c r="S152">
        <v>114</v>
      </c>
      <c r="T152" t="s">
        <v>47</v>
      </c>
      <c r="U152" s="7">
        <f t="shared" si="8"/>
        <v>54</v>
      </c>
      <c r="V152" s="7">
        <f t="shared" si="9"/>
        <v>6</v>
      </c>
      <c r="W152" s="6">
        <f t="shared" si="10"/>
        <v>4749.8600000000006</v>
      </c>
      <c r="X152" t="str">
        <f t="shared" si="11"/>
        <v>Middle Age</v>
      </c>
    </row>
    <row r="153" spans="1:24">
      <c r="A153" t="s">
        <v>523</v>
      </c>
      <c r="B153" t="s">
        <v>524</v>
      </c>
      <c r="C153" t="s">
        <v>40</v>
      </c>
      <c r="D153" s="5">
        <v>31191</v>
      </c>
      <c r="E153" s="5">
        <v>45639</v>
      </c>
      <c r="F153" s="5">
        <v>45651</v>
      </c>
      <c r="G153" t="s">
        <v>109</v>
      </c>
      <c r="H153" t="s">
        <v>86</v>
      </c>
      <c r="I153" t="s">
        <v>45</v>
      </c>
      <c r="J153" t="s">
        <v>34</v>
      </c>
      <c r="K153" t="s">
        <v>120</v>
      </c>
      <c r="L153" s="6">
        <v>232604.18</v>
      </c>
      <c r="M153">
        <v>146832.76</v>
      </c>
      <c r="N153" t="s">
        <v>56</v>
      </c>
      <c r="O153">
        <v>12</v>
      </c>
      <c r="P153">
        <v>49</v>
      </c>
      <c r="Q153">
        <v>4</v>
      </c>
      <c r="R153">
        <v>154</v>
      </c>
      <c r="S153">
        <v>90.2</v>
      </c>
      <c r="T153" t="s">
        <v>37</v>
      </c>
      <c r="U153" s="7">
        <f t="shared" si="8"/>
        <v>39</v>
      </c>
      <c r="V153" s="7">
        <f t="shared" si="9"/>
        <v>12</v>
      </c>
      <c r="W153" s="6">
        <f t="shared" si="10"/>
        <v>85771.419999999984</v>
      </c>
      <c r="X153" t="str">
        <f t="shared" si="11"/>
        <v>Adult</v>
      </c>
    </row>
    <row r="154" spans="1:24">
      <c r="A154" t="s">
        <v>526</v>
      </c>
      <c r="B154" t="s">
        <v>527</v>
      </c>
      <c r="C154" t="s">
        <v>40</v>
      </c>
      <c r="D154" s="5">
        <v>36394</v>
      </c>
      <c r="E154" s="5">
        <v>45870</v>
      </c>
      <c r="F154" s="5">
        <v>45696</v>
      </c>
      <c r="G154" t="s">
        <v>109</v>
      </c>
      <c r="H154" t="s">
        <v>52</v>
      </c>
      <c r="I154" t="s">
        <v>79</v>
      </c>
      <c r="J154" t="s">
        <v>80</v>
      </c>
      <c r="K154" t="s">
        <v>27</v>
      </c>
      <c r="L154" s="6">
        <v>170035.96</v>
      </c>
      <c r="M154">
        <v>159842.04</v>
      </c>
      <c r="N154" t="s">
        <v>56</v>
      </c>
      <c r="O154">
        <v>1</v>
      </c>
      <c r="P154">
        <v>110</v>
      </c>
      <c r="Q154">
        <v>5</v>
      </c>
      <c r="R154">
        <v>156</v>
      </c>
      <c r="S154">
        <v>171.8</v>
      </c>
      <c r="T154" t="s">
        <v>4237</v>
      </c>
      <c r="U154" s="7">
        <f t="shared" si="8"/>
        <v>25</v>
      </c>
      <c r="V154" s="7">
        <f t="shared" si="9"/>
        <v>-174</v>
      </c>
      <c r="W154" s="6">
        <f t="shared" si="10"/>
        <v>10193.919999999984</v>
      </c>
      <c r="X154" t="str">
        <f t="shared" si="11"/>
        <v>Adult</v>
      </c>
    </row>
    <row r="155" spans="1:24">
      <c r="A155" t="s">
        <v>530</v>
      </c>
      <c r="B155" t="s">
        <v>531</v>
      </c>
      <c r="C155" t="s">
        <v>133</v>
      </c>
      <c r="D155" s="5">
        <v>29927</v>
      </c>
      <c r="E155" s="5">
        <v>45407</v>
      </c>
      <c r="F155" s="5">
        <v>45415</v>
      </c>
      <c r="G155" t="s">
        <v>94</v>
      </c>
      <c r="H155" t="s">
        <v>86</v>
      </c>
      <c r="I155" t="s">
        <v>45</v>
      </c>
      <c r="J155" t="s">
        <v>80</v>
      </c>
      <c r="K155" t="s">
        <v>55</v>
      </c>
      <c r="L155" s="6">
        <v>209492.84</v>
      </c>
      <c r="M155">
        <v>156448.97</v>
      </c>
      <c r="N155" t="s">
        <v>35</v>
      </c>
      <c r="O155">
        <v>8</v>
      </c>
      <c r="P155">
        <v>32</v>
      </c>
      <c r="Q155">
        <v>2</v>
      </c>
      <c r="R155">
        <v>100</v>
      </c>
      <c r="S155">
        <v>198.4</v>
      </c>
      <c r="T155" t="s">
        <v>4237</v>
      </c>
      <c r="U155" s="7">
        <f t="shared" si="8"/>
        <v>42</v>
      </c>
      <c r="V155" s="7">
        <f t="shared" si="9"/>
        <v>8</v>
      </c>
      <c r="W155" s="6">
        <f t="shared" si="10"/>
        <v>53043.869999999995</v>
      </c>
      <c r="X155" t="str">
        <f t="shared" si="11"/>
        <v>Middle Age</v>
      </c>
    </row>
    <row r="156" spans="1:24">
      <c r="A156" t="s">
        <v>534</v>
      </c>
      <c r="B156" t="s">
        <v>492</v>
      </c>
      <c r="C156" t="s">
        <v>133</v>
      </c>
      <c r="D156" s="5">
        <v>24661</v>
      </c>
      <c r="E156" s="5">
        <v>45189</v>
      </c>
      <c r="F156" s="5" t="s">
        <v>4237</v>
      </c>
      <c r="G156" t="s">
        <v>43</v>
      </c>
      <c r="H156" t="s">
        <v>32</v>
      </c>
      <c r="I156" t="s">
        <v>25</v>
      </c>
      <c r="J156" t="s">
        <v>64</v>
      </c>
      <c r="K156" t="s">
        <v>55</v>
      </c>
      <c r="L156" s="6">
        <v>88454.02</v>
      </c>
      <c r="M156">
        <v>70131.259999999995</v>
      </c>
      <c r="N156" t="s">
        <v>35</v>
      </c>
      <c r="O156">
        <v>2</v>
      </c>
      <c r="P156">
        <v>122</v>
      </c>
      <c r="Q156">
        <v>2</v>
      </c>
      <c r="R156">
        <v>179</v>
      </c>
      <c r="S156">
        <v>168.5</v>
      </c>
      <c r="T156" t="s">
        <v>65</v>
      </c>
      <c r="U156" s="7">
        <f t="shared" si="8"/>
        <v>56</v>
      </c>
      <c r="V156" s="7" t="s">
        <v>4237</v>
      </c>
      <c r="W156" s="6">
        <f t="shared" si="10"/>
        <v>18322.760000000009</v>
      </c>
      <c r="X156" t="str">
        <f t="shared" si="11"/>
        <v>Middle Age</v>
      </c>
    </row>
    <row r="157" spans="1:24">
      <c r="A157" t="s">
        <v>537</v>
      </c>
      <c r="B157" t="s">
        <v>168</v>
      </c>
      <c r="C157" t="s">
        <v>133</v>
      </c>
      <c r="D157" s="5">
        <v>29774</v>
      </c>
      <c r="E157" s="5">
        <v>45785</v>
      </c>
      <c r="F157" s="5">
        <v>45797</v>
      </c>
      <c r="G157" t="s">
        <v>43</v>
      </c>
      <c r="H157" t="s">
        <v>44</v>
      </c>
      <c r="I157" t="s">
        <v>33</v>
      </c>
      <c r="J157" t="s">
        <v>97</v>
      </c>
      <c r="K157" t="s">
        <v>55</v>
      </c>
      <c r="L157" s="6">
        <v>123663.9</v>
      </c>
      <c r="M157">
        <v>117330.11</v>
      </c>
      <c r="N157" t="s">
        <v>192</v>
      </c>
      <c r="O157">
        <v>12</v>
      </c>
      <c r="P157">
        <v>213</v>
      </c>
      <c r="Q157">
        <v>2</v>
      </c>
      <c r="R157">
        <v>182</v>
      </c>
      <c r="S157">
        <v>121.3</v>
      </c>
      <c r="T157" t="s">
        <v>47</v>
      </c>
      <c r="U157" s="7">
        <f t="shared" si="8"/>
        <v>43</v>
      </c>
      <c r="V157" s="7">
        <f t="shared" si="9"/>
        <v>12</v>
      </c>
      <c r="W157" s="6">
        <f t="shared" si="10"/>
        <v>6333.7899999999936</v>
      </c>
      <c r="X157" t="str">
        <f t="shared" si="11"/>
        <v>Middle Age</v>
      </c>
    </row>
    <row r="158" spans="1:24">
      <c r="A158" t="s">
        <v>540</v>
      </c>
      <c r="B158" t="s">
        <v>541</v>
      </c>
      <c r="C158" t="s">
        <v>40</v>
      </c>
      <c r="D158" s="5">
        <v>36748</v>
      </c>
      <c r="E158" s="5">
        <v>45440</v>
      </c>
      <c r="F158" s="5">
        <v>45458</v>
      </c>
      <c r="G158" t="s">
        <v>152</v>
      </c>
      <c r="H158" t="s">
        <v>124</v>
      </c>
      <c r="I158" t="s">
        <v>33</v>
      </c>
      <c r="J158" t="s">
        <v>97</v>
      </c>
      <c r="K158" t="s">
        <v>120</v>
      </c>
      <c r="L158" s="6">
        <v>17359</v>
      </c>
      <c r="M158">
        <v>14632.97</v>
      </c>
      <c r="N158" t="s">
        <v>73</v>
      </c>
      <c r="O158">
        <v>18</v>
      </c>
      <c r="P158">
        <v>166</v>
      </c>
      <c r="Q158">
        <v>2</v>
      </c>
      <c r="R158">
        <v>147</v>
      </c>
      <c r="S158">
        <v>211.5</v>
      </c>
      <c r="T158" t="s">
        <v>65</v>
      </c>
      <c r="U158" s="7">
        <f t="shared" si="8"/>
        <v>23</v>
      </c>
      <c r="V158" s="7">
        <f t="shared" si="9"/>
        <v>18</v>
      </c>
      <c r="W158" s="6">
        <f t="shared" si="10"/>
        <v>2726.0300000000007</v>
      </c>
      <c r="X158" t="str">
        <f t="shared" si="11"/>
        <v>Adult</v>
      </c>
    </row>
    <row r="159" spans="1:24">
      <c r="A159" t="s">
        <v>542</v>
      </c>
      <c r="B159" t="s">
        <v>301</v>
      </c>
      <c r="C159" t="s">
        <v>40</v>
      </c>
      <c r="D159" s="5">
        <v>26472</v>
      </c>
      <c r="E159" s="5">
        <v>45972</v>
      </c>
      <c r="F159" s="5" t="s">
        <v>4237</v>
      </c>
      <c r="G159" t="s">
        <v>77</v>
      </c>
      <c r="H159" t="s">
        <v>52</v>
      </c>
      <c r="I159" t="s">
        <v>79</v>
      </c>
      <c r="J159" t="s">
        <v>64</v>
      </c>
      <c r="K159" t="s">
        <v>55</v>
      </c>
      <c r="L159" s="6">
        <v>73414.59</v>
      </c>
      <c r="M159">
        <v>61589.82</v>
      </c>
      <c r="N159" t="s">
        <v>192</v>
      </c>
      <c r="O159">
        <v>16</v>
      </c>
      <c r="P159">
        <v>227</v>
      </c>
      <c r="Q159">
        <v>3</v>
      </c>
      <c r="R159">
        <v>171</v>
      </c>
      <c r="S159">
        <v>223.5</v>
      </c>
      <c r="T159" t="s">
        <v>65</v>
      </c>
      <c r="U159" s="7">
        <f t="shared" si="8"/>
        <v>53</v>
      </c>
      <c r="V159" s="7" t="s">
        <v>4237</v>
      </c>
      <c r="W159" s="6">
        <f t="shared" si="10"/>
        <v>11824.769999999997</v>
      </c>
      <c r="X159" t="str">
        <f t="shared" si="11"/>
        <v>Middle Age</v>
      </c>
    </row>
    <row r="160" spans="1:24">
      <c r="A160" t="s">
        <v>4108</v>
      </c>
      <c r="B160" t="s">
        <v>545</v>
      </c>
      <c r="C160" t="s">
        <v>133</v>
      </c>
      <c r="D160" s="5">
        <v>35720</v>
      </c>
      <c r="E160" s="5">
        <v>45849</v>
      </c>
      <c r="F160" s="5">
        <v>45863</v>
      </c>
      <c r="G160" t="s">
        <v>117</v>
      </c>
      <c r="H160" t="s">
        <v>24</v>
      </c>
      <c r="I160" t="s">
        <v>33</v>
      </c>
      <c r="J160" t="s">
        <v>80</v>
      </c>
      <c r="K160" t="s">
        <v>55</v>
      </c>
      <c r="L160" s="6">
        <v>166350.57999999999</v>
      </c>
      <c r="M160">
        <v>128701.74</v>
      </c>
      <c r="N160" t="s">
        <v>73</v>
      </c>
      <c r="O160">
        <v>14</v>
      </c>
      <c r="P160">
        <v>25</v>
      </c>
      <c r="Q160">
        <v>4</v>
      </c>
      <c r="R160">
        <v>111</v>
      </c>
      <c r="S160">
        <v>145.4</v>
      </c>
      <c r="T160" t="s">
        <v>37</v>
      </c>
      <c r="U160" s="7">
        <f t="shared" si="8"/>
        <v>27</v>
      </c>
      <c r="V160" s="7">
        <f t="shared" si="9"/>
        <v>14</v>
      </c>
      <c r="W160" s="6">
        <f t="shared" si="10"/>
        <v>37648.839999999982</v>
      </c>
      <c r="X160" t="str">
        <f t="shared" si="11"/>
        <v>Adult</v>
      </c>
    </row>
    <row r="161" spans="1:24">
      <c r="A161" t="s">
        <v>547</v>
      </c>
      <c r="B161" t="s">
        <v>548</v>
      </c>
      <c r="C161" t="s">
        <v>40</v>
      </c>
      <c r="D161" s="5">
        <v>35565</v>
      </c>
      <c r="E161" s="5">
        <v>45185</v>
      </c>
      <c r="F161" s="5">
        <v>45190</v>
      </c>
      <c r="G161" t="s">
        <v>62</v>
      </c>
      <c r="H161" t="s">
        <v>24</v>
      </c>
      <c r="I161" t="s">
        <v>25</v>
      </c>
      <c r="J161" t="s">
        <v>46</v>
      </c>
      <c r="K161" t="s">
        <v>55</v>
      </c>
      <c r="L161" s="6">
        <v>215441.28</v>
      </c>
      <c r="M161">
        <v>206666.86</v>
      </c>
      <c r="N161" t="s">
        <v>192</v>
      </c>
      <c r="O161">
        <v>5</v>
      </c>
      <c r="P161">
        <v>124</v>
      </c>
      <c r="Q161">
        <v>4</v>
      </c>
      <c r="R161">
        <v>124</v>
      </c>
      <c r="S161">
        <v>174.2</v>
      </c>
      <c r="T161" t="s">
        <v>47</v>
      </c>
      <c r="U161" s="7">
        <f t="shared" si="8"/>
        <v>26</v>
      </c>
      <c r="V161" s="7">
        <f t="shared" si="9"/>
        <v>5</v>
      </c>
      <c r="W161" s="6">
        <f t="shared" si="10"/>
        <v>8774.4200000000128</v>
      </c>
      <c r="X161" t="str">
        <f t="shared" si="11"/>
        <v>Adult</v>
      </c>
    </row>
    <row r="162" spans="1:24">
      <c r="A162" t="s">
        <v>549</v>
      </c>
      <c r="B162" t="s">
        <v>550</v>
      </c>
      <c r="C162" t="s">
        <v>40</v>
      </c>
      <c r="D162" s="5">
        <v>27885</v>
      </c>
      <c r="E162" s="5">
        <v>45548</v>
      </c>
      <c r="F162" s="5" t="s">
        <v>4237</v>
      </c>
      <c r="G162" t="s">
        <v>94</v>
      </c>
      <c r="H162" t="s">
        <v>78</v>
      </c>
      <c r="I162" t="s">
        <v>53</v>
      </c>
      <c r="J162" t="s">
        <v>46</v>
      </c>
      <c r="K162" t="s">
        <v>27</v>
      </c>
      <c r="L162" s="6">
        <v>73473.66</v>
      </c>
      <c r="M162">
        <v>46453.4</v>
      </c>
      <c r="N162" t="s">
        <v>56</v>
      </c>
      <c r="O162">
        <v>1</v>
      </c>
      <c r="P162">
        <v>130</v>
      </c>
      <c r="Q162">
        <v>4</v>
      </c>
      <c r="R162">
        <v>128</v>
      </c>
      <c r="S162">
        <v>71.7</v>
      </c>
      <c r="T162" t="s">
        <v>37</v>
      </c>
      <c r="U162" s="7">
        <f t="shared" si="8"/>
        <v>48</v>
      </c>
      <c r="V162" s="7" t="s">
        <v>4237</v>
      </c>
      <c r="W162" s="6">
        <f t="shared" si="10"/>
        <v>27020.260000000002</v>
      </c>
      <c r="X162" t="str">
        <f t="shared" si="11"/>
        <v>Middle Age</v>
      </c>
    </row>
    <row r="163" spans="1:24">
      <c r="A163" t="s">
        <v>552</v>
      </c>
      <c r="B163" t="s">
        <v>553</v>
      </c>
      <c r="C163" t="s">
        <v>133</v>
      </c>
      <c r="D163" s="5">
        <v>28437</v>
      </c>
      <c r="E163" s="5">
        <v>45985</v>
      </c>
      <c r="F163" s="5">
        <v>45994</v>
      </c>
      <c r="G163" t="s">
        <v>161</v>
      </c>
      <c r="H163" t="s">
        <v>95</v>
      </c>
      <c r="I163" t="s">
        <v>33</v>
      </c>
      <c r="J163" t="s">
        <v>34</v>
      </c>
      <c r="K163" t="s">
        <v>55</v>
      </c>
      <c r="L163" s="6">
        <v>49030.15</v>
      </c>
      <c r="M163">
        <v>37004.14</v>
      </c>
      <c r="N163" t="s">
        <v>56</v>
      </c>
      <c r="O163">
        <v>9</v>
      </c>
      <c r="P163">
        <v>79</v>
      </c>
      <c r="Q163">
        <v>2</v>
      </c>
      <c r="R163">
        <v>171</v>
      </c>
      <c r="S163">
        <v>156.5</v>
      </c>
      <c r="T163" t="s">
        <v>37</v>
      </c>
      <c r="U163" s="7">
        <f t="shared" si="8"/>
        <v>48</v>
      </c>
      <c r="V163" s="7">
        <f t="shared" si="9"/>
        <v>9</v>
      </c>
      <c r="W163" s="6">
        <f t="shared" si="10"/>
        <v>12026.010000000002</v>
      </c>
      <c r="X163" t="str">
        <f t="shared" si="11"/>
        <v>Middle Age</v>
      </c>
    </row>
    <row r="164" spans="1:24">
      <c r="A164" t="s">
        <v>555</v>
      </c>
      <c r="B164" t="s">
        <v>556</v>
      </c>
      <c r="C164" t="s">
        <v>133</v>
      </c>
      <c r="D164" s="5">
        <v>18482</v>
      </c>
      <c r="E164" s="5">
        <v>45627</v>
      </c>
      <c r="F164" s="5">
        <v>45641</v>
      </c>
      <c r="G164" t="s">
        <v>94</v>
      </c>
      <c r="H164" t="s">
        <v>32</v>
      </c>
      <c r="I164" t="s">
        <v>119</v>
      </c>
      <c r="J164" t="s">
        <v>34</v>
      </c>
      <c r="K164" t="s">
        <v>55</v>
      </c>
      <c r="L164" s="6">
        <v>123663.9</v>
      </c>
      <c r="M164">
        <v>139831.15</v>
      </c>
      <c r="N164" t="s">
        <v>73</v>
      </c>
      <c r="O164">
        <v>14</v>
      </c>
      <c r="P164">
        <v>220</v>
      </c>
      <c r="Q164">
        <v>3</v>
      </c>
      <c r="R164">
        <v>97</v>
      </c>
      <c r="S164">
        <v>120.6</v>
      </c>
      <c r="T164" t="s">
        <v>37</v>
      </c>
      <c r="U164" s="7">
        <f t="shared" si="8"/>
        <v>74</v>
      </c>
      <c r="V164" s="7">
        <f t="shared" si="9"/>
        <v>14</v>
      </c>
      <c r="W164" s="6">
        <f t="shared" si="10"/>
        <v>-16167.25</v>
      </c>
      <c r="X164" t="str">
        <f t="shared" si="11"/>
        <v>Senior</v>
      </c>
    </row>
    <row r="165" spans="1:24">
      <c r="A165" t="s">
        <v>557</v>
      </c>
      <c r="B165" t="s">
        <v>314</v>
      </c>
      <c r="C165" t="s">
        <v>40</v>
      </c>
      <c r="D165" s="5">
        <v>22882</v>
      </c>
      <c r="E165" s="5">
        <v>45119</v>
      </c>
      <c r="F165" s="5">
        <v>45136</v>
      </c>
      <c r="G165" t="s">
        <v>94</v>
      </c>
      <c r="H165" t="s">
        <v>32</v>
      </c>
      <c r="I165" t="s">
        <v>79</v>
      </c>
      <c r="J165" t="s">
        <v>71</v>
      </c>
      <c r="K165" t="s">
        <v>27</v>
      </c>
      <c r="L165" s="6">
        <v>234213.27</v>
      </c>
      <c r="M165">
        <v>208156.87</v>
      </c>
      <c r="N165" t="s">
        <v>56</v>
      </c>
      <c r="O165">
        <v>17</v>
      </c>
      <c r="P165">
        <v>121</v>
      </c>
      <c r="Q165">
        <v>4</v>
      </c>
      <c r="R165">
        <v>156</v>
      </c>
      <c r="S165">
        <v>93.2</v>
      </c>
      <c r="T165" t="s">
        <v>37</v>
      </c>
      <c r="U165" s="7">
        <f t="shared" si="8"/>
        <v>60</v>
      </c>
      <c r="V165" s="7">
        <f t="shared" si="9"/>
        <v>17</v>
      </c>
      <c r="W165" s="6">
        <f t="shared" si="10"/>
        <v>26056.399999999994</v>
      </c>
      <c r="X165" t="str">
        <f t="shared" si="11"/>
        <v>Senior</v>
      </c>
    </row>
    <row r="166" spans="1:24">
      <c r="A166" t="s">
        <v>559</v>
      </c>
      <c r="B166" t="s">
        <v>560</v>
      </c>
      <c r="C166" t="s">
        <v>40</v>
      </c>
      <c r="D166" s="5">
        <v>18282</v>
      </c>
      <c r="E166" s="5">
        <v>45900</v>
      </c>
      <c r="F166" s="5">
        <v>45905</v>
      </c>
      <c r="G166" t="s">
        <v>161</v>
      </c>
      <c r="H166" t="s">
        <v>86</v>
      </c>
      <c r="I166" t="s">
        <v>53</v>
      </c>
      <c r="J166" t="s">
        <v>34</v>
      </c>
      <c r="K166" t="s">
        <v>110</v>
      </c>
      <c r="L166" s="6">
        <v>25121.88</v>
      </c>
      <c r="M166">
        <v>18122.27</v>
      </c>
      <c r="N166" t="s">
        <v>73</v>
      </c>
      <c r="O166">
        <v>5</v>
      </c>
      <c r="P166">
        <v>199</v>
      </c>
      <c r="Q166">
        <v>1</v>
      </c>
      <c r="R166">
        <v>97</v>
      </c>
      <c r="S166">
        <v>163.5</v>
      </c>
      <c r="T166" t="s">
        <v>47</v>
      </c>
      <c r="U166" s="7">
        <f t="shared" si="8"/>
        <v>75</v>
      </c>
      <c r="V166" s="7">
        <f t="shared" si="9"/>
        <v>5</v>
      </c>
      <c r="W166" s="6">
        <f t="shared" si="10"/>
        <v>6999.6100000000006</v>
      </c>
      <c r="X166" t="str">
        <f t="shared" si="11"/>
        <v>Senior</v>
      </c>
    </row>
    <row r="167" spans="1:24">
      <c r="A167" t="s">
        <v>562</v>
      </c>
      <c r="B167" t="s">
        <v>563</v>
      </c>
      <c r="C167" t="s">
        <v>40</v>
      </c>
      <c r="D167" s="5">
        <v>29935</v>
      </c>
      <c r="E167" s="5">
        <v>45530</v>
      </c>
      <c r="F167" s="5">
        <v>45548</v>
      </c>
      <c r="G167" t="s">
        <v>94</v>
      </c>
      <c r="H167" t="s">
        <v>118</v>
      </c>
      <c r="I167" t="s">
        <v>53</v>
      </c>
      <c r="J167" t="s">
        <v>64</v>
      </c>
      <c r="K167" t="s">
        <v>161</v>
      </c>
      <c r="L167" s="6">
        <v>88547.01</v>
      </c>
      <c r="M167">
        <v>63261.58</v>
      </c>
      <c r="N167" t="s">
        <v>4237</v>
      </c>
      <c r="O167">
        <v>18</v>
      </c>
      <c r="P167">
        <v>227</v>
      </c>
      <c r="Q167">
        <v>4</v>
      </c>
      <c r="R167">
        <v>110</v>
      </c>
      <c r="S167">
        <v>83.1</v>
      </c>
      <c r="T167" t="s">
        <v>47</v>
      </c>
      <c r="U167" s="7">
        <f t="shared" si="8"/>
        <v>42</v>
      </c>
      <c r="V167" s="7">
        <f t="shared" si="9"/>
        <v>18</v>
      </c>
      <c r="W167" s="6">
        <f t="shared" si="10"/>
        <v>25285.429999999993</v>
      </c>
      <c r="X167" t="str">
        <f t="shared" si="11"/>
        <v>Middle Age</v>
      </c>
    </row>
    <row r="168" spans="1:24">
      <c r="A168" t="s">
        <v>564</v>
      </c>
      <c r="B168" t="s">
        <v>565</v>
      </c>
      <c r="C168" t="s">
        <v>40</v>
      </c>
      <c r="D168" s="5">
        <v>35117</v>
      </c>
      <c r="E168" s="5">
        <v>45720</v>
      </c>
      <c r="F168" s="5">
        <v>45727</v>
      </c>
      <c r="G168" t="s">
        <v>77</v>
      </c>
      <c r="H168" t="s">
        <v>78</v>
      </c>
      <c r="I168" t="s">
        <v>53</v>
      </c>
      <c r="J168" t="s">
        <v>64</v>
      </c>
      <c r="K168" t="s">
        <v>110</v>
      </c>
      <c r="L168" s="6">
        <v>72574.45</v>
      </c>
      <c r="M168">
        <v>61518.29</v>
      </c>
      <c r="N168" t="s">
        <v>192</v>
      </c>
      <c r="O168">
        <v>7</v>
      </c>
      <c r="P168">
        <v>33</v>
      </c>
      <c r="Q168">
        <v>2</v>
      </c>
      <c r="R168">
        <v>156</v>
      </c>
      <c r="S168">
        <v>195.2</v>
      </c>
      <c r="T168" t="s">
        <v>37</v>
      </c>
      <c r="U168" s="7">
        <f t="shared" si="8"/>
        <v>29</v>
      </c>
      <c r="V168" s="7">
        <f t="shared" si="9"/>
        <v>7</v>
      </c>
      <c r="W168" s="6">
        <f t="shared" si="10"/>
        <v>11056.159999999996</v>
      </c>
      <c r="X168" t="str">
        <f t="shared" si="11"/>
        <v>Adult</v>
      </c>
    </row>
    <row r="169" spans="1:24">
      <c r="A169" t="s">
        <v>567</v>
      </c>
      <c r="B169" t="s">
        <v>568</v>
      </c>
      <c r="C169" t="s">
        <v>133</v>
      </c>
      <c r="D169" s="5">
        <v>23673</v>
      </c>
      <c r="E169" s="5">
        <v>45072</v>
      </c>
      <c r="F169" s="5">
        <v>45073</v>
      </c>
      <c r="G169" t="s">
        <v>94</v>
      </c>
      <c r="H169" t="s">
        <v>113</v>
      </c>
      <c r="I169" t="s">
        <v>33</v>
      </c>
      <c r="J169" t="s">
        <v>26</v>
      </c>
      <c r="K169" t="s">
        <v>55</v>
      </c>
      <c r="L169" s="6">
        <v>118344.64</v>
      </c>
      <c r="M169">
        <v>72246.86</v>
      </c>
      <c r="N169" t="s">
        <v>56</v>
      </c>
      <c r="O169">
        <v>1</v>
      </c>
      <c r="P169">
        <v>147</v>
      </c>
      <c r="Q169">
        <v>4</v>
      </c>
      <c r="R169">
        <v>137</v>
      </c>
      <c r="S169">
        <v>220.9</v>
      </c>
      <c r="T169" t="s">
        <v>37</v>
      </c>
      <c r="U169" s="7">
        <f t="shared" si="8"/>
        <v>58</v>
      </c>
      <c r="V169" s="7">
        <f t="shared" si="9"/>
        <v>1</v>
      </c>
      <c r="W169" s="6">
        <f t="shared" si="10"/>
        <v>46097.78</v>
      </c>
      <c r="X169" t="str">
        <f t="shared" si="11"/>
        <v>Middle Age</v>
      </c>
    </row>
    <row r="170" spans="1:24">
      <c r="A170" t="s">
        <v>570</v>
      </c>
      <c r="B170" t="s">
        <v>244</v>
      </c>
      <c r="C170" t="s">
        <v>40</v>
      </c>
      <c r="D170" s="5">
        <v>31399</v>
      </c>
      <c r="E170" s="5">
        <v>45777</v>
      </c>
      <c r="F170" s="5">
        <v>45781</v>
      </c>
      <c r="G170" t="s">
        <v>117</v>
      </c>
      <c r="H170" t="s">
        <v>63</v>
      </c>
      <c r="I170" t="s">
        <v>33</v>
      </c>
      <c r="J170" t="s">
        <v>34</v>
      </c>
      <c r="K170" t="s">
        <v>120</v>
      </c>
      <c r="L170" s="6">
        <v>220998.94</v>
      </c>
      <c r="M170">
        <v>207239.21</v>
      </c>
      <c r="N170" t="s">
        <v>4237</v>
      </c>
      <c r="O170">
        <v>4</v>
      </c>
      <c r="P170">
        <v>145</v>
      </c>
      <c r="Q170">
        <v>4</v>
      </c>
      <c r="R170">
        <v>154</v>
      </c>
      <c r="S170">
        <v>134.1</v>
      </c>
      <c r="T170" t="s">
        <v>47</v>
      </c>
      <c r="U170" s="7">
        <f t="shared" si="8"/>
        <v>39</v>
      </c>
      <c r="V170" s="7">
        <f t="shared" si="9"/>
        <v>4</v>
      </c>
      <c r="W170" s="6">
        <f t="shared" si="10"/>
        <v>13759.73000000001</v>
      </c>
      <c r="X170" t="str">
        <f t="shared" si="11"/>
        <v>Adult</v>
      </c>
    </row>
    <row r="171" spans="1:24">
      <c r="A171" t="s">
        <v>571</v>
      </c>
      <c r="B171" t="s">
        <v>572</v>
      </c>
      <c r="C171" t="s">
        <v>133</v>
      </c>
      <c r="D171" s="5">
        <v>36427</v>
      </c>
      <c r="E171" s="5">
        <v>45447</v>
      </c>
      <c r="F171" s="5">
        <v>45459</v>
      </c>
      <c r="G171" t="s">
        <v>77</v>
      </c>
      <c r="H171" t="s">
        <v>134</v>
      </c>
      <c r="I171" t="s">
        <v>25</v>
      </c>
      <c r="J171" t="s">
        <v>179</v>
      </c>
      <c r="K171" t="s">
        <v>120</v>
      </c>
      <c r="L171" s="6">
        <v>245781.73</v>
      </c>
      <c r="M171">
        <v>155924.34</v>
      </c>
      <c r="N171" t="s">
        <v>91</v>
      </c>
      <c r="O171">
        <v>12</v>
      </c>
      <c r="P171">
        <v>39</v>
      </c>
      <c r="Q171">
        <v>5</v>
      </c>
      <c r="R171">
        <v>90</v>
      </c>
      <c r="S171">
        <v>127.1</v>
      </c>
      <c r="T171" t="s">
        <v>47</v>
      </c>
      <c r="U171" s="7">
        <f t="shared" si="8"/>
        <v>24</v>
      </c>
      <c r="V171" s="7">
        <f t="shared" si="9"/>
        <v>12</v>
      </c>
      <c r="W171" s="6">
        <f t="shared" si="10"/>
        <v>89857.390000000014</v>
      </c>
      <c r="X171" t="str">
        <f t="shared" si="11"/>
        <v>Adult</v>
      </c>
    </row>
    <row r="172" spans="1:24">
      <c r="A172" t="s">
        <v>575</v>
      </c>
      <c r="B172" t="s">
        <v>576</v>
      </c>
      <c r="C172" t="s">
        <v>133</v>
      </c>
      <c r="D172" s="5">
        <v>24277</v>
      </c>
      <c r="E172" s="5">
        <v>45438</v>
      </c>
      <c r="F172" s="5">
        <v>45446</v>
      </c>
      <c r="G172" t="s">
        <v>109</v>
      </c>
      <c r="H172" t="s">
        <v>52</v>
      </c>
      <c r="I172" t="s">
        <v>79</v>
      </c>
      <c r="J172" t="s">
        <v>64</v>
      </c>
      <c r="K172" t="s">
        <v>161</v>
      </c>
      <c r="L172" s="6">
        <v>229675.75</v>
      </c>
      <c r="M172">
        <v>141178.56</v>
      </c>
      <c r="N172" t="s">
        <v>73</v>
      </c>
      <c r="O172">
        <v>8</v>
      </c>
      <c r="P172">
        <v>88</v>
      </c>
      <c r="Q172">
        <v>4</v>
      </c>
      <c r="R172">
        <v>112</v>
      </c>
      <c r="S172">
        <v>162.80000000000001</v>
      </c>
      <c r="T172" t="s">
        <v>4237</v>
      </c>
      <c r="U172" s="7">
        <f t="shared" si="8"/>
        <v>57</v>
      </c>
      <c r="V172" s="7">
        <f t="shared" si="9"/>
        <v>8</v>
      </c>
      <c r="W172" s="6">
        <f t="shared" si="10"/>
        <v>88497.19</v>
      </c>
      <c r="X172" t="str">
        <f t="shared" si="11"/>
        <v>Middle Age</v>
      </c>
    </row>
    <row r="173" spans="1:24">
      <c r="A173" t="s">
        <v>578</v>
      </c>
      <c r="B173" t="s">
        <v>579</v>
      </c>
      <c r="C173" t="s">
        <v>40</v>
      </c>
      <c r="D173" s="5">
        <v>35762</v>
      </c>
      <c r="E173" s="5">
        <v>44950</v>
      </c>
      <c r="F173" s="5" t="s">
        <v>4237</v>
      </c>
      <c r="G173" t="s">
        <v>89</v>
      </c>
      <c r="H173" t="s">
        <v>24</v>
      </c>
      <c r="I173" t="s">
        <v>119</v>
      </c>
      <c r="J173" t="s">
        <v>64</v>
      </c>
      <c r="K173" t="s">
        <v>120</v>
      </c>
      <c r="L173" s="6">
        <v>142315.94</v>
      </c>
      <c r="M173">
        <v>121071.09</v>
      </c>
      <c r="N173" t="s">
        <v>4237</v>
      </c>
      <c r="O173">
        <v>13</v>
      </c>
      <c r="P173">
        <v>61</v>
      </c>
      <c r="Q173">
        <v>3</v>
      </c>
      <c r="R173">
        <v>96</v>
      </c>
      <c r="S173">
        <v>198</v>
      </c>
      <c r="T173" t="s">
        <v>37</v>
      </c>
      <c r="U173" s="7">
        <f t="shared" si="8"/>
        <v>25</v>
      </c>
      <c r="V173" s="7" t="s">
        <v>4237</v>
      </c>
      <c r="W173" s="6">
        <f t="shared" si="10"/>
        <v>21244.850000000006</v>
      </c>
      <c r="X173" t="str">
        <f t="shared" si="11"/>
        <v>Adult</v>
      </c>
    </row>
    <row r="174" spans="1:24">
      <c r="A174" t="s">
        <v>581</v>
      </c>
      <c r="B174" t="s">
        <v>394</v>
      </c>
      <c r="C174" t="s">
        <v>40</v>
      </c>
      <c r="D174" s="5">
        <v>35870</v>
      </c>
      <c r="E174" s="5">
        <v>45332</v>
      </c>
      <c r="F174" s="5">
        <v>45348</v>
      </c>
      <c r="G174" t="s">
        <v>117</v>
      </c>
      <c r="H174" t="s">
        <v>86</v>
      </c>
      <c r="I174" t="s">
        <v>45</v>
      </c>
      <c r="J174" t="s">
        <v>80</v>
      </c>
      <c r="K174" t="s">
        <v>120</v>
      </c>
      <c r="L174" s="6">
        <v>20231.89</v>
      </c>
      <c r="M174">
        <v>15319.03</v>
      </c>
      <c r="N174" t="s">
        <v>73</v>
      </c>
      <c r="O174">
        <v>16</v>
      </c>
      <c r="P174">
        <v>152</v>
      </c>
      <c r="Q174">
        <v>2</v>
      </c>
      <c r="R174">
        <v>104</v>
      </c>
      <c r="S174">
        <v>197.6</v>
      </c>
      <c r="T174" t="s">
        <v>37</v>
      </c>
      <c r="U174" s="7">
        <f t="shared" si="8"/>
        <v>25</v>
      </c>
      <c r="V174" s="7">
        <f t="shared" si="9"/>
        <v>16</v>
      </c>
      <c r="W174" s="6">
        <f t="shared" si="10"/>
        <v>4912.8599999999988</v>
      </c>
      <c r="X174" t="str">
        <f t="shared" si="11"/>
        <v>Adult</v>
      </c>
    </row>
    <row r="175" spans="1:24">
      <c r="A175" t="s">
        <v>583</v>
      </c>
      <c r="B175" t="s">
        <v>584</v>
      </c>
      <c r="C175" t="s">
        <v>133</v>
      </c>
      <c r="D175" s="5">
        <v>22962</v>
      </c>
      <c r="E175" s="5">
        <v>45246</v>
      </c>
      <c r="F175" s="5" t="s">
        <v>4237</v>
      </c>
      <c r="G175" t="s">
        <v>152</v>
      </c>
      <c r="H175" t="s">
        <v>86</v>
      </c>
      <c r="I175" t="s">
        <v>53</v>
      </c>
      <c r="J175" t="s">
        <v>71</v>
      </c>
      <c r="K175" t="s">
        <v>27</v>
      </c>
      <c r="L175" s="6">
        <v>5898.99</v>
      </c>
      <c r="M175">
        <v>4719.7299999999996</v>
      </c>
      <c r="N175" t="s">
        <v>91</v>
      </c>
      <c r="O175">
        <v>3</v>
      </c>
      <c r="P175">
        <v>83</v>
      </c>
      <c r="Q175">
        <v>4</v>
      </c>
      <c r="R175">
        <v>150</v>
      </c>
      <c r="S175">
        <v>74.3</v>
      </c>
      <c r="T175" t="s">
        <v>47</v>
      </c>
      <c r="U175" s="7">
        <f t="shared" si="8"/>
        <v>61</v>
      </c>
      <c r="V175" s="7" t="s">
        <v>4237</v>
      </c>
      <c r="W175" s="6">
        <f t="shared" si="10"/>
        <v>1179.2600000000002</v>
      </c>
      <c r="X175" t="str">
        <f t="shared" si="11"/>
        <v>Senior</v>
      </c>
    </row>
    <row r="176" spans="1:24">
      <c r="A176" t="s">
        <v>586</v>
      </c>
      <c r="B176" t="s">
        <v>587</v>
      </c>
      <c r="C176" t="s">
        <v>133</v>
      </c>
      <c r="D176" s="5">
        <v>21925</v>
      </c>
      <c r="E176" s="5">
        <v>45338</v>
      </c>
      <c r="F176" s="5" t="s">
        <v>4237</v>
      </c>
      <c r="G176" t="s">
        <v>152</v>
      </c>
      <c r="H176" t="s">
        <v>24</v>
      </c>
      <c r="I176" t="s">
        <v>33</v>
      </c>
      <c r="J176" t="s">
        <v>34</v>
      </c>
      <c r="K176" t="s">
        <v>27</v>
      </c>
      <c r="L176" s="6">
        <v>165942.26999999999</v>
      </c>
      <c r="M176">
        <v>134791.78</v>
      </c>
      <c r="N176" t="s">
        <v>192</v>
      </c>
      <c r="O176">
        <v>9</v>
      </c>
      <c r="P176">
        <v>173</v>
      </c>
      <c r="Q176">
        <v>5</v>
      </c>
      <c r="R176">
        <v>103</v>
      </c>
      <c r="S176">
        <v>73.599999999999994</v>
      </c>
      <c r="T176" t="s">
        <v>4237</v>
      </c>
      <c r="U176" s="7">
        <f t="shared" si="8"/>
        <v>64</v>
      </c>
      <c r="V176" s="7" t="s">
        <v>4237</v>
      </c>
      <c r="W176" s="6">
        <f t="shared" si="10"/>
        <v>31150.489999999991</v>
      </c>
      <c r="X176" t="str">
        <f t="shared" si="11"/>
        <v>Senior</v>
      </c>
    </row>
    <row r="177" spans="1:24">
      <c r="A177" t="s">
        <v>590</v>
      </c>
      <c r="B177" t="s">
        <v>591</v>
      </c>
      <c r="C177" t="s">
        <v>133</v>
      </c>
      <c r="D177" s="5">
        <v>19101</v>
      </c>
      <c r="E177" s="5">
        <v>45551</v>
      </c>
      <c r="F177" s="5">
        <v>45562</v>
      </c>
      <c r="G177" t="s">
        <v>161</v>
      </c>
      <c r="H177" t="s">
        <v>124</v>
      </c>
      <c r="I177" t="s">
        <v>25</v>
      </c>
      <c r="J177" t="s">
        <v>64</v>
      </c>
      <c r="K177" t="s">
        <v>55</v>
      </c>
      <c r="L177" s="6">
        <v>171867.06</v>
      </c>
      <c r="M177">
        <v>152543.92000000001</v>
      </c>
      <c r="N177" t="s">
        <v>56</v>
      </c>
      <c r="O177">
        <v>11</v>
      </c>
      <c r="P177">
        <v>65</v>
      </c>
      <c r="Q177">
        <v>4</v>
      </c>
      <c r="R177">
        <v>125</v>
      </c>
      <c r="S177">
        <v>224.3</v>
      </c>
      <c r="T177" t="s">
        <v>4237</v>
      </c>
      <c r="U177" s="7">
        <f t="shared" si="8"/>
        <v>72</v>
      </c>
      <c r="V177" s="7">
        <f t="shared" si="9"/>
        <v>11</v>
      </c>
      <c r="W177" s="6">
        <f t="shared" si="10"/>
        <v>19323.139999999985</v>
      </c>
      <c r="X177" t="str">
        <f t="shared" si="11"/>
        <v>Senior</v>
      </c>
    </row>
    <row r="178" spans="1:24">
      <c r="A178" t="s">
        <v>592</v>
      </c>
      <c r="B178" t="s">
        <v>442</v>
      </c>
      <c r="C178" t="s">
        <v>40</v>
      </c>
      <c r="D178" s="5">
        <v>38678</v>
      </c>
      <c r="E178" s="5">
        <v>45392</v>
      </c>
      <c r="F178" s="5">
        <v>45406</v>
      </c>
      <c r="G178" t="s">
        <v>62</v>
      </c>
      <c r="H178" t="s">
        <v>134</v>
      </c>
      <c r="I178" t="s">
        <v>96</v>
      </c>
      <c r="J178" t="s">
        <v>64</v>
      </c>
      <c r="K178" t="s">
        <v>161</v>
      </c>
      <c r="L178" s="6">
        <v>83997.97</v>
      </c>
      <c r="M178">
        <v>55907.24</v>
      </c>
      <c r="N178" t="s">
        <v>192</v>
      </c>
      <c r="O178">
        <v>14</v>
      </c>
      <c r="P178">
        <v>172</v>
      </c>
      <c r="Q178">
        <v>3</v>
      </c>
      <c r="R178">
        <v>164</v>
      </c>
      <c r="S178">
        <v>172.9</v>
      </c>
      <c r="T178" t="s">
        <v>47</v>
      </c>
      <c r="U178" s="7">
        <f t="shared" si="8"/>
        <v>18</v>
      </c>
      <c r="V178" s="7">
        <f t="shared" si="9"/>
        <v>14</v>
      </c>
      <c r="W178" s="6">
        <f t="shared" si="10"/>
        <v>28090.730000000003</v>
      </c>
      <c r="X178" t="str">
        <f t="shared" si="11"/>
        <v>Adult</v>
      </c>
    </row>
    <row r="179" spans="1:24">
      <c r="A179" t="s">
        <v>595</v>
      </c>
      <c r="B179" t="s">
        <v>332</v>
      </c>
      <c r="C179" t="s">
        <v>40</v>
      </c>
      <c r="D179" s="5">
        <v>40516</v>
      </c>
      <c r="E179" s="5">
        <v>45304</v>
      </c>
      <c r="F179" s="5">
        <v>45315</v>
      </c>
      <c r="G179" t="s">
        <v>62</v>
      </c>
      <c r="H179" t="s">
        <v>153</v>
      </c>
      <c r="I179" t="s">
        <v>25</v>
      </c>
      <c r="J179" t="s">
        <v>46</v>
      </c>
      <c r="K179" t="s">
        <v>110</v>
      </c>
      <c r="L179" s="6">
        <v>220332.65</v>
      </c>
      <c r="M179">
        <v>206879.34</v>
      </c>
      <c r="N179" t="s">
        <v>56</v>
      </c>
      <c r="O179">
        <v>11</v>
      </c>
      <c r="P179">
        <v>82</v>
      </c>
      <c r="Q179">
        <v>4</v>
      </c>
      <c r="R179">
        <v>185</v>
      </c>
      <c r="S179">
        <v>247.4</v>
      </c>
      <c r="T179" t="s">
        <v>4237</v>
      </c>
      <c r="U179" s="7">
        <f t="shared" si="8"/>
        <v>13</v>
      </c>
      <c r="V179" s="7">
        <f t="shared" si="9"/>
        <v>11</v>
      </c>
      <c r="W179" s="6">
        <f t="shared" si="10"/>
        <v>13453.309999999998</v>
      </c>
      <c r="X179" t="str">
        <f t="shared" si="11"/>
        <v>Child</v>
      </c>
    </row>
    <row r="180" spans="1:24">
      <c r="A180" t="s">
        <v>597</v>
      </c>
      <c r="B180" t="s">
        <v>383</v>
      </c>
      <c r="C180" t="s">
        <v>40</v>
      </c>
      <c r="D180" s="5">
        <v>34551</v>
      </c>
      <c r="E180" s="5">
        <v>45955</v>
      </c>
      <c r="F180" s="5">
        <v>45971</v>
      </c>
      <c r="G180" t="s">
        <v>105</v>
      </c>
      <c r="H180" t="s">
        <v>124</v>
      </c>
      <c r="I180" t="s">
        <v>79</v>
      </c>
      <c r="J180" t="s">
        <v>34</v>
      </c>
      <c r="K180" t="s">
        <v>27</v>
      </c>
      <c r="L180" s="6">
        <v>119777.11</v>
      </c>
      <c r="M180">
        <v>90788.41</v>
      </c>
      <c r="N180" t="s">
        <v>192</v>
      </c>
      <c r="O180">
        <v>16</v>
      </c>
      <c r="P180">
        <v>13</v>
      </c>
      <c r="Q180">
        <v>4</v>
      </c>
      <c r="R180">
        <v>187</v>
      </c>
      <c r="S180">
        <v>254.1</v>
      </c>
      <c r="T180" t="s">
        <v>65</v>
      </c>
      <c r="U180" s="7">
        <f t="shared" si="8"/>
        <v>31</v>
      </c>
      <c r="V180" s="7">
        <f t="shared" si="9"/>
        <v>16</v>
      </c>
      <c r="W180" s="6">
        <f t="shared" si="10"/>
        <v>28988.699999999997</v>
      </c>
      <c r="X180" t="str">
        <f t="shared" si="11"/>
        <v>Adult</v>
      </c>
    </row>
    <row r="181" spans="1:24">
      <c r="A181" t="s">
        <v>600</v>
      </c>
      <c r="B181" t="s">
        <v>601</v>
      </c>
      <c r="C181" t="s">
        <v>40</v>
      </c>
      <c r="D181" s="5">
        <v>28331</v>
      </c>
      <c r="E181" s="5">
        <v>45012</v>
      </c>
      <c r="F181" s="5">
        <v>45025</v>
      </c>
      <c r="G181" t="s">
        <v>43</v>
      </c>
      <c r="H181" t="s">
        <v>118</v>
      </c>
      <c r="I181" t="s">
        <v>25</v>
      </c>
      <c r="J181" t="s">
        <v>64</v>
      </c>
      <c r="K181" t="s">
        <v>55</v>
      </c>
      <c r="L181" s="6">
        <v>29555.78</v>
      </c>
      <c r="M181">
        <v>26620.83</v>
      </c>
      <c r="N181" t="s">
        <v>35</v>
      </c>
      <c r="O181">
        <v>13</v>
      </c>
      <c r="P181">
        <v>15</v>
      </c>
      <c r="Q181">
        <v>4</v>
      </c>
      <c r="R181">
        <v>156</v>
      </c>
      <c r="S181">
        <v>172.2</v>
      </c>
      <c r="T181" t="s">
        <v>4237</v>
      </c>
      <c r="U181" s="7">
        <f t="shared" si="8"/>
        <v>45</v>
      </c>
      <c r="V181" s="7">
        <f t="shared" si="9"/>
        <v>13</v>
      </c>
      <c r="W181" s="6">
        <f t="shared" si="10"/>
        <v>2934.9499999999971</v>
      </c>
      <c r="X181" t="str">
        <f t="shared" si="11"/>
        <v>Middle Age</v>
      </c>
    </row>
    <row r="182" spans="1:24">
      <c r="A182" t="s">
        <v>603</v>
      </c>
      <c r="B182" t="s">
        <v>604</v>
      </c>
      <c r="C182" t="s">
        <v>40</v>
      </c>
      <c r="D182" s="5">
        <v>34582</v>
      </c>
      <c r="E182" s="5">
        <v>45876</v>
      </c>
      <c r="F182" s="5">
        <v>45891</v>
      </c>
      <c r="G182" t="s">
        <v>89</v>
      </c>
      <c r="H182" t="s">
        <v>52</v>
      </c>
      <c r="I182" t="s">
        <v>53</v>
      </c>
      <c r="J182" t="s">
        <v>64</v>
      </c>
      <c r="K182" t="s">
        <v>27</v>
      </c>
      <c r="L182" s="6">
        <v>234616.01</v>
      </c>
      <c r="M182">
        <v>172286.47</v>
      </c>
      <c r="N182" t="s">
        <v>4237</v>
      </c>
      <c r="O182">
        <v>15</v>
      </c>
      <c r="P182">
        <v>105</v>
      </c>
      <c r="Q182">
        <v>4</v>
      </c>
      <c r="R182">
        <v>131</v>
      </c>
      <c r="S182">
        <v>155.69999999999999</v>
      </c>
      <c r="T182" t="s">
        <v>47</v>
      </c>
      <c r="U182" s="7">
        <f t="shared" si="8"/>
        <v>30</v>
      </c>
      <c r="V182" s="7">
        <f t="shared" si="9"/>
        <v>15</v>
      </c>
      <c r="W182" s="6">
        <f t="shared" si="10"/>
        <v>62329.540000000008</v>
      </c>
      <c r="X182" t="str">
        <f t="shared" si="11"/>
        <v>Adult</v>
      </c>
    </row>
    <row r="183" spans="1:24">
      <c r="A183" t="s">
        <v>606</v>
      </c>
      <c r="B183" t="s">
        <v>607</v>
      </c>
      <c r="C183" t="s">
        <v>40</v>
      </c>
      <c r="D183" s="5">
        <v>34904</v>
      </c>
      <c r="E183" s="5">
        <v>45974</v>
      </c>
      <c r="F183" s="5">
        <v>45980</v>
      </c>
      <c r="G183" t="s">
        <v>43</v>
      </c>
      <c r="H183" t="s">
        <v>24</v>
      </c>
      <c r="I183" t="s">
        <v>53</v>
      </c>
      <c r="J183" t="s">
        <v>46</v>
      </c>
      <c r="K183" t="s">
        <v>161</v>
      </c>
      <c r="L183" s="6">
        <v>142459.17000000001</v>
      </c>
      <c r="M183">
        <v>116101.59</v>
      </c>
      <c r="N183" t="s">
        <v>192</v>
      </c>
      <c r="O183">
        <v>6</v>
      </c>
      <c r="P183">
        <v>46</v>
      </c>
      <c r="Q183">
        <v>3</v>
      </c>
      <c r="R183">
        <v>112</v>
      </c>
      <c r="S183">
        <v>216.1</v>
      </c>
      <c r="T183" t="s">
        <v>37</v>
      </c>
      <c r="U183" s="7">
        <f t="shared" si="8"/>
        <v>30</v>
      </c>
      <c r="V183" s="7">
        <f t="shared" si="9"/>
        <v>6</v>
      </c>
      <c r="W183" s="6">
        <f t="shared" si="10"/>
        <v>26357.580000000016</v>
      </c>
      <c r="X183" t="str">
        <f t="shared" si="11"/>
        <v>Adult</v>
      </c>
    </row>
    <row r="184" spans="1:24">
      <c r="A184" t="s">
        <v>610</v>
      </c>
      <c r="B184" t="s">
        <v>611</v>
      </c>
      <c r="C184" t="s">
        <v>133</v>
      </c>
      <c r="D184" s="5">
        <v>30701</v>
      </c>
      <c r="E184" s="5">
        <v>45937</v>
      </c>
      <c r="F184" s="5">
        <v>45945</v>
      </c>
      <c r="G184" t="s">
        <v>152</v>
      </c>
      <c r="H184" t="s">
        <v>32</v>
      </c>
      <c r="I184" t="s">
        <v>33</v>
      </c>
      <c r="J184" t="s">
        <v>34</v>
      </c>
      <c r="K184" t="s">
        <v>55</v>
      </c>
      <c r="L184" s="6">
        <v>111864.15</v>
      </c>
      <c r="M184">
        <v>88599.49</v>
      </c>
      <c r="N184" t="s">
        <v>91</v>
      </c>
      <c r="O184">
        <v>8</v>
      </c>
      <c r="P184">
        <v>67</v>
      </c>
      <c r="Q184">
        <v>4</v>
      </c>
      <c r="R184">
        <v>125</v>
      </c>
      <c r="S184">
        <v>187.8</v>
      </c>
      <c r="T184" t="s">
        <v>37</v>
      </c>
      <c r="U184" s="7">
        <f t="shared" si="8"/>
        <v>41</v>
      </c>
      <c r="V184" s="7">
        <f t="shared" si="9"/>
        <v>8</v>
      </c>
      <c r="W184" s="6">
        <f t="shared" si="10"/>
        <v>23264.659999999989</v>
      </c>
      <c r="X184" t="str">
        <f t="shared" si="11"/>
        <v>Middle Age</v>
      </c>
    </row>
    <row r="185" spans="1:24">
      <c r="A185" t="s">
        <v>612</v>
      </c>
      <c r="B185" t="s">
        <v>613</v>
      </c>
      <c r="C185" t="s">
        <v>133</v>
      </c>
      <c r="D185" s="5">
        <v>22230</v>
      </c>
      <c r="E185" s="5">
        <v>45290</v>
      </c>
      <c r="F185" s="5" t="s">
        <v>4237</v>
      </c>
      <c r="G185" t="s">
        <v>105</v>
      </c>
      <c r="H185" t="s">
        <v>24</v>
      </c>
      <c r="I185" t="s">
        <v>33</v>
      </c>
      <c r="J185" t="s">
        <v>71</v>
      </c>
      <c r="K185" t="s">
        <v>120</v>
      </c>
      <c r="L185" s="6">
        <v>82398.41</v>
      </c>
      <c r="M185">
        <v>74057.67</v>
      </c>
      <c r="N185" t="s">
        <v>192</v>
      </c>
      <c r="O185">
        <v>15</v>
      </c>
      <c r="P185">
        <v>199</v>
      </c>
      <c r="Q185">
        <v>4</v>
      </c>
      <c r="R185">
        <v>160</v>
      </c>
      <c r="S185">
        <v>82.3</v>
      </c>
      <c r="T185" t="s">
        <v>37</v>
      </c>
      <c r="U185" s="7">
        <f t="shared" si="8"/>
        <v>63</v>
      </c>
      <c r="V185" s="7" t="s">
        <v>4237</v>
      </c>
      <c r="W185" s="6">
        <f t="shared" si="10"/>
        <v>8340.7400000000052</v>
      </c>
      <c r="X185" t="str">
        <f t="shared" si="11"/>
        <v>Senior</v>
      </c>
    </row>
    <row r="186" spans="1:24">
      <c r="A186" t="s">
        <v>615</v>
      </c>
      <c r="B186" t="s">
        <v>83</v>
      </c>
      <c r="C186" t="s">
        <v>40</v>
      </c>
      <c r="D186" s="5">
        <v>40157</v>
      </c>
      <c r="E186" s="5">
        <v>45801</v>
      </c>
      <c r="F186" s="5">
        <v>45812</v>
      </c>
      <c r="G186" t="s">
        <v>117</v>
      </c>
      <c r="H186" t="s">
        <v>118</v>
      </c>
      <c r="I186" t="s">
        <v>119</v>
      </c>
      <c r="J186" t="s">
        <v>64</v>
      </c>
      <c r="K186" t="s">
        <v>161</v>
      </c>
      <c r="L186" s="6">
        <v>154536.76999999999</v>
      </c>
      <c r="M186">
        <v>125656.34</v>
      </c>
      <c r="N186" t="s">
        <v>91</v>
      </c>
      <c r="O186">
        <v>11</v>
      </c>
      <c r="P186">
        <v>166</v>
      </c>
      <c r="Q186">
        <v>4</v>
      </c>
      <c r="R186">
        <v>153</v>
      </c>
      <c r="S186">
        <v>223.5</v>
      </c>
      <c r="T186" t="s">
        <v>37</v>
      </c>
      <c r="U186" s="7">
        <f t="shared" si="8"/>
        <v>15</v>
      </c>
      <c r="V186" s="7">
        <f t="shared" si="9"/>
        <v>11</v>
      </c>
      <c r="W186" s="6">
        <f t="shared" si="10"/>
        <v>28880.429999999993</v>
      </c>
      <c r="X186" t="str">
        <f t="shared" si="11"/>
        <v>Child</v>
      </c>
    </row>
    <row r="187" spans="1:24">
      <c r="A187" t="s">
        <v>617</v>
      </c>
      <c r="B187" t="s">
        <v>168</v>
      </c>
      <c r="C187" t="s">
        <v>40</v>
      </c>
      <c r="D187" s="5">
        <v>37202</v>
      </c>
      <c r="E187" s="5">
        <v>44950</v>
      </c>
      <c r="F187" s="5">
        <v>44957</v>
      </c>
      <c r="G187" t="s">
        <v>109</v>
      </c>
      <c r="H187" t="s">
        <v>78</v>
      </c>
      <c r="I187" t="s">
        <v>33</v>
      </c>
      <c r="J187" t="s">
        <v>71</v>
      </c>
      <c r="K187" t="s">
        <v>110</v>
      </c>
      <c r="L187" s="6">
        <v>76820.289999999994</v>
      </c>
      <c r="M187">
        <v>55115.44</v>
      </c>
      <c r="N187" t="s">
        <v>35</v>
      </c>
      <c r="O187">
        <v>7</v>
      </c>
      <c r="P187">
        <v>6</v>
      </c>
      <c r="Q187">
        <v>2</v>
      </c>
      <c r="R187">
        <v>177</v>
      </c>
      <c r="S187">
        <v>133.30000000000001</v>
      </c>
      <c r="T187" t="s">
        <v>37</v>
      </c>
      <c r="U187" s="7">
        <f t="shared" si="8"/>
        <v>21</v>
      </c>
      <c r="V187" s="7">
        <f t="shared" si="9"/>
        <v>7</v>
      </c>
      <c r="W187" s="6">
        <f t="shared" si="10"/>
        <v>21704.849999999991</v>
      </c>
      <c r="X187" t="str">
        <f t="shared" si="11"/>
        <v>Adult</v>
      </c>
    </row>
    <row r="188" spans="1:24">
      <c r="A188" t="s">
        <v>620</v>
      </c>
      <c r="B188" t="s">
        <v>591</v>
      </c>
      <c r="C188" t="s">
        <v>133</v>
      </c>
      <c r="D188" s="5">
        <v>29060</v>
      </c>
      <c r="E188" s="5">
        <v>45041</v>
      </c>
      <c r="F188" s="5">
        <v>45058</v>
      </c>
      <c r="G188" t="s">
        <v>161</v>
      </c>
      <c r="H188" t="s">
        <v>113</v>
      </c>
      <c r="I188" t="s">
        <v>119</v>
      </c>
      <c r="J188" t="s">
        <v>64</v>
      </c>
      <c r="K188" t="s">
        <v>120</v>
      </c>
      <c r="L188" s="6">
        <v>135131.66</v>
      </c>
      <c r="M188">
        <v>117999.57</v>
      </c>
      <c r="N188" t="s">
        <v>35</v>
      </c>
      <c r="O188">
        <v>17</v>
      </c>
      <c r="P188">
        <v>89</v>
      </c>
      <c r="Q188">
        <v>5</v>
      </c>
      <c r="R188">
        <v>98</v>
      </c>
      <c r="S188">
        <v>254.2</v>
      </c>
      <c r="T188" t="s">
        <v>65</v>
      </c>
      <c r="U188" s="7">
        <f t="shared" si="8"/>
        <v>43</v>
      </c>
      <c r="V188" s="7">
        <f t="shared" si="9"/>
        <v>17</v>
      </c>
      <c r="W188" s="6">
        <f t="shared" si="10"/>
        <v>17132.089999999997</v>
      </c>
      <c r="X188" t="str">
        <f t="shared" si="11"/>
        <v>Middle Age</v>
      </c>
    </row>
    <row r="189" spans="1:24">
      <c r="A189" t="s">
        <v>621</v>
      </c>
      <c r="B189" t="s">
        <v>622</v>
      </c>
      <c r="C189" t="s">
        <v>133</v>
      </c>
      <c r="D189" s="5">
        <v>24656</v>
      </c>
      <c r="E189" s="5">
        <v>45944</v>
      </c>
      <c r="F189" s="5">
        <v>45952</v>
      </c>
      <c r="G189" t="s">
        <v>94</v>
      </c>
      <c r="H189" t="s">
        <v>44</v>
      </c>
      <c r="I189" t="s">
        <v>45</v>
      </c>
      <c r="J189" t="s">
        <v>64</v>
      </c>
      <c r="K189" t="s">
        <v>110</v>
      </c>
      <c r="L189" s="6">
        <v>77323.78</v>
      </c>
      <c r="M189">
        <v>62807.38</v>
      </c>
      <c r="N189" t="s">
        <v>4237</v>
      </c>
      <c r="O189">
        <v>8</v>
      </c>
      <c r="P189">
        <v>14</v>
      </c>
      <c r="Q189">
        <v>4</v>
      </c>
      <c r="R189">
        <v>101</v>
      </c>
      <c r="S189">
        <v>154.30000000000001</v>
      </c>
      <c r="T189" t="s">
        <v>37</v>
      </c>
      <c r="U189" s="7">
        <f t="shared" si="8"/>
        <v>58</v>
      </c>
      <c r="V189" s="7">
        <f t="shared" si="9"/>
        <v>8</v>
      </c>
      <c r="W189" s="6">
        <f t="shared" si="10"/>
        <v>14516.400000000001</v>
      </c>
      <c r="X189" t="str">
        <f t="shared" si="11"/>
        <v>Middle Age</v>
      </c>
    </row>
    <row r="190" spans="1:24">
      <c r="A190" t="s">
        <v>623</v>
      </c>
      <c r="B190" t="s">
        <v>624</v>
      </c>
      <c r="C190" t="s">
        <v>133</v>
      </c>
      <c r="D190" s="5">
        <v>29059</v>
      </c>
      <c r="E190" s="5">
        <v>45996</v>
      </c>
      <c r="F190" s="5" t="s">
        <v>4237</v>
      </c>
      <c r="G190" t="s">
        <v>152</v>
      </c>
      <c r="H190" t="s">
        <v>113</v>
      </c>
      <c r="I190" t="s">
        <v>33</v>
      </c>
      <c r="J190" t="s">
        <v>46</v>
      </c>
      <c r="K190" t="s">
        <v>120</v>
      </c>
      <c r="L190" s="6">
        <v>118051.79</v>
      </c>
      <c r="M190">
        <v>86287.7</v>
      </c>
      <c r="N190" t="s">
        <v>91</v>
      </c>
      <c r="O190">
        <v>4</v>
      </c>
      <c r="P190">
        <v>201</v>
      </c>
      <c r="Q190">
        <v>5</v>
      </c>
      <c r="R190">
        <v>92</v>
      </c>
      <c r="S190">
        <v>179.7</v>
      </c>
      <c r="T190" t="s">
        <v>65</v>
      </c>
      <c r="U190" s="7">
        <f t="shared" si="8"/>
        <v>46</v>
      </c>
      <c r="V190" s="7" t="s">
        <v>4237</v>
      </c>
      <c r="W190" s="6">
        <f t="shared" si="10"/>
        <v>31764.089999999997</v>
      </c>
      <c r="X190" t="str">
        <f t="shared" si="11"/>
        <v>Middle Age</v>
      </c>
    </row>
    <row r="191" spans="1:24">
      <c r="A191" t="s">
        <v>625</v>
      </c>
      <c r="B191" t="s">
        <v>464</v>
      </c>
      <c r="C191" t="s">
        <v>40</v>
      </c>
      <c r="D191" s="5">
        <v>23266</v>
      </c>
      <c r="E191" s="5">
        <v>45579</v>
      </c>
      <c r="F191" s="5">
        <v>45588</v>
      </c>
      <c r="G191" t="s">
        <v>161</v>
      </c>
      <c r="H191" t="s">
        <v>78</v>
      </c>
      <c r="I191" t="s">
        <v>96</v>
      </c>
      <c r="J191" t="s">
        <v>64</v>
      </c>
      <c r="K191" t="s">
        <v>55</v>
      </c>
      <c r="L191" s="6">
        <v>63094.21</v>
      </c>
      <c r="M191">
        <v>50059.78</v>
      </c>
      <c r="N191" t="s">
        <v>35</v>
      </c>
      <c r="O191">
        <v>9</v>
      </c>
      <c r="P191">
        <v>233</v>
      </c>
      <c r="Q191">
        <v>5</v>
      </c>
      <c r="R191">
        <v>159</v>
      </c>
      <c r="S191">
        <v>154.30000000000001</v>
      </c>
      <c r="T191" t="s">
        <v>47</v>
      </c>
      <c r="U191" s="7">
        <f t="shared" si="8"/>
        <v>61</v>
      </c>
      <c r="V191" s="7">
        <f t="shared" si="9"/>
        <v>9</v>
      </c>
      <c r="W191" s="6">
        <f t="shared" si="10"/>
        <v>13034.43</v>
      </c>
      <c r="X191" t="str">
        <f t="shared" si="11"/>
        <v>Senior</v>
      </c>
    </row>
    <row r="192" spans="1:24">
      <c r="A192" t="s">
        <v>628</v>
      </c>
      <c r="B192" t="s">
        <v>234</v>
      </c>
      <c r="C192" t="s">
        <v>133</v>
      </c>
      <c r="D192" s="5">
        <v>25381</v>
      </c>
      <c r="E192" s="5">
        <v>45332</v>
      </c>
      <c r="F192" s="5" t="s">
        <v>4237</v>
      </c>
      <c r="G192" t="s">
        <v>94</v>
      </c>
      <c r="H192" t="s">
        <v>78</v>
      </c>
      <c r="I192" t="s">
        <v>33</v>
      </c>
      <c r="J192" t="s">
        <v>64</v>
      </c>
      <c r="K192" t="s">
        <v>27</v>
      </c>
      <c r="L192" s="6">
        <v>35119.33</v>
      </c>
      <c r="M192">
        <v>25089.61</v>
      </c>
      <c r="N192" t="s">
        <v>4237</v>
      </c>
      <c r="O192">
        <v>18</v>
      </c>
      <c r="P192">
        <v>121</v>
      </c>
      <c r="Q192">
        <v>5</v>
      </c>
      <c r="R192">
        <v>177</v>
      </c>
      <c r="S192">
        <v>192.4</v>
      </c>
      <c r="T192" t="s">
        <v>37</v>
      </c>
      <c r="U192" s="7">
        <f t="shared" si="8"/>
        <v>54</v>
      </c>
      <c r="V192" s="7" t="s">
        <v>4237</v>
      </c>
      <c r="W192" s="6">
        <f t="shared" si="10"/>
        <v>10029.720000000001</v>
      </c>
      <c r="X192" t="str">
        <f t="shared" si="11"/>
        <v>Middle Age</v>
      </c>
    </row>
    <row r="193" spans="1:24">
      <c r="A193" t="s">
        <v>629</v>
      </c>
      <c r="B193" t="s">
        <v>2093</v>
      </c>
      <c r="C193" t="s">
        <v>40</v>
      </c>
      <c r="D193" s="5">
        <v>18675</v>
      </c>
      <c r="E193" s="5">
        <v>45158</v>
      </c>
      <c r="F193" s="5">
        <v>45170</v>
      </c>
      <c r="G193" t="s">
        <v>109</v>
      </c>
      <c r="H193" t="s">
        <v>124</v>
      </c>
      <c r="I193" t="s">
        <v>96</v>
      </c>
      <c r="J193" t="s">
        <v>46</v>
      </c>
      <c r="K193" t="s">
        <v>55</v>
      </c>
      <c r="L193" s="6">
        <v>152098.96</v>
      </c>
      <c r="M193">
        <v>129646.86</v>
      </c>
      <c r="N193" t="s">
        <v>56</v>
      </c>
      <c r="O193">
        <v>12</v>
      </c>
      <c r="P193">
        <v>108</v>
      </c>
      <c r="Q193">
        <v>2</v>
      </c>
      <c r="R193">
        <v>131</v>
      </c>
      <c r="S193">
        <v>175.7</v>
      </c>
      <c r="T193" t="s">
        <v>37</v>
      </c>
      <c r="U193" s="7">
        <f t="shared" si="8"/>
        <v>72</v>
      </c>
      <c r="V193" s="7">
        <f t="shared" si="9"/>
        <v>12</v>
      </c>
      <c r="W193" s="6">
        <f t="shared" si="10"/>
        <v>22452.099999999991</v>
      </c>
      <c r="X193" t="str">
        <f t="shared" si="11"/>
        <v>Senior</v>
      </c>
    </row>
    <row r="194" spans="1:24">
      <c r="A194" t="s">
        <v>633</v>
      </c>
      <c r="B194" t="s">
        <v>513</v>
      </c>
      <c r="C194" t="s">
        <v>40</v>
      </c>
      <c r="D194" s="5">
        <v>31024</v>
      </c>
      <c r="E194" s="5">
        <v>45281</v>
      </c>
      <c r="F194" s="5">
        <v>45284</v>
      </c>
      <c r="G194" t="s">
        <v>161</v>
      </c>
      <c r="H194" t="s">
        <v>118</v>
      </c>
      <c r="I194" t="s">
        <v>33</v>
      </c>
      <c r="J194" t="s">
        <v>26</v>
      </c>
      <c r="K194" t="s">
        <v>120</v>
      </c>
      <c r="L194" s="6">
        <v>149060.38</v>
      </c>
      <c r="M194">
        <v>112947.93</v>
      </c>
      <c r="N194" t="s">
        <v>73</v>
      </c>
      <c r="O194">
        <v>3</v>
      </c>
      <c r="P194">
        <v>29</v>
      </c>
      <c r="Q194">
        <v>4</v>
      </c>
      <c r="R194">
        <v>112</v>
      </c>
      <c r="S194">
        <v>128.5</v>
      </c>
      <c r="T194" t="s">
        <v>37</v>
      </c>
      <c r="U194" s="7">
        <f t="shared" ref="U194:U257" si="12">DATEDIF(D194,E194,"Y")</f>
        <v>39</v>
      </c>
      <c r="V194" s="7">
        <f t="shared" ref="V194:V257" si="13">IF(OR(E194=" ",F194=" ",E194="Unknown",F194="Unknown")," ",F194-E194)</f>
        <v>3</v>
      </c>
      <c r="W194" s="6">
        <f t="shared" ref="W194:W257" si="14">L194-M194</f>
        <v>36112.450000000012</v>
      </c>
      <c r="X194" t="str">
        <f t="shared" ref="X194:X257" si="15">IF(OR(U194="",U194="Unknown"),"",IF(U194&lt;18,"Child",IF(U194&lt;40,"Adult",IF(U194&lt;60,"Middle Age","Senior"))))</f>
        <v>Adult</v>
      </c>
    </row>
    <row r="195" spans="1:24">
      <c r="A195" t="s">
        <v>635</v>
      </c>
      <c r="B195" t="s">
        <v>427</v>
      </c>
      <c r="C195" t="s">
        <v>40</v>
      </c>
      <c r="D195" s="5">
        <v>33678</v>
      </c>
      <c r="E195" s="5">
        <v>46015</v>
      </c>
      <c r="F195" s="5">
        <v>46025</v>
      </c>
      <c r="G195" t="s">
        <v>117</v>
      </c>
      <c r="H195" t="s">
        <v>32</v>
      </c>
      <c r="I195" t="s">
        <v>45</v>
      </c>
      <c r="J195" t="s">
        <v>80</v>
      </c>
      <c r="K195" t="s">
        <v>55</v>
      </c>
      <c r="L195" s="6">
        <v>171175.41</v>
      </c>
      <c r="M195">
        <v>135214.98000000001</v>
      </c>
      <c r="N195" t="s">
        <v>73</v>
      </c>
      <c r="O195">
        <v>10</v>
      </c>
      <c r="P195">
        <v>208</v>
      </c>
      <c r="Q195">
        <v>5</v>
      </c>
      <c r="R195">
        <v>145</v>
      </c>
      <c r="S195">
        <v>163.5</v>
      </c>
      <c r="T195" t="s">
        <v>65</v>
      </c>
      <c r="U195" s="7">
        <f t="shared" si="12"/>
        <v>33</v>
      </c>
      <c r="V195" s="7">
        <f t="shared" si="13"/>
        <v>10</v>
      </c>
      <c r="W195" s="6">
        <f t="shared" si="14"/>
        <v>35960.429999999993</v>
      </c>
      <c r="X195" t="str">
        <f t="shared" si="15"/>
        <v>Adult</v>
      </c>
    </row>
    <row r="196" spans="1:24">
      <c r="A196" t="s">
        <v>636</v>
      </c>
      <c r="B196" t="s">
        <v>607</v>
      </c>
      <c r="C196" t="s">
        <v>133</v>
      </c>
      <c r="D196" s="5">
        <v>38360</v>
      </c>
      <c r="E196" s="5">
        <v>45811</v>
      </c>
      <c r="F196" s="5" t="s">
        <v>4237</v>
      </c>
      <c r="G196" t="s">
        <v>161</v>
      </c>
      <c r="H196" t="s">
        <v>134</v>
      </c>
      <c r="I196" t="s">
        <v>79</v>
      </c>
      <c r="J196" t="s">
        <v>34</v>
      </c>
      <c r="K196" t="s">
        <v>110</v>
      </c>
      <c r="L196" s="6">
        <v>110209.54</v>
      </c>
      <c r="M196">
        <v>99050.41</v>
      </c>
      <c r="N196" t="s">
        <v>192</v>
      </c>
      <c r="O196">
        <v>13</v>
      </c>
      <c r="P196">
        <v>126</v>
      </c>
      <c r="Q196">
        <v>3</v>
      </c>
      <c r="R196">
        <v>114</v>
      </c>
      <c r="S196">
        <v>175.5</v>
      </c>
      <c r="T196" t="s">
        <v>65</v>
      </c>
      <c r="U196" s="7">
        <f t="shared" si="12"/>
        <v>20</v>
      </c>
      <c r="V196" s="7" t="s">
        <v>4237</v>
      </c>
      <c r="W196" s="6">
        <f t="shared" si="14"/>
        <v>11159.12999999999</v>
      </c>
      <c r="X196" t="str">
        <f t="shared" si="15"/>
        <v>Adult</v>
      </c>
    </row>
    <row r="197" spans="1:24">
      <c r="A197" t="s">
        <v>639</v>
      </c>
      <c r="B197" t="s">
        <v>640</v>
      </c>
      <c r="C197" t="s">
        <v>133</v>
      </c>
      <c r="D197" s="5">
        <v>33447</v>
      </c>
      <c r="E197" s="5">
        <v>45860</v>
      </c>
      <c r="F197" s="5">
        <v>45874</v>
      </c>
      <c r="G197" t="s">
        <v>77</v>
      </c>
      <c r="H197" t="s">
        <v>95</v>
      </c>
      <c r="I197" t="s">
        <v>79</v>
      </c>
      <c r="J197" t="s">
        <v>64</v>
      </c>
      <c r="K197" t="s">
        <v>161</v>
      </c>
      <c r="L197" s="6">
        <v>205467.68</v>
      </c>
      <c r="M197">
        <v>157442.19</v>
      </c>
      <c r="N197" t="s">
        <v>91</v>
      </c>
      <c r="O197">
        <v>14</v>
      </c>
      <c r="P197">
        <v>52</v>
      </c>
      <c r="Q197">
        <v>4</v>
      </c>
      <c r="R197">
        <v>167</v>
      </c>
      <c r="S197">
        <v>71.400000000000006</v>
      </c>
      <c r="T197" t="s">
        <v>37</v>
      </c>
      <c r="U197" s="7">
        <f t="shared" si="12"/>
        <v>33</v>
      </c>
      <c r="V197" s="7">
        <f t="shared" si="13"/>
        <v>14</v>
      </c>
      <c r="W197" s="6">
        <f t="shared" si="14"/>
        <v>48025.489999999991</v>
      </c>
      <c r="X197" t="str">
        <f t="shared" si="15"/>
        <v>Adult</v>
      </c>
    </row>
    <row r="198" spans="1:24">
      <c r="A198" t="s">
        <v>643</v>
      </c>
      <c r="B198" t="s">
        <v>334</v>
      </c>
      <c r="C198" t="s">
        <v>133</v>
      </c>
      <c r="D198" s="5">
        <v>38122</v>
      </c>
      <c r="E198" s="5">
        <v>45985</v>
      </c>
      <c r="F198" s="5">
        <v>45988</v>
      </c>
      <c r="G198" t="s">
        <v>117</v>
      </c>
      <c r="H198" t="s">
        <v>52</v>
      </c>
      <c r="I198" t="s">
        <v>45</v>
      </c>
      <c r="J198" t="s">
        <v>34</v>
      </c>
      <c r="K198" t="s">
        <v>55</v>
      </c>
      <c r="L198" s="6">
        <v>158589.06</v>
      </c>
      <c r="M198">
        <v>133199.72</v>
      </c>
      <c r="N198" t="s">
        <v>73</v>
      </c>
      <c r="O198">
        <v>3</v>
      </c>
      <c r="P198">
        <v>24</v>
      </c>
      <c r="Q198">
        <v>4</v>
      </c>
      <c r="R198">
        <v>164</v>
      </c>
      <c r="S198">
        <v>129.4</v>
      </c>
      <c r="T198" t="s">
        <v>37</v>
      </c>
      <c r="U198" s="7">
        <f t="shared" si="12"/>
        <v>21</v>
      </c>
      <c r="V198" s="7">
        <f t="shared" si="13"/>
        <v>3</v>
      </c>
      <c r="W198" s="6">
        <f t="shared" si="14"/>
        <v>25389.339999999997</v>
      </c>
      <c r="X198" t="str">
        <f t="shared" si="15"/>
        <v>Adult</v>
      </c>
    </row>
    <row r="199" spans="1:24">
      <c r="A199" t="s">
        <v>646</v>
      </c>
      <c r="B199" t="s">
        <v>647</v>
      </c>
      <c r="C199" t="s">
        <v>133</v>
      </c>
      <c r="D199" s="5">
        <v>35347</v>
      </c>
      <c r="E199" s="5">
        <v>45052</v>
      </c>
      <c r="F199" s="5">
        <v>45068</v>
      </c>
      <c r="G199" t="s">
        <v>117</v>
      </c>
      <c r="H199" t="s">
        <v>24</v>
      </c>
      <c r="I199" t="s">
        <v>33</v>
      </c>
      <c r="J199" t="s">
        <v>64</v>
      </c>
      <c r="K199" t="s">
        <v>161</v>
      </c>
      <c r="L199" s="6">
        <v>9256.2800000000007</v>
      </c>
      <c r="M199">
        <v>6373.09</v>
      </c>
      <c r="N199" t="s">
        <v>56</v>
      </c>
      <c r="O199">
        <v>16</v>
      </c>
      <c r="P199">
        <v>134</v>
      </c>
      <c r="Q199">
        <v>2</v>
      </c>
      <c r="R199">
        <v>190</v>
      </c>
      <c r="S199">
        <v>122.8</v>
      </c>
      <c r="T199" t="s">
        <v>47</v>
      </c>
      <c r="U199" s="7">
        <f t="shared" si="12"/>
        <v>26</v>
      </c>
      <c r="V199" s="7">
        <f t="shared" si="13"/>
        <v>16</v>
      </c>
      <c r="W199" s="6">
        <f t="shared" si="14"/>
        <v>2883.1900000000005</v>
      </c>
      <c r="X199" t="str">
        <f t="shared" si="15"/>
        <v>Adult</v>
      </c>
    </row>
    <row r="200" spans="1:24">
      <c r="A200" t="s">
        <v>651</v>
      </c>
      <c r="B200" t="s">
        <v>652</v>
      </c>
      <c r="C200" t="s">
        <v>40</v>
      </c>
      <c r="D200" s="5">
        <v>37162</v>
      </c>
      <c r="E200" s="5">
        <v>44994</v>
      </c>
      <c r="F200" s="5">
        <v>45005</v>
      </c>
      <c r="G200" t="s">
        <v>62</v>
      </c>
      <c r="H200" t="s">
        <v>118</v>
      </c>
      <c r="I200" t="s">
        <v>53</v>
      </c>
      <c r="J200" t="s">
        <v>34</v>
      </c>
      <c r="K200" t="s">
        <v>55</v>
      </c>
      <c r="L200" s="6">
        <v>188808.42</v>
      </c>
      <c r="M200">
        <v>167011.4</v>
      </c>
      <c r="N200" t="s">
        <v>73</v>
      </c>
      <c r="O200">
        <v>11</v>
      </c>
      <c r="P200">
        <v>65</v>
      </c>
      <c r="Q200">
        <v>4</v>
      </c>
      <c r="R200">
        <v>182</v>
      </c>
      <c r="S200">
        <v>191.1</v>
      </c>
      <c r="T200" t="s">
        <v>47</v>
      </c>
      <c r="U200" s="7">
        <f t="shared" si="12"/>
        <v>21</v>
      </c>
      <c r="V200" s="7">
        <f t="shared" si="13"/>
        <v>11</v>
      </c>
      <c r="W200" s="6">
        <f t="shared" si="14"/>
        <v>21797.020000000019</v>
      </c>
      <c r="X200" t="str">
        <f t="shared" si="15"/>
        <v>Adult</v>
      </c>
    </row>
    <row r="201" spans="1:24">
      <c r="A201" t="s">
        <v>654</v>
      </c>
      <c r="B201" t="s">
        <v>655</v>
      </c>
      <c r="C201" t="s">
        <v>40</v>
      </c>
      <c r="D201" s="5">
        <v>29346</v>
      </c>
      <c r="E201" s="5">
        <v>46013</v>
      </c>
      <c r="F201" s="5" t="s">
        <v>4237</v>
      </c>
      <c r="G201" t="s">
        <v>94</v>
      </c>
      <c r="H201" t="s">
        <v>32</v>
      </c>
      <c r="I201" t="s">
        <v>79</v>
      </c>
      <c r="J201" t="s">
        <v>46</v>
      </c>
      <c r="K201" t="s">
        <v>120</v>
      </c>
      <c r="L201" s="6">
        <v>240536.27</v>
      </c>
      <c r="M201">
        <v>201749.08</v>
      </c>
      <c r="N201" t="s">
        <v>56</v>
      </c>
      <c r="O201">
        <v>14</v>
      </c>
      <c r="P201">
        <v>29</v>
      </c>
      <c r="Q201">
        <v>4</v>
      </c>
      <c r="R201">
        <v>171</v>
      </c>
      <c r="S201">
        <v>137.19999999999999</v>
      </c>
      <c r="T201" t="s">
        <v>37</v>
      </c>
      <c r="U201" s="7">
        <f t="shared" si="12"/>
        <v>45</v>
      </c>
      <c r="V201" s="7" t="s">
        <v>4237</v>
      </c>
      <c r="W201" s="6">
        <f t="shared" si="14"/>
        <v>38787.19</v>
      </c>
      <c r="X201" t="str">
        <f t="shared" si="15"/>
        <v>Middle Age</v>
      </c>
    </row>
    <row r="202" spans="1:24">
      <c r="A202" t="s">
        <v>657</v>
      </c>
      <c r="B202" t="s">
        <v>658</v>
      </c>
      <c r="C202" t="s">
        <v>133</v>
      </c>
      <c r="D202" s="5">
        <v>25812</v>
      </c>
      <c r="E202" s="5">
        <v>44944</v>
      </c>
      <c r="F202" s="5" t="s">
        <v>4237</v>
      </c>
      <c r="G202" t="s">
        <v>161</v>
      </c>
      <c r="H202" t="s">
        <v>95</v>
      </c>
      <c r="I202" t="s">
        <v>33</v>
      </c>
      <c r="J202" t="s">
        <v>34</v>
      </c>
      <c r="K202" t="s">
        <v>120</v>
      </c>
      <c r="L202" s="6">
        <v>89500.31</v>
      </c>
      <c r="M202">
        <v>59718.25</v>
      </c>
      <c r="N202" t="s">
        <v>91</v>
      </c>
      <c r="O202">
        <v>3</v>
      </c>
      <c r="P202">
        <v>54</v>
      </c>
      <c r="Q202">
        <v>1</v>
      </c>
      <c r="R202">
        <v>93</v>
      </c>
      <c r="S202">
        <v>187.7</v>
      </c>
      <c r="T202" t="s">
        <v>37</v>
      </c>
      <c r="U202" s="7">
        <f t="shared" si="12"/>
        <v>52</v>
      </c>
      <c r="V202" s="7" t="s">
        <v>4237</v>
      </c>
      <c r="W202" s="6">
        <f t="shared" si="14"/>
        <v>29782.059999999998</v>
      </c>
      <c r="X202" t="str">
        <f t="shared" si="15"/>
        <v>Middle Age</v>
      </c>
    </row>
    <row r="203" spans="1:24">
      <c r="A203" t="s">
        <v>660</v>
      </c>
      <c r="B203" t="s">
        <v>661</v>
      </c>
      <c r="C203" t="s">
        <v>40</v>
      </c>
      <c r="D203" s="5">
        <v>29162</v>
      </c>
      <c r="E203" s="5" t="s">
        <v>4237</v>
      </c>
      <c r="F203" s="5">
        <v>45864</v>
      </c>
      <c r="G203" t="s">
        <v>161</v>
      </c>
      <c r="H203" t="s">
        <v>113</v>
      </c>
      <c r="I203" t="s">
        <v>119</v>
      </c>
      <c r="J203" t="s">
        <v>71</v>
      </c>
      <c r="K203" t="s">
        <v>161</v>
      </c>
      <c r="L203" s="6">
        <v>42586.59</v>
      </c>
      <c r="M203">
        <v>33353.230000000003</v>
      </c>
      <c r="N203" t="s">
        <v>56</v>
      </c>
      <c r="O203">
        <v>9</v>
      </c>
      <c r="P203">
        <v>20</v>
      </c>
      <c r="Q203">
        <v>4</v>
      </c>
      <c r="R203">
        <v>139</v>
      </c>
      <c r="S203">
        <v>133.19999999999999</v>
      </c>
      <c r="T203" t="s">
        <v>37</v>
      </c>
      <c r="U203" s="7" t="s">
        <v>4237</v>
      </c>
      <c r="V203" s="7" t="s">
        <v>4237</v>
      </c>
      <c r="W203" s="6">
        <f t="shared" si="14"/>
        <v>9233.3599999999933</v>
      </c>
      <c r="X203" t="s">
        <v>4237</v>
      </c>
    </row>
    <row r="204" spans="1:24">
      <c r="A204" t="s">
        <v>665</v>
      </c>
      <c r="B204" t="s">
        <v>666</v>
      </c>
      <c r="C204" t="s">
        <v>40</v>
      </c>
      <c r="D204" s="5">
        <v>39683</v>
      </c>
      <c r="E204" s="5">
        <v>45457</v>
      </c>
      <c r="F204" s="5" t="s">
        <v>4237</v>
      </c>
      <c r="G204" t="s">
        <v>161</v>
      </c>
      <c r="H204" t="s">
        <v>118</v>
      </c>
      <c r="I204" t="s">
        <v>96</v>
      </c>
      <c r="J204" t="s">
        <v>34</v>
      </c>
      <c r="K204" t="s">
        <v>120</v>
      </c>
      <c r="L204" s="6">
        <v>7144.29</v>
      </c>
      <c r="M204">
        <v>5054.04</v>
      </c>
      <c r="N204" t="s">
        <v>192</v>
      </c>
      <c r="O204">
        <v>4</v>
      </c>
      <c r="P204">
        <v>168</v>
      </c>
      <c r="Q204">
        <v>1</v>
      </c>
      <c r="R204">
        <v>94</v>
      </c>
      <c r="S204">
        <v>196.3</v>
      </c>
      <c r="T204" t="s">
        <v>65</v>
      </c>
      <c r="U204" s="7">
        <f t="shared" si="12"/>
        <v>15</v>
      </c>
      <c r="V204" s="7" t="s">
        <v>4237</v>
      </c>
      <c r="W204" s="6">
        <f t="shared" si="14"/>
        <v>2090.25</v>
      </c>
      <c r="X204" t="str">
        <f t="shared" si="15"/>
        <v>Child</v>
      </c>
    </row>
    <row r="205" spans="1:24">
      <c r="A205" t="s">
        <v>667</v>
      </c>
      <c r="B205" t="s">
        <v>572</v>
      </c>
      <c r="C205" t="s">
        <v>133</v>
      </c>
      <c r="D205" s="5">
        <v>27390</v>
      </c>
      <c r="E205" s="5">
        <v>45914</v>
      </c>
      <c r="F205" s="5">
        <v>45918</v>
      </c>
      <c r="G205" t="s">
        <v>105</v>
      </c>
      <c r="H205" t="s">
        <v>63</v>
      </c>
      <c r="I205" t="s">
        <v>96</v>
      </c>
      <c r="J205" t="s">
        <v>34</v>
      </c>
      <c r="K205" t="s">
        <v>110</v>
      </c>
      <c r="L205" s="6">
        <v>16160.68</v>
      </c>
      <c r="M205">
        <v>9989.24</v>
      </c>
      <c r="N205" t="s">
        <v>91</v>
      </c>
      <c r="O205">
        <v>4</v>
      </c>
      <c r="P205">
        <v>141</v>
      </c>
      <c r="Q205">
        <v>5</v>
      </c>
      <c r="R205">
        <v>100</v>
      </c>
      <c r="S205">
        <v>229.8</v>
      </c>
      <c r="T205" t="s">
        <v>65</v>
      </c>
      <c r="U205" s="7">
        <f t="shared" si="12"/>
        <v>50</v>
      </c>
      <c r="V205" s="7">
        <f t="shared" si="13"/>
        <v>4</v>
      </c>
      <c r="W205" s="6">
        <f t="shared" si="14"/>
        <v>6171.4400000000005</v>
      </c>
      <c r="X205" t="str">
        <f t="shared" si="15"/>
        <v>Middle Age</v>
      </c>
    </row>
    <row r="206" spans="1:24">
      <c r="A206" t="s">
        <v>670</v>
      </c>
      <c r="B206" t="s">
        <v>247</v>
      </c>
      <c r="C206" t="s">
        <v>133</v>
      </c>
      <c r="D206" s="5">
        <v>21192</v>
      </c>
      <c r="E206" s="5">
        <v>44978</v>
      </c>
      <c r="F206" s="5">
        <v>44986</v>
      </c>
      <c r="G206" t="s">
        <v>161</v>
      </c>
      <c r="H206" t="s">
        <v>78</v>
      </c>
      <c r="I206" t="s">
        <v>96</v>
      </c>
      <c r="J206" t="s">
        <v>34</v>
      </c>
      <c r="K206" t="s">
        <v>55</v>
      </c>
      <c r="L206" s="6">
        <v>134650.16</v>
      </c>
      <c r="M206">
        <v>126634.92</v>
      </c>
      <c r="N206" t="s">
        <v>35</v>
      </c>
      <c r="O206">
        <v>8</v>
      </c>
      <c r="P206">
        <v>9</v>
      </c>
      <c r="Q206">
        <v>1</v>
      </c>
      <c r="R206">
        <v>133</v>
      </c>
      <c r="S206">
        <v>80.7</v>
      </c>
      <c r="T206" t="s">
        <v>4237</v>
      </c>
      <c r="U206" s="7">
        <f t="shared" si="12"/>
        <v>65</v>
      </c>
      <c r="V206" s="7">
        <f t="shared" si="13"/>
        <v>8</v>
      </c>
      <c r="W206" s="6">
        <f t="shared" si="14"/>
        <v>8015.2400000000052</v>
      </c>
      <c r="X206" t="str">
        <f t="shared" si="15"/>
        <v>Senior</v>
      </c>
    </row>
    <row r="207" spans="1:24">
      <c r="A207" t="s">
        <v>4118</v>
      </c>
      <c r="B207" t="s">
        <v>673</v>
      </c>
      <c r="C207" t="s">
        <v>133</v>
      </c>
      <c r="D207" s="5">
        <v>29891</v>
      </c>
      <c r="E207" s="5">
        <v>45892</v>
      </c>
      <c r="F207" s="5">
        <v>45894</v>
      </c>
      <c r="G207" t="s">
        <v>152</v>
      </c>
      <c r="H207" t="s">
        <v>124</v>
      </c>
      <c r="I207" t="s">
        <v>25</v>
      </c>
      <c r="J207" t="s">
        <v>97</v>
      </c>
      <c r="K207" t="s">
        <v>120</v>
      </c>
      <c r="L207" s="6">
        <v>159083.71</v>
      </c>
      <c r="M207">
        <v>150528.47</v>
      </c>
      <c r="N207" t="s">
        <v>73</v>
      </c>
      <c r="O207">
        <v>2</v>
      </c>
      <c r="P207">
        <v>29</v>
      </c>
      <c r="Q207">
        <v>4</v>
      </c>
      <c r="R207">
        <v>168</v>
      </c>
      <c r="S207">
        <v>102.4</v>
      </c>
      <c r="T207" t="s">
        <v>37</v>
      </c>
      <c r="U207" s="7">
        <f t="shared" si="12"/>
        <v>43</v>
      </c>
      <c r="V207" s="7">
        <f t="shared" si="13"/>
        <v>2</v>
      </c>
      <c r="W207" s="6">
        <f t="shared" si="14"/>
        <v>8555.2399999999907</v>
      </c>
      <c r="X207" t="str">
        <f t="shared" si="15"/>
        <v>Middle Age</v>
      </c>
    </row>
    <row r="208" spans="1:24">
      <c r="A208" t="s">
        <v>675</v>
      </c>
      <c r="B208" t="s">
        <v>676</v>
      </c>
      <c r="C208" t="s">
        <v>133</v>
      </c>
      <c r="D208" s="5">
        <v>30752</v>
      </c>
      <c r="E208" s="5">
        <v>45363</v>
      </c>
      <c r="F208" s="5">
        <v>45365</v>
      </c>
      <c r="G208" t="s">
        <v>105</v>
      </c>
      <c r="H208" t="s">
        <v>52</v>
      </c>
      <c r="I208" t="s">
        <v>33</v>
      </c>
      <c r="J208" t="s">
        <v>71</v>
      </c>
      <c r="K208" t="s">
        <v>110</v>
      </c>
      <c r="L208" s="6">
        <v>123663.9</v>
      </c>
      <c r="M208">
        <v>26702.25</v>
      </c>
      <c r="N208" t="s">
        <v>35</v>
      </c>
      <c r="O208">
        <v>2</v>
      </c>
      <c r="P208">
        <v>121</v>
      </c>
      <c r="Q208">
        <v>4</v>
      </c>
      <c r="R208">
        <v>111</v>
      </c>
      <c r="S208">
        <v>153.30000000000001</v>
      </c>
      <c r="T208" t="s">
        <v>37</v>
      </c>
      <c r="U208" s="7">
        <f t="shared" si="12"/>
        <v>40</v>
      </c>
      <c r="V208" s="7">
        <f t="shared" si="13"/>
        <v>2</v>
      </c>
      <c r="W208" s="6">
        <f t="shared" si="14"/>
        <v>96961.65</v>
      </c>
      <c r="X208" t="str">
        <f t="shared" si="15"/>
        <v>Middle Age</v>
      </c>
    </row>
    <row r="209" spans="1:24">
      <c r="A209" t="s">
        <v>678</v>
      </c>
      <c r="B209" t="s">
        <v>679</v>
      </c>
      <c r="C209" t="s">
        <v>40</v>
      </c>
      <c r="D209" s="5">
        <v>28120</v>
      </c>
      <c r="E209" s="5">
        <v>45901</v>
      </c>
      <c r="F209" s="5">
        <v>45906</v>
      </c>
      <c r="G209" t="s">
        <v>152</v>
      </c>
      <c r="H209" t="s">
        <v>44</v>
      </c>
      <c r="I209" t="s">
        <v>33</v>
      </c>
      <c r="J209" t="s">
        <v>34</v>
      </c>
      <c r="K209" t="s">
        <v>120</v>
      </c>
      <c r="L209" s="6">
        <v>61715.31</v>
      </c>
      <c r="M209">
        <v>54504.58</v>
      </c>
      <c r="N209" t="s">
        <v>56</v>
      </c>
      <c r="O209">
        <v>5</v>
      </c>
      <c r="P209">
        <v>14</v>
      </c>
      <c r="Q209">
        <v>3</v>
      </c>
      <c r="R209">
        <v>181</v>
      </c>
      <c r="S209">
        <v>165</v>
      </c>
      <c r="T209" t="s">
        <v>37</v>
      </c>
      <c r="U209" s="7">
        <f t="shared" si="12"/>
        <v>48</v>
      </c>
      <c r="V209" s="7">
        <f t="shared" si="13"/>
        <v>5</v>
      </c>
      <c r="W209" s="6">
        <f t="shared" si="14"/>
        <v>7210.7299999999959</v>
      </c>
      <c r="X209" t="str">
        <f t="shared" si="15"/>
        <v>Middle Age</v>
      </c>
    </row>
    <row r="210" spans="1:24">
      <c r="A210" t="s">
        <v>681</v>
      </c>
      <c r="B210" t="s">
        <v>545</v>
      </c>
      <c r="C210" t="s">
        <v>40</v>
      </c>
      <c r="D210" s="5">
        <v>24479</v>
      </c>
      <c r="E210" s="5">
        <v>45157</v>
      </c>
      <c r="F210" s="5">
        <v>45162</v>
      </c>
      <c r="G210" t="s">
        <v>77</v>
      </c>
      <c r="H210" t="s">
        <v>32</v>
      </c>
      <c r="I210" t="s">
        <v>53</v>
      </c>
      <c r="J210" t="s">
        <v>97</v>
      </c>
      <c r="K210" t="s">
        <v>55</v>
      </c>
      <c r="L210" s="6">
        <v>168360.3</v>
      </c>
      <c r="M210">
        <v>120581.04</v>
      </c>
      <c r="N210" t="s">
        <v>35</v>
      </c>
      <c r="O210">
        <v>5</v>
      </c>
      <c r="P210">
        <v>98</v>
      </c>
      <c r="Q210">
        <v>5</v>
      </c>
      <c r="R210">
        <v>116</v>
      </c>
      <c r="S210">
        <v>152.6</v>
      </c>
      <c r="T210" t="s">
        <v>65</v>
      </c>
      <c r="U210" s="7">
        <f t="shared" si="12"/>
        <v>56</v>
      </c>
      <c r="V210" s="7">
        <f t="shared" si="13"/>
        <v>5</v>
      </c>
      <c r="W210" s="6">
        <f t="shared" si="14"/>
        <v>47779.259999999995</v>
      </c>
      <c r="X210" t="str">
        <f t="shared" si="15"/>
        <v>Middle Age</v>
      </c>
    </row>
    <row r="211" spans="1:24">
      <c r="A211" t="s">
        <v>683</v>
      </c>
      <c r="B211" t="s">
        <v>684</v>
      </c>
      <c r="C211" t="s">
        <v>40</v>
      </c>
      <c r="D211" s="5">
        <v>23002</v>
      </c>
      <c r="E211" s="5">
        <v>45594</v>
      </c>
      <c r="F211" s="5">
        <v>45602</v>
      </c>
      <c r="G211" t="s">
        <v>105</v>
      </c>
      <c r="H211" t="s">
        <v>86</v>
      </c>
      <c r="I211" t="s">
        <v>33</v>
      </c>
      <c r="J211" t="s">
        <v>80</v>
      </c>
      <c r="K211" t="s">
        <v>110</v>
      </c>
      <c r="L211" s="6">
        <v>185092.6</v>
      </c>
      <c r="M211">
        <v>150417.29999999999</v>
      </c>
      <c r="N211" t="s">
        <v>192</v>
      </c>
      <c r="O211">
        <v>8</v>
      </c>
      <c r="P211">
        <v>61</v>
      </c>
      <c r="Q211">
        <v>2</v>
      </c>
      <c r="R211">
        <v>150</v>
      </c>
      <c r="S211">
        <v>181.2</v>
      </c>
      <c r="T211" t="s">
        <v>37</v>
      </c>
      <c r="U211" s="7">
        <f t="shared" si="12"/>
        <v>61</v>
      </c>
      <c r="V211" s="7">
        <f t="shared" si="13"/>
        <v>8</v>
      </c>
      <c r="W211" s="6">
        <f t="shared" si="14"/>
        <v>34675.300000000017</v>
      </c>
      <c r="X211" t="str">
        <f t="shared" si="15"/>
        <v>Senior</v>
      </c>
    </row>
    <row r="212" spans="1:24">
      <c r="A212" t="s">
        <v>687</v>
      </c>
      <c r="B212" t="s">
        <v>673</v>
      </c>
      <c r="C212" t="s">
        <v>133</v>
      </c>
      <c r="D212" s="5">
        <v>19484</v>
      </c>
      <c r="E212" s="5">
        <v>45154</v>
      </c>
      <c r="F212" s="5">
        <v>45169</v>
      </c>
      <c r="G212" t="s">
        <v>62</v>
      </c>
      <c r="H212" t="s">
        <v>78</v>
      </c>
      <c r="I212" t="s">
        <v>119</v>
      </c>
      <c r="J212" t="s">
        <v>80</v>
      </c>
      <c r="K212" t="s">
        <v>55</v>
      </c>
      <c r="L212" s="6">
        <v>221886.22</v>
      </c>
      <c r="M212">
        <v>149181.38</v>
      </c>
      <c r="N212" t="s">
        <v>73</v>
      </c>
      <c r="O212">
        <v>15</v>
      </c>
      <c r="P212">
        <v>208</v>
      </c>
      <c r="Q212">
        <v>3</v>
      </c>
      <c r="R212">
        <v>163</v>
      </c>
      <c r="S212">
        <v>254.3</v>
      </c>
      <c r="T212" t="s">
        <v>47</v>
      </c>
      <c r="U212" s="7">
        <f t="shared" si="12"/>
        <v>70</v>
      </c>
      <c r="V212" s="7">
        <f t="shared" si="13"/>
        <v>15</v>
      </c>
      <c r="W212" s="6">
        <f t="shared" si="14"/>
        <v>72704.84</v>
      </c>
      <c r="X212" t="str">
        <f t="shared" si="15"/>
        <v>Senior</v>
      </c>
    </row>
    <row r="213" spans="1:24">
      <c r="A213" t="s">
        <v>688</v>
      </c>
      <c r="B213" t="s">
        <v>689</v>
      </c>
      <c r="C213" t="s">
        <v>40</v>
      </c>
      <c r="D213" s="5">
        <v>23655</v>
      </c>
      <c r="E213" s="5">
        <v>44937</v>
      </c>
      <c r="F213" s="5">
        <v>44951</v>
      </c>
      <c r="G213" t="s">
        <v>152</v>
      </c>
      <c r="H213" t="s">
        <v>32</v>
      </c>
      <c r="I213" t="s">
        <v>25</v>
      </c>
      <c r="J213" t="s">
        <v>34</v>
      </c>
      <c r="K213" t="s">
        <v>55</v>
      </c>
      <c r="L213" s="6">
        <v>133952.63</v>
      </c>
      <c r="M213">
        <v>119990.64</v>
      </c>
      <c r="N213" t="s">
        <v>35</v>
      </c>
      <c r="O213">
        <v>14</v>
      </c>
      <c r="P213">
        <v>183</v>
      </c>
      <c r="Q213">
        <v>2</v>
      </c>
      <c r="R213">
        <v>147</v>
      </c>
      <c r="S213">
        <v>164.1</v>
      </c>
      <c r="T213" t="s">
        <v>37</v>
      </c>
      <c r="U213" s="7">
        <f t="shared" si="12"/>
        <v>58</v>
      </c>
      <c r="V213" s="7">
        <f t="shared" si="13"/>
        <v>14</v>
      </c>
      <c r="W213" s="6">
        <f t="shared" si="14"/>
        <v>13961.990000000005</v>
      </c>
      <c r="X213" t="str">
        <f t="shared" si="15"/>
        <v>Middle Age</v>
      </c>
    </row>
    <row r="214" spans="1:24">
      <c r="A214" t="s">
        <v>692</v>
      </c>
      <c r="B214" t="s">
        <v>693</v>
      </c>
      <c r="C214" t="s">
        <v>133</v>
      </c>
      <c r="D214" s="5">
        <v>28942</v>
      </c>
      <c r="E214" s="5">
        <v>45934</v>
      </c>
      <c r="F214" s="5">
        <v>45763</v>
      </c>
      <c r="G214" t="s">
        <v>105</v>
      </c>
      <c r="H214" t="s">
        <v>113</v>
      </c>
      <c r="I214" t="s">
        <v>33</v>
      </c>
      <c r="J214" t="s">
        <v>179</v>
      </c>
      <c r="K214" t="s">
        <v>27</v>
      </c>
      <c r="L214" s="6">
        <v>215444.71</v>
      </c>
      <c r="M214">
        <v>175687.36</v>
      </c>
      <c r="N214" t="s">
        <v>56</v>
      </c>
      <c r="O214">
        <v>6</v>
      </c>
      <c r="P214">
        <v>181</v>
      </c>
      <c r="Q214">
        <v>5</v>
      </c>
      <c r="R214">
        <v>157</v>
      </c>
      <c r="S214">
        <v>76.2</v>
      </c>
      <c r="T214" t="s">
        <v>37</v>
      </c>
      <c r="U214" s="7">
        <f t="shared" si="12"/>
        <v>46</v>
      </c>
      <c r="V214" s="7">
        <f t="shared" si="13"/>
        <v>-171</v>
      </c>
      <c r="W214" s="6">
        <f t="shared" si="14"/>
        <v>39757.350000000006</v>
      </c>
      <c r="X214" t="str">
        <f t="shared" si="15"/>
        <v>Middle Age</v>
      </c>
    </row>
    <row r="215" spans="1:24">
      <c r="A215" t="s">
        <v>696</v>
      </c>
      <c r="B215" t="s">
        <v>697</v>
      </c>
      <c r="C215" t="s">
        <v>133</v>
      </c>
      <c r="D215" s="5">
        <v>19157</v>
      </c>
      <c r="E215" s="5">
        <v>45285</v>
      </c>
      <c r="F215" s="5">
        <v>45303</v>
      </c>
      <c r="G215" t="s">
        <v>89</v>
      </c>
      <c r="H215" t="s">
        <v>153</v>
      </c>
      <c r="I215" t="s">
        <v>45</v>
      </c>
      <c r="J215" t="s">
        <v>97</v>
      </c>
      <c r="K215" t="s">
        <v>27</v>
      </c>
      <c r="L215" s="6">
        <v>245359.78</v>
      </c>
      <c r="M215">
        <v>211473.18</v>
      </c>
      <c r="N215" t="s">
        <v>91</v>
      </c>
      <c r="O215">
        <v>18</v>
      </c>
      <c r="P215">
        <v>171</v>
      </c>
      <c r="Q215">
        <v>4</v>
      </c>
      <c r="R215">
        <v>184</v>
      </c>
      <c r="S215">
        <v>248.4</v>
      </c>
      <c r="T215" t="s">
        <v>37</v>
      </c>
      <c r="U215" s="7">
        <f t="shared" si="12"/>
        <v>71</v>
      </c>
      <c r="V215" s="7">
        <f t="shared" si="13"/>
        <v>18</v>
      </c>
      <c r="W215" s="6">
        <f t="shared" si="14"/>
        <v>33886.600000000006</v>
      </c>
      <c r="X215" t="str">
        <f t="shared" si="15"/>
        <v>Senior</v>
      </c>
    </row>
    <row r="216" spans="1:24">
      <c r="A216" t="s">
        <v>699</v>
      </c>
      <c r="B216" t="s">
        <v>700</v>
      </c>
      <c r="C216" t="s">
        <v>40</v>
      </c>
      <c r="D216" s="5">
        <v>34222</v>
      </c>
      <c r="E216" s="5">
        <v>45852</v>
      </c>
      <c r="F216" s="5">
        <v>45864</v>
      </c>
      <c r="G216" t="s">
        <v>161</v>
      </c>
      <c r="H216" t="s">
        <v>78</v>
      </c>
      <c r="I216" t="s">
        <v>33</v>
      </c>
      <c r="J216" t="s">
        <v>80</v>
      </c>
      <c r="K216" t="s">
        <v>110</v>
      </c>
      <c r="L216" s="6">
        <v>223246.05</v>
      </c>
      <c r="M216">
        <v>154013.65</v>
      </c>
      <c r="N216" t="s">
        <v>73</v>
      </c>
      <c r="O216">
        <v>12</v>
      </c>
      <c r="P216">
        <v>105</v>
      </c>
      <c r="Q216">
        <v>3</v>
      </c>
      <c r="R216">
        <v>126</v>
      </c>
      <c r="S216">
        <v>252.1</v>
      </c>
      <c r="T216" t="s">
        <v>37</v>
      </c>
      <c r="U216" s="7">
        <f t="shared" si="12"/>
        <v>31</v>
      </c>
      <c r="V216" s="7">
        <f t="shared" si="13"/>
        <v>12</v>
      </c>
      <c r="W216" s="6">
        <f t="shared" si="14"/>
        <v>69232.399999999994</v>
      </c>
      <c r="X216" t="str">
        <f t="shared" si="15"/>
        <v>Adult</v>
      </c>
    </row>
    <row r="217" spans="1:24">
      <c r="A217" t="s">
        <v>703</v>
      </c>
      <c r="B217" t="s">
        <v>378</v>
      </c>
      <c r="C217" t="s">
        <v>133</v>
      </c>
      <c r="D217" s="5">
        <v>27996</v>
      </c>
      <c r="E217" s="5">
        <v>44970</v>
      </c>
      <c r="F217" s="5">
        <v>44980</v>
      </c>
      <c r="G217" t="s">
        <v>152</v>
      </c>
      <c r="H217" t="s">
        <v>124</v>
      </c>
      <c r="I217" t="s">
        <v>45</v>
      </c>
      <c r="J217" t="s">
        <v>64</v>
      </c>
      <c r="K217" t="s">
        <v>55</v>
      </c>
      <c r="L217" s="6">
        <v>162056.32999999999</v>
      </c>
      <c r="M217">
        <v>134495.54</v>
      </c>
      <c r="N217" t="s">
        <v>4237</v>
      </c>
      <c r="O217">
        <v>10</v>
      </c>
      <c r="P217">
        <v>172</v>
      </c>
      <c r="Q217">
        <v>5</v>
      </c>
      <c r="R217">
        <v>152</v>
      </c>
      <c r="S217">
        <v>182.7</v>
      </c>
      <c r="T217" t="s">
        <v>4237</v>
      </c>
      <c r="U217" s="7">
        <f t="shared" si="12"/>
        <v>46</v>
      </c>
      <c r="V217" s="7">
        <f t="shared" si="13"/>
        <v>10</v>
      </c>
      <c r="W217" s="6">
        <f t="shared" si="14"/>
        <v>27560.789999999979</v>
      </c>
      <c r="X217" t="str">
        <f t="shared" si="15"/>
        <v>Middle Age</v>
      </c>
    </row>
    <row r="218" spans="1:24">
      <c r="A218" t="s">
        <v>705</v>
      </c>
      <c r="B218" t="s">
        <v>706</v>
      </c>
      <c r="C218" t="s">
        <v>133</v>
      </c>
      <c r="D218" s="5">
        <v>22195</v>
      </c>
      <c r="E218" s="5">
        <v>45511</v>
      </c>
      <c r="F218" s="5">
        <v>45517</v>
      </c>
      <c r="G218" t="s">
        <v>94</v>
      </c>
      <c r="H218" t="s">
        <v>153</v>
      </c>
      <c r="I218" t="s">
        <v>53</v>
      </c>
      <c r="J218" t="s">
        <v>97</v>
      </c>
      <c r="K218" t="s">
        <v>55</v>
      </c>
      <c r="L218" s="6">
        <v>61381.57</v>
      </c>
      <c r="M218">
        <v>61266.9</v>
      </c>
      <c r="N218" t="s">
        <v>91</v>
      </c>
      <c r="O218">
        <v>6</v>
      </c>
      <c r="P218">
        <v>152</v>
      </c>
      <c r="Q218">
        <v>3</v>
      </c>
      <c r="R218">
        <v>146</v>
      </c>
      <c r="S218">
        <v>163.5</v>
      </c>
      <c r="T218" t="s">
        <v>47</v>
      </c>
      <c r="U218" s="7">
        <f t="shared" si="12"/>
        <v>63</v>
      </c>
      <c r="V218" s="7">
        <f t="shared" si="13"/>
        <v>6</v>
      </c>
      <c r="W218" s="6">
        <f t="shared" si="14"/>
        <v>114.66999999999825</v>
      </c>
      <c r="X218" t="str">
        <f t="shared" si="15"/>
        <v>Senior</v>
      </c>
    </row>
    <row r="219" spans="1:24">
      <c r="A219" t="s">
        <v>707</v>
      </c>
      <c r="B219" t="s">
        <v>378</v>
      </c>
      <c r="C219" t="s">
        <v>133</v>
      </c>
      <c r="D219" s="5">
        <v>21574</v>
      </c>
      <c r="E219" s="5">
        <v>45788</v>
      </c>
      <c r="F219" s="5">
        <v>45977</v>
      </c>
      <c r="G219" t="s">
        <v>109</v>
      </c>
      <c r="H219" t="s">
        <v>32</v>
      </c>
      <c r="I219" t="s">
        <v>96</v>
      </c>
      <c r="J219" t="s">
        <v>64</v>
      </c>
      <c r="K219" t="s">
        <v>110</v>
      </c>
      <c r="L219" s="6">
        <v>167554.71</v>
      </c>
      <c r="M219">
        <v>138518.62</v>
      </c>
      <c r="N219" t="s">
        <v>35</v>
      </c>
      <c r="O219">
        <v>11</v>
      </c>
      <c r="P219">
        <v>118</v>
      </c>
      <c r="Q219">
        <v>5</v>
      </c>
      <c r="R219">
        <v>178</v>
      </c>
      <c r="S219">
        <v>91.3</v>
      </c>
      <c r="T219" t="s">
        <v>37</v>
      </c>
      <c r="U219" s="7">
        <f t="shared" si="12"/>
        <v>66</v>
      </c>
      <c r="V219" s="7">
        <f t="shared" si="13"/>
        <v>189</v>
      </c>
      <c r="W219" s="6">
        <f t="shared" si="14"/>
        <v>29036.089999999997</v>
      </c>
      <c r="X219" t="str">
        <f t="shared" si="15"/>
        <v>Senior</v>
      </c>
    </row>
    <row r="220" spans="1:24">
      <c r="A220" t="s">
        <v>710</v>
      </c>
      <c r="B220" t="s">
        <v>76</v>
      </c>
      <c r="C220" t="s">
        <v>40</v>
      </c>
      <c r="D220" s="5">
        <v>22649</v>
      </c>
      <c r="E220" s="5">
        <v>45839</v>
      </c>
      <c r="F220" s="5">
        <v>45842</v>
      </c>
      <c r="G220" t="s">
        <v>43</v>
      </c>
      <c r="H220" t="s">
        <v>86</v>
      </c>
      <c r="I220" t="s">
        <v>33</v>
      </c>
      <c r="J220" t="s">
        <v>46</v>
      </c>
      <c r="K220" t="s">
        <v>55</v>
      </c>
      <c r="L220" s="6">
        <v>151785.04</v>
      </c>
      <c r="M220">
        <v>134287.04999999999</v>
      </c>
      <c r="N220" t="s">
        <v>73</v>
      </c>
      <c r="O220">
        <v>3</v>
      </c>
      <c r="P220">
        <v>237</v>
      </c>
      <c r="Q220">
        <v>5</v>
      </c>
      <c r="R220">
        <v>140</v>
      </c>
      <c r="S220">
        <v>98.1</v>
      </c>
      <c r="T220" t="s">
        <v>37</v>
      </c>
      <c r="U220" s="7">
        <f t="shared" si="12"/>
        <v>63</v>
      </c>
      <c r="V220" s="7">
        <f t="shared" si="13"/>
        <v>3</v>
      </c>
      <c r="W220" s="6">
        <f t="shared" si="14"/>
        <v>17497.99000000002</v>
      </c>
      <c r="X220" t="str">
        <f t="shared" si="15"/>
        <v>Senior</v>
      </c>
    </row>
    <row r="221" spans="1:24">
      <c r="A221" t="s">
        <v>714</v>
      </c>
      <c r="B221" t="s">
        <v>550</v>
      </c>
      <c r="C221" t="s">
        <v>40</v>
      </c>
      <c r="D221" s="5">
        <v>37239</v>
      </c>
      <c r="E221" s="5">
        <v>45775</v>
      </c>
      <c r="F221" s="5">
        <v>45780</v>
      </c>
      <c r="G221" t="s">
        <v>117</v>
      </c>
      <c r="H221" t="s">
        <v>52</v>
      </c>
      <c r="I221" t="s">
        <v>53</v>
      </c>
      <c r="J221" t="s">
        <v>80</v>
      </c>
      <c r="K221" t="s">
        <v>55</v>
      </c>
      <c r="L221" s="6">
        <v>77549.710000000006</v>
      </c>
      <c r="M221">
        <v>69514.97</v>
      </c>
      <c r="N221" t="s">
        <v>56</v>
      </c>
      <c r="O221">
        <v>5</v>
      </c>
      <c r="P221">
        <v>21</v>
      </c>
      <c r="Q221">
        <v>4</v>
      </c>
      <c r="R221">
        <v>101</v>
      </c>
      <c r="S221">
        <v>71.3</v>
      </c>
      <c r="T221" t="s">
        <v>4237</v>
      </c>
      <c r="U221" s="7">
        <f t="shared" si="12"/>
        <v>23</v>
      </c>
      <c r="V221" s="7">
        <f t="shared" si="13"/>
        <v>5</v>
      </c>
      <c r="W221" s="6">
        <f t="shared" si="14"/>
        <v>8034.7400000000052</v>
      </c>
      <c r="X221" t="str">
        <f t="shared" si="15"/>
        <v>Adult</v>
      </c>
    </row>
    <row r="222" spans="1:24">
      <c r="A222" t="s">
        <v>716</v>
      </c>
      <c r="B222" t="s">
        <v>139</v>
      </c>
      <c r="C222" t="s">
        <v>133</v>
      </c>
      <c r="D222" s="5">
        <v>25433</v>
      </c>
      <c r="E222" s="5">
        <v>45876</v>
      </c>
      <c r="F222" s="5" t="s">
        <v>4237</v>
      </c>
      <c r="G222" t="s">
        <v>152</v>
      </c>
      <c r="H222" t="s">
        <v>124</v>
      </c>
      <c r="I222" t="s">
        <v>96</v>
      </c>
      <c r="J222" t="s">
        <v>71</v>
      </c>
      <c r="K222" t="s">
        <v>55</v>
      </c>
      <c r="L222" s="6">
        <v>239116.58</v>
      </c>
      <c r="M222">
        <v>171087.43</v>
      </c>
      <c r="N222" t="s">
        <v>91</v>
      </c>
      <c r="O222">
        <v>8</v>
      </c>
      <c r="P222">
        <v>172</v>
      </c>
      <c r="Q222">
        <v>5</v>
      </c>
      <c r="R222">
        <v>143</v>
      </c>
      <c r="S222">
        <v>104.1</v>
      </c>
      <c r="T222" t="s">
        <v>4237</v>
      </c>
      <c r="U222" s="7">
        <f t="shared" si="12"/>
        <v>55</v>
      </c>
      <c r="V222" s="7" t="s">
        <v>4237</v>
      </c>
      <c r="W222" s="6">
        <f t="shared" si="14"/>
        <v>68029.149999999994</v>
      </c>
      <c r="X222" t="str">
        <f t="shared" si="15"/>
        <v>Middle Age</v>
      </c>
    </row>
    <row r="223" spans="1:24">
      <c r="A223" t="s">
        <v>717</v>
      </c>
      <c r="B223" t="s">
        <v>700</v>
      </c>
      <c r="C223" t="s">
        <v>133</v>
      </c>
      <c r="D223" s="5">
        <v>26931</v>
      </c>
      <c r="E223" s="5">
        <v>44962</v>
      </c>
      <c r="F223" s="5">
        <v>44971</v>
      </c>
      <c r="G223" t="s">
        <v>152</v>
      </c>
      <c r="H223" t="s">
        <v>124</v>
      </c>
      <c r="I223" t="s">
        <v>119</v>
      </c>
      <c r="J223" t="s">
        <v>34</v>
      </c>
      <c r="K223" t="s">
        <v>161</v>
      </c>
      <c r="L223" s="6">
        <v>219883.51999999999</v>
      </c>
      <c r="M223">
        <v>177493.42</v>
      </c>
      <c r="N223" t="s">
        <v>35</v>
      </c>
      <c r="O223">
        <v>9</v>
      </c>
      <c r="P223">
        <v>18</v>
      </c>
      <c r="Q223">
        <v>5</v>
      </c>
      <c r="R223">
        <v>136</v>
      </c>
      <c r="S223">
        <v>149.69999999999999</v>
      </c>
      <c r="T223" t="s">
        <v>65</v>
      </c>
      <c r="U223" s="7">
        <f t="shared" si="12"/>
        <v>49</v>
      </c>
      <c r="V223" s="7">
        <f t="shared" si="13"/>
        <v>9</v>
      </c>
      <c r="W223" s="6">
        <f t="shared" si="14"/>
        <v>42390.099999999977</v>
      </c>
      <c r="X223" t="str">
        <f t="shared" si="15"/>
        <v>Middle Age</v>
      </c>
    </row>
    <row r="224" spans="1:24">
      <c r="A224" t="s">
        <v>719</v>
      </c>
      <c r="B224" t="s">
        <v>843</v>
      </c>
      <c r="C224" t="s">
        <v>133</v>
      </c>
      <c r="D224" s="5">
        <v>24799</v>
      </c>
      <c r="E224" s="5">
        <v>45669</v>
      </c>
      <c r="F224" s="5">
        <v>45673</v>
      </c>
      <c r="G224" t="s">
        <v>105</v>
      </c>
      <c r="H224" t="s">
        <v>153</v>
      </c>
      <c r="I224" t="s">
        <v>53</v>
      </c>
      <c r="J224" t="s">
        <v>179</v>
      </c>
      <c r="K224" t="s">
        <v>27</v>
      </c>
      <c r="L224" s="6">
        <v>36394.99</v>
      </c>
      <c r="M224">
        <v>29549.25</v>
      </c>
      <c r="N224" t="s">
        <v>73</v>
      </c>
      <c r="O224">
        <v>4</v>
      </c>
      <c r="P224">
        <v>129</v>
      </c>
      <c r="Q224">
        <v>4</v>
      </c>
      <c r="R224">
        <v>133</v>
      </c>
      <c r="S224">
        <v>245</v>
      </c>
      <c r="T224" t="s">
        <v>47</v>
      </c>
      <c r="U224" s="7">
        <f t="shared" si="12"/>
        <v>57</v>
      </c>
      <c r="V224" s="7">
        <f t="shared" si="13"/>
        <v>4</v>
      </c>
      <c r="W224" s="6">
        <f t="shared" si="14"/>
        <v>6845.739999999998</v>
      </c>
      <c r="X224" t="str">
        <f t="shared" si="15"/>
        <v>Middle Age</v>
      </c>
    </row>
    <row r="225" spans="1:24">
      <c r="A225" t="s">
        <v>722</v>
      </c>
      <c r="B225" t="s">
        <v>613</v>
      </c>
      <c r="C225" t="s">
        <v>133</v>
      </c>
      <c r="D225" s="5">
        <v>39482</v>
      </c>
      <c r="E225" s="5">
        <v>45195</v>
      </c>
      <c r="F225" s="5">
        <v>45196</v>
      </c>
      <c r="G225" t="s">
        <v>109</v>
      </c>
      <c r="H225" t="s">
        <v>153</v>
      </c>
      <c r="I225" t="s">
        <v>119</v>
      </c>
      <c r="J225" t="s">
        <v>97</v>
      </c>
      <c r="K225" t="s">
        <v>27</v>
      </c>
      <c r="L225" s="6">
        <v>204717.08</v>
      </c>
      <c r="M225">
        <v>157886.54999999999</v>
      </c>
      <c r="N225" t="s">
        <v>73</v>
      </c>
      <c r="O225">
        <v>1</v>
      </c>
      <c r="P225">
        <v>92</v>
      </c>
      <c r="Q225">
        <v>3</v>
      </c>
      <c r="R225">
        <v>180</v>
      </c>
      <c r="S225">
        <v>127.9</v>
      </c>
      <c r="T225" t="s">
        <v>4237</v>
      </c>
      <c r="U225" s="7">
        <f t="shared" si="12"/>
        <v>15</v>
      </c>
      <c r="V225" s="7">
        <f t="shared" si="13"/>
        <v>1</v>
      </c>
      <c r="W225" s="6">
        <f t="shared" si="14"/>
        <v>46830.53</v>
      </c>
      <c r="X225" t="str">
        <f t="shared" si="15"/>
        <v>Child</v>
      </c>
    </row>
    <row r="226" spans="1:24">
      <c r="A226" t="s">
        <v>724</v>
      </c>
      <c r="B226" t="s">
        <v>427</v>
      </c>
      <c r="C226" t="s">
        <v>133</v>
      </c>
      <c r="D226" s="5">
        <v>35978</v>
      </c>
      <c r="E226" s="5">
        <v>45329</v>
      </c>
      <c r="F226" s="5" t="s">
        <v>4237</v>
      </c>
      <c r="G226" t="s">
        <v>152</v>
      </c>
      <c r="H226" t="s">
        <v>95</v>
      </c>
      <c r="I226" t="s">
        <v>25</v>
      </c>
      <c r="J226" t="s">
        <v>34</v>
      </c>
      <c r="K226" t="s">
        <v>27</v>
      </c>
      <c r="L226" s="6">
        <v>31933.25</v>
      </c>
      <c r="M226">
        <v>22767.91</v>
      </c>
      <c r="N226" t="s">
        <v>91</v>
      </c>
      <c r="O226">
        <v>4</v>
      </c>
      <c r="P226">
        <v>82</v>
      </c>
      <c r="Q226">
        <v>1</v>
      </c>
      <c r="R226">
        <v>186</v>
      </c>
      <c r="S226">
        <v>88.3</v>
      </c>
      <c r="T226" t="s">
        <v>37</v>
      </c>
      <c r="U226" s="7">
        <f t="shared" si="12"/>
        <v>25</v>
      </c>
      <c r="V226" s="7" t="s">
        <v>4237</v>
      </c>
      <c r="W226" s="6">
        <f t="shared" si="14"/>
        <v>9165.34</v>
      </c>
      <c r="X226" t="str">
        <f t="shared" si="15"/>
        <v>Adult</v>
      </c>
    </row>
    <row r="227" spans="1:24">
      <c r="A227" t="s">
        <v>725</v>
      </c>
      <c r="B227" t="s">
        <v>565</v>
      </c>
      <c r="C227" t="s">
        <v>40</v>
      </c>
      <c r="D227" s="5">
        <v>31447</v>
      </c>
      <c r="E227" s="5">
        <v>44955</v>
      </c>
      <c r="F227" s="5">
        <v>44972</v>
      </c>
      <c r="G227" t="s">
        <v>94</v>
      </c>
      <c r="H227" t="s">
        <v>44</v>
      </c>
      <c r="I227" t="s">
        <v>53</v>
      </c>
      <c r="J227" t="s">
        <v>64</v>
      </c>
      <c r="K227" t="s">
        <v>55</v>
      </c>
      <c r="L227" s="6">
        <v>3571.41</v>
      </c>
      <c r="M227">
        <v>2214.86</v>
      </c>
      <c r="N227" t="s">
        <v>192</v>
      </c>
      <c r="O227">
        <v>17</v>
      </c>
      <c r="P227">
        <v>59</v>
      </c>
      <c r="Q227">
        <v>4</v>
      </c>
      <c r="R227">
        <v>180</v>
      </c>
      <c r="S227">
        <v>160.19999999999999</v>
      </c>
      <c r="T227" t="s">
        <v>4237</v>
      </c>
      <c r="U227" s="7">
        <f t="shared" si="12"/>
        <v>36</v>
      </c>
      <c r="V227" s="7">
        <f t="shared" si="13"/>
        <v>17</v>
      </c>
      <c r="W227" s="6">
        <f t="shared" si="14"/>
        <v>1356.5499999999997</v>
      </c>
      <c r="X227" t="str">
        <f t="shared" si="15"/>
        <v>Adult</v>
      </c>
    </row>
    <row r="228" spans="1:24">
      <c r="A228" t="s">
        <v>727</v>
      </c>
      <c r="B228" t="s">
        <v>728</v>
      </c>
      <c r="C228" t="s">
        <v>40</v>
      </c>
      <c r="D228" s="5">
        <v>21422</v>
      </c>
      <c r="E228" s="5">
        <v>45666</v>
      </c>
      <c r="F228" s="5">
        <v>45676</v>
      </c>
      <c r="G228" t="s">
        <v>152</v>
      </c>
      <c r="H228" t="s">
        <v>52</v>
      </c>
      <c r="I228" t="s">
        <v>119</v>
      </c>
      <c r="J228" t="s">
        <v>34</v>
      </c>
      <c r="K228" t="s">
        <v>55</v>
      </c>
      <c r="L228" s="6">
        <v>31141.35</v>
      </c>
      <c r="M228">
        <v>26067.919999999998</v>
      </c>
      <c r="N228" t="s">
        <v>91</v>
      </c>
      <c r="O228">
        <v>10</v>
      </c>
      <c r="P228">
        <v>193</v>
      </c>
      <c r="Q228">
        <v>5</v>
      </c>
      <c r="R228">
        <v>177</v>
      </c>
      <c r="S228">
        <v>255.5</v>
      </c>
      <c r="T228" t="s">
        <v>37</v>
      </c>
      <c r="U228" s="7">
        <f t="shared" si="12"/>
        <v>66</v>
      </c>
      <c r="V228" s="7">
        <f t="shared" si="13"/>
        <v>10</v>
      </c>
      <c r="W228" s="6">
        <f t="shared" si="14"/>
        <v>5073.43</v>
      </c>
      <c r="X228" t="str">
        <f t="shared" si="15"/>
        <v>Senior</v>
      </c>
    </row>
    <row r="229" spans="1:24">
      <c r="A229" t="s">
        <v>731</v>
      </c>
      <c r="B229" t="s">
        <v>732</v>
      </c>
      <c r="C229" t="s">
        <v>133</v>
      </c>
      <c r="D229" s="5">
        <v>27623</v>
      </c>
      <c r="E229" s="5">
        <v>45101</v>
      </c>
      <c r="F229" s="5">
        <v>45105</v>
      </c>
      <c r="G229" t="s">
        <v>43</v>
      </c>
      <c r="H229" t="s">
        <v>153</v>
      </c>
      <c r="I229" t="s">
        <v>33</v>
      </c>
      <c r="J229" t="s">
        <v>97</v>
      </c>
      <c r="K229" t="s">
        <v>161</v>
      </c>
      <c r="L229" s="6">
        <v>18515.830000000002</v>
      </c>
      <c r="M229">
        <v>14842.09</v>
      </c>
      <c r="N229" t="s">
        <v>35</v>
      </c>
      <c r="O229">
        <v>4</v>
      </c>
      <c r="P229">
        <v>157</v>
      </c>
      <c r="Q229">
        <v>4</v>
      </c>
      <c r="R229">
        <v>105</v>
      </c>
      <c r="S229">
        <v>114.2</v>
      </c>
      <c r="T229" t="s">
        <v>37</v>
      </c>
      <c r="U229" s="7">
        <f t="shared" si="12"/>
        <v>47</v>
      </c>
      <c r="V229" s="7">
        <f t="shared" si="13"/>
        <v>4</v>
      </c>
      <c r="W229" s="6">
        <f t="shared" si="14"/>
        <v>3673.7400000000016</v>
      </c>
      <c r="X229" t="str">
        <f t="shared" si="15"/>
        <v>Middle Age</v>
      </c>
    </row>
    <row r="230" spans="1:24">
      <c r="A230" t="s">
        <v>733</v>
      </c>
      <c r="B230" t="s">
        <v>67</v>
      </c>
      <c r="C230" t="s">
        <v>133</v>
      </c>
      <c r="D230" s="5">
        <v>21648</v>
      </c>
      <c r="E230" s="5">
        <v>45177</v>
      </c>
      <c r="F230" s="5">
        <v>45186</v>
      </c>
      <c r="G230" t="s">
        <v>94</v>
      </c>
      <c r="H230" t="s">
        <v>113</v>
      </c>
      <c r="I230" t="s">
        <v>53</v>
      </c>
      <c r="J230" t="s">
        <v>179</v>
      </c>
      <c r="K230" t="s">
        <v>110</v>
      </c>
      <c r="L230" s="6">
        <v>27151.84</v>
      </c>
      <c r="M230">
        <v>25769.64</v>
      </c>
      <c r="N230" t="s">
        <v>73</v>
      </c>
      <c r="O230">
        <v>9</v>
      </c>
      <c r="P230">
        <v>132</v>
      </c>
      <c r="Q230">
        <v>1</v>
      </c>
      <c r="R230">
        <v>112</v>
      </c>
      <c r="S230">
        <v>142.69999999999999</v>
      </c>
      <c r="T230" t="s">
        <v>4237</v>
      </c>
      <c r="U230" s="7">
        <f t="shared" si="12"/>
        <v>64</v>
      </c>
      <c r="V230" s="7">
        <f t="shared" si="13"/>
        <v>9</v>
      </c>
      <c r="W230" s="6">
        <f t="shared" si="14"/>
        <v>1382.2000000000007</v>
      </c>
      <c r="X230" t="str">
        <f t="shared" si="15"/>
        <v>Senior</v>
      </c>
    </row>
    <row r="231" spans="1:24">
      <c r="A231" t="s">
        <v>736</v>
      </c>
      <c r="B231" t="s">
        <v>737</v>
      </c>
      <c r="C231" t="s">
        <v>133</v>
      </c>
      <c r="D231" s="5">
        <v>26194</v>
      </c>
      <c r="E231" s="5">
        <v>45079</v>
      </c>
      <c r="F231" s="5">
        <v>44965</v>
      </c>
      <c r="G231" t="s">
        <v>161</v>
      </c>
      <c r="H231" t="s">
        <v>134</v>
      </c>
      <c r="I231" t="s">
        <v>33</v>
      </c>
      <c r="J231" t="s">
        <v>46</v>
      </c>
      <c r="K231" t="s">
        <v>55</v>
      </c>
      <c r="L231" s="6">
        <v>213586.39</v>
      </c>
      <c r="M231">
        <v>170015.2</v>
      </c>
      <c r="N231" t="s">
        <v>192</v>
      </c>
      <c r="O231">
        <v>2</v>
      </c>
      <c r="P231">
        <v>13</v>
      </c>
      <c r="Q231">
        <v>3</v>
      </c>
      <c r="R231">
        <v>161</v>
      </c>
      <c r="S231">
        <v>195.3</v>
      </c>
      <c r="T231" t="s">
        <v>65</v>
      </c>
      <c r="U231" s="7">
        <f t="shared" si="12"/>
        <v>51</v>
      </c>
      <c r="V231" s="7">
        <f t="shared" si="13"/>
        <v>-114</v>
      </c>
      <c r="W231" s="6">
        <f t="shared" si="14"/>
        <v>43571.19</v>
      </c>
      <c r="X231" t="str">
        <f t="shared" si="15"/>
        <v>Middle Age</v>
      </c>
    </row>
    <row r="232" spans="1:24">
      <c r="A232" t="s">
        <v>739</v>
      </c>
      <c r="B232" t="s">
        <v>472</v>
      </c>
      <c r="C232" t="s">
        <v>133</v>
      </c>
      <c r="D232" s="5">
        <v>29964</v>
      </c>
      <c r="E232" s="5">
        <v>45466</v>
      </c>
      <c r="F232" s="5">
        <v>45542</v>
      </c>
      <c r="G232" t="s">
        <v>43</v>
      </c>
      <c r="H232" t="s">
        <v>118</v>
      </c>
      <c r="I232" t="s">
        <v>119</v>
      </c>
      <c r="J232" t="s">
        <v>71</v>
      </c>
      <c r="K232" t="s">
        <v>120</v>
      </c>
      <c r="L232" s="6">
        <v>81819.490000000005</v>
      </c>
      <c r="M232">
        <v>71767.070000000007</v>
      </c>
      <c r="N232" t="s">
        <v>35</v>
      </c>
      <c r="O232">
        <v>16</v>
      </c>
      <c r="P232">
        <v>37</v>
      </c>
      <c r="Q232">
        <v>5</v>
      </c>
      <c r="R232">
        <v>134</v>
      </c>
      <c r="S232">
        <v>223.8</v>
      </c>
      <c r="T232" t="s">
        <v>37</v>
      </c>
      <c r="U232" s="7">
        <f t="shared" si="12"/>
        <v>42</v>
      </c>
      <c r="V232" s="7">
        <f t="shared" si="13"/>
        <v>76</v>
      </c>
      <c r="W232" s="6">
        <f t="shared" si="14"/>
        <v>10052.419999999998</v>
      </c>
      <c r="X232" t="str">
        <f t="shared" si="15"/>
        <v>Middle Age</v>
      </c>
    </row>
    <row r="233" spans="1:24">
      <c r="A233" t="s">
        <v>743</v>
      </c>
      <c r="B233" t="s">
        <v>744</v>
      </c>
      <c r="C233" t="s">
        <v>40</v>
      </c>
      <c r="D233" s="5">
        <v>20977</v>
      </c>
      <c r="E233" s="5">
        <v>45201</v>
      </c>
      <c r="F233" s="5">
        <v>44985</v>
      </c>
      <c r="G233" t="s">
        <v>77</v>
      </c>
      <c r="H233" t="s">
        <v>113</v>
      </c>
      <c r="I233" t="s">
        <v>79</v>
      </c>
      <c r="J233" t="s">
        <v>64</v>
      </c>
      <c r="K233" t="s">
        <v>55</v>
      </c>
      <c r="L233" s="6">
        <v>129903.06</v>
      </c>
      <c r="M233">
        <v>96256.4</v>
      </c>
      <c r="N233" t="s">
        <v>192</v>
      </c>
      <c r="O233">
        <v>18</v>
      </c>
      <c r="P233">
        <v>183</v>
      </c>
      <c r="Q233">
        <v>4</v>
      </c>
      <c r="R233">
        <v>165</v>
      </c>
      <c r="S233">
        <v>74.2</v>
      </c>
      <c r="T233" t="s">
        <v>65</v>
      </c>
      <c r="U233" s="7">
        <f t="shared" si="12"/>
        <v>66</v>
      </c>
      <c r="V233" s="7">
        <f t="shared" si="13"/>
        <v>-216</v>
      </c>
      <c r="W233" s="6">
        <f t="shared" si="14"/>
        <v>33646.660000000003</v>
      </c>
      <c r="X233" t="str">
        <f t="shared" si="15"/>
        <v>Senior</v>
      </c>
    </row>
    <row r="234" spans="1:24">
      <c r="A234" t="s">
        <v>747</v>
      </c>
      <c r="B234" t="s">
        <v>283</v>
      </c>
      <c r="C234" t="s">
        <v>40</v>
      </c>
      <c r="D234" s="5">
        <v>22879</v>
      </c>
      <c r="E234" s="5">
        <v>45081</v>
      </c>
      <c r="F234" s="5">
        <v>45099</v>
      </c>
      <c r="G234" t="s">
        <v>109</v>
      </c>
      <c r="H234" t="s">
        <v>24</v>
      </c>
      <c r="I234" t="s">
        <v>96</v>
      </c>
      <c r="J234" t="s">
        <v>64</v>
      </c>
      <c r="K234" t="s">
        <v>55</v>
      </c>
      <c r="L234" s="6">
        <v>102001.77</v>
      </c>
      <c r="M234">
        <v>90513.48</v>
      </c>
      <c r="N234" t="s">
        <v>4237</v>
      </c>
      <c r="O234">
        <v>18</v>
      </c>
      <c r="P234">
        <v>28</v>
      </c>
      <c r="Q234">
        <v>2</v>
      </c>
      <c r="R234">
        <v>165</v>
      </c>
      <c r="S234">
        <v>134</v>
      </c>
      <c r="T234" t="s">
        <v>37</v>
      </c>
      <c r="U234" s="7">
        <f t="shared" si="12"/>
        <v>60</v>
      </c>
      <c r="V234" s="7">
        <f t="shared" si="13"/>
        <v>18</v>
      </c>
      <c r="W234" s="6">
        <f t="shared" si="14"/>
        <v>11488.290000000008</v>
      </c>
      <c r="X234" t="str">
        <f t="shared" si="15"/>
        <v>Senior</v>
      </c>
    </row>
    <row r="235" spans="1:24">
      <c r="A235" t="s">
        <v>748</v>
      </c>
      <c r="B235" t="s">
        <v>515</v>
      </c>
      <c r="C235" t="s">
        <v>133</v>
      </c>
      <c r="D235" s="5">
        <v>33853</v>
      </c>
      <c r="E235" s="5">
        <v>44965</v>
      </c>
      <c r="F235" s="5">
        <v>44982</v>
      </c>
      <c r="G235" t="s">
        <v>117</v>
      </c>
      <c r="H235" t="s">
        <v>32</v>
      </c>
      <c r="I235" t="s">
        <v>45</v>
      </c>
      <c r="J235" t="s">
        <v>34</v>
      </c>
      <c r="K235" t="s">
        <v>120</v>
      </c>
      <c r="L235" s="6">
        <v>68814.149999999994</v>
      </c>
      <c r="M235">
        <v>50292.37</v>
      </c>
      <c r="N235" t="s">
        <v>91</v>
      </c>
      <c r="O235">
        <v>17</v>
      </c>
      <c r="P235">
        <v>162</v>
      </c>
      <c r="Q235">
        <v>4</v>
      </c>
      <c r="R235">
        <v>162</v>
      </c>
      <c r="S235">
        <v>208.1</v>
      </c>
      <c r="T235" t="s">
        <v>37</v>
      </c>
      <c r="U235" s="7">
        <f t="shared" si="12"/>
        <v>30</v>
      </c>
      <c r="V235" s="7">
        <f t="shared" si="13"/>
        <v>17</v>
      </c>
      <c r="W235" s="6">
        <f t="shared" si="14"/>
        <v>18521.779999999992</v>
      </c>
      <c r="X235" t="str">
        <f t="shared" si="15"/>
        <v>Adult</v>
      </c>
    </row>
    <row r="236" spans="1:24">
      <c r="A236" t="s">
        <v>749</v>
      </c>
      <c r="B236" t="s">
        <v>251</v>
      </c>
      <c r="C236" t="s">
        <v>133</v>
      </c>
      <c r="D236" s="5">
        <v>33306</v>
      </c>
      <c r="E236" s="5">
        <v>45410</v>
      </c>
      <c r="F236" s="5">
        <v>45423</v>
      </c>
      <c r="G236" t="s">
        <v>62</v>
      </c>
      <c r="H236" t="s">
        <v>86</v>
      </c>
      <c r="I236" t="s">
        <v>33</v>
      </c>
      <c r="J236" t="s">
        <v>80</v>
      </c>
      <c r="K236" t="s">
        <v>110</v>
      </c>
      <c r="L236" s="6">
        <v>199768.58</v>
      </c>
      <c r="M236">
        <v>167655.35999999999</v>
      </c>
      <c r="N236" t="s">
        <v>91</v>
      </c>
      <c r="O236">
        <v>13</v>
      </c>
      <c r="P236">
        <v>148</v>
      </c>
      <c r="Q236">
        <v>4</v>
      </c>
      <c r="R236">
        <v>144</v>
      </c>
      <c r="S236">
        <v>192.9</v>
      </c>
      <c r="T236" t="s">
        <v>37</v>
      </c>
      <c r="U236" s="7">
        <f t="shared" si="12"/>
        <v>33</v>
      </c>
      <c r="V236" s="7">
        <f t="shared" si="13"/>
        <v>13</v>
      </c>
      <c r="W236" s="6">
        <f t="shared" si="14"/>
        <v>32113.22</v>
      </c>
      <c r="X236" t="str">
        <f t="shared" si="15"/>
        <v>Adult</v>
      </c>
    </row>
    <row r="237" spans="1:24">
      <c r="A237" t="s">
        <v>751</v>
      </c>
      <c r="B237" t="s">
        <v>752</v>
      </c>
      <c r="C237" t="s">
        <v>133</v>
      </c>
      <c r="D237" s="5">
        <v>25851</v>
      </c>
      <c r="E237" s="5">
        <v>45057</v>
      </c>
      <c r="F237" s="5">
        <v>45071</v>
      </c>
      <c r="G237" t="s">
        <v>152</v>
      </c>
      <c r="H237" t="s">
        <v>113</v>
      </c>
      <c r="I237" t="s">
        <v>33</v>
      </c>
      <c r="J237" t="s">
        <v>34</v>
      </c>
      <c r="K237" t="s">
        <v>55</v>
      </c>
      <c r="L237" s="6">
        <v>235932.63</v>
      </c>
      <c r="M237">
        <v>191082.15</v>
      </c>
      <c r="N237" t="s">
        <v>56</v>
      </c>
      <c r="O237">
        <v>14</v>
      </c>
      <c r="P237">
        <v>65</v>
      </c>
      <c r="Q237">
        <v>2</v>
      </c>
      <c r="R237">
        <v>163</v>
      </c>
      <c r="S237">
        <v>209.6</v>
      </c>
      <c r="T237" t="s">
        <v>37</v>
      </c>
      <c r="U237" s="7">
        <f t="shared" si="12"/>
        <v>52</v>
      </c>
      <c r="V237" s="7">
        <f t="shared" si="13"/>
        <v>14</v>
      </c>
      <c r="W237" s="6">
        <f t="shared" si="14"/>
        <v>44850.48000000001</v>
      </c>
      <c r="X237" t="str">
        <f t="shared" si="15"/>
        <v>Middle Age</v>
      </c>
    </row>
    <row r="238" spans="1:24">
      <c r="A238" t="s">
        <v>755</v>
      </c>
      <c r="B238" t="s">
        <v>756</v>
      </c>
      <c r="C238" t="s">
        <v>40</v>
      </c>
      <c r="D238" s="5">
        <v>20521</v>
      </c>
      <c r="E238" s="5">
        <v>45489</v>
      </c>
      <c r="F238" s="5" t="s">
        <v>4237</v>
      </c>
      <c r="G238" t="s">
        <v>43</v>
      </c>
      <c r="H238" t="s">
        <v>153</v>
      </c>
      <c r="I238" t="s">
        <v>25</v>
      </c>
      <c r="J238" t="s">
        <v>34</v>
      </c>
      <c r="K238" t="s">
        <v>110</v>
      </c>
      <c r="L238" s="6">
        <v>134533.82</v>
      </c>
      <c r="M238">
        <v>112594.22</v>
      </c>
      <c r="N238" t="s">
        <v>56</v>
      </c>
      <c r="O238">
        <v>15</v>
      </c>
      <c r="P238">
        <v>86</v>
      </c>
      <c r="Q238">
        <v>4</v>
      </c>
      <c r="R238">
        <v>144</v>
      </c>
      <c r="S238">
        <v>160.19999999999999</v>
      </c>
      <c r="T238" t="s">
        <v>47</v>
      </c>
      <c r="U238" s="7">
        <f t="shared" si="12"/>
        <v>68</v>
      </c>
      <c r="V238" s="7" t="s">
        <v>4237</v>
      </c>
      <c r="W238" s="6">
        <f t="shared" si="14"/>
        <v>21939.600000000006</v>
      </c>
      <c r="X238" t="str">
        <f t="shared" si="15"/>
        <v>Senior</v>
      </c>
    </row>
    <row r="239" spans="1:24">
      <c r="A239" t="s">
        <v>758</v>
      </c>
      <c r="B239" t="s">
        <v>553</v>
      </c>
      <c r="C239" t="s">
        <v>40</v>
      </c>
      <c r="D239" s="5">
        <v>27170</v>
      </c>
      <c r="E239" s="5">
        <v>45670</v>
      </c>
      <c r="F239" s="5">
        <v>45674</v>
      </c>
      <c r="G239" t="s">
        <v>94</v>
      </c>
      <c r="H239" t="s">
        <v>4236</v>
      </c>
      <c r="I239" t="s">
        <v>33</v>
      </c>
      <c r="J239" t="s">
        <v>34</v>
      </c>
      <c r="K239" t="s">
        <v>27</v>
      </c>
      <c r="L239" s="6">
        <v>4446.8599999999997</v>
      </c>
      <c r="M239">
        <v>4132.6400000000003</v>
      </c>
      <c r="N239" t="s">
        <v>56</v>
      </c>
      <c r="O239">
        <v>4</v>
      </c>
      <c r="P239">
        <v>239</v>
      </c>
      <c r="Q239">
        <v>5</v>
      </c>
      <c r="R239">
        <v>128</v>
      </c>
      <c r="S239">
        <v>87.1</v>
      </c>
      <c r="T239" t="s">
        <v>47</v>
      </c>
      <c r="U239" s="7">
        <f t="shared" si="12"/>
        <v>50</v>
      </c>
      <c r="V239" s="7">
        <f t="shared" si="13"/>
        <v>4</v>
      </c>
      <c r="W239" s="6">
        <f t="shared" si="14"/>
        <v>314.21999999999935</v>
      </c>
      <c r="X239" t="str">
        <f t="shared" si="15"/>
        <v>Middle Age</v>
      </c>
    </row>
    <row r="240" spans="1:24">
      <c r="A240" t="s">
        <v>759</v>
      </c>
      <c r="B240" t="s">
        <v>760</v>
      </c>
      <c r="C240" t="s">
        <v>40</v>
      </c>
      <c r="D240" s="5">
        <v>39987</v>
      </c>
      <c r="E240" s="5">
        <v>45792</v>
      </c>
      <c r="F240" s="5">
        <v>45796</v>
      </c>
      <c r="G240" t="s">
        <v>161</v>
      </c>
      <c r="H240" t="s">
        <v>44</v>
      </c>
      <c r="I240" t="s">
        <v>33</v>
      </c>
      <c r="J240" t="s">
        <v>46</v>
      </c>
      <c r="K240" t="s">
        <v>55</v>
      </c>
      <c r="L240" s="6">
        <v>106665.46</v>
      </c>
      <c r="M240">
        <v>85590.94</v>
      </c>
      <c r="N240" t="s">
        <v>192</v>
      </c>
      <c r="O240">
        <v>4</v>
      </c>
      <c r="P240">
        <v>193</v>
      </c>
      <c r="Q240">
        <v>5</v>
      </c>
      <c r="R240">
        <v>148</v>
      </c>
      <c r="S240">
        <v>202.1</v>
      </c>
      <c r="T240" t="s">
        <v>37</v>
      </c>
      <c r="U240" s="7">
        <f t="shared" si="12"/>
        <v>15</v>
      </c>
      <c r="V240" s="7">
        <f t="shared" si="13"/>
        <v>4</v>
      </c>
      <c r="W240" s="6">
        <f t="shared" si="14"/>
        <v>21074.520000000004</v>
      </c>
      <c r="X240" t="str">
        <f t="shared" si="15"/>
        <v>Child</v>
      </c>
    </row>
    <row r="241" spans="1:24">
      <c r="A241" t="s">
        <v>761</v>
      </c>
      <c r="B241" t="s">
        <v>762</v>
      </c>
      <c r="C241" t="s">
        <v>40</v>
      </c>
      <c r="D241" s="5">
        <v>34176</v>
      </c>
      <c r="E241" s="5">
        <v>45581</v>
      </c>
      <c r="F241" s="5">
        <v>45596</v>
      </c>
      <c r="G241" t="s">
        <v>161</v>
      </c>
      <c r="H241" t="s">
        <v>124</v>
      </c>
      <c r="I241" t="s">
        <v>33</v>
      </c>
      <c r="J241" t="s">
        <v>97</v>
      </c>
      <c r="K241" t="s">
        <v>27</v>
      </c>
      <c r="L241" s="6">
        <v>172648.05</v>
      </c>
      <c r="M241">
        <v>162264.75</v>
      </c>
      <c r="N241" t="s">
        <v>192</v>
      </c>
      <c r="O241">
        <v>15</v>
      </c>
      <c r="P241">
        <v>55</v>
      </c>
      <c r="Q241">
        <v>2</v>
      </c>
      <c r="R241">
        <v>143</v>
      </c>
      <c r="S241">
        <v>139.80000000000001</v>
      </c>
      <c r="T241" t="s">
        <v>37</v>
      </c>
      <c r="U241" s="7">
        <f t="shared" si="12"/>
        <v>31</v>
      </c>
      <c r="V241" s="7">
        <f t="shared" si="13"/>
        <v>15</v>
      </c>
      <c r="W241" s="6">
        <f t="shared" si="14"/>
        <v>10383.299999999988</v>
      </c>
      <c r="X241" t="str">
        <f t="shared" si="15"/>
        <v>Adult</v>
      </c>
    </row>
    <row r="242" spans="1:24">
      <c r="A242" t="s">
        <v>764</v>
      </c>
      <c r="B242" t="s">
        <v>765</v>
      </c>
      <c r="C242" t="s">
        <v>133</v>
      </c>
      <c r="D242" s="5">
        <v>28407</v>
      </c>
      <c r="E242" s="5">
        <v>45232</v>
      </c>
      <c r="F242" s="5">
        <v>45235</v>
      </c>
      <c r="G242" t="s">
        <v>62</v>
      </c>
      <c r="H242" t="s">
        <v>118</v>
      </c>
      <c r="I242" t="s">
        <v>33</v>
      </c>
      <c r="J242" t="s">
        <v>179</v>
      </c>
      <c r="K242" t="s">
        <v>161</v>
      </c>
      <c r="L242" s="6">
        <v>180349.4</v>
      </c>
      <c r="M242">
        <v>159682.69</v>
      </c>
      <c r="N242" t="s">
        <v>91</v>
      </c>
      <c r="O242">
        <v>3</v>
      </c>
      <c r="P242">
        <v>121</v>
      </c>
      <c r="Q242">
        <v>4</v>
      </c>
      <c r="R242">
        <v>105</v>
      </c>
      <c r="S242">
        <v>112.7</v>
      </c>
      <c r="T242" t="s">
        <v>47</v>
      </c>
      <c r="U242" s="7">
        <f t="shared" si="12"/>
        <v>46</v>
      </c>
      <c r="V242" s="7">
        <f t="shared" si="13"/>
        <v>3</v>
      </c>
      <c r="W242" s="6">
        <f t="shared" si="14"/>
        <v>20666.709999999992</v>
      </c>
      <c r="X242" t="str">
        <f t="shared" si="15"/>
        <v>Middle Age</v>
      </c>
    </row>
    <row r="243" spans="1:24">
      <c r="A243" t="s">
        <v>767</v>
      </c>
      <c r="B243" t="s">
        <v>768</v>
      </c>
      <c r="C243" t="s">
        <v>40</v>
      </c>
      <c r="D243" s="5">
        <v>18757</v>
      </c>
      <c r="E243" s="5">
        <v>45409</v>
      </c>
      <c r="F243" s="5">
        <v>45631</v>
      </c>
      <c r="G243" t="s">
        <v>105</v>
      </c>
      <c r="H243" t="s">
        <v>118</v>
      </c>
      <c r="I243" t="s">
        <v>53</v>
      </c>
      <c r="J243" t="s">
        <v>26</v>
      </c>
      <c r="K243" t="s">
        <v>161</v>
      </c>
      <c r="L243" s="6">
        <v>5054.26</v>
      </c>
      <c r="M243">
        <v>4859.33</v>
      </c>
      <c r="N243" t="s">
        <v>192</v>
      </c>
      <c r="O243">
        <v>15</v>
      </c>
      <c r="P243">
        <v>182</v>
      </c>
      <c r="Q243">
        <v>4</v>
      </c>
      <c r="R243">
        <v>177</v>
      </c>
      <c r="S243">
        <v>110.3</v>
      </c>
      <c r="T243" t="s">
        <v>37</v>
      </c>
      <c r="U243" s="7">
        <f t="shared" si="12"/>
        <v>72</v>
      </c>
      <c r="V243" s="7">
        <f t="shared" si="13"/>
        <v>222</v>
      </c>
      <c r="W243" s="6">
        <f t="shared" si="14"/>
        <v>194.93000000000029</v>
      </c>
      <c r="X243" t="str">
        <f t="shared" si="15"/>
        <v>Senior</v>
      </c>
    </row>
    <row r="244" spans="1:24">
      <c r="A244" t="s">
        <v>770</v>
      </c>
      <c r="B244" t="s">
        <v>771</v>
      </c>
      <c r="C244" t="s">
        <v>40</v>
      </c>
      <c r="D244" s="5">
        <v>30237</v>
      </c>
      <c r="E244" s="5">
        <v>45546</v>
      </c>
      <c r="F244" s="5">
        <v>45559</v>
      </c>
      <c r="G244" t="s">
        <v>62</v>
      </c>
      <c r="H244" t="s">
        <v>95</v>
      </c>
      <c r="I244" t="s">
        <v>25</v>
      </c>
      <c r="J244" t="s">
        <v>64</v>
      </c>
      <c r="K244" t="s">
        <v>110</v>
      </c>
      <c r="L244" s="6">
        <v>46894.63</v>
      </c>
      <c r="M244">
        <v>39913.15</v>
      </c>
      <c r="N244" t="s">
        <v>192</v>
      </c>
      <c r="O244">
        <v>13</v>
      </c>
      <c r="P244">
        <v>91</v>
      </c>
      <c r="Q244">
        <v>4</v>
      </c>
      <c r="R244">
        <v>106</v>
      </c>
      <c r="S244">
        <v>87</v>
      </c>
      <c r="T244" t="s">
        <v>4237</v>
      </c>
      <c r="U244" s="7">
        <f t="shared" si="12"/>
        <v>41</v>
      </c>
      <c r="V244" s="7">
        <f t="shared" si="13"/>
        <v>13</v>
      </c>
      <c r="W244" s="6">
        <f t="shared" si="14"/>
        <v>6981.4799999999959</v>
      </c>
      <c r="X244" t="str">
        <f t="shared" si="15"/>
        <v>Middle Age</v>
      </c>
    </row>
    <row r="245" spans="1:24">
      <c r="A245" t="s">
        <v>772</v>
      </c>
      <c r="B245" t="s">
        <v>277</v>
      </c>
      <c r="C245" t="s">
        <v>133</v>
      </c>
      <c r="D245" s="5">
        <v>30481</v>
      </c>
      <c r="E245" s="5">
        <v>45264</v>
      </c>
      <c r="F245" s="5">
        <v>45275</v>
      </c>
      <c r="G245" t="s">
        <v>77</v>
      </c>
      <c r="H245" t="s">
        <v>78</v>
      </c>
      <c r="I245" t="s">
        <v>53</v>
      </c>
      <c r="J245" t="s">
        <v>64</v>
      </c>
      <c r="K245" t="s">
        <v>55</v>
      </c>
      <c r="L245" s="6">
        <v>213625.83</v>
      </c>
      <c r="M245">
        <v>161788.73000000001</v>
      </c>
      <c r="N245" t="s">
        <v>192</v>
      </c>
      <c r="O245">
        <v>11</v>
      </c>
      <c r="P245">
        <v>117</v>
      </c>
      <c r="Q245">
        <v>1</v>
      </c>
      <c r="R245">
        <v>114</v>
      </c>
      <c r="S245">
        <v>98.2</v>
      </c>
      <c r="T245" t="s">
        <v>47</v>
      </c>
      <c r="U245" s="7">
        <f t="shared" si="12"/>
        <v>40</v>
      </c>
      <c r="V245" s="7">
        <f t="shared" si="13"/>
        <v>11</v>
      </c>
      <c r="W245" s="6">
        <f t="shared" si="14"/>
        <v>51837.099999999977</v>
      </c>
      <c r="X245" t="str">
        <f t="shared" si="15"/>
        <v>Middle Age</v>
      </c>
    </row>
    <row r="246" spans="1:24">
      <c r="A246" t="s">
        <v>773</v>
      </c>
      <c r="B246" t="s">
        <v>611</v>
      </c>
      <c r="C246" t="s">
        <v>40</v>
      </c>
      <c r="D246" s="5">
        <v>38349</v>
      </c>
      <c r="E246" s="5">
        <v>45230</v>
      </c>
      <c r="F246" s="5">
        <v>45027</v>
      </c>
      <c r="G246" t="s">
        <v>94</v>
      </c>
      <c r="H246" t="s">
        <v>24</v>
      </c>
      <c r="I246" t="s">
        <v>96</v>
      </c>
      <c r="J246" t="s">
        <v>97</v>
      </c>
      <c r="K246" t="s">
        <v>55</v>
      </c>
      <c r="L246" s="6">
        <v>209151.03</v>
      </c>
      <c r="M246">
        <v>151577.63</v>
      </c>
      <c r="N246" t="s">
        <v>192</v>
      </c>
      <c r="O246">
        <v>4</v>
      </c>
      <c r="P246">
        <v>74</v>
      </c>
      <c r="Q246">
        <v>4</v>
      </c>
      <c r="R246">
        <v>164</v>
      </c>
      <c r="S246">
        <v>259.60000000000002</v>
      </c>
      <c r="T246" t="s">
        <v>37</v>
      </c>
      <c r="U246" s="7">
        <f t="shared" si="12"/>
        <v>18</v>
      </c>
      <c r="V246" s="7">
        <f t="shared" si="13"/>
        <v>-203</v>
      </c>
      <c r="W246" s="6">
        <f t="shared" si="14"/>
        <v>57573.399999999994</v>
      </c>
      <c r="X246" t="str">
        <f t="shared" si="15"/>
        <v>Adult</v>
      </c>
    </row>
    <row r="247" spans="1:24">
      <c r="A247" t="s">
        <v>775</v>
      </c>
      <c r="B247" t="s">
        <v>579</v>
      </c>
      <c r="C247" t="s">
        <v>40</v>
      </c>
      <c r="D247" s="5">
        <v>21553</v>
      </c>
      <c r="E247" s="5">
        <v>45869</v>
      </c>
      <c r="F247" s="5">
        <v>45885</v>
      </c>
      <c r="G247" t="s">
        <v>109</v>
      </c>
      <c r="H247" t="s">
        <v>118</v>
      </c>
      <c r="I247" t="s">
        <v>25</v>
      </c>
      <c r="J247" t="s">
        <v>46</v>
      </c>
      <c r="K247" t="s">
        <v>27</v>
      </c>
      <c r="L247" s="6">
        <v>242518.2</v>
      </c>
      <c r="M247">
        <v>182786.7</v>
      </c>
      <c r="N247" t="s">
        <v>192</v>
      </c>
      <c r="O247">
        <v>16</v>
      </c>
      <c r="P247">
        <v>120</v>
      </c>
      <c r="Q247">
        <v>5</v>
      </c>
      <c r="R247">
        <v>183</v>
      </c>
      <c r="S247">
        <v>260</v>
      </c>
      <c r="T247" t="s">
        <v>37</v>
      </c>
      <c r="U247" s="7">
        <f t="shared" si="12"/>
        <v>66</v>
      </c>
      <c r="V247" s="7">
        <f t="shared" si="13"/>
        <v>16</v>
      </c>
      <c r="W247" s="6">
        <f t="shared" si="14"/>
        <v>59731.5</v>
      </c>
      <c r="X247" t="str">
        <f t="shared" si="15"/>
        <v>Senior</v>
      </c>
    </row>
    <row r="248" spans="1:24">
      <c r="A248" t="s">
        <v>777</v>
      </c>
      <c r="B248" t="s">
        <v>527</v>
      </c>
      <c r="C248" t="s">
        <v>133</v>
      </c>
      <c r="D248" s="5">
        <v>20117</v>
      </c>
      <c r="E248" s="5">
        <v>45353</v>
      </c>
      <c r="F248" s="5">
        <v>45359</v>
      </c>
      <c r="G248" t="s">
        <v>43</v>
      </c>
      <c r="H248" t="s">
        <v>44</v>
      </c>
      <c r="I248" t="s">
        <v>53</v>
      </c>
      <c r="J248" t="s">
        <v>26</v>
      </c>
      <c r="K248" t="s">
        <v>120</v>
      </c>
      <c r="L248" s="6">
        <v>76390.3</v>
      </c>
      <c r="M248">
        <v>66820.77</v>
      </c>
      <c r="N248" t="s">
        <v>73</v>
      </c>
      <c r="O248">
        <v>6</v>
      </c>
      <c r="P248">
        <v>240</v>
      </c>
      <c r="Q248">
        <v>5</v>
      </c>
      <c r="R248">
        <v>177</v>
      </c>
      <c r="S248">
        <v>184.7</v>
      </c>
      <c r="T248" t="s">
        <v>65</v>
      </c>
      <c r="U248" s="7">
        <f t="shared" si="12"/>
        <v>69</v>
      </c>
      <c r="V248" s="7">
        <f t="shared" si="13"/>
        <v>6</v>
      </c>
      <c r="W248" s="6">
        <f t="shared" si="14"/>
        <v>9569.5299999999988</v>
      </c>
      <c r="X248" t="str">
        <f t="shared" si="15"/>
        <v>Senior</v>
      </c>
    </row>
    <row r="249" spans="1:24">
      <c r="A249" t="s">
        <v>779</v>
      </c>
      <c r="B249" t="s">
        <v>342</v>
      </c>
      <c r="C249" t="s">
        <v>40</v>
      </c>
      <c r="D249" s="5">
        <v>20106</v>
      </c>
      <c r="E249" s="5">
        <v>45626</v>
      </c>
      <c r="F249" s="5">
        <v>45641</v>
      </c>
      <c r="G249" t="s">
        <v>152</v>
      </c>
      <c r="H249" t="s">
        <v>113</v>
      </c>
      <c r="I249" t="s">
        <v>53</v>
      </c>
      <c r="J249" t="s">
        <v>34</v>
      </c>
      <c r="K249" t="s">
        <v>110</v>
      </c>
      <c r="L249" s="6">
        <v>133001.48000000001</v>
      </c>
      <c r="M249">
        <v>96930.53</v>
      </c>
      <c r="N249" t="s">
        <v>56</v>
      </c>
      <c r="O249">
        <v>15</v>
      </c>
      <c r="P249">
        <v>79</v>
      </c>
      <c r="Q249">
        <v>4</v>
      </c>
      <c r="R249">
        <v>145</v>
      </c>
      <c r="S249">
        <v>85</v>
      </c>
      <c r="T249" t="s">
        <v>37</v>
      </c>
      <c r="U249" s="7">
        <f t="shared" si="12"/>
        <v>69</v>
      </c>
      <c r="V249" s="7">
        <f t="shared" si="13"/>
        <v>15</v>
      </c>
      <c r="W249" s="6">
        <f t="shared" si="14"/>
        <v>36070.950000000012</v>
      </c>
      <c r="X249" t="str">
        <f t="shared" si="15"/>
        <v>Senior</v>
      </c>
    </row>
    <row r="250" spans="1:24">
      <c r="A250" t="s">
        <v>780</v>
      </c>
      <c r="B250" t="s">
        <v>394</v>
      </c>
      <c r="C250" t="s">
        <v>40</v>
      </c>
      <c r="D250" s="5">
        <v>20689</v>
      </c>
      <c r="E250" s="5">
        <v>45445</v>
      </c>
      <c r="F250" s="5">
        <v>45457</v>
      </c>
      <c r="G250" t="s">
        <v>161</v>
      </c>
      <c r="H250" t="s">
        <v>78</v>
      </c>
      <c r="I250" t="s">
        <v>25</v>
      </c>
      <c r="J250" t="s">
        <v>26</v>
      </c>
      <c r="K250" t="s">
        <v>120</v>
      </c>
      <c r="L250" s="6">
        <v>185777.75</v>
      </c>
      <c r="M250">
        <v>133048.89000000001</v>
      </c>
      <c r="N250" t="s">
        <v>56</v>
      </c>
      <c r="O250">
        <v>12</v>
      </c>
      <c r="P250">
        <v>51</v>
      </c>
      <c r="Q250">
        <v>4</v>
      </c>
      <c r="R250">
        <v>95</v>
      </c>
      <c r="S250">
        <v>85.8</v>
      </c>
      <c r="T250" t="s">
        <v>4237</v>
      </c>
      <c r="U250" s="7">
        <f t="shared" si="12"/>
        <v>67</v>
      </c>
      <c r="V250" s="7">
        <f t="shared" si="13"/>
        <v>12</v>
      </c>
      <c r="W250" s="6">
        <f t="shared" si="14"/>
        <v>52728.859999999986</v>
      </c>
      <c r="X250" t="str">
        <f t="shared" si="15"/>
        <v>Senior</v>
      </c>
    </row>
    <row r="251" spans="1:24">
      <c r="A251" t="s">
        <v>781</v>
      </c>
      <c r="B251" t="s">
        <v>150</v>
      </c>
      <c r="C251" t="s">
        <v>40</v>
      </c>
      <c r="D251" s="5">
        <v>28369</v>
      </c>
      <c r="E251" s="5">
        <v>44938</v>
      </c>
      <c r="F251" s="5">
        <v>44951</v>
      </c>
      <c r="G251" t="s">
        <v>62</v>
      </c>
      <c r="H251" t="s">
        <v>113</v>
      </c>
      <c r="I251" t="s">
        <v>33</v>
      </c>
      <c r="J251" t="s">
        <v>34</v>
      </c>
      <c r="K251" t="s">
        <v>55</v>
      </c>
      <c r="L251" s="6">
        <v>173722.04</v>
      </c>
      <c r="M251">
        <v>146148.87</v>
      </c>
      <c r="N251" t="s">
        <v>73</v>
      </c>
      <c r="O251">
        <v>13</v>
      </c>
      <c r="P251">
        <v>159</v>
      </c>
      <c r="Q251">
        <v>4</v>
      </c>
      <c r="R251">
        <v>128</v>
      </c>
      <c r="S251">
        <v>163.5</v>
      </c>
      <c r="T251" t="s">
        <v>37</v>
      </c>
      <c r="U251" s="7">
        <f t="shared" si="12"/>
        <v>45</v>
      </c>
      <c r="V251" s="7">
        <f t="shared" si="13"/>
        <v>13</v>
      </c>
      <c r="W251" s="6">
        <f t="shared" si="14"/>
        <v>27573.170000000013</v>
      </c>
      <c r="X251" t="str">
        <f t="shared" si="15"/>
        <v>Middle Age</v>
      </c>
    </row>
    <row r="252" spans="1:24">
      <c r="A252" t="s">
        <v>784</v>
      </c>
      <c r="B252" t="s">
        <v>785</v>
      </c>
      <c r="C252" t="s">
        <v>40</v>
      </c>
      <c r="D252" s="5">
        <v>28457</v>
      </c>
      <c r="E252" s="5" t="s">
        <v>4237</v>
      </c>
      <c r="F252" s="5">
        <v>45320</v>
      </c>
      <c r="G252" t="s">
        <v>77</v>
      </c>
      <c r="H252" t="s">
        <v>124</v>
      </c>
      <c r="I252" t="s">
        <v>33</v>
      </c>
      <c r="J252" t="s">
        <v>34</v>
      </c>
      <c r="K252" t="s">
        <v>27</v>
      </c>
      <c r="L252" s="6">
        <v>7899.66</v>
      </c>
      <c r="M252">
        <v>7668.39</v>
      </c>
      <c r="N252" t="s">
        <v>91</v>
      </c>
      <c r="O252">
        <v>3</v>
      </c>
      <c r="P252">
        <v>194</v>
      </c>
      <c r="Q252">
        <v>4</v>
      </c>
      <c r="R252">
        <v>152</v>
      </c>
      <c r="S252">
        <v>159.6</v>
      </c>
      <c r="T252" t="s">
        <v>37</v>
      </c>
      <c r="U252" s="7" t="s">
        <v>4237</v>
      </c>
      <c r="V252" s="7" t="s">
        <v>4237</v>
      </c>
      <c r="W252" s="6">
        <f t="shared" si="14"/>
        <v>231.26999999999953</v>
      </c>
      <c r="X252" t="s">
        <v>4237</v>
      </c>
    </row>
    <row r="253" spans="1:24">
      <c r="A253" t="s">
        <v>4119</v>
      </c>
      <c r="B253" t="s">
        <v>132</v>
      </c>
      <c r="C253" t="s">
        <v>40</v>
      </c>
      <c r="D253" s="5">
        <v>24853</v>
      </c>
      <c r="E253" s="5">
        <v>45745</v>
      </c>
      <c r="F253" s="5">
        <v>45761</v>
      </c>
      <c r="G253" t="s">
        <v>161</v>
      </c>
      <c r="H253" t="s">
        <v>118</v>
      </c>
      <c r="I253" t="s">
        <v>33</v>
      </c>
      <c r="J253" t="s">
        <v>80</v>
      </c>
      <c r="K253" t="s">
        <v>55</v>
      </c>
      <c r="L253" s="6">
        <v>179286.86</v>
      </c>
      <c r="M253">
        <v>113871.42</v>
      </c>
      <c r="N253" t="s">
        <v>192</v>
      </c>
      <c r="O253">
        <v>16</v>
      </c>
      <c r="P253">
        <v>152</v>
      </c>
      <c r="Q253">
        <v>5</v>
      </c>
      <c r="R253">
        <v>160</v>
      </c>
      <c r="S253">
        <v>82.1</v>
      </c>
      <c r="T253" t="s">
        <v>4237</v>
      </c>
      <c r="U253" s="7">
        <f t="shared" si="12"/>
        <v>57</v>
      </c>
      <c r="V253" s="7">
        <f t="shared" si="13"/>
        <v>16</v>
      </c>
      <c r="W253" s="6">
        <f t="shared" si="14"/>
        <v>65415.439999999988</v>
      </c>
      <c r="X253" t="str">
        <f t="shared" si="15"/>
        <v>Middle Age</v>
      </c>
    </row>
    <row r="254" spans="1:24">
      <c r="A254" t="s">
        <v>4120</v>
      </c>
      <c r="B254" t="s">
        <v>76</v>
      </c>
      <c r="C254" t="s">
        <v>40</v>
      </c>
      <c r="D254" s="5">
        <v>39763</v>
      </c>
      <c r="E254" s="5">
        <v>45886</v>
      </c>
      <c r="F254" s="5">
        <v>45891</v>
      </c>
      <c r="G254" t="s">
        <v>161</v>
      </c>
      <c r="H254" t="s">
        <v>153</v>
      </c>
      <c r="I254" t="s">
        <v>79</v>
      </c>
      <c r="J254" t="s">
        <v>34</v>
      </c>
      <c r="K254" t="s">
        <v>55</v>
      </c>
      <c r="L254" s="6">
        <v>208687.48</v>
      </c>
      <c r="M254">
        <v>158892.04999999999</v>
      </c>
      <c r="N254" t="s">
        <v>73</v>
      </c>
      <c r="O254">
        <v>5</v>
      </c>
      <c r="P254">
        <v>97</v>
      </c>
      <c r="Q254">
        <v>4</v>
      </c>
      <c r="R254">
        <v>110</v>
      </c>
      <c r="S254">
        <v>188.2</v>
      </c>
      <c r="T254" t="s">
        <v>65</v>
      </c>
      <c r="U254" s="7">
        <f t="shared" si="12"/>
        <v>16</v>
      </c>
      <c r="V254" s="7">
        <f t="shared" si="13"/>
        <v>5</v>
      </c>
      <c r="W254" s="6">
        <f t="shared" si="14"/>
        <v>49795.430000000022</v>
      </c>
      <c r="X254" t="str">
        <f t="shared" si="15"/>
        <v>Child</v>
      </c>
    </row>
    <row r="255" spans="1:24">
      <c r="A255" t="s">
        <v>792</v>
      </c>
      <c r="B255" t="s">
        <v>383</v>
      </c>
      <c r="C255" t="s">
        <v>40</v>
      </c>
      <c r="D255" s="5">
        <v>26609</v>
      </c>
      <c r="E255" s="5">
        <v>45284</v>
      </c>
      <c r="F255" s="5" t="s">
        <v>4237</v>
      </c>
      <c r="G255" t="s">
        <v>161</v>
      </c>
      <c r="H255" t="s">
        <v>63</v>
      </c>
      <c r="I255" t="s">
        <v>79</v>
      </c>
      <c r="J255" t="s">
        <v>26</v>
      </c>
      <c r="K255" t="s">
        <v>110</v>
      </c>
      <c r="L255" s="6">
        <v>155346.82</v>
      </c>
      <c r="M255">
        <v>134933.38</v>
      </c>
      <c r="N255" t="s">
        <v>56</v>
      </c>
      <c r="O255">
        <v>17</v>
      </c>
      <c r="P255">
        <v>129</v>
      </c>
      <c r="Q255">
        <v>5</v>
      </c>
      <c r="R255">
        <v>133</v>
      </c>
      <c r="S255">
        <v>219.1</v>
      </c>
      <c r="T255" t="s">
        <v>37</v>
      </c>
      <c r="U255" s="7">
        <f t="shared" si="12"/>
        <v>51</v>
      </c>
      <c r="V255" s="7" t="s">
        <v>4237</v>
      </c>
      <c r="W255" s="6">
        <f t="shared" si="14"/>
        <v>20413.440000000002</v>
      </c>
      <c r="X255" t="str">
        <f t="shared" si="15"/>
        <v>Middle Age</v>
      </c>
    </row>
    <row r="256" spans="1:24">
      <c r="A256" t="s">
        <v>795</v>
      </c>
      <c r="B256" t="s">
        <v>796</v>
      </c>
      <c r="C256" t="s">
        <v>133</v>
      </c>
      <c r="D256" s="5">
        <v>32566</v>
      </c>
      <c r="E256" s="5">
        <v>45012</v>
      </c>
      <c r="F256" s="5">
        <v>45029</v>
      </c>
      <c r="G256" t="s">
        <v>152</v>
      </c>
      <c r="H256" t="s">
        <v>52</v>
      </c>
      <c r="I256" t="s">
        <v>45</v>
      </c>
      <c r="J256" t="s">
        <v>46</v>
      </c>
      <c r="K256" t="s">
        <v>120</v>
      </c>
      <c r="L256" s="6">
        <v>41365.56</v>
      </c>
      <c r="M256">
        <v>37743.96</v>
      </c>
      <c r="N256" t="s">
        <v>192</v>
      </c>
      <c r="O256">
        <v>17</v>
      </c>
      <c r="P256">
        <v>200</v>
      </c>
      <c r="Q256">
        <v>4</v>
      </c>
      <c r="R256">
        <v>153</v>
      </c>
      <c r="S256">
        <v>209.2</v>
      </c>
      <c r="T256" t="s">
        <v>37</v>
      </c>
      <c r="U256" s="7">
        <f t="shared" si="12"/>
        <v>34</v>
      </c>
      <c r="V256" s="7">
        <f t="shared" si="13"/>
        <v>17</v>
      </c>
      <c r="W256" s="6">
        <f t="shared" si="14"/>
        <v>3621.5999999999985</v>
      </c>
      <c r="X256" t="str">
        <f t="shared" si="15"/>
        <v>Adult</v>
      </c>
    </row>
    <row r="257" spans="1:24">
      <c r="A257" t="s">
        <v>798</v>
      </c>
      <c r="B257" t="s">
        <v>799</v>
      </c>
      <c r="C257" t="s">
        <v>40</v>
      </c>
      <c r="D257" s="5">
        <v>24646</v>
      </c>
      <c r="E257" s="5">
        <v>45776</v>
      </c>
      <c r="F257" s="5">
        <v>45788</v>
      </c>
      <c r="G257" t="s">
        <v>94</v>
      </c>
      <c r="H257" t="s">
        <v>124</v>
      </c>
      <c r="I257" t="s">
        <v>33</v>
      </c>
      <c r="J257" t="s">
        <v>80</v>
      </c>
      <c r="K257" t="s">
        <v>55</v>
      </c>
      <c r="L257" s="6">
        <v>36653.599999999999</v>
      </c>
      <c r="M257">
        <v>28693.23</v>
      </c>
      <c r="N257" t="s">
        <v>35</v>
      </c>
      <c r="O257">
        <v>12</v>
      </c>
      <c r="P257">
        <v>109</v>
      </c>
      <c r="Q257">
        <v>4</v>
      </c>
      <c r="R257">
        <v>156</v>
      </c>
      <c r="S257">
        <v>221</v>
      </c>
      <c r="T257" t="s">
        <v>65</v>
      </c>
      <c r="U257" s="7">
        <f t="shared" si="12"/>
        <v>57</v>
      </c>
      <c r="V257" s="7">
        <f t="shared" si="13"/>
        <v>12</v>
      </c>
      <c r="W257" s="6">
        <f t="shared" si="14"/>
        <v>7960.369999999999</v>
      </c>
      <c r="X257" t="str">
        <f t="shared" si="15"/>
        <v>Middle Age</v>
      </c>
    </row>
    <row r="258" spans="1:24">
      <c r="A258" t="s">
        <v>800</v>
      </c>
      <c r="B258" t="s">
        <v>801</v>
      </c>
      <c r="C258" t="s">
        <v>133</v>
      </c>
      <c r="D258" s="5">
        <v>39357</v>
      </c>
      <c r="E258" s="5" t="s">
        <v>4237</v>
      </c>
      <c r="F258" s="5">
        <v>46001</v>
      </c>
      <c r="G258" t="s">
        <v>152</v>
      </c>
      <c r="H258" t="s">
        <v>153</v>
      </c>
      <c r="I258" t="s">
        <v>96</v>
      </c>
      <c r="J258" t="s">
        <v>46</v>
      </c>
      <c r="K258" t="s">
        <v>55</v>
      </c>
      <c r="L258" s="6">
        <v>227534.64</v>
      </c>
      <c r="M258">
        <v>215725.83</v>
      </c>
      <c r="N258" t="s">
        <v>192</v>
      </c>
      <c r="O258">
        <v>10</v>
      </c>
      <c r="P258">
        <v>235</v>
      </c>
      <c r="Q258">
        <v>4</v>
      </c>
      <c r="R258">
        <v>168</v>
      </c>
      <c r="S258">
        <v>244.9</v>
      </c>
      <c r="T258" t="s">
        <v>4237</v>
      </c>
      <c r="U258" s="7" t="s">
        <v>4237</v>
      </c>
      <c r="V258" s="7" t="s">
        <v>4237</v>
      </c>
      <c r="W258" s="6">
        <f t="shared" ref="W258:W321" si="16">L258-M258</f>
        <v>11808.810000000027</v>
      </c>
      <c r="X258" t="s">
        <v>4237</v>
      </c>
    </row>
    <row r="259" spans="1:24">
      <c r="A259" t="s">
        <v>805</v>
      </c>
      <c r="B259" t="s">
        <v>806</v>
      </c>
      <c r="C259" t="s">
        <v>40</v>
      </c>
      <c r="D259" s="5">
        <v>30846</v>
      </c>
      <c r="E259" s="5">
        <v>45185</v>
      </c>
      <c r="F259" s="5">
        <v>45202</v>
      </c>
      <c r="G259" t="s">
        <v>109</v>
      </c>
      <c r="H259" t="s">
        <v>86</v>
      </c>
      <c r="I259" t="s">
        <v>33</v>
      </c>
      <c r="J259" t="s">
        <v>64</v>
      </c>
      <c r="K259" t="s">
        <v>27</v>
      </c>
      <c r="L259" s="6">
        <v>139067</v>
      </c>
      <c r="M259">
        <v>100405.18</v>
      </c>
      <c r="N259" t="s">
        <v>56</v>
      </c>
      <c r="O259">
        <v>17</v>
      </c>
      <c r="P259">
        <v>167</v>
      </c>
      <c r="Q259">
        <v>3</v>
      </c>
      <c r="R259">
        <v>92</v>
      </c>
      <c r="S259">
        <v>75.3</v>
      </c>
      <c r="T259" t="s">
        <v>37</v>
      </c>
      <c r="U259" s="7">
        <f t="shared" ref="U259:U321" si="17">DATEDIF(D259,E259,"Y")</f>
        <v>39</v>
      </c>
      <c r="V259" s="7">
        <f t="shared" ref="V259:V321" si="18">IF(OR(E259=" ",F259=" ",E259="Unknown",F259="Unknown")," ",F259-E259)</f>
        <v>17</v>
      </c>
      <c r="W259" s="6">
        <f t="shared" si="16"/>
        <v>38661.820000000007</v>
      </c>
      <c r="X259" t="str">
        <f t="shared" ref="X259:X321" si="19">IF(OR(U259="",U259="Unknown"),"",IF(U259&lt;18,"Child",IF(U259&lt;40,"Adult",IF(U259&lt;60,"Middle Age","Senior"))))</f>
        <v>Adult</v>
      </c>
    </row>
    <row r="260" spans="1:24">
      <c r="A260" t="s">
        <v>807</v>
      </c>
      <c r="B260" t="s">
        <v>511</v>
      </c>
      <c r="C260" t="s">
        <v>40</v>
      </c>
      <c r="D260" s="5">
        <v>31747</v>
      </c>
      <c r="E260" s="5">
        <v>45855</v>
      </c>
      <c r="F260" s="5">
        <v>45866</v>
      </c>
      <c r="G260" t="s">
        <v>94</v>
      </c>
      <c r="H260" t="s">
        <v>153</v>
      </c>
      <c r="I260" t="s">
        <v>45</v>
      </c>
      <c r="J260" t="s">
        <v>46</v>
      </c>
      <c r="K260" t="s">
        <v>120</v>
      </c>
      <c r="L260" s="6">
        <v>76552.399999999994</v>
      </c>
      <c r="M260">
        <v>60868.44</v>
      </c>
      <c r="N260" t="s">
        <v>91</v>
      </c>
      <c r="O260">
        <v>11</v>
      </c>
      <c r="P260">
        <v>188</v>
      </c>
      <c r="Q260">
        <v>3</v>
      </c>
      <c r="R260">
        <v>181</v>
      </c>
      <c r="S260">
        <v>141.80000000000001</v>
      </c>
      <c r="T260" t="s">
        <v>4237</v>
      </c>
      <c r="U260" s="7">
        <f t="shared" si="17"/>
        <v>38</v>
      </c>
      <c r="V260" s="7">
        <f t="shared" si="18"/>
        <v>11</v>
      </c>
      <c r="W260" s="6">
        <f t="shared" si="16"/>
        <v>15683.959999999992</v>
      </c>
      <c r="X260" t="str">
        <f t="shared" si="19"/>
        <v>Adult</v>
      </c>
    </row>
    <row r="261" spans="1:24">
      <c r="A261" t="s">
        <v>808</v>
      </c>
      <c r="B261" t="s">
        <v>378</v>
      </c>
      <c r="C261" t="s">
        <v>133</v>
      </c>
      <c r="D261" s="5">
        <v>28533</v>
      </c>
      <c r="E261" s="5">
        <v>46004</v>
      </c>
      <c r="F261" s="5">
        <v>46017</v>
      </c>
      <c r="G261" t="s">
        <v>89</v>
      </c>
      <c r="H261" t="s">
        <v>78</v>
      </c>
      <c r="I261" t="s">
        <v>79</v>
      </c>
      <c r="J261" t="s">
        <v>71</v>
      </c>
      <c r="K261" t="s">
        <v>110</v>
      </c>
      <c r="L261" s="6">
        <v>147115.18</v>
      </c>
      <c r="M261">
        <v>103417.95</v>
      </c>
      <c r="N261" t="s">
        <v>192</v>
      </c>
      <c r="O261">
        <v>13</v>
      </c>
      <c r="P261">
        <v>117</v>
      </c>
      <c r="Q261">
        <v>4</v>
      </c>
      <c r="R261">
        <v>183</v>
      </c>
      <c r="S261">
        <v>163.5</v>
      </c>
      <c r="T261" t="s">
        <v>47</v>
      </c>
      <c r="U261" s="7">
        <f t="shared" si="17"/>
        <v>47</v>
      </c>
      <c r="V261" s="7">
        <f t="shared" si="18"/>
        <v>13</v>
      </c>
      <c r="W261" s="6">
        <f t="shared" si="16"/>
        <v>43697.229999999996</v>
      </c>
      <c r="X261" t="str">
        <f t="shared" si="19"/>
        <v>Middle Age</v>
      </c>
    </row>
    <row r="262" spans="1:24">
      <c r="A262" t="s">
        <v>809</v>
      </c>
      <c r="B262" t="s">
        <v>810</v>
      </c>
      <c r="C262" t="s">
        <v>40</v>
      </c>
      <c r="D262" s="5">
        <v>32328</v>
      </c>
      <c r="E262" s="5">
        <v>45174</v>
      </c>
      <c r="F262" s="5">
        <v>45186</v>
      </c>
      <c r="G262" t="s">
        <v>152</v>
      </c>
      <c r="H262" t="s">
        <v>95</v>
      </c>
      <c r="I262" t="s">
        <v>53</v>
      </c>
      <c r="J262" t="s">
        <v>26</v>
      </c>
      <c r="K262" t="s">
        <v>55</v>
      </c>
      <c r="L262" s="6">
        <v>94438.17</v>
      </c>
      <c r="M262">
        <v>98646.34</v>
      </c>
      <c r="N262" t="s">
        <v>192</v>
      </c>
      <c r="O262">
        <v>12</v>
      </c>
      <c r="P262">
        <v>129</v>
      </c>
      <c r="Q262">
        <v>1</v>
      </c>
      <c r="R262">
        <v>108</v>
      </c>
      <c r="S262">
        <v>97</v>
      </c>
      <c r="T262" t="s">
        <v>37</v>
      </c>
      <c r="U262" s="7">
        <f t="shared" si="17"/>
        <v>35</v>
      </c>
      <c r="V262" s="7">
        <f t="shared" si="18"/>
        <v>12</v>
      </c>
      <c r="W262" s="6">
        <f t="shared" si="16"/>
        <v>-4208.1699999999983</v>
      </c>
      <c r="X262" t="str">
        <f t="shared" si="19"/>
        <v>Adult</v>
      </c>
    </row>
    <row r="263" spans="1:24">
      <c r="A263" t="s">
        <v>811</v>
      </c>
      <c r="B263" t="s">
        <v>433</v>
      </c>
      <c r="C263" t="s">
        <v>133</v>
      </c>
      <c r="D263" s="5">
        <v>31635</v>
      </c>
      <c r="E263" s="5">
        <v>45699</v>
      </c>
      <c r="F263" s="5">
        <v>45715</v>
      </c>
      <c r="G263" t="s">
        <v>94</v>
      </c>
      <c r="H263" t="s">
        <v>118</v>
      </c>
      <c r="I263" t="s">
        <v>53</v>
      </c>
      <c r="J263" t="s">
        <v>97</v>
      </c>
      <c r="K263" t="s">
        <v>55</v>
      </c>
      <c r="L263" s="6">
        <v>127429.06</v>
      </c>
      <c r="M263">
        <v>112402.43</v>
      </c>
      <c r="N263" t="s">
        <v>73</v>
      </c>
      <c r="O263">
        <v>16</v>
      </c>
      <c r="P263">
        <v>175</v>
      </c>
      <c r="Q263">
        <v>4</v>
      </c>
      <c r="R263">
        <v>109</v>
      </c>
      <c r="S263">
        <v>234.6</v>
      </c>
      <c r="T263" t="s">
        <v>65</v>
      </c>
      <c r="U263" s="7">
        <f t="shared" si="17"/>
        <v>38</v>
      </c>
      <c r="V263" s="7">
        <f t="shared" si="18"/>
        <v>16</v>
      </c>
      <c r="W263" s="6">
        <f t="shared" si="16"/>
        <v>15026.630000000005</v>
      </c>
      <c r="X263" t="str">
        <f t="shared" si="19"/>
        <v>Adult</v>
      </c>
    </row>
    <row r="264" spans="1:24">
      <c r="A264" t="s">
        <v>815</v>
      </c>
      <c r="B264" t="s">
        <v>517</v>
      </c>
      <c r="C264" t="s">
        <v>133</v>
      </c>
      <c r="D264" s="5">
        <v>31355</v>
      </c>
      <c r="E264" s="5">
        <v>45101</v>
      </c>
      <c r="F264" s="5">
        <v>45108</v>
      </c>
      <c r="G264" t="s">
        <v>89</v>
      </c>
      <c r="H264" t="s">
        <v>118</v>
      </c>
      <c r="I264" t="s">
        <v>25</v>
      </c>
      <c r="J264" t="s">
        <v>64</v>
      </c>
      <c r="K264" t="s">
        <v>161</v>
      </c>
      <c r="L264" s="6">
        <v>131634.06</v>
      </c>
      <c r="M264">
        <v>106393.5</v>
      </c>
      <c r="N264" t="s">
        <v>35</v>
      </c>
      <c r="O264">
        <v>7</v>
      </c>
      <c r="P264">
        <v>9</v>
      </c>
      <c r="Q264">
        <v>2</v>
      </c>
      <c r="R264">
        <v>174</v>
      </c>
      <c r="S264">
        <v>247.9</v>
      </c>
      <c r="T264" t="s">
        <v>47</v>
      </c>
      <c r="U264" s="7">
        <f t="shared" si="17"/>
        <v>37</v>
      </c>
      <c r="V264" s="7">
        <f t="shared" si="18"/>
        <v>7</v>
      </c>
      <c r="W264" s="6">
        <f t="shared" si="16"/>
        <v>25240.559999999998</v>
      </c>
      <c r="X264" t="str">
        <f t="shared" si="19"/>
        <v>Adult</v>
      </c>
    </row>
    <row r="265" spans="1:24">
      <c r="A265" t="s">
        <v>817</v>
      </c>
      <c r="B265" t="s">
        <v>383</v>
      </c>
      <c r="C265" t="s">
        <v>133</v>
      </c>
      <c r="D265" s="5">
        <v>22463</v>
      </c>
      <c r="E265" s="5">
        <v>46008</v>
      </c>
      <c r="F265" s="5">
        <v>46019</v>
      </c>
      <c r="G265" t="s">
        <v>161</v>
      </c>
      <c r="H265" t="s">
        <v>52</v>
      </c>
      <c r="I265" t="s">
        <v>33</v>
      </c>
      <c r="J265" t="s">
        <v>64</v>
      </c>
      <c r="K265" t="s">
        <v>55</v>
      </c>
      <c r="L265" s="6">
        <v>44118.61</v>
      </c>
      <c r="M265">
        <v>33300.76</v>
      </c>
      <c r="N265" t="s">
        <v>192</v>
      </c>
      <c r="O265">
        <v>11</v>
      </c>
      <c r="P265">
        <v>201</v>
      </c>
      <c r="Q265">
        <v>2</v>
      </c>
      <c r="R265">
        <v>109</v>
      </c>
      <c r="S265">
        <v>128.30000000000001</v>
      </c>
      <c r="T265" t="s">
        <v>37</v>
      </c>
      <c r="U265" s="7">
        <f t="shared" si="17"/>
        <v>64</v>
      </c>
      <c r="V265" s="7">
        <f t="shared" si="18"/>
        <v>11</v>
      </c>
      <c r="W265" s="6">
        <f t="shared" si="16"/>
        <v>10817.849999999999</v>
      </c>
      <c r="X265" t="str">
        <f t="shared" si="19"/>
        <v>Senior</v>
      </c>
    </row>
    <row r="266" spans="1:24">
      <c r="A266" t="s">
        <v>819</v>
      </c>
      <c r="B266" t="s">
        <v>21</v>
      </c>
      <c r="C266" t="s">
        <v>40</v>
      </c>
      <c r="D266" s="5">
        <v>24034</v>
      </c>
      <c r="E266" s="5">
        <v>45411</v>
      </c>
      <c r="F266" s="5">
        <v>45427</v>
      </c>
      <c r="G266" t="s">
        <v>89</v>
      </c>
      <c r="H266" t="s">
        <v>134</v>
      </c>
      <c r="I266" t="s">
        <v>33</v>
      </c>
      <c r="J266" t="s">
        <v>71</v>
      </c>
      <c r="K266" t="s">
        <v>161</v>
      </c>
      <c r="L266" s="6">
        <v>17506.41</v>
      </c>
      <c r="M266">
        <v>14401.46</v>
      </c>
      <c r="N266" t="s">
        <v>35</v>
      </c>
      <c r="O266">
        <v>16</v>
      </c>
      <c r="P266">
        <v>21</v>
      </c>
      <c r="Q266">
        <v>4</v>
      </c>
      <c r="R266">
        <v>93</v>
      </c>
      <c r="S266">
        <v>147.4</v>
      </c>
      <c r="T266" t="s">
        <v>47</v>
      </c>
      <c r="U266" s="7">
        <f t="shared" si="17"/>
        <v>58</v>
      </c>
      <c r="V266" s="7">
        <f t="shared" si="18"/>
        <v>16</v>
      </c>
      <c r="W266" s="6">
        <f t="shared" si="16"/>
        <v>3104.9500000000007</v>
      </c>
      <c r="X266" t="str">
        <f t="shared" si="19"/>
        <v>Middle Age</v>
      </c>
    </row>
    <row r="267" spans="1:24">
      <c r="A267" t="s">
        <v>820</v>
      </c>
      <c r="B267" t="s">
        <v>76</v>
      </c>
      <c r="C267" t="s">
        <v>133</v>
      </c>
      <c r="D267" s="5">
        <v>26913</v>
      </c>
      <c r="E267" s="5">
        <v>45429</v>
      </c>
      <c r="F267" s="5">
        <v>45388</v>
      </c>
      <c r="G267" t="s">
        <v>89</v>
      </c>
      <c r="H267" t="s">
        <v>32</v>
      </c>
      <c r="I267" t="s">
        <v>25</v>
      </c>
      <c r="J267" t="s">
        <v>179</v>
      </c>
      <c r="K267" t="s">
        <v>161</v>
      </c>
      <c r="L267" s="6">
        <v>203629.32</v>
      </c>
      <c r="M267">
        <v>144189.38</v>
      </c>
      <c r="N267" t="s">
        <v>56</v>
      </c>
      <c r="O267">
        <v>18</v>
      </c>
      <c r="P267">
        <v>47</v>
      </c>
      <c r="Q267">
        <v>1</v>
      </c>
      <c r="R267">
        <v>97</v>
      </c>
      <c r="S267">
        <v>247.4</v>
      </c>
      <c r="T267" t="s">
        <v>37</v>
      </c>
      <c r="U267" s="7">
        <f t="shared" si="17"/>
        <v>50</v>
      </c>
      <c r="V267" s="7">
        <f t="shared" si="18"/>
        <v>-41</v>
      </c>
      <c r="W267" s="6">
        <f t="shared" si="16"/>
        <v>59439.94</v>
      </c>
      <c r="X267" t="str">
        <f t="shared" si="19"/>
        <v>Middle Age</v>
      </c>
    </row>
    <row r="268" spans="1:24">
      <c r="A268" t="s">
        <v>822</v>
      </c>
      <c r="B268" t="s">
        <v>806</v>
      </c>
      <c r="C268" t="s">
        <v>133</v>
      </c>
      <c r="D268" s="5">
        <v>34392</v>
      </c>
      <c r="E268" s="5">
        <v>45213</v>
      </c>
      <c r="F268" s="5">
        <v>45231</v>
      </c>
      <c r="G268" t="s">
        <v>43</v>
      </c>
      <c r="H268" t="s">
        <v>86</v>
      </c>
      <c r="I268" t="s">
        <v>119</v>
      </c>
      <c r="J268" t="s">
        <v>46</v>
      </c>
      <c r="K268" t="s">
        <v>55</v>
      </c>
      <c r="L268" s="6">
        <v>123663.9</v>
      </c>
      <c r="M268">
        <v>98646.34</v>
      </c>
      <c r="N268" t="s">
        <v>73</v>
      </c>
      <c r="O268">
        <v>18</v>
      </c>
      <c r="P268">
        <v>67</v>
      </c>
      <c r="Q268">
        <v>5</v>
      </c>
      <c r="R268">
        <v>133</v>
      </c>
      <c r="S268">
        <v>110</v>
      </c>
      <c r="T268" t="s">
        <v>37</v>
      </c>
      <c r="U268" s="7">
        <f t="shared" si="17"/>
        <v>29</v>
      </c>
      <c r="V268" s="7">
        <f t="shared" si="18"/>
        <v>18</v>
      </c>
      <c r="W268" s="6">
        <f t="shared" si="16"/>
        <v>25017.559999999998</v>
      </c>
      <c r="X268" t="str">
        <f t="shared" si="19"/>
        <v>Adult</v>
      </c>
    </row>
    <row r="269" spans="1:24">
      <c r="A269" t="s">
        <v>824</v>
      </c>
      <c r="B269" t="s">
        <v>825</v>
      </c>
      <c r="C269" t="s">
        <v>133</v>
      </c>
      <c r="D269" s="5">
        <v>30738</v>
      </c>
      <c r="E269" s="5">
        <v>45085</v>
      </c>
      <c r="F269" s="5" t="s">
        <v>4237</v>
      </c>
      <c r="G269" t="s">
        <v>117</v>
      </c>
      <c r="H269" t="s">
        <v>4236</v>
      </c>
      <c r="I269" t="s">
        <v>33</v>
      </c>
      <c r="J269" t="s">
        <v>26</v>
      </c>
      <c r="K269" t="s">
        <v>120</v>
      </c>
      <c r="L269" s="6">
        <v>123663.9</v>
      </c>
      <c r="M269">
        <v>80953.990000000005</v>
      </c>
      <c r="N269" t="s">
        <v>35</v>
      </c>
      <c r="O269">
        <v>18</v>
      </c>
      <c r="P269">
        <v>96</v>
      </c>
      <c r="Q269">
        <v>4</v>
      </c>
      <c r="R269">
        <v>112</v>
      </c>
      <c r="S269">
        <v>229.4</v>
      </c>
      <c r="T269" t="s">
        <v>4237</v>
      </c>
      <c r="U269" s="7">
        <f t="shared" si="17"/>
        <v>39</v>
      </c>
      <c r="V269" s="7" t="s">
        <v>4237</v>
      </c>
      <c r="W269" s="6">
        <f t="shared" si="16"/>
        <v>42709.909999999989</v>
      </c>
      <c r="X269" t="str">
        <f t="shared" si="19"/>
        <v>Adult</v>
      </c>
    </row>
    <row r="270" spans="1:24">
      <c r="A270" t="s">
        <v>826</v>
      </c>
      <c r="B270" t="s">
        <v>666</v>
      </c>
      <c r="C270" t="s">
        <v>133</v>
      </c>
      <c r="D270" s="5">
        <v>37233</v>
      </c>
      <c r="E270" s="5">
        <v>45406</v>
      </c>
      <c r="F270" s="5">
        <v>45422</v>
      </c>
      <c r="G270" t="s">
        <v>152</v>
      </c>
      <c r="H270" t="s">
        <v>44</v>
      </c>
      <c r="I270" t="s">
        <v>33</v>
      </c>
      <c r="J270" t="s">
        <v>64</v>
      </c>
      <c r="K270" t="s">
        <v>110</v>
      </c>
      <c r="L270" s="6">
        <v>54248.86</v>
      </c>
      <c r="M270">
        <v>53992.75</v>
      </c>
      <c r="N270" t="s">
        <v>4237</v>
      </c>
      <c r="O270">
        <v>16</v>
      </c>
      <c r="P270">
        <v>168</v>
      </c>
      <c r="Q270">
        <v>4</v>
      </c>
      <c r="R270">
        <v>104</v>
      </c>
      <c r="S270">
        <v>235.3</v>
      </c>
      <c r="T270" t="s">
        <v>37</v>
      </c>
      <c r="U270" s="7">
        <f t="shared" si="17"/>
        <v>22</v>
      </c>
      <c r="V270" s="7">
        <f t="shared" si="18"/>
        <v>16</v>
      </c>
      <c r="W270" s="6">
        <f t="shared" si="16"/>
        <v>256.11000000000058</v>
      </c>
      <c r="X270" t="str">
        <f t="shared" si="19"/>
        <v>Adult</v>
      </c>
    </row>
    <row r="271" spans="1:24">
      <c r="A271" t="s">
        <v>828</v>
      </c>
      <c r="B271" t="s">
        <v>829</v>
      </c>
      <c r="C271" t="s">
        <v>40</v>
      </c>
      <c r="D271" s="5">
        <v>38984</v>
      </c>
      <c r="E271" s="5">
        <v>45488</v>
      </c>
      <c r="F271" s="5" t="s">
        <v>4237</v>
      </c>
      <c r="G271" t="s">
        <v>152</v>
      </c>
      <c r="H271" t="s">
        <v>153</v>
      </c>
      <c r="I271" t="s">
        <v>96</v>
      </c>
      <c r="J271" t="s">
        <v>64</v>
      </c>
      <c r="K271" t="s">
        <v>120</v>
      </c>
      <c r="L271" s="6">
        <v>221067.73</v>
      </c>
      <c r="M271">
        <v>216948.6</v>
      </c>
      <c r="N271" t="s">
        <v>56</v>
      </c>
      <c r="O271">
        <v>7</v>
      </c>
      <c r="P271">
        <v>169</v>
      </c>
      <c r="Q271">
        <v>1</v>
      </c>
      <c r="R271">
        <v>131</v>
      </c>
      <c r="S271">
        <v>152.19999999999999</v>
      </c>
      <c r="T271" t="s">
        <v>37</v>
      </c>
      <c r="U271" s="7">
        <f t="shared" si="17"/>
        <v>17</v>
      </c>
      <c r="V271" s="7" t="s">
        <v>4237</v>
      </c>
      <c r="W271" s="6">
        <f t="shared" si="16"/>
        <v>4119.1300000000047</v>
      </c>
      <c r="X271" t="str">
        <f t="shared" si="19"/>
        <v>Child</v>
      </c>
    </row>
    <row r="272" spans="1:24">
      <c r="A272" t="s">
        <v>832</v>
      </c>
      <c r="B272" t="s">
        <v>833</v>
      </c>
      <c r="C272" t="s">
        <v>40</v>
      </c>
      <c r="D272" s="5">
        <v>25983</v>
      </c>
      <c r="E272" s="5">
        <v>44978</v>
      </c>
      <c r="F272" s="5">
        <v>44986</v>
      </c>
      <c r="G272" t="s">
        <v>43</v>
      </c>
      <c r="H272" t="s">
        <v>52</v>
      </c>
      <c r="I272" t="s">
        <v>45</v>
      </c>
      <c r="J272" t="s">
        <v>80</v>
      </c>
      <c r="K272" t="s">
        <v>161</v>
      </c>
      <c r="L272" s="6">
        <v>43209.19</v>
      </c>
      <c r="M272">
        <v>31061.07</v>
      </c>
      <c r="N272" t="s">
        <v>73</v>
      </c>
      <c r="O272">
        <v>8</v>
      </c>
      <c r="P272">
        <v>165</v>
      </c>
      <c r="Q272">
        <v>2</v>
      </c>
      <c r="R272">
        <v>93</v>
      </c>
      <c r="S272">
        <v>161.19999999999999</v>
      </c>
      <c r="T272" t="s">
        <v>37</v>
      </c>
      <c r="U272" s="7">
        <f t="shared" si="17"/>
        <v>52</v>
      </c>
      <c r="V272" s="7">
        <f t="shared" si="18"/>
        <v>8</v>
      </c>
      <c r="W272" s="6">
        <f t="shared" si="16"/>
        <v>12148.120000000003</v>
      </c>
      <c r="X272" t="str">
        <f t="shared" si="19"/>
        <v>Middle Age</v>
      </c>
    </row>
    <row r="273" spans="1:24">
      <c r="A273" t="s">
        <v>834</v>
      </c>
      <c r="B273" t="s">
        <v>545</v>
      </c>
      <c r="C273" t="s">
        <v>40</v>
      </c>
      <c r="D273" s="5">
        <v>33104</v>
      </c>
      <c r="E273" s="5">
        <v>45182</v>
      </c>
      <c r="F273" s="5" t="s">
        <v>4237</v>
      </c>
      <c r="G273" t="s">
        <v>152</v>
      </c>
      <c r="H273" t="s">
        <v>134</v>
      </c>
      <c r="I273" t="s">
        <v>119</v>
      </c>
      <c r="J273" t="s">
        <v>26</v>
      </c>
      <c r="K273" t="s">
        <v>120</v>
      </c>
      <c r="L273" s="6">
        <v>196204.94</v>
      </c>
      <c r="M273">
        <v>191443.98</v>
      </c>
      <c r="N273" t="s">
        <v>73</v>
      </c>
      <c r="O273">
        <v>3</v>
      </c>
      <c r="P273">
        <v>118</v>
      </c>
      <c r="Q273">
        <v>1</v>
      </c>
      <c r="R273">
        <v>128</v>
      </c>
      <c r="S273">
        <v>186</v>
      </c>
      <c r="T273" t="s">
        <v>37</v>
      </c>
      <c r="U273" s="7">
        <f t="shared" si="17"/>
        <v>33</v>
      </c>
      <c r="V273" s="7" t="s">
        <v>4237</v>
      </c>
      <c r="W273" s="6">
        <f t="shared" si="16"/>
        <v>4760.9599999999919</v>
      </c>
      <c r="X273" t="str">
        <f t="shared" si="19"/>
        <v>Adult</v>
      </c>
    </row>
    <row r="274" spans="1:24">
      <c r="A274" t="s">
        <v>836</v>
      </c>
      <c r="B274" t="s">
        <v>218</v>
      </c>
      <c r="C274" t="s">
        <v>133</v>
      </c>
      <c r="D274" s="5">
        <v>29056</v>
      </c>
      <c r="E274" s="5">
        <v>45134</v>
      </c>
      <c r="F274" s="5">
        <v>45145</v>
      </c>
      <c r="G274" t="s">
        <v>152</v>
      </c>
      <c r="H274" t="s">
        <v>78</v>
      </c>
      <c r="I274" t="s">
        <v>25</v>
      </c>
      <c r="J274" t="s">
        <v>34</v>
      </c>
      <c r="K274" t="s">
        <v>110</v>
      </c>
      <c r="L274" s="6">
        <v>130510.19</v>
      </c>
      <c r="M274">
        <v>89004.03</v>
      </c>
      <c r="N274" t="s">
        <v>91</v>
      </c>
      <c r="O274">
        <v>11</v>
      </c>
      <c r="P274">
        <v>31</v>
      </c>
      <c r="Q274">
        <v>1</v>
      </c>
      <c r="R274">
        <v>166</v>
      </c>
      <c r="S274">
        <v>205.5</v>
      </c>
      <c r="T274" t="s">
        <v>37</v>
      </c>
      <c r="U274" s="7">
        <f t="shared" si="17"/>
        <v>44</v>
      </c>
      <c r="V274" s="7">
        <f t="shared" si="18"/>
        <v>11</v>
      </c>
      <c r="W274" s="6">
        <f t="shared" si="16"/>
        <v>41506.160000000003</v>
      </c>
      <c r="X274" t="str">
        <f t="shared" si="19"/>
        <v>Middle Age</v>
      </c>
    </row>
    <row r="275" spans="1:24">
      <c r="A275" t="s">
        <v>840</v>
      </c>
      <c r="B275" t="s">
        <v>841</v>
      </c>
      <c r="C275" t="s">
        <v>40</v>
      </c>
      <c r="D275" s="5">
        <v>25494</v>
      </c>
      <c r="E275" s="5">
        <v>45225</v>
      </c>
      <c r="F275" s="5">
        <v>45230</v>
      </c>
      <c r="G275" t="s">
        <v>117</v>
      </c>
      <c r="H275" t="s">
        <v>63</v>
      </c>
      <c r="I275" t="s">
        <v>96</v>
      </c>
      <c r="J275" t="s">
        <v>46</v>
      </c>
      <c r="K275" t="s">
        <v>55</v>
      </c>
      <c r="L275" s="6">
        <v>242642.09</v>
      </c>
      <c r="M275">
        <v>191284.17</v>
      </c>
      <c r="N275" t="s">
        <v>35</v>
      </c>
      <c r="O275">
        <v>5</v>
      </c>
      <c r="P275">
        <v>178</v>
      </c>
      <c r="Q275">
        <v>3</v>
      </c>
      <c r="R275">
        <v>97</v>
      </c>
      <c r="S275">
        <v>115.1</v>
      </c>
      <c r="T275" t="s">
        <v>37</v>
      </c>
      <c r="U275" s="7">
        <f t="shared" si="17"/>
        <v>54</v>
      </c>
      <c r="V275" s="7">
        <f t="shared" si="18"/>
        <v>5</v>
      </c>
      <c r="W275" s="6">
        <f t="shared" si="16"/>
        <v>51357.919999999984</v>
      </c>
      <c r="X275" t="str">
        <f t="shared" si="19"/>
        <v>Middle Age</v>
      </c>
    </row>
    <row r="276" spans="1:24">
      <c r="A276" t="s">
        <v>842</v>
      </c>
      <c r="B276" t="s">
        <v>843</v>
      </c>
      <c r="C276" t="s">
        <v>40</v>
      </c>
      <c r="D276" s="5">
        <v>31583</v>
      </c>
      <c r="E276" s="5">
        <v>45540</v>
      </c>
      <c r="F276" s="5">
        <v>45554</v>
      </c>
      <c r="G276" t="s">
        <v>161</v>
      </c>
      <c r="H276" t="s">
        <v>32</v>
      </c>
      <c r="I276" t="s">
        <v>25</v>
      </c>
      <c r="J276" t="s">
        <v>34</v>
      </c>
      <c r="K276" t="s">
        <v>120</v>
      </c>
      <c r="L276" s="6">
        <v>123663.9</v>
      </c>
      <c r="M276">
        <v>98646.34</v>
      </c>
      <c r="N276" t="s">
        <v>4237</v>
      </c>
      <c r="O276">
        <v>14</v>
      </c>
      <c r="P276">
        <v>182</v>
      </c>
      <c r="Q276">
        <v>4</v>
      </c>
      <c r="R276">
        <v>149</v>
      </c>
      <c r="S276">
        <v>188.5</v>
      </c>
      <c r="T276" t="s">
        <v>47</v>
      </c>
      <c r="U276" s="7">
        <f t="shared" si="17"/>
        <v>38</v>
      </c>
      <c r="V276" s="7">
        <f t="shared" si="18"/>
        <v>14</v>
      </c>
      <c r="W276" s="6">
        <f t="shared" si="16"/>
        <v>25017.559999999998</v>
      </c>
      <c r="X276" t="str">
        <f t="shared" si="19"/>
        <v>Adult</v>
      </c>
    </row>
    <row r="277" spans="1:24">
      <c r="A277" t="s">
        <v>844</v>
      </c>
      <c r="B277" t="s">
        <v>845</v>
      </c>
      <c r="C277" t="s">
        <v>40</v>
      </c>
      <c r="D277" s="5">
        <v>39601</v>
      </c>
      <c r="E277" s="5">
        <v>44960</v>
      </c>
      <c r="F277" s="5">
        <v>44994</v>
      </c>
      <c r="G277" t="s">
        <v>62</v>
      </c>
      <c r="H277" t="s">
        <v>86</v>
      </c>
      <c r="I277" t="s">
        <v>96</v>
      </c>
      <c r="J277" t="s">
        <v>97</v>
      </c>
      <c r="K277" t="s">
        <v>110</v>
      </c>
      <c r="L277" s="6">
        <v>86604.83</v>
      </c>
      <c r="M277">
        <v>60312.5</v>
      </c>
      <c r="N277" t="s">
        <v>35</v>
      </c>
      <c r="O277">
        <v>7</v>
      </c>
      <c r="P277">
        <v>55</v>
      </c>
      <c r="Q277">
        <v>1</v>
      </c>
      <c r="R277">
        <v>112</v>
      </c>
      <c r="S277">
        <v>230.1</v>
      </c>
      <c r="T277" t="s">
        <v>37</v>
      </c>
      <c r="U277" s="7">
        <f t="shared" si="17"/>
        <v>14</v>
      </c>
      <c r="V277" s="7">
        <f t="shared" si="18"/>
        <v>34</v>
      </c>
      <c r="W277" s="6">
        <f t="shared" si="16"/>
        <v>26292.33</v>
      </c>
      <c r="X277" t="str">
        <f t="shared" si="19"/>
        <v>Child</v>
      </c>
    </row>
    <row r="278" spans="1:24">
      <c r="A278" t="s">
        <v>848</v>
      </c>
      <c r="B278" t="s">
        <v>604</v>
      </c>
      <c r="C278" t="s">
        <v>133</v>
      </c>
      <c r="D278" s="5">
        <v>39054</v>
      </c>
      <c r="E278" s="5">
        <v>45169</v>
      </c>
      <c r="F278" s="5">
        <v>45174</v>
      </c>
      <c r="G278" t="s">
        <v>62</v>
      </c>
      <c r="H278" t="s">
        <v>78</v>
      </c>
      <c r="I278" t="s">
        <v>45</v>
      </c>
      <c r="J278" t="s">
        <v>80</v>
      </c>
      <c r="K278" t="s">
        <v>161</v>
      </c>
      <c r="L278" s="6">
        <v>134307.29</v>
      </c>
      <c r="M278">
        <v>92730.47</v>
      </c>
      <c r="N278" t="s">
        <v>91</v>
      </c>
      <c r="O278">
        <v>5</v>
      </c>
      <c r="P278">
        <v>158</v>
      </c>
      <c r="Q278">
        <v>4</v>
      </c>
      <c r="R278">
        <v>171</v>
      </c>
      <c r="S278">
        <v>116.5</v>
      </c>
      <c r="T278" t="s">
        <v>37</v>
      </c>
      <c r="U278" s="7">
        <f t="shared" si="17"/>
        <v>16</v>
      </c>
      <c r="V278" s="7">
        <f t="shared" si="18"/>
        <v>5</v>
      </c>
      <c r="W278" s="6">
        <f t="shared" si="16"/>
        <v>41576.820000000007</v>
      </c>
      <c r="X278" t="str">
        <f t="shared" si="19"/>
        <v>Child</v>
      </c>
    </row>
    <row r="279" spans="1:24">
      <c r="A279" t="s">
        <v>849</v>
      </c>
      <c r="B279" t="s">
        <v>850</v>
      </c>
      <c r="C279" t="s">
        <v>40</v>
      </c>
      <c r="D279" s="5">
        <v>36850</v>
      </c>
      <c r="E279" s="5">
        <v>45059</v>
      </c>
      <c r="F279" s="5">
        <v>45065</v>
      </c>
      <c r="G279" t="s">
        <v>94</v>
      </c>
      <c r="H279" t="s">
        <v>113</v>
      </c>
      <c r="I279" t="s">
        <v>119</v>
      </c>
      <c r="J279" t="s">
        <v>34</v>
      </c>
      <c r="K279" t="s">
        <v>161</v>
      </c>
      <c r="L279" s="6">
        <v>130925.86</v>
      </c>
      <c r="M279">
        <v>104288.59</v>
      </c>
      <c r="N279" t="s">
        <v>4237</v>
      </c>
      <c r="O279">
        <v>6</v>
      </c>
      <c r="P279">
        <v>100</v>
      </c>
      <c r="Q279">
        <v>4</v>
      </c>
      <c r="R279">
        <v>178</v>
      </c>
      <c r="S279">
        <v>161.80000000000001</v>
      </c>
      <c r="T279" t="s">
        <v>37</v>
      </c>
      <c r="U279" s="7">
        <f t="shared" si="17"/>
        <v>22</v>
      </c>
      <c r="V279" s="7">
        <f t="shared" si="18"/>
        <v>6</v>
      </c>
      <c r="W279" s="6">
        <f t="shared" si="16"/>
        <v>26637.270000000004</v>
      </c>
      <c r="X279" t="str">
        <f t="shared" si="19"/>
        <v>Adult</v>
      </c>
    </row>
    <row r="280" spans="1:24">
      <c r="A280" t="s">
        <v>851</v>
      </c>
      <c r="B280" t="s">
        <v>852</v>
      </c>
      <c r="C280" t="s">
        <v>133</v>
      </c>
      <c r="D280" s="5">
        <v>31498</v>
      </c>
      <c r="E280" s="5">
        <v>45693</v>
      </c>
      <c r="F280" s="5">
        <v>45702</v>
      </c>
      <c r="G280" t="s">
        <v>62</v>
      </c>
      <c r="H280" t="s">
        <v>78</v>
      </c>
      <c r="I280" t="s">
        <v>33</v>
      </c>
      <c r="J280" t="s">
        <v>71</v>
      </c>
      <c r="K280" t="s">
        <v>55</v>
      </c>
      <c r="L280" s="6">
        <v>123663.9</v>
      </c>
      <c r="M280">
        <v>86530.08</v>
      </c>
      <c r="N280" t="s">
        <v>35</v>
      </c>
      <c r="O280">
        <v>9</v>
      </c>
      <c r="P280">
        <v>15</v>
      </c>
      <c r="Q280">
        <v>4</v>
      </c>
      <c r="R280">
        <v>155</v>
      </c>
      <c r="S280">
        <v>188</v>
      </c>
      <c r="T280" t="s">
        <v>37</v>
      </c>
      <c r="U280" s="7">
        <f t="shared" si="17"/>
        <v>38</v>
      </c>
      <c r="V280" s="7">
        <f t="shared" si="18"/>
        <v>9</v>
      </c>
      <c r="W280" s="6">
        <f t="shared" si="16"/>
        <v>37133.819999999992</v>
      </c>
      <c r="X280" t="str">
        <f t="shared" si="19"/>
        <v>Adult</v>
      </c>
    </row>
    <row r="281" spans="1:24">
      <c r="A281" t="s">
        <v>854</v>
      </c>
      <c r="B281" t="s">
        <v>139</v>
      </c>
      <c r="C281" t="s">
        <v>133</v>
      </c>
      <c r="D281" s="5">
        <v>30215</v>
      </c>
      <c r="E281" s="5">
        <v>45087</v>
      </c>
      <c r="F281" s="5">
        <v>45096</v>
      </c>
      <c r="G281" t="s">
        <v>161</v>
      </c>
      <c r="H281" t="s">
        <v>52</v>
      </c>
      <c r="I281" t="s">
        <v>33</v>
      </c>
      <c r="J281" t="s">
        <v>46</v>
      </c>
      <c r="K281" t="s">
        <v>27</v>
      </c>
      <c r="L281" s="6">
        <v>11974.64</v>
      </c>
      <c r="M281">
        <v>9581.24</v>
      </c>
      <c r="N281" t="s">
        <v>56</v>
      </c>
      <c r="O281">
        <v>9</v>
      </c>
      <c r="P281">
        <v>121</v>
      </c>
      <c r="Q281">
        <v>5</v>
      </c>
      <c r="R281">
        <v>122</v>
      </c>
      <c r="S281">
        <v>127.5</v>
      </c>
      <c r="T281" t="s">
        <v>4237</v>
      </c>
      <c r="U281" s="7">
        <f t="shared" si="17"/>
        <v>40</v>
      </c>
      <c r="V281" s="7">
        <f t="shared" si="18"/>
        <v>9</v>
      </c>
      <c r="W281" s="6">
        <f t="shared" si="16"/>
        <v>2393.3999999999996</v>
      </c>
      <c r="X281" t="str">
        <f t="shared" si="19"/>
        <v>Middle Age</v>
      </c>
    </row>
    <row r="282" spans="1:24">
      <c r="A282" t="s">
        <v>856</v>
      </c>
      <c r="B282" t="s">
        <v>857</v>
      </c>
      <c r="C282" t="s">
        <v>40</v>
      </c>
      <c r="D282" s="5">
        <v>36100</v>
      </c>
      <c r="E282" s="5">
        <v>45893</v>
      </c>
      <c r="F282" s="5">
        <v>45939</v>
      </c>
      <c r="G282" t="s">
        <v>62</v>
      </c>
      <c r="H282" t="s">
        <v>134</v>
      </c>
      <c r="I282" t="s">
        <v>79</v>
      </c>
      <c r="J282" t="s">
        <v>80</v>
      </c>
      <c r="K282" t="s">
        <v>120</v>
      </c>
      <c r="L282" s="6">
        <v>58664.26</v>
      </c>
      <c r="M282">
        <v>38044.839999999997</v>
      </c>
      <c r="N282" t="s">
        <v>35</v>
      </c>
      <c r="O282">
        <v>17</v>
      </c>
      <c r="P282">
        <v>64</v>
      </c>
      <c r="Q282">
        <v>4</v>
      </c>
      <c r="R282">
        <v>165</v>
      </c>
      <c r="S282">
        <v>219.3</v>
      </c>
      <c r="T282" t="s">
        <v>37</v>
      </c>
      <c r="U282" s="7">
        <f t="shared" si="17"/>
        <v>26</v>
      </c>
      <c r="V282" s="7">
        <f t="shared" si="18"/>
        <v>46</v>
      </c>
      <c r="W282" s="6">
        <f t="shared" si="16"/>
        <v>20619.420000000006</v>
      </c>
      <c r="X282" t="str">
        <f t="shared" si="19"/>
        <v>Adult</v>
      </c>
    </row>
    <row r="283" spans="1:24">
      <c r="A283" t="s">
        <v>859</v>
      </c>
      <c r="B283" t="s">
        <v>829</v>
      </c>
      <c r="C283" t="s">
        <v>133</v>
      </c>
      <c r="D283" s="5">
        <v>25538</v>
      </c>
      <c r="E283" s="5">
        <v>45950</v>
      </c>
      <c r="F283" s="5">
        <v>45962</v>
      </c>
      <c r="G283" t="s">
        <v>43</v>
      </c>
      <c r="H283" t="s">
        <v>134</v>
      </c>
      <c r="I283" t="s">
        <v>79</v>
      </c>
      <c r="J283" t="s">
        <v>64</v>
      </c>
      <c r="K283" t="s">
        <v>55</v>
      </c>
      <c r="L283" s="6">
        <v>76660.210000000006</v>
      </c>
      <c r="M283">
        <v>48776.959999999999</v>
      </c>
      <c r="N283" t="s">
        <v>192</v>
      </c>
      <c r="O283">
        <v>12</v>
      </c>
      <c r="P283">
        <v>206</v>
      </c>
      <c r="Q283">
        <v>1</v>
      </c>
      <c r="R283">
        <v>107</v>
      </c>
      <c r="S283">
        <v>99.2</v>
      </c>
      <c r="T283" t="s">
        <v>65</v>
      </c>
      <c r="U283" s="7">
        <f t="shared" si="17"/>
        <v>55</v>
      </c>
      <c r="V283" s="7">
        <f t="shared" si="18"/>
        <v>12</v>
      </c>
      <c r="W283" s="6">
        <f t="shared" si="16"/>
        <v>27883.250000000007</v>
      </c>
      <c r="X283" t="str">
        <f t="shared" si="19"/>
        <v>Middle Age</v>
      </c>
    </row>
    <row r="284" spans="1:24">
      <c r="A284" t="s">
        <v>860</v>
      </c>
      <c r="B284" t="s">
        <v>676</v>
      </c>
      <c r="C284" t="s">
        <v>133</v>
      </c>
      <c r="D284" s="5">
        <v>22308</v>
      </c>
      <c r="E284" s="5">
        <v>45927</v>
      </c>
      <c r="F284" s="5">
        <v>45928</v>
      </c>
      <c r="G284" t="s">
        <v>161</v>
      </c>
      <c r="H284" t="s">
        <v>134</v>
      </c>
      <c r="I284" t="s">
        <v>96</v>
      </c>
      <c r="J284" t="s">
        <v>80</v>
      </c>
      <c r="K284" t="s">
        <v>55</v>
      </c>
      <c r="L284" s="6">
        <v>60177.26</v>
      </c>
      <c r="M284">
        <v>43852.43</v>
      </c>
      <c r="N284" t="s">
        <v>73</v>
      </c>
      <c r="O284">
        <v>1</v>
      </c>
      <c r="P284">
        <v>121</v>
      </c>
      <c r="Q284">
        <v>1</v>
      </c>
      <c r="R284">
        <v>137</v>
      </c>
      <c r="S284">
        <v>168.5</v>
      </c>
      <c r="T284" t="s">
        <v>47</v>
      </c>
      <c r="U284" s="7">
        <f t="shared" si="17"/>
        <v>64</v>
      </c>
      <c r="V284" s="7">
        <f t="shared" si="18"/>
        <v>1</v>
      </c>
      <c r="W284" s="6">
        <f t="shared" si="16"/>
        <v>16324.830000000002</v>
      </c>
      <c r="X284" t="str">
        <f t="shared" si="19"/>
        <v>Senior</v>
      </c>
    </row>
    <row r="285" spans="1:24">
      <c r="A285" t="s">
        <v>863</v>
      </c>
      <c r="B285" t="s">
        <v>864</v>
      </c>
      <c r="C285" t="s">
        <v>40</v>
      </c>
      <c r="D285" s="5">
        <v>22208</v>
      </c>
      <c r="E285" s="5">
        <v>45562</v>
      </c>
      <c r="F285" s="5">
        <v>45569</v>
      </c>
      <c r="G285" t="s">
        <v>152</v>
      </c>
      <c r="H285" t="s">
        <v>32</v>
      </c>
      <c r="I285" t="s">
        <v>96</v>
      </c>
      <c r="J285" t="s">
        <v>80</v>
      </c>
      <c r="K285" t="s">
        <v>55</v>
      </c>
      <c r="L285" s="6">
        <v>4342.22</v>
      </c>
      <c r="M285">
        <v>3620.19</v>
      </c>
      <c r="N285" t="s">
        <v>73</v>
      </c>
      <c r="O285">
        <v>7</v>
      </c>
      <c r="P285">
        <v>216</v>
      </c>
      <c r="Q285">
        <v>4</v>
      </c>
      <c r="R285">
        <v>167</v>
      </c>
      <c r="S285">
        <v>223.4</v>
      </c>
      <c r="T285" t="s">
        <v>37</v>
      </c>
      <c r="U285" s="7">
        <f t="shared" si="17"/>
        <v>63</v>
      </c>
      <c r="V285" s="7">
        <f t="shared" si="18"/>
        <v>7</v>
      </c>
      <c r="W285" s="6">
        <f t="shared" si="16"/>
        <v>722.0300000000002</v>
      </c>
      <c r="X285" t="str">
        <f t="shared" si="19"/>
        <v>Senior</v>
      </c>
    </row>
    <row r="286" spans="1:24">
      <c r="A286" t="s">
        <v>866</v>
      </c>
      <c r="B286" t="s">
        <v>867</v>
      </c>
      <c r="C286" t="s">
        <v>133</v>
      </c>
      <c r="D286" s="5">
        <v>27856</v>
      </c>
      <c r="E286" s="5">
        <v>45811</v>
      </c>
      <c r="F286" s="5">
        <v>45826</v>
      </c>
      <c r="G286" t="s">
        <v>152</v>
      </c>
      <c r="H286" t="s">
        <v>124</v>
      </c>
      <c r="I286" t="s">
        <v>33</v>
      </c>
      <c r="J286" t="s">
        <v>34</v>
      </c>
      <c r="K286" t="s">
        <v>120</v>
      </c>
      <c r="L286" s="6">
        <v>175414.58</v>
      </c>
      <c r="M286">
        <v>135404.01999999999</v>
      </c>
      <c r="N286" t="s">
        <v>56</v>
      </c>
      <c r="O286">
        <v>15</v>
      </c>
      <c r="P286">
        <v>227</v>
      </c>
      <c r="Q286">
        <v>3</v>
      </c>
      <c r="R286">
        <v>125</v>
      </c>
      <c r="S286">
        <v>237.7</v>
      </c>
      <c r="T286" t="s">
        <v>37</v>
      </c>
      <c r="U286" s="7">
        <f t="shared" si="17"/>
        <v>49</v>
      </c>
      <c r="V286" s="7">
        <f t="shared" si="18"/>
        <v>15</v>
      </c>
      <c r="W286" s="6">
        <f t="shared" si="16"/>
        <v>40010.559999999998</v>
      </c>
      <c r="X286" t="str">
        <f t="shared" si="19"/>
        <v>Middle Age</v>
      </c>
    </row>
    <row r="287" spans="1:24">
      <c r="A287" t="s">
        <v>4121</v>
      </c>
      <c r="B287" t="s">
        <v>689</v>
      </c>
      <c r="C287" t="s">
        <v>40</v>
      </c>
      <c r="D287" s="5">
        <v>22102</v>
      </c>
      <c r="E287" s="5">
        <v>45963</v>
      </c>
      <c r="F287" s="5">
        <v>45965</v>
      </c>
      <c r="G287" t="s">
        <v>161</v>
      </c>
      <c r="H287" t="s">
        <v>113</v>
      </c>
      <c r="I287" t="s">
        <v>33</v>
      </c>
      <c r="J287" t="s">
        <v>34</v>
      </c>
      <c r="K287" t="s">
        <v>120</v>
      </c>
      <c r="L287" s="6">
        <v>87555.28</v>
      </c>
      <c r="M287">
        <v>79578.59</v>
      </c>
      <c r="N287" t="s">
        <v>192</v>
      </c>
      <c r="O287">
        <v>2</v>
      </c>
      <c r="P287">
        <v>106</v>
      </c>
      <c r="Q287">
        <v>1</v>
      </c>
      <c r="R287">
        <v>91</v>
      </c>
      <c r="S287">
        <v>117.6</v>
      </c>
      <c r="T287" t="s">
        <v>4237</v>
      </c>
      <c r="U287" s="7">
        <f t="shared" si="17"/>
        <v>65</v>
      </c>
      <c r="V287" s="7">
        <f t="shared" si="18"/>
        <v>2</v>
      </c>
      <c r="W287" s="6">
        <f t="shared" si="16"/>
        <v>7976.6900000000023</v>
      </c>
      <c r="X287" t="str">
        <f t="shared" si="19"/>
        <v>Senior</v>
      </c>
    </row>
    <row r="288" spans="1:24">
      <c r="A288" t="s">
        <v>870</v>
      </c>
      <c r="B288" t="s">
        <v>871</v>
      </c>
      <c r="C288" t="s">
        <v>133</v>
      </c>
      <c r="D288" s="5">
        <v>32179</v>
      </c>
      <c r="E288" s="5">
        <v>45529</v>
      </c>
      <c r="F288" s="5" t="s">
        <v>4237</v>
      </c>
      <c r="G288" t="s">
        <v>43</v>
      </c>
      <c r="H288" t="s">
        <v>124</v>
      </c>
      <c r="I288" t="s">
        <v>33</v>
      </c>
      <c r="J288" t="s">
        <v>179</v>
      </c>
      <c r="K288" t="s">
        <v>55</v>
      </c>
      <c r="L288" s="6">
        <v>170152.33</v>
      </c>
      <c r="M288">
        <v>141600.32999999999</v>
      </c>
      <c r="N288" t="s">
        <v>91</v>
      </c>
      <c r="O288">
        <v>4</v>
      </c>
      <c r="P288">
        <v>50</v>
      </c>
      <c r="Q288">
        <v>4</v>
      </c>
      <c r="R288">
        <v>181</v>
      </c>
      <c r="S288">
        <v>76.5</v>
      </c>
      <c r="T288" t="s">
        <v>4237</v>
      </c>
      <c r="U288" s="7">
        <f t="shared" si="17"/>
        <v>36</v>
      </c>
      <c r="V288" s="7" t="s">
        <v>4237</v>
      </c>
      <c r="W288" s="6">
        <f t="shared" si="16"/>
        <v>28552</v>
      </c>
      <c r="X288" t="str">
        <f t="shared" si="19"/>
        <v>Adult</v>
      </c>
    </row>
    <row r="289" spans="1:24">
      <c r="A289" t="s">
        <v>874</v>
      </c>
      <c r="B289" t="s">
        <v>875</v>
      </c>
      <c r="C289" t="s">
        <v>133</v>
      </c>
      <c r="D289" s="5">
        <v>36258</v>
      </c>
      <c r="E289" s="5">
        <v>45694</v>
      </c>
      <c r="F289" s="5">
        <v>45702</v>
      </c>
      <c r="G289" t="s">
        <v>152</v>
      </c>
      <c r="H289" t="s">
        <v>134</v>
      </c>
      <c r="I289" t="s">
        <v>25</v>
      </c>
      <c r="J289" t="s">
        <v>179</v>
      </c>
      <c r="K289" t="s">
        <v>110</v>
      </c>
      <c r="L289" s="6">
        <v>85936.37</v>
      </c>
      <c r="M289">
        <v>77685.440000000002</v>
      </c>
      <c r="N289" t="s">
        <v>192</v>
      </c>
      <c r="O289">
        <v>8</v>
      </c>
      <c r="P289">
        <v>21</v>
      </c>
      <c r="Q289">
        <v>4</v>
      </c>
      <c r="R289">
        <v>102</v>
      </c>
      <c r="S289">
        <v>221.4</v>
      </c>
      <c r="T289" t="s">
        <v>4237</v>
      </c>
      <c r="U289" s="7">
        <f t="shared" si="17"/>
        <v>25</v>
      </c>
      <c r="V289" s="7">
        <f t="shared" si="18"/>
        <v>8</v>
      </c>
      <c r="W289" s="6">
        <f t="shared" si="16"/>
        <v>8250.929999999993</v>
      </c>
      <c r="X289" t="str">
        <f t="shared" si="19"/>
        <v>Adult</v>
      </c>
    </row>
    <row r="290" spans="1:24">
      <c r="A290" t="s">
        <v>876</v>
      </c>
      <c r="B290" t="s">
        <v>877</v>
      </c>
      <c r="C290" t="s">
        <v>40</v>
      </c>
      <c r="D290" s="5">
        <v>26456</v>
      </c>
      <c r="E290" s="5">
        <v>44957</v>
      </c>
      <c r="F290" s="5">
        <v>44970</v>
      </c>
      <c r="G290" t="s">
        <v>152</v>
      </c>
      <c r="H290" t="s">
        <v>134</v>
      </c>
      <c r="I290" t="s">
        <v>45</v>
      </c>
      <c r="J290" t="s">
        <v>34</v>
      </c>
      <c r="K290" t="s">
        <v>161</v>
      </c>
      <c r="L290" s="6">
        <v>56973.81</v>
      </c>
      <c r="M290">
        <v>45741.23</v>
      </c>
      <c r="N290" t="s">
        <v>192</v>
      </c>
      <c r="O290">
        <v>13</v>
      </c>
      <c r="P290">
        <v>171</v>
      </c>
      <c r="Q290">
        <v>5</v>
      </c>
      <c r="R290">
        <v>95</v>
      </c>
      <c r="S290">
        <v>82.8</v>
      </c>
      <c r="T290" t="s">
        <v>47</v>
      </c>
      <c r="U290" s="7">
        <f t="shared" si="17"/>
        <v>50</v>
      </c>
      <c r="V290" s="7">
        <f t="shared" si="18"/>
        <v>13</v>
      </c>
      <c r="W290" s="6">
        <f t="shared" si="16"/>
        <v>11232.579999999994</v>
      </c>
      <c r="X290" t="str">
        <f t="shared" si="19"/>
        <v>Middle Age</v>
      </c>
    </row>
    <row r="291" spans="1:24">
      <c r="A291" t="s">
        <v>878</v>
      </c>
      <c r="B291" t="s">
        <v>879</v>
      </c>
      <c r="C291" t="s">
        <v>40</v>
      </c>
      <c r="D291" s="5">
        <v>34308</v>
      </c>
      <c r="E291" s="5">
        <v>45607</v>
      </c>
      <c r="F291" s="5">
        <v>45613</v>
      </c>
      <c r="G291" t="s">
        <v>161</v>
      </c>
      <c r="H291" t="s">
        <v>63</v>
      </c>
      <c r="I291" t="s">
        <v>33</v>
      </c>
      <c r="J291" t="s">
        <v>26</v>
      </c>
      <c r="K291" t="s">
        <v>27</v>
      </c>
      <c r="L291" s="6">
        <v>85438.54</v>
      </c>
      <c r="M291">
        <v>74867.05</v>
      </c>
      <c r="N291" t="s">
        <v>35</v>
      </c>
      <c r="O291">
        <v>6</v>
      </c>
      <c r="P291">
        <v>119</v>
      </c>
      <c r="Q291">
        <v>4</v>
      </c>
      <c r="R291">
        <v>155</v>
      </c>
      <c r="S291">
        <v>191.7</v>
      </c>
      <c r="T291" t="s">
        <v>47</v>
      </c>
      <c r="U291" s="7">
        <f t="shared" si="17"/>
        <v>30</v>
      </c>
      <c r="V291" s="7">
        <f t="shared" si="18"/>
        <v>6</v>
      </c>
      <c r="W291" s="6">
        <f t="shared" si="16"/>
        <v>10571.489999999991</v>
      </c>
      <c r="X291" t="str">
        <f t="shared" si="19"/>
        <v>Adult</v>
      </c>
    </row>
    <row r="292" spans="1:24">
      <c r="A292" t="s">
        <v>882</v>
      </c>
      <c r="B292" t="s">
        <v>438</v>
      </c>
      <c r="C292" t="s">
        <v>133</v>
      </c>
      <c r="D292" s="5">
        <v>23317</v>
      </c>
      <c r="E292" s="5">
        <v>45414</v>
      </c>
      <c r="F292" s="5">
        <v>45429</v>
      </c>
      <c r="G292" t="s">
        <v>105</v>
      </c>
      <c r="H292" t="s">
        <v>124</v>
      </c>
      <c r="I292" t="s">
        <v>96</v>
      </c>
      <c r="J292" t="s">
        <v>46</v>
      </c>
      <c r="K292" t="s">
        <v>120</v>
      </c>
      <c r="L292" s="6">
        <v>161791.51</v>
      </c>
      <c r="M292">
        <v>138535.9</v>
      </c>
      <c r="N292" t="s">
        <v>73</v>
      </c>
      <c r="O292">
        <v>15</v>
      </c>
      <c r="P292">
        <v>111</v>
      </c>
      <c r="Q292">
        <v>5</v>
      </c>
      <c r="R292">
        <v>186</v>
      </c>
      <c r="S292">
        <v>74.5</v>
      </c>
      <c r="T292" t="s">
        <v>4237</v>
      </c>
      <c r="U292" s="7">
        <f t="shared" si="17"/>
        <v>60</v>
      </c>
      <c r="V292" s="7">
        <f t="shared" si="18"/>
        <v>15</v>
      </c>
      <c r="W292" s="6">
        <f t="shared" si="16"/>
        <v>23255.610000000015</v>
      </c>
      <c r="X292" t="str">
        <f t="shared" si="19"/>
        <v>Senior</v>
      </c>
    </row>
    <row r="293" spans="1:24">
      <c r="A293" t="s">
        <v>886</v>
      </c>
      <c r="B293" t="s">
        <v>887</v>
      </c>
      <c r="C293" t="s">
        <v>40</v>
      </c>
      <c r="D293" s="5">
        <v>32933</v>
      </c>
      <c r="E293" s="5">
        <v>45933</v>
      </c>
      <c r="F293" s="5">
        <v>45936</v>
      </c>
      <c r="G293" t="s">
        <v>152</v>
      </c>
      <c r="H293" t="s">
        <v>113</v>
      </c>
      <c r="I293" t="s">
        <v>53</v>
      </c>
      <c r="J293" t="s">
        <v>80</v>
      </c>
      <c r="K293" t="s">
        <v>161</v>
      </c>
      <c r="L293" s="6">
        <v>33576.35</v>
      </c>
      <c r="M293">
        <v>29472.959999999999</v>
      </c>
      <c r="N293" t="s">
        <v>35</v>
      </c>
      <c r="O293">
        <v>3</v>
      </c>
      <c r="P293">
        <v>217</v>
      </c>
      <c r="Q293">
        <v>4</v>
      </c>
      <c r="R293">
        <v>120</v>
      </c>
      <c r="S293">
        <v>166.4</v>
      </c>
      <c r="T293" t="s">
        <v>37</v>
      </c>
      <c r="U293" s="7">
        <f t="shared" si="17"/>
        <v>35</v>
      </c>
      <c r="V293" s="7">
        <f t="shared" si="18"/>
        <v>3</v>
      </c>
      <c r="W293" s="6">
        <f t="shared" si="16"/>
        <v>4103.3899999999994</v>
      </c>
      <c r="X293" t="str">
        <f t="shared" si="19"/>
        <v>Adult</v>
      </c>
    </row>
    <row r="294" spans="1:24">
      <c r="A294" t="s">
        <v>889</v>
      </c>
      <c r="B294" t="s">
        <v>171</v>
      </c>
      <c r="C294" t="s">
        <v>40</v>
      </c>
      <c r="D294" s="5">
        <v>27581</v>
      </c>
      <c r="E294" s="5">
        <v>45891</v>
      </c>
      <c r="F294" s="5">
        <v>45906</v>
      </c>
      <c r="G294" t="s">
        <v>117</v>
      </c>
      <c r="H294" t="s">
        <v>153</v>
      </c>
      <c r="I294" t="s">
        <v>79</v>
      </c>
      <c r="J294" t="s">
        <v>97</v>
      </c>
      <c r="K294" t="s">
        <v>110</v>
      </c>
      <c r="L294" s="6">
        <v>205351.94</v>
      </c>
      <c r="M294">
        <v>137718.49</v>
      </c>
      <c r="N294" t="s">
        <v>192</v>
      </c>
      <c r="O294">
        <v>15</v>
      </c>
      <c r="P294">
        <v>102</v>
      </c>
      <c r="Q294">
        <v>4</v>
      </c>
      <c r="R294">
        <v>100</v>
      </c>
      <c r="S294">
        <v>214.2</v>
      </c>
      <c r="T294" t="s">
        <v>65</v>
      </c>
      <c r="U294" s="7">
        <f t="shared" si="17"/>
        <v>50</v>
      </c>
      <c r="V294" s="7">
        <f t="shared" si="18"/>
        <v>15</v>
      </c>
      <c r="W294" s="6">
        <f t="shared" si="16"/>
        <v>67633.450000000012</v>
      </c>
      <c r="X294" t="str">
        <f t="shared" si="19"/>
        <v>Middle Age</v>
      </c>
    </row>
    <row r="295" spans="1:24">
      <c r="A295" t="s">
        <v>890</v>
      </c>
      <c r="B295" t="s">
        <v>891</v>
      </c>
      <c r="C295" t="s">
        <v>133</v>
      </c>
      <c r="D295" s="5">
        <v>38619</v>
      </c>
      <c r="E295" s="5">
        <v>45693</v>
      </c>
      <c r="F295" s="5">
        <v>45709</v>
      </c>
      <c r="G295" t="s">
        <v>43</v>
      </c>
      <c r="H295" t="s">
        <v>134</v>
      </c>
      <c r="I295" t="s">
        <v>119</v>
      </c>
      <c r="J295" t="s">
        <v>34</v>
      </c>
      <c r="K295" t="s">
        <v>110</v>
      </c>
      <c r="L295" s="6">
        <v>123663.9</v>
      </c>
      <c r="M295">
        <v>104720.83</v>
      </c>
      <c r="N295" t="s">
        <v>192</v>
      </c>
      <c r="O295">
        <v>16</v>
      </c>
      <c r="P295">
        <v>23</v>
      </c>
      <c r="Q295">
        <v>4</v>
      </c>
      <c r="R295">
        <v>94</v>
      </c>
      <c r="S295">
        <v>258.60000000000002</v>
      </c>
      <c r="T295" t="s">
        <v>37</v>
      </c>
      <c r="U295" s="7">
        <f t="shared" si="17"/>
        <v>19</v>
      </c>
      <c r="V295" s="7">
        <f t="shared" si="18"/>
        <v>16</v>
      </c>
      <c r="W295" s="6">
        <f t="shared" si="16"/>
        <v>18943.069999999992</v>
      </c>
      <c r="X295" t="str">
        <f t="shared" si="19"/>
        <v>Adult</v>
      </c>
    </row>
    <row r="296" spans="1:24">
      <c r="A296" t="s">
        <v>892</v>
      </c>
      <c r="B296" t="s">
        <v>129</v>
      </c>
      <c r="C296" t="s">
        <v>133</v>
      </c>
      <c r="D296" s="5">
        <v>35646</v>
      </c>
      <c r="E296" s="5">
        <v>45905</v>
      </c>
      <c r="F296" s="5">
        <v>45907</v>
      </c>
      <c r="G296" t="s">
        <v>105</v>
      </c>
      <c r="H296" t="s">
        <v>113</v>
      </c>
      <c r="I296" t="s">
        <v>25</v>
      </c>
      <c r="J296" t="s">
        <v>97</v>
      </c>
      <c r="K296" t="s">
        <v>55</v>
      </c>
      <c r="L296" s="6">
        <v>67179.350000000006</v>
      </c>
      <c r="M296">
        <v>62753.279999999999</v>
      </c>
      <c r="N296" t="s">
        <v>192</v>
      </c>
      <c r="O296">
        <v>2</v>
      </c>
      <c r="P296">
        <v>42</v>
      </c>
      <c r="Q296">
        <v>5</v>
      </c>
      <c r="R296">
        <v>121</v>
      </c>
      <c r="S296">
        <v>184.4</v>
      </c>
      <c r="T296" t="s">
        <v>4237</v>
      </c>
      <c r="U296" s="7">
        <f t="shared" si="17"/>
        <v>28</v>
      </c>
      <c r="V296" s="7">
        <f t="shared" si="18"/>
        <v>2</v>
      </c>
      <c r="W296" s="6">
        <f t="shared" si="16"/>
        <v>4426.070000000007</v>
      </c>
      <c r="X296" t="str">
        <f t="shared" si="19"/>
        <v>Adult</v>
      </c>
    </row>
    <row r="297" spans="1:24">
      <c r="A297" t="s">
        <v>894</v>
      </c>
      <c r="B297" t="s">
        <v>895</v>
      </c>
      <c r="C297" t="s">
        <v>133</v>
      </c>
      <c r="D297" s="5">
        <v>24451</v>
      </c>
      <c r="E297" s="5">
        <v>45952</v>
      </c>
      <c r="F297" s="5">
        <v>45970</v>
      </c>
      <c r="G297" t="s">
        <v>43</v>
      </c>
      <c r="H297" t="s">
        <v>118</v>
      </c>
      <c r="I297" t="s">
        <v>96</v>
      </c>
      <c r="J297" t="s">
        <v>34</v>
      </c>
      <c r="K297" t="s">
        <v>161</v>
      </c>
      <c r="L297" s="6">
        <v>188734.41</v>
      </c>
      <c r="M297">
        <v>154139.69</v>
      </c>
      <c r="N297" t="s">
        <v>192</v>
      </c>
      <c r="O297">
        <v>18</v>
      </c>
      <c r="P297">
        <v>32</v>
      </c>
      <c r="Q297">
        <v>5</v>
      </c>
      <c r="R297">
        <v>108</v>
      </c>
      <c r="S297">
        <v>121.1</v>
      </c>
      <c r="T297" t="s">
        <v>47</v>
      </c>
      <c r="U297" s="7">
        <f t="shared" si="17"/>
        <v>58</v>
      </c>
      <c r="V297" s="7">
        <f t="shared" si="18"/>
        <v>18</v>
      </c>
      <c r="W297" s="6">
        <f t="shared" si="16"/>
        <v>34594.720000000001</v>
      </c>
      <c r="X297" t="str">
        <f t="shared" si="19"/>
        <v>Middle Age</v>
      </c>
    </row>
    <row r="298" spans="1:24">
      <c r="A298" t="s">
        <v>897</v>
      </c>
      <c r="B298" t="s">
        <v>898</v>
      </c>
      <c r="C298" t="s">
        <v>133</v>
      </c>
      <c r="D298" s="5">
        <v>34765</v>
      </c>
      <c r="E298" s="5">
        <v>45923</v>
      </c>
      <c r="F298" s="5">
        <v>45929</v>
      </c>
      <c r="G298" t="s">
        <v>161</v>
      </c>
      <c r="H298" t="s">
        <v>32</v>
      </c>
      <c r="I298" t="s">
        <v>45</v>
      </c>
      <c r="J298" t="s">
        <v>97</v>
      </c>
      <c r="K298" t="s">
        <v>120</v>
      </c>
      <c r="L298" s="6">
        <v>52232.86</v>
      </c>
      <c r="M298">
        <v>33512.39</v>
      </c>
      <c r="N298" t="s">
        <v>35</v>
      </c>
      <c r="O298">
        <v>6</v>
      </c>
      <c r="P298">
        <v>199</v>
      </c>
      <c r="Q298">
        <v>4</v>
      </c>
      <c r="R298">
        <v>123</v>
      </c>
      <c r="S298">
        <v>256.8</v>
      </c>
      <c r="T298" t="s">
        <v>37</v>
      </c>
      <c r="U298" s="7">
        <f t="shared" si="17"/>
        <v>30</v>
      </c>
      <c r="V298" s="7">
        <f t="shared" si="18"/>
        <v>6</v>
      </c>
      <c r="W298" s="6">
        <f t="shared" si="16"/>
        <v>18720.47</v>
      </c>
      <c r="X298" t="str">
        <f t="shared" si="19"/>
        <v>Adult</v>
      </c>
    </row>
    <row r="299" spans="1:24">
      <c r="A299" t="s">
        <v>900</v>
      </c>
      <c r="B299" t="s">
        <v>21</v>
      </c>
      <c r="C299" t="s">
        <v>133</v>
      </c>
      <c r="D299" s="5">
        <v>24494</v>
      </c>
      <c r="E299" s="5">
        <v>45012</v>
      </c>
      <c r="F299" s="5">
        <v>45016</v>
      </c>
      <c r="G299" t="s">
        <v>94</v>
      </c>
      <c r="H299" t="s">
        <v>24</v>
      </c>
      <c r="I299" t="s">
        <v>79</v>
      </c>
      <c r="J299" t="s">
        <v>64</v>
      </c>
      <c r="K299" t="s">
        <v>120</v>
      </c>
      <c r="L299" s="6">
        <v>131218.35</v>
      </c>
      <c r="M299">
        <v>128546.55</v>
      </c>
      <c r="N299" t="s">
        <v>73</v>
      </c>
      <c r="O299">
        <v>4</v>
      </c>
      <c r="P299">
        <v>126</v>
      </c>
      <c r="Q299">
        <v>5</v>
      </c>
      <c r="R299">
        <v>167</v>
      </c>
      <c r="S299">
        <v>151.6</v>
      </c>
      <c r="T299" t="s">
        <v>65</v>
      </c>
      <c r="U299" s="7">
        <f t="shared" si="17"/>
        <v>56</v>
      </c>
      <c r="V299" s="7">
        <f t="shared" si="18"/>
        <v>4</v>
      </c>
      <c r="W299" s="6">
        <f t="shared" si="16"/>
        <v>2671.8000000000029</v>
      </c>
      <c r="X299" t="str">
        <f t="shared" si="19"/>
        <v>Middle Age</v>
      </c>
    </row>
    <row r="300" spans="1:24">
      <c r="A300" t="s">
        <v>4122</v>
      </c>
      <c r="B300" t="s">
        <v>249</v>
      </c>
      <c r="C300" t="s">
        <v>133</v>
      </c>
      <c r="D300" s="5">
        <v>18905</v>
      </c>
      <c r="E300" s="5">
        <v>46013</v>
      </c>
      <c r="F300" s="5">
        <v>46022</v>
      </c>
      <c r="G300" t="s">
        <v>94</v>
      </c>
      <c r="H300" t="s">
        <v>52</v>
      </c>
      <c r="I300" t="s">
        <v>45</v>
      </c>
      <c r="J300" t="s">
        <v>46</v>
      </c>
      <c r="K300" t="s">
        <v>55</v>
      </c>
      <c r="L300" s="6">
        <v>114349.72</v>
      </c>
      <c r="M300">
        <v>87250.37</v>
      </c>
      <c r="N300" t="s">
        <v>73</v>
      </c>
      <c r="O300">
        <v>9</v>
      </c>
      <c r="P300">
        <v>126</v>
      </c>
      <c r="Q300">
        <v>4</v>
      </c>
      <c r="R300">
        <v>142</v>
      </c>
      <c r="S300">
        <v>195.4</v>
      </c>
      <c r="T300" t="s">
        <v>37</v>
      </c>
      <c r="U300" s="7">
        <f t="shared" si="17"/>
        <v>74</v>
      </c>
      <c r="V300" s="7">
        <f t="shared" si="18"/>
        <v>9</v>
      </c>
      <c r="W300" s="6">
        <f t="shared" si="16"/>
        <v>27099.350000000006</v>
      </c>
      <c r="X300" t="str">
        <f t="shared" si="19"/>
        <v>Senior</v>
      </c>
    </row>
    <row r="301" spans="1:24">
      <c r="A301" t="s">
        <v>908</v>
      </c>
      <c r="B301" t="s">
        <v>909</v>
      </c>
      <c r="C301" t="s">
        <v>40</v>
      </c>
      <c r="D301" s="5">
        <v>33942</v>
      </c>
      <c r="E301" s="5">
        <v>45715</v>
      </c>
      <c r="F301" s="5">
        <v>45725</v>
      </c>
      <c r="G301" t="s">
        <v>161</v>
      </c>
      <c r="H301" t="s">
        <v>124</v>
      </c>
      <c r="I301" t="s">
        <v>25</v>
      </c>
      <c r="J301" t="s">
        <v>97</v>
      </c>
      <c r="K301" t="s">
        <v>55</v>
      </c>
      <c r="L301" s="6">
        <v>125736.45</v>
      </c>
      <c r="M301">
        <v>99382.65</v>
      </c>
      <c r="N301" t="s">
        <v>73</v>
      </c>
      <c r="O301">
        <v>10</v>
      </c>
      <c r="P301">
        <v>177</v>
      </c>
      <c r="Q301">
        <v>4</v>
      </c>
      <c r="R301">
        <v>149</v>
      </c>
      <c r="S301">
        <v>101.9</v>
      </c>
      <c r="T301" t="s">
        <v>37</v>
      </c>
      <c r="U301" s="7">
        <f t="shared" si="17"/>
        <v>32</v>
      </c>
      <c r="V301" s="7">
        <f t="shared" si="18"/>
        <v>10</v>
      </c>
      <c r="W301" s="6">
        <f t="shared" si="16"/>
        <v>26353.800000000003</v>
      </c>
      <c r="X301" t="str">
        <f t="shared" si="19"/>
        <v>Adult</v>
      </c>
    </row>
    <row r="302" spans="1:24">
      <c r="A302" t="s">
        <v>910</v>
      </c>
      <c r="B302" t="s">
        <v>911</v>
      </c>
      <c r="C302" t="s">
        <v>133</v>
      </c>
      <c r="D302" s="5">
        <v>36288</v>
      </c>
      <c r="E302" s="5">
        <v>45454</v>
      </c>
      <c r="F302" s="5">
        <v>45470</v>
      </c>
      <c r="G302" t="s">
        <v>152</v>
      </c>
      <c r="H302" t="s">
        <v>52</v>
      </c>
      <c r="I302" t="s">
        <v>53</v>
      </c>
      <c r="J302" t="s">
        <v>64</v>
      </c>
      <c r="K302" t="s">
        <v>120</v>
      </c>
      <c r="L302" s="6">
        <v>159303.18</v>
      </c>
      <c r="M302">
        <v>110042.8</v>
      </c>
      <c r="N302" t="s">
        <v>73</v>
      </c>
      <c r="O302">
        <v>16</v>
      </c>
      <c r="P302">
        <v>182</v>
      </c>
      <c r="Q302">
        <v>5</v>
      </c>
      <c r="R302">
        <v>118</v>
      </c>
      <c r="S302">
        <v>247</v>
      </c>
      <c r="T302" t="s">
        <v>37</v>
      </c>
      <c r="U302" s="7">
        <f t="shared" si="17"/>
        <v>25</v>
      </c>
      <c r="V302" s="7">
        <f t="shared" si="18"/>
        <v>16</v>
      </c>
      <c r="W302" s="6">
        <f t="shared" si="16"/>
        <v>49260.37999999999</v>
      </c>
      <c r="X302" t="str">
        <f t="shared" si="19"/>
        <v>Adult</v>
      </c>
    </row>
    <row r="303" spans="1:24">
      <c r="A303" t="s">
        <v>912</v>
      </c>
      <c r="B303" t="s">
        <v>238</v>
      </c>
      <c r="C303" t="s">
        <v>40</v>
      </c>
      <c r="D303" s="5">
        <v>20862</v>
      </c>
      <c r="E303" s="5" t="s">
        <v>4237</v>
      </c>
      <c r="F303" s="5">
        <v>45316</v>
      </c>
      <c r="G303" t="s">
        <v>62</v>
      </c>
      <c r="H303" t="s">
        <v>113</v>
      </c>
      <c r="I303" t="s">
        <v>119</v>
      </c>
      <c r="J303" t="s">
        <v>34</v>
      </c>
      <c r="K303" t="s">
        <v>120</v>
      </c>
      <c r="L303" s="6">
        <v>145286.92000000001</v>
      </c>
      <c r="M303">
        <v>115247.35</v>
      </c>
      <c r="N303" t="s">
        <v>73</v>
      </c>
      <c r="O303">
        <v>4</v>
      </c>
      <c r="P303">
        <v>121</v>
      </c>
      <c r="Q303">
        <v>4</v>
      </c>
      <c r="R303">
        <v>114</v>
      </c>
      <c r="S303">
        <v>231</v>
      </c>
      <c r="T303" t="s">
        <v>37</v>
      </c>
      <c r="U303" s="7" t="s">
        <v>4237</v>
      </c>
      <c r="V303" s="7" t="s">
        <v>4237</v>
      </c>
      <c r="W303" s="6">
        <f t="shared" si="16"/>
        <v>30039.570000000007</v>
      </c>
      <c r="X303" t="s">
        <v>4237</v>
      </c>
    </row>
    <row r="304" spans="1:24">
      <c r="A304" t="s">
        <v>914</v>
      </c>
      <c r="B304" t="s">
        <v>139</v>
      </c>
      <c r="C304" t="s">
        <v>40</v>
      </c>
      <c r="D304" s="5">
        <v>29905</v>
      </c>
      <c r="E304" s="5">
        <v>45228</v>
      </c>
      <c r="F304" s="5">
        <v>45238</v>
      </c>
      <c r="G304" t="s">
        <v>152</v>
      </c>
      <c r="H304" t="s">
        <v>124</v>
      </c>
      <c r="I304" t="s">
        <v>25</v>
      </c>
      <c r="J304" t="s">
        <v>64</v>
      </c>
      <c r="K304" t="s">
        <v>55</v>
      </c>
      <c r="L304" s="6">
        <v>81734.490000000005</v>
      </c>
      <c r="M304">
        <v>73347.75</v>
      </c>
      <c r="N304" t="s">
        <v>91</v>
      </c>
      <c r="O304">
        <v>10</v>
      </c>
      <c r="P304">
        <v>36</v>
      </c>
      <c r="Q304">
        <v>5</v>
      </c>
      <c r="R304">
        <v>180</v>
      </c>
      <c r="S304">
        <v>179.1</v>
      </c>
      <c r="T304" t="s">
        <v>4237</v>
      </c>
      <c r="U304" s="7">
        <f t="shared" si="17"/>
        <v>41</v>
      </c>
      <c r="V304" s="7">
        <f t="shared" si="18"/>
        <v>10</v>
      </c>
      <c r="W304" s="6">
        <f t="shared" si="16"/>
        <v>8386.7400000000052</v>
      </c>
      <c r="X304" t="str">
        <f t="shared" si="19"/>
        <v>Middle Age</v>
      </c>
    </row>
    <row r="305" spans="1:24">
      <c r="A305" t="s">
        <v>916</v>
      </c>
      <c r="B305" t="s">
        <v>917</v>
      </c>
      <c r="C305" t="s">
        <v>133</v>
      </c>
      <c r="D305" s="5">
        <v>38223</v>
      </c>
      <c r="E305" s="5">
        <v>45729</v>
      </c>
      <c r="F305" s="5">
        <v>45739</v>
      </c>
      <c r="G305" t="s">
        <v>152</v>
      </c>
      <c r="H305" t="s">
        <v>124</v>
      </c>
      <c r="I305" t="s">
        <v>53</v>
      </c>
      <c r="J305" t="s">
        <v>179</v>
      </c>
      <c r="K305" t="s">
        <v>161</v>
      </c>
      <c r="L305" s="6">
        <v>138115.87</v>
      </c>
      <c r="M305">
        <v>114184.7</v>
      </c>
      <c r="N305" t="s">
        <v>56</v>
      </c>
      <c r="O305">
        <v>10</v>
      </c>
      <c r="P305">
        <v>126</v>
      </c>
      <c r="Q305">
        <v>5</v>
      </c>
      <c r="R305">
        <v>186</v>
      </c>
      <c r="S305">
        <v>144.4</v>
      </c>
      <c r="T305" t="s">
        <v>37</v>
      </c>
      <c r="U305" s="7">
        <f t="shared" si="17"/>
        <v>20</v>
      </c>
      <c r="V305" s="7">
        <f t="shared" si="18"/>
        <v>10</v>
      </c>
      <c r="W305" s="6">
        <f t="shared" si="16"/>
        <v>23931.17</v>
      </c>
      <c r="X305" t="str">
        <f t="shared" si="19"/>
        <v>Adult</v>
      </c>
    </row>
    <row r="306" spans="1:24">
      <c r="A306" t="s">
        <v>918</v>
      </c>
      <c r="B306" t="s">
        <v>93</v>
      </c>
      <c r="C306" t="s">
        <v>133</v>
      </c>
      <c r="D306" s="5" t="s">
        <v>4237</v>
      </c>
      <c r="E306" s="5">
        <v>45915</v>
      </c>
      <c r="F306" s="5">
        <v>45925</v>
      </c>
      <c r="G306" t="s">
        <v>94</v>
      </c>
      <c r="H306" t="s">
        <v>86</v>
      </c>
      <c r="I306" t="s">
        <v>45</v>
      </c>
      <c r="J306" t="s">
        <v>179</v>
      </c>
      <c r="K306" t="s">
        <v>55</v>
      </c>
      <c r="L306" s="6">
        <v>92150.88</v>
      </c>
      <c r="M306">
        <v>60591.59</v>
      </c>
      <c r="N306" t="s">
        <v>192</v>
      </c>
      <c r="O306">
        <v>10</v>
      </c>
      <c r="P306">
        <v>206</v>
      </c>
      <c r="Q306">
        <v>3</v>
      </c>
      <c r="R306">
        <v>138</v>
      </c>
      <c r="S306">
        <v>250.6</v>
      </c>
      <c r="T306" t="s">
        <v>37</v>
      </c>
      <c r="U306" s="7" t="s">
        <v>4237</v>
      </c>
      <c r="V306" s="7">
        <f t="shared" si="18"/>
        <v>10</v>
      </c>
      <c r="W306" s="6">
        <f t="shared" si="16"/>
        <v>31559.290000000008</v>
      </c>
      <c r="X306" t="s">
        <v>4237</v>
      </c>
    </row>
    <row r="307" spans="1:24">
      <c r="A307" t="s">
        <v>921</v>
      </c>
      <c r="B307" t="s">
        <v>922</v>
      </c>
      <c r="C307" t="s">
        <v>133</v>
      </c>
      <c r="D307" s="5">
        <v>20923</v>
      </c>
      <c r="E307" s="5">
        <v>45927</v>
      </c>
      <c r="F307" s="5">
        <v>45937</v>
      </c>
      <c r="G307" t="s">
        <v>62</v>
      </c>
      <c r="H307" t="s">
        <v>134</v>
      </c>
      <c r="I307" t="s">
        <v>79</v>
      </c>
      <c r="J307" t="s">
        <v>26</v>
      </c>
      <c r="K307" t="s">
        <v>120</v>
      </c>
      <c r="L307" s="6">
        <v>194988.38</v>
      </c>
      <c r="M307">
        <v>135016.92000000001</v>
      </c>
      <c r="N307" t="s">
        <v>73</v>
      </c>
      <c r="O307">
        <v>10</v>
      </c>
      <c r="P307">
        <v>166</v>
      </c>
      <c r="Q307">
        <v>4</v>
      </c>
      <c r="R307">
        <v>137</v>
      </c>
      <c r="S307">
        <v>72.2</v>
      </c>
      <c r="T307" t="s">
        <v>37</v>
      </c>
      <c r="U307" s="7">
        <f t="shared" si="17"/>
        <v>68</v>
      </c>
      <c r="V307" s="7">
        <f t="shared" si="18"/>
        <v>10</v>
      </c>
      <c r="W307" s="6">
        <f t="shared" si="16"/>
        <v>59971.459999999992</v>
      </c>
      <c r="X307" t="str">
        <f t="shared" si="19"/>
        <v>Senior</v>
      </c>
    </row>
    <row r="308" spans="1:24">
      <c r="A308" t="s">
        <v>924</v>
      </c>
      <c r="B308" t="s">
        <v>270</v>
      </c>
      <c r="C308" t="s">
        <v>40</v>
      </c>
      <c r="D308" s="5">
        <v>33586</v>
      </c>
      <c r="E308" s="5">
        <v>45538</v>
      </c>
      <c r="F308" s="5">
        <v>45543</v>
      </c>
      <c r="G308" t="s">
        <v>161</v>
      </c>
      <c r="H308" t="s">
        <v>153</v>
      </c>
      <c r="I308" t="s">
        <v>53</v>
      </c>
      <c r="J308" t="s">
        <v>34</v>
      </c>
      <c r="K308" t="s">
        <v>120</v>
      </c>
      <c r="L308" s="6">
        <v>203684.81</v>
      </c>
      <c r="M308">
        <v>166642.48000000001</v>
      </c>
      <c r="N308" t="s">
        <v>73</v>
      </c>
      <c r="O308">
        <v>5</v>
      </c>
      <c r="P308">
        <v>121</v>
      </c>
      <c r="Q308">
        <v>4</v>
      </c>
      <c r="R308">
        <v>190</v>
      </c>
      <c r="S308">
        <v>224.3</v>
      </c>
      <c r="T308" t="s">
        <v>37</v>
      </c>
      <c r="U308" s="7">
        <f t="shared" si="17"/>
        <v>32</v>
      </c>
      <c r="V308" s="7">
        <f t="shared" si="18"/>
        <v>5</v>
      </c>
      <c r="W308" s="6">
        <f t="shared" si="16"/>
        <v>37042.329999999987</v>
      </c>
      <c r="X308" t="str">
        <f t="shared" si="19"/>
        <v>Adult</v>
      </c>
    </row>
    <row r="309" spans="1:24">
      <c r="A309" t="s">
        <v>925</v>
      </c>
      <c r="B309" t="s">
        <v>926</v>
      </c>
      <c r="C309" t="s">
        <v>133</v>
      </c>
      <c r="D309" s="5">
        <v>23321</v>
      </c>
      <c r="E309" s="5">
        <v>45106</v>
      </c>
      <c r="F309" s="5" t="s">
        <v>4237</v>
      </c>
      <c r="G309" t="s">
        <v>94</v>
      </c>
      <c r="H309" t="s">
        <v>24</v>
      </c>
      <c r="I309" t="s">
        <v>33</v>
      </c>
      <c r="J309" t="s">
        <v>26</v>
      </c>
      <c r="K309" t="s">
        <v>161</v>
      </c>
      <c r="L309" s="6">
        <v>127771.71</v>
      </c>
      <c r="M309">
        <v>126479.02</v>
      </c>
      <c r="N309" t="s">
        <v>35</v>
      </c>
      <c r="O309">
        <v>18</v>
      </c>
      <c r="P309">
        <v>48</v>
      </c>
      <c r="Q309">
        <v>4</v>
      </c>
      <c r="R309">
        <v>174</v>
      </c>
      <c r="S309">
        <v>70</v>
      </c>
      <c r="T309" t="s">
        <v>65</v>
      </c>
      <c r="U309" s="7">
        <f t="shared" si="17"/>
        <v>59</v>
      </c>
      <c r="V309" s="7" t="s">
        <v>4237</v>
      </c>
      <c r="W309" s="6">
        <f t="shared" si="16"/>
        <v>1292.6900000000023</v>
      </c>
      <c r="X309" t="str">
        <f t="shared" si="19"/>
        <v>Middle Age</v>
      </c>
    </row>
    <row r="310" spans="1:24">
      <c r="A310" t="s">
        <v>929</v>
      </c>
      <c r="B310" t="s">
        <v>676</v>
      </c>
      <c r="C310" t="s">
        <v>133</v>
      </c>
      <c r="D310" s="5">
        <v>23749</v>
      </c>
      <c r="E310" s="5">
        <v>45217</v>
      </c>
      <c r="F310" s="5">
        <v>45227</v>
      </c>
      <c r="G310" t="s">
        <v>94</v>
      </c>
      <c r="H310" t="s">
        <v>124</v>
      </c>
      <c r="I310" t="s">
        <v>45</v>
      </c>
      <c r="J310" t="s">
        <v>64</v>
      </c>
      <c r="K310" t="s">
        <v>55</v>
      </c>
      <c r="L310" s="6">
        <v>91368.63</v>
      </c>
      <c r="M310">
        <v>83943.22</v>
      </c>
      <c r="N310" t="s">
        <v>192</v>
      </c>
      <c r="O310">
        <v>10</v>
      </c>
      <c r="P310">
        <v>113</v>
      </c>
      <c r="Q310">
        <v>2</v>
      </c>
      <c r="R310">
        <v>160</v>
      </c>
      <c r="S310">
        <v>118.4</v>
      </c>
      <c r="T310" t="s">
        <v>37</v>
      </c>
      <c r="U310" s="7">
        <f t="shared" si="17"/>
        <v>58</v>
      </c>
      <c r="V310" s="7">
        <f t="shared" si="18"/>
        <v>10</v>
      </c>
      <c r="W310" s="6">
        <f t="shared" si="16"/>
        <v>7425.4100000000035</v>
      </c>
      <c r="X310" t="str">
        <f t="shared" si="19"/>
        <v>Middle Age</v>
      </c>
    </row>
    <row r="311" spans="1:24">
      <c r="A311" t="s">
        <v>931</v>
      </c>
      <c r="B311" t="s">
        <v>932</v>
      </c>
      <c r="C311" t="s">
        <v>40</v>
      </c>
      <c r="D311" s="5">
        <v>31737</v>
      </c>
      <c r="E311" s="5">
        <v>45974</v>
      </c>
      <c r="F311" s="5">
        <v>45980</v>
      </c>
      <c r="G311" t="s">
        <v>62</v>
      </c>
      <c r="H311" t="s">
        <v>63</v>
      </c>
      <c r="I311" t="s">
        <v>79</v>
      </c>
      <c r="J311" t="s">
        <v>34</v>
      </c>
      <c r="K311" t="s">
        <v>120</v>
      </c>
      <c r="L311" s="6">
        <v>8912.69</v>
      </c>
      <c r="M311">
        <v>6210.58</v>
      </c>
      <c r="N311" t="s">
        <v>192</v>
      </c>
      <c r="O311">
        <v>6</v>
      </c>
      <c r="P311">
        <v>74</v>
      </c>
      <c r="Q311">
        <v>2</v>
      </c>
      <c r="R311">
        <v>158</v>
      </c>
      <c r="S311">
        <v>90.9</v>
      </c>
      <c r="T311" t="s">
        <v>37</v>
      </c>
      <c r="U311" s="7">
        <f t="shared" si="17"/>
        <v>38</v>
      </c>
      <c r="V311" s="7">
        <f t="shared" si="18"/>
        <v>6</v>
      </c>
      <c r="W311" s="6">
        <f t="shared" si="16"/>
        <v>2702.1100000000006</v>
      </c>
      <c r="X311" t="str">
        <f t="shared" si="19"/>
        <v>Adult</v>
      </c>
    </row>
    <row r="312" spans="1:24">
      <c r="A312" t="s">
        <v>935</v>
      </c>
      <c r="B312" t="s">
        <v>936</v>
      </c>
      <c r="C312" t="s">
        <v>40</v>
      </c>
      <c r="D312" s="5">
        <v>36562</v>
      </c>
      <c r="E312" s="5">
        <v>46005</v>
      </c>
      <c r="F312" s="5">
        <v>46015</v>
      </c>
      <c r="G312" t="s">
        <v>94</v>
      </c>
      <c r="H312" t="s">
        <v>32</v>
      </c>
      <c r="I312" t="s">
        <v>33</v>
      </c>
      <c r="J312" t="s">
        <v>64</v>
      </c>
      <c r="K312" t="s">
        <v>120</v>
      </c>
      <c r="L312" s="6">
        <v>88852.800000000003</v>
      </c>
      <c r="M312">
        <v>76738.39</v>
      </c>
      <c r="N312" t="s">
        <v>192</v>
      </c>
      <c r="O312">
        <v>10</v>
      </c>
      <c r="P312">
        <v>146</v>
      </c>
      <c r="Q312">
        <v>5</v>
      </c>
      <c r="R312">
        <v>167</v>
      </c>
      <c r="S312">
        <v>88.8</v>
      </c>
      <c r="T312" t="s">
        <v>37</v>
      </c>
      <c r="U312" s="7">
        <f t="shared" si="17"/>
        <v>25</v>
      </c>
      <c r="V312" s="7">
        <f t="shared" si="18"/>
        <v>10</v>
      </c>
      <c r="W312" s="6">
        <f t="shared" si="16"/>
        <v>12114.410000000003</v>
      </c>
      <c r="X312" t="str">
        <f t="shared" si="19"/>
        <v>Adult</v>
      </c>
    </row>
    <row r="313" spans="1:24">
      <c r="A313" t="s">
        <v>937</v>
      </c>
      <c r="B313" t="s">
        <v>563</v>
      </c>
      <c r="C313" t="s">
        <v>133</v>
      </c>
      <c r="D313" s="5">
        <v>34235</v>
      </c>
      <c r="E313" s="5">
        <v>45245</v>
      </c>
      <c r="F313" s="5">
        <v>45250</v>
      </c>
      <c r="G313" t="s">
        <v>117</v>
      </c>
      <c r="H313" t="s">
        <v>153</v>
      </c>
      <c r="I313" t="s">
        <v>96</v>
      </c>
      <c r="J313" t="s">
        <v>179</v>
      </c>
      <c r="K313" t="s">
        <v>110</v>
      </c>
      <c r="L313" s="6">
        <v>229814.31</v>
      </c>
      <c r="M313">
        <v>193847.79</v>
      </c>
      <c r="N313" t="s">
        <v>35</v>
      </c>
      <c r="O313">
        <v>5</v>
      </c>
      <c r="P313">
        <v>186</v>
      </c>
      <c r="Q313">
        <v>4</v>
      </c>
      <c r="R313">
        <v>176</v>
      </c>
      <c r="S313">
        <v>185.7</v>
      </c>
      <c r="T313" t="s">
        <v>4237</v>
      </c>
      <c r="U313" s="7">
        <f t="shared" si="17"/>
        <v>30</v>
      </c>
      <c r="V313" s="7">
        <f t="shared" si="18"/>
        <v>5</v>
      </c>
      <c r="W313" s="6">
        <f t="shared" si="16"/>
        <v>35966.51999999999</v>
      </c>
      <c r="X313" t="str">
        <f t="shared" si="19"/>
        <v>Adult</v>
      </c>
    </row>
    <row r="314" spans="1:24">
      <c r="A314" t="s">
        <v>939</v>
      </c>
      <c r="B314" t="s">
        <v>940</v>
      </c>
      <c r="C314" t="s">
        <v>133</v>
      </c>
      <c r="D314" s="5">
        <v>36339</v>
      </c>
      <c r="E314" s="5">
        <v>45111</v>
      </c>
      <c r="F314" s="5" t="s">
        <v>4237</v>
      </c>
      <c r="G314" t="s">
        <v>94</v>
      </c>
      <c r="H314" t="s">
        <v>52</v>
      </c>
      <c r="I314" t="s">
        <v>53</v>
      </c>
      <c r="J314" t="s">
        <v>64</v>
      </c>
      <c r="K314" t="s">
        <v>55</v>
      </c>
      <c r="L314" s="6">
        <v>16709.349999999999</v>
      </c>
      <c r="M314">
        <v>98646.34</v>
      </c>
      <c r="N314" t="s">
        <v>192</v>
      </c>
      <c r="O314">
        <v>3</v>
      </c>
      <c r="P314">
        <v>131</v>
      </c>
      <c r="Q314">
        <v>1</v>
      </c>
      <c r="R314">
        <v>141</v>
      </c>
      <c r="S314">
        <v>198.6</v>
      </c>
      <c r="T314" t="s">
        <v>4237</v>
      </c>
      <c r="U314" s="7">
        <f t="shared" si="17"/>
        <v>24</v>
      </c>
      <c r="V314" s="7" t="s">
        <v>4237</v>
      </c>
      <c r="W314" s="6">
        <f t="shared" si="16"/>
        <v>-81936.989999999991</v>
      </c>
      <c r="X314" t="str">
        <f t="shared" si="19"/>
        <v>Adult</v>
      </c>
    </row>
    <row r="315" spans="1:24">
      <c r="A315" t="s">
        <v>942</v>
      </c>
      <c r="B315" t="s">
        <v>455</v>
      </c>
      <c r="C315" t="s">
        <v>133</v>
      </c>
      <c r="D315" s="5">
        <v>35589</v>
      </c>
      <c r="E315" s="5">
        <v>46008</v>
      </c>
      <c r="F315" s="5">
        <v>46010</v>
      </c>
      <c r="G315" t="s">
        <v>62</v>
      </c>
      <c r="H315" t="s">
        <v>113</v>
      </c>
      <c r="I315" t="s">
        <v>45</v>
      </c>
      <c r="J315" t="s">
        <v>97</v>
      </c>
      <c r="K315" t="s">
        <v>120</v>
      </c>
      <c r="L315" s="6">
        <v>21092.79</v>
      </c>
      <c r="M315">
        <v>18015.46</v>
      </c>
      <c r="N315" t="s">
        <v>73</v>
      </c>
      <c r="O315">
        <v>2</v>
      </c>
      <c r="P315">
        <v>18</v>
      </c>
      <c r="Q315">
        <v>4</v>
      </c>
      <c r="R315">
        <v>153</v>
      </c>
      <c r="S315">
        <v>142</v>
      </c>
      <c r="T315" t="s">
        <v>65</v>
      </c>
      <c r="U315" s="7">
        <f t="shared" si="17"/>
        <v>28</v>
      </c>
      <c r="V315" s="7">
        <f t="shared" si="18"/>
        <v>2</v>
      </c>
      <c r="W315" s="6">
        <f t="shared" si="16"/>
        <v>3077.3300000000017</v>
      </c>
      <c r="X315" t="str">
        <f t="shared" si="19"/>
        <v>Adult</v>
      </c>
    </row>
    <row r="316" spans="1:24">
      <c r="A316" t="s">
        <v>945</v>
      </c>
      <c r="B316" t="s">
        <v>49</v>
      </c>
      <c r="C316" t="s">
        <v>40</v>
      </c>
      <c r="D316" s="5" t="s">
        <v>4237</v>
      </c>
      <c r="E316" s="5" t="s">
        <v>4237</v>
      </c>
      <c r="F316" s="5">
        <v>45984</v>
      </c>
      <c r="G316" t="s">
        <v>117</v>
      </c>
      <c r="H316" t="s">
        <v>4236</v>
      </c>
      <c r="I316" t="s">
        <v>33</v>
      </c>
      <c r="J316" t="s">
        <v>179</v>
      </c>
      <c r="K316" t="s">
        <v>55</v>
      </c>
      <c r="L316" s="6">
        <v>90546.66</v>
      </c>
      <c r="M316">
        <v>68298.94</v>
      </c>
      <c r="N316" t="s">
        <v>192</v>
      </c>
      <c r="O316">
        <v>2</v>
      </c>
      <c r="P316">
        <v>81</v>
      </c>
      <c r="Q316">
        <v>5</v>
      </c>
      <c r="R316">
        <v>103</v>
      </c>
      <c r="S316">
        <v>71</v>
      </c>
      <c r="T316" t="s">
        <v>4237</v>
      </c>
      <c r="U316" s="7" t="s">
        <v>4237</v>
      </c>
      <c r="V316" s="7" t="s">
        <v>4237</v>
      </c>
      <c r="W316" s="6">
        <f t="shared" si="16"/>
        <v>22247.72</v>
      </c>
      <c r="X316" t="s">
        <v>4237</v>
      </c>
    </row>
    <row r="317" spans="1:24">
      <c r="A317" t="s">
        <v>948</v>
      </c>
      <c r="B317" t="s">
        <v>495</v>
      </c>
      <c r="C317" t="s">
        <v>40</v>
      </c>
      <c r="D317" s="5">
        <v>27555</v>
      </c>
      <c r="E317" s="5">
        <v>45673</v>
      </c>
      <c r="F317" s="5">
        <v>45687</v>
      </c>
      <c r="G317" t="s">
        <v>89</v>
      </c>
      <c r="H317" t="s">
        <v>78</v>
      </c>
      <c r="I317" t="s">
        <v>96</v>
      </c>
      <c r="J317" t="s">
        <v>26</v>
      </c>
      <c r="K317" t="s">
        <v>27</v>
      </c>
      <c r="L317" s="6">
        <v>247368.89</v>
      </c>
      <c r="M317">
        <v>200130.38</v>
      </c>
      <c r="N317" t="s">
        <v>73</v>
      </c>
      <c r="O317">
        <v>14</v>
      </c>
      <c r="P317">
        <v>46</v>
      </c>
      <c r="Q317">
        <v>3</v>
      </c>
      <c r="R317">
        <v>135</v>
      </c>
      <c r="S317">
        <v>211.9</v>
      </c>
      <c r="T317" t="s">
        <v>37</v>
      </c>
      <c r="U317" s="7">
        <f t="shared" si="17"/>
        <v>49</v>
      </c>
      <c r="V317" s="7">
        <f t="shared" si="18"/>
        <v>14</v>
      </c>
      <c r="W317" s="6">
        <f t="shared" si="16"/>
        <v>47238.510000000009</v>
      </c>
      <c r="X317" t="str">
        <f t="shared" si="19"/>
        <v>Middle Age</v>
      </c>
    </row>
    <row r="318" spans="1:24">
      <c r="A318" t="s">
        <v>950</v>
      </c>
      <c r="B318" t="s">
        <v>423</v>
      </c>
      <c r="C318" t="s">
        <v>133</v>
      </c>
      <c r="D318" s="5">
        <v>29845</v>
      </c>
      <c r="E318" s="5">
        <v>45187</v>
      </c>
      <c r="F318" s="5">
        <v>45198</v>
      </c>
      <c r="G318" t="s">
        <v>94</v>
      </c>
      <c r="H318" t="s">
        <v>134</v>
      </c>
      <c r="I318" t="s">
        <v>79</v>
      </c>
      <c r="J318" t="s">
        <v>97</v>
      </c>
      <c r="K318" t="s">
        <v>55</v>
      </c>
      <c r="L318" s="6">
        <v>29658.86</v>
      </c>
      <c r="M318">
        <v>27814.49</v>
      </c>
      <c r="N318" t="s">
        <v>91</v>
      </c>
      <c r="O318">
        <v>11</v>
      </c>
      <c r="P318">
        <v>37</v>
      </c>
      <c r="Q318">
        <v>3</v>
      </c>
      <c r="R318">
        <v>134</v>
      </c>
      <c r="S318">
        <v>165</v>
      </c>
      <c r="T318" t="s">
        <v>4237</v>
      </c>
      <c r="U318" s="7">
        <f t="shared" si="17"/>
        <v>42</v>
      </c>
      <c r="V318" s="7">
        <f t="shared" si="18"/>
        <v>11</v>
      </c>
      <c r="W318" s="6">
        <f t="shared" si="16"/>
        <v>1844.369999999999</v>
      </c>
      <c r="X318" t="str">
        <f t="shared" si="19"/>
        <v>Middle Age</v>
      </c>
    </row>
    <row r="319" spans="1:24">
      <c r="A319" t="s">
        <v>951</v>
      </c>
      <c r="B319" t="s">
        <v>334</v>
      </c>
      <c r="C319" t="s">
        <v>40</v>
      </c>
      <c r="D319" s="5">
        <v>22380</v>
      </c>
      <c r="E319" s="5">
        <v>45162</v>
      </c>
      <c r="F319" s="5">
        <v>45171</v>
      </c>
      <c r="G319" t="s">
        <v>94</v>
      </c>
      <c r="H319" t="s">
        <v>113</v>
      </c>
      <c r="I319" t="s">
        <v>79</v>
      </c>
      <c r="J319" t="s">
        <v>80</v>
      </c>
      <c r="K319" t="s">
        <v>27</v>
      </c>
      <c r="L319" s="6">
        <v>119788.47</v>
      </c>
      <c r="M319">
        <v>98646.34</v>
      </c>
      <c r="N319" t="s">
        <v>192</v>
      </c>
      <c r="O319">
        <v>9</v>
      </c>
      <c r="P319">
        <v>133</v>
      </c>
      <c r="Q319">
        <v>3</v>
      </c>
      <c r="R319">
        <v>114</v>
      </c>
      <c r="S319">
        <v>258.60000000000002</v>
      </c>
      <c r="T319" t="s">
        <v>37</v>
      </c>
      <c r="U319" s="7">
        <f t="shared" si="17"/>
        <v>62</v>
      </c>
      <c r="V319" s="7">
        <f t="shared" si="18"/>
        <v>9</v>
      </c>
      <c r="W319" s="6">
        <f t="shared" si="16"/>
        <v>21142.130000000005</v>
      </c>
      <c r="X319" t="str">
        <f t="shared" si="19"/>
        <v>Senior</v>
      </c>
    </row>
    <row r="320" spans="1:24">
      <c r="A320" t="s">
        <v>954</v>
      </c>
      <c r="B320" t="s">
        <v>737</v>
      </c>
      <c r="C320" t="s">
        <v>40</v>
      </c>
      <c r="D320" s="5" t="s">
        <v>4237</v>
      </c>
      <c r="E320" s="5">
        <v>45908</v>
      </c>
      <c r="F320" s="5">
        <v>45910</v>
      </c>
      <c r="G320" t="s">
        <v>152</v>
      </c>
      <c r="H320" t="s">
        <v>24</v>
      </c>
      <c r="I320" t="s">
        <v>96</v>
      </c>
      <c r="J320" t="s">
        <v>26</v>
      </c>
      <c r="K320" t="s">
        <v>55</v>
      </c>
      <c r="L320" s="6">
        <v>69138.41</v>
      </c>
      <c r="M320">
        <v>67956.12</v>
      </c>
      <c r="N320" t="s">
        <v>192</v>
      </c>
      <c r="O320">
        <v>2</v>
      </c>
      <c r="P320">
        <v>187</v>
      </c>
      <c r="Q320">
        <v>4</v>
      </c>
      <c r="R320">
        <v>121</v>
      </c>
      <c r="S320">
        <v>130.80000000000001</v>
      </c>
      <c r="T320" t="s">
        <v>37</v>
      </c>
      <c r="U320" s="7" t="s">
        <v>4237</v>
      </c>
      <c r="V320" s="7">
        <f t="shared" si="18"/>
        <v>2</v>
      </c>
      <c r="W320" s="6">
        <f t="shared" si="16"/>
        <v>1182.2900000000081</v>
      </c>
      <c r="X320" t="s">
        <v>4237</v>
      </c>
    </row>
    <row r="321" spans="1:24">
      <c r="A321" t="s">
        <v>956</v>
      </c>
      <c r="B321" t="s">
        <v>292</v>
      </c>
      <c r="C321" t="s">
        <v>40</v>
      </c>
      <c r="D321" s="5">
        <v>20760</v>
      </c>
      <c r="E321" s="5">
        <v>45193</v>
      </c>
      <c r="F321" s="5">
        <v>45204</v>
      </c>
      <c r="G321" t="s">
        <v>94</v>
      </c>
      <c r="H321" t="s">
        <v>63</v>
      </c>
      <c r="I321" t="s">
        <v>119</v>
      </c>
      <c r="J321" t="s">
        <v>80</v>
      </c>
      <c r="K321" t="s">
        <v>55</v>
      </c>
      <c r="L321" s="6">
        <v>163436.46</v>
      </c>
      <c r="M321">
        <v>143055.63</v>
      </c>
      <c r="N321" t="s">
        <v>73</v>
      </c>
      <c r="O321">
        <v>11</v>
      </c>
      <c r="P321">
        <v>27</v>
      </c>
      <c r="Q321">
        <v>2</v>
      </c>
      <c r="R321">
        <v>106</v>
      </c>
      <c r="S321">
        <v>189.6</v>
      </c>
      <c r="T321" t="s">
        <v>37</v>
      </c>
      <c r="U321" s="7">
        <f t="shared" si="17"/>
        <v>66</v>
      </c>
      <c r="V321" s="7">
        <f t="shared" si="18"/>
        <v>11</v>
      </c>
      <c r="W321" s="6">
        <f t="shared" si="16"/>
        <v>20380.829999999987</v>
      </c>
      <c r="X321" t="str">
        <f t="shared" si="19"/>
        <v>Senior</v>
      </c>
    </row>
    <row r="322" spans="1:24">
      <c r="A322" t="s">
        <v>957</v>
      </c>
      <c r="B322" t="s">
        <v>825</v>
      </c>
      <c r="C322" t="s">
        <v>40</v>
      </c>
      <c r="D322" s="5">
        <v>30814</v>
      </c>
      <c r="E322" s="5">
        <v>45016</v>
      </c>
      <c r="F322" s="5">
        <v>45021</v>
      </c>
      <c r="G322" t="s">
        <v>89</v>
      </c>
      <c r="H322" t="s">
        <v>153</v>
      </c>
      <c r="I322" t="s">
        <v>96</v>
      </c>
      <c r="J322" t="s">
        <v>64</v>
      </c>
      <c r="K322" t="s">
        <v>110</v>
      </c>
      <c r="L322" s="6">
        <v>243843.72</v>
      </c>
      <c r="M322">
        <v>203498.48</v>
      </c>
      <c r="N322" t="s">
        <v>35</v>
      </c>
      <c r="O322">
        <v>5</v>
      </c>
      <c r="P322">
        <v>188</v>
      </c>
      <c r="Q322">
        <v>2</v>
      </c>
      <c r="R322">
        <v>145</v>
      </c>
      <c r="S322">
        <v>82.9</v>
      </c>
      <c r="T322" t="s">
        <v>37</v>
      </c>
      <c r="U322" s="7">
        <f t="shared" ref="U322:U385" si="20">DATEDIF(D322,E322,"Y")</f>
        <v>38</v>
      </c>
      <c r="V322" s="7">
        <f t="shared" ref="V322:V385" si="21">IF(OR(E322=" ",F322=" ",E322="Unknown",F322="Unknown")," ",F322-E322)</f>
        <v>5</v>
      </c>
      <c r="W322" s="6">
        <f t="shared" ref="W322:W385" si="22">L322-M322</f>
        <v>40345.239999999991</v>
      </c>
      <c r="X322" t="str">
        <f t="shared" ref="X322:X385" si="23">IF(OR(U322="",U322="Unknown"),"",IF(U322&lt;18,"Child",IF(U322&lt;40,"Adult",IF(U322&lt;60,"Middle Age","Senior"))))</f>
        <v>Adult</v>
      </c>
    </row>
    <row r="323" spans="1:24">
      <c r="A323" t="s">
        <v>4123</v>
      </c>
      <c r="B323" t="s">
        <v>472</v>
      </c>
      <c r="C323" t="s">
        <v>133</v>
      </c>
      <c r="D323" s="5">
        <v>19798</v>
      </c>
      <c r="E323" s="5">
        <v>45970</v>
      </c>
      <c r="F323" s="5">
        <v>45983</v>
      </c>
      <c r="G323" t="s">
        <v>43</v>
      </c>
      <c r="H323" t="s">
        <v>134</v>
      </c>
      <c r="I323" t="s">
        <v>96</v>
      </c>
      <c r="J323" t="s">
        <v>80</v>
      </c>
      <c r="K323" t="s">
        <v>161</v>
      </c>
      <c r="L323" s="6">
        <v>48056.42</v>
      </c>
      <c r="M323">
        <v>41884.5</v>
      </c>
      <c r="N323" t="s">
        <v>56</v>
      </c>
      <c r="O323">
        <v>13</v>
      </c>
      <c r="P323">
        <v>156</v>
      </c>
      <c r="Q323">
        <v>1</v>
      </c>
      <c r="R323">
        <v>155</v>
      </c>
      <c r="S323">
        <v>156.5</v>
      </c>
      <c r="T323" t="s">
        <v>4237</v>
      </c>
      <c r="U323" s="7">
        <f t="shared" si="20"/>
        <v>71</v>
      </c>
      <c r="V323" s="7">
        <f t="shared" si="21"/>
        <v>13</v>
      </c>
      <c r="W323" s="6">
        <f t="shared" si="22"/>
        <v>6171.9199999999983</v>
      </c>
      <c r="X323" t="str">
        <f t="shared" si="23"/>
        <v>Senior</v>
      </c>
    </row>
    <row r="324" spans="1:24">
      <c r="A324" t="s">
        <v>964</v>
      </c>
      <c r="B324" t="s">
        <v>965</v>
      </c>
      <c r="C324" t="s">
        <v>133</v>
      </c>
      <c r="D324" s="5">
        <v>24493</v>
      </c>
      <c r="E324" s="5">
        <v>45436</v>
      </c>
      <c r="F324" s="5">
        <v>45443</v>
      </c>
      <c r="G324" t="s">
        <v>152</v>
      </c>
      <c r="H324" t="s">
        <v>113</v>
      </c>
      <c r="I324" t="s">
        <v>119</v>
      </c>
      <c r="J324" t="s">
        <v>64</v>
      </c>
      <c r="K324" t="s">
        <v>120</v>
      </c>
      <c r="L324" s="6">
        <v>243124.11</v>
      </c>
      <c r="M324">
        <v>176258.62</v>
      </c>
      <c r="N324" t="s">
        <v>56</v>
      </c>
      <c r="O324">
        <v>7</v>
      </c>
      <c r="P324">
        <v>185</v>
      </c>
      <c r="Q324">
        <v>4</v>
      </c>
      <c r="R324">
        <v>123</v>
      </c>
      <c r="S324">
        <v>163.5</v>
      </c>
      <c r="T324" t="s">
        <v>37</v>
      </c>
      <c r="U324" s="7">
        <f t="shared" si="20"/>
        <v>57</v>
      </c>
      <c r="V324" s="7">
        <f t="shared" si="21"/>
        <v>7</v>
      </c>
      <c r="W324" s="6">
        <f t="shared" si="22"/>
        <v>66865.489999999991</v>
      </c>
      <c r="X324" t="str">
        <f t="shared" si="23"/>
        <v>Middle Age</v>
      </c>
    </row>
    <row r="325" spans="1:24">
      <c r="A325" t="s">
        <v>966</v>
      </c>
      <c r="B325" t="s">
        <v>967</v>
      </c>
      <c r="C325" t="s">
        <v>133</v>
      </c>
      <c r="D325" s="5">
        <v>40491</v>
      </c>
      <c r="E325" s="5">
        <v>45349</v>
      </c>
      <c r="F325" s="5">
        <v>45364</v>
      </c>
      <c r="G325" t="s">
        <v>109</v>
      </c>
      <c r="H325" t="s">
        <v>86</v>
      </c>
      <c r="I325" t="s">
        <v>79</v>
      </c>
      <c r="J325" t="s">
        <v>97</v>
      </c>
      <c r="K325" t="s">
        <v>110</v>
      </c>
      <c r="L325" s="6">
        <v>112898.84</v>
      </c>
      <c r="M325">
        <v>88084.01</v>
      </c>
      <c r="N325" t="s">
        <v>35</v>
      </c>
      <c r="O325">
        <v>15</v>
      </c>
      <c r="P325">
        <v>99</v>
      </c>
      <c r="Q325">
        <v>3</v>
      </c>
      <c r="R325">
        <v>151</v>
      </c>
      <c r="S325">
        <v>87.8</v>
      </c>
      <c r="T325" t="s">
        <v>47</v>
      </c>
      <c r="U325" s="7">
        <f t="shared" si="20"/>
        <v>13</v>
      </c>
      <c r="V325" s="7">
        <f t="shared" si="21"/>
        <v>15</v>
      </c>
      <c r="W325" s="6">
        <f t="shared" si="22"/>
        <v>24814.83</v>
      </c>
      <c r="X325" t="str">
        <f t="shared" si="23"/>
        <v>Child</v>
      </c>
    </row>
    <row r="326" spans="1:24">
      <c r="A326" t="s">
        <v>969</v>
      </c>
      <c r="B326" t="s">
        <v>565</v>
      </c>
      <c r="C326" t="s">
        <v>40</v>
      </c>
      <c r="D326" s="5">
        <v>21595</v>
      </c>
      <c r="E326" s="5">
        <v>45429</v>
      </c>
      <c r="F326" s="5">
        <v>45444</v>
      </c>
      <c r="G326" t="s">
        <v>43</v>
      </c>
      <c r="H326" t="s">
        <v>52</v>
      </c>
      <c r="I326" t="s">
        <v>53</v>
      </c>
      <c r="J326" t="s">
        <v>179</v>
      </c>
      <c r="K326" t="s">
        <v>27</v>
      </c>
      <c r="L326" s="6">
        <v>151815.15</v>
      </c>
      <c r="M326">
        <v>98646.34</v>
      </c>
      <c r="N326" t="s">
        <v>192</v>
      </c>
      <c r="O326">
        <v>15</v>
      </c>
      <c r="P326">
        <v>33</v>
      </c>
      <c r="Q326">
        <v>1</v>
      </c>
      <c r="R326">
        <v>187</v>
      </c>
      <c r="S326">
        <v>227.8</v>
      </c>
      <c r="T326" t="s">
        <v>37</v>
      </c>
      <c r="U326" s="7">
        <f t="shared" si="20"/>
        <v>65</v>
      </c>
      <c r="V326" s="7">
        <f t="shared" si="21"/>
        <v>15</v>
      </c>
      <c r="W326" s="6">
        <f t="shared" si="22"/>
        <v>53168.81</v>
      </c>
      <c r="X326" t="str">
        <f t="shared" si="23"/>
        <v>Senior</v>
      </c>
    </row>
    <row r="327" spans="1:24">
      <c r="A327" t="s">
        <v>971</v>
      </c>
      <c r="B327" t="s">
        <v>972</v>
      </c>
      <c r="C327" t="s">
        <v>40</v>
      </c>
      <c r="D327" s="5">
        <v>29509</v>
      </c>
      <c r="E327" s="5">
        <v>45261</v>
      </c>
      <c r="F327" s="5">
        <v>45271</v>
      </c>
      <c r="G327" t="s">
        <v>62</v>
      </c>
      <c r="H327" t="s">
        <v>86</v>
      </c>
      <c r="I327" t="s">
        <v>25</v>
      </c>
      <c r="J327" t="s">
        <v>64</v>
      </c>
      <c r="K327" t="s">
        <v>110</v>
      </c>
      <c r="L327" s="6">
        <v>173780.2</v>
      </c>
      <c r="M327">
        <v>127488.85</v>
      </c>
      <c r="N327" t="s">
        <v>192</v>
      </c>
      <c r="O327">
        <v>10</v>
      </c>
      <c r="P327">
        <v>10</v>
      </c>
      <c r="Q327">
        <v>1</v>
      </c>
      <c r="R327">
        <v>103</v>
      </c>
      <c r="S327">
        <v>173.5</v>
      </c>
      <c r="T327" t="s">
        <v>37</v>
      </c>
      <c r="U327" s="7">
        <f t="shared" si="20"/>
        <v>43</v>
      </c>
      <c r="V327" s="7">
        <f t="shared" si="21"/>
        <v>10</v>
      </c>
      <c r="W327" s="6">
        <f t="shared" si="22"/>
        <v>46291.350000000006</v>
      </c>
      <c r="X327" t="str">
        <f t="shared" si="23"/>
        <v>Middle Age</v>
      </c>
    </row>
    <row r="328" spans="1:24">
      <c r="A328" t="s">
        <v>973</v>
      </c>
      <c r="B328" t="s">
        <v>511</v>
      </c>
      <c r="C328" t="s">
        <v>133</v>
      </c>
      <c r="D328" s="5">
        <v>20914</v>
      </c>
      <c r="E328" s="5">
        <v>45504</v>
      </c>
      <c r="F328" s="5" t="s">
        <v>4237</v>
      </c>
      <c r="G328" t="s">
        <v>105</v>
      </c>
      <c r="H328" t="s">
        <v>52</v>
      </c>
      <c r="I328" t="s">
        <v>119</v>
      </c>
      <c r="J328" t="s">
        <v>26</v>
      </c>
      <c r="K328" t="s">
        <v>110</v>
      </c>
      <c r="L328" s="6">
        <v>224157.66</v>
      </c>
      <c r="M328">
        <v>150364.47</v>
      </c>
      <c r="N328" t="s">
        <v>192</v>
      </c>
      <c r="O328">
        <v>12</v>
      </c>
      <c r="P328">
        <v>114</v>
      </c>
      <c r="Q328">
        <v>4</v>
      </c>
      <c r="R328">
        <v>132</v>
      </c>
      <c r="S328">
        <v>183.9</v>
      </c>
      <c r="T328" t="s">
        <v>4237</v>
      </c>
      <c r="U328" s="7">
        <f t="shared" si="20"/>
        <v>67</v>
      </c>
      <c r="V328" s="7" t="s">
        <v>4237</v>
      </c>
      <c r="W328" s="6">
        <f t="shared" si="22"/>
        <v>73793.19</v>
      </c>
      <c r="X328" t="str">
        <f t="shared" si="23"/>
        <v>Senior</v>
      </c>
    </row>
    <row r="329" spans="1:24">
      <c r="A329" t="s">
        <v>974</v>
      </c>
      <c r="B329" t="s">
        <v>850</v>
      </c>
      <c r="C329" t="s">
        <v>133</v>
      </c>
      <c r="D329" s="5">
        <v>38436</v>
      </c>
      <c r="E329" s="5">
        <v>45227</v>
      </c>
      <c r="F329" s="5">
        <v>45238</v>
      </c>
      <c r="G329" t="s">
        <v>77</v>
      </c>
      <c r="H329" t="s">
        <v>153</v>
      </c>
      <c r="I329" t="s">
        <v>33</v>
      </c>
      <c r="J329" t="s">
        <v>26</v>
      </c>
      <c r="K329" t="s">
        <v>55</v>
      </c>
      <c r="L329" s="6">
        <v>30508.1</v>
      </c>
      <c r="M329">
        <v>28631.3</v>
      </c>
      <c r="N329" t="s">
        <v>192</v>
      </c>
      <c r="O329">
        <v>11</v>
      </c>
      <c r="P329">
        <v>76</v>
      </c>
      <c r="Q329">
        <v>3</v>
      </c>
      <c r="R329">
        <v>101</v>
      </c>
      <c r="S329">
        <v>131.4</v>
      </c>
      <c r="T329" t="s">
        <v>47</v>
      </c>
      <c r="U329" s="7">
        <f t="shared" si="20"/>
        <v>18</v>
      </c>
      <c r="V329" s="7">
        <f t="shared" si="21"/>
        <v>11</v>
      </c>
      <c r="W329" s="6">
        <f t="shared" si="22"/>
        <v>1876.7999999999993</v>
      </c>
      <c r="X329" t="str">
        <f t="shared" si="23"/>
        <v>Adult</v>
      </c>
    </row>
    <row r="330" spans="1:24">
      <c r="A330" t="s">
        <v>976</v>
      </c>
      <c r="B330" t="s">
        <v>857</v>
      </c>
      <c r="C330" t="s">
        <v>40</v>
      </c>
      <c r="D330" s="5">
        <v>29847</v>
      </c>
      <c r="E330" s="5">
        <v>45935</v>
      </c>
      <c r="F330" s="5">
        <v>45953</v>
      </c>
      <c r="G330" t="s">
        <v>94</v>
      </c>
      <c r="H330" t="s">
        <v>134</v>
      </c>
      <c r="I330" t="s">
        <v>33</v>
      </c>
      <c r="J330" t="s">
        <v>64</v>
      </c>
      <c r="K330" t="s">
        <v>27</v>
      </c>
      <c r="L330" s="6">
        <v>179442.96</v>
      </c>
      <c r="M330">
        <v>141046.95000000001</v>
      </c>
      <c r="N330" t="s">
        <v>35</v>
      </c>
      <c r="O330">
        <v>18</v>
      </c>
      <c r="P330">
        <v>182</v>
      </c>
      <c r="Q330">
        <v>4</v>
      </c>
      <c r="R330">
        <v>179</v>
      </c>
      <c r="S330">
        <v>86.6</v>
      </c>
      <c r="T330" t="s">
        <v>65</v>
      </c>
      <c r="U330" s="7">
        <f t="shared" si="20"/>
        <v>44</v>
      </c>
      <c r="V330" s="7">
        <f t="shared" si="21"/>
        <v>18</v>
      </c>
      <c r="W330" s="6">
        <f t="shared" si="22"/>
        <v>38396.00999999998</v>
      </c>
      <c r="X330" t="str">
        <f t="shared" si="23"/>
        <v>Middle Age</v>
      </c>
    </row>
    <row r="331" spans="1:24">
      <c r="A331" t="s">
        <v>978</v>
      </c>
      <c r="B331" t="s">
        <v>563</v>
      </c>
      <c r="C331" t="s">
        <v>40</v>
      </c>
      <c r="D331" s="5">
        <v>21807</v>
      </c>
      <c r="E331" s="5">
        <v>45423</v>
      </c>
      <c r="F331" s="5">
        <v>45430</v>
      </c>
      <c r="G331" t="s">
        <v>152</v>
      </c>
      <c r="H331" t="s">
        <v>153</v>
      </c>
      <c r="I331" t="s">
        <v>53</v>
      </c>
      <c r="J331" t="s">
        <v>26</v>
      </c>
      <c r="K331" t="s">
        <v>120</v>
      </c>
      <c r="L331" s="6">
        <v>240607.87</v>
      </c>
      <c r="M331">
        <v>151940.15</v>
      </c>
      <c r="N331" t="s">
        <v>35</v>
      </c>
      <c r="O331">
        <v>7</v>
      </c>
      <c r="P331">
        <v>192</v>
      </c>
      <c r="Q331">
        <v>1</v>
      </c>
      <c r="R331">
        <v>179</v>
      </c>
      <c r="S331">
        <v>253.3</v>
      </c>
      <c r="T331" t="s">
        <v>65</v>
      </c>
      <c r="U331" s="7">
        <f t="shared" si="20"/>
        <v>64</v>
      </c>
      <c r="V331" s="7">
        <f t="shared" si="21"/>
        <v>7</v>
      </c>
      <c r="W331" s="6">
        <f t="shared" si="22"/>
        <v>88667.72</v>
      </c>
      <c r="X331" t="str">
        <f t="shared" si="23"/>
        <v>Senior</v>
      </c>
    </row>
    <row r="332" spans="1:24">
      <c r="A332" t="s">
        <v>979</v>
      </c>
      <c r="B332" t="s">
        <v>980</v>
      </c>
      <c r="C332" t="s">
        <v>133</v>
      </c>
      <c r="D332" s="5">
        <v>29560</v>
      </c>
      <c r="E332" s="5">
        <v>46007</v>
      </c>
      <c r="F332" s="5">
        <v>46017</v>
      </c>
      <c r="G332" t="s">
        <v>161</v>
      </c>
      <c r="H332" t="s">
        <v>63</v>
      </c>
      <c r="I332" t="s">
        <v>33</v>
      </c>
      <c r="J332" t="s">
        <v>179</v>
      </c>
      <c r="K332" t="s">
        <v>55</v>
      </c>
      <c r="L332" s="6">
        <v>73475.34</v>
      </c>
      <c r="M332">
        <v>52755.31</v>
      </c>
      <c r="N332" t="s">
        <v>192</v>
      </c>
      <c r="O332">
        <v>10</v>
      </c>
      <c r="P332">
        <v>169</v>
      </c>
      <c r="Q332">
        <v>1</v>
      </c>
      <c r="R332">
        <v>167</v>
      </c>
      <c r="S332">
        <v>212.7</v>
      </c>
      <c r="T332" t="s">
        <v>37</v>
      </c>
      <c r="U332" s="7">
        <f t="shared" si="20"/>
        <v>45</v>
      </c>
      <c r="V332" s="7">
        <f t="shared" si="21"/>
        <v>10</v>
      </c>
      <c r="W332" s="6">
        <f t="shared" si="22"/>
        <v>20720.03</v>
      </c>
      <c r="X332" t="str">
        <f t="shared" si="23"/>
        <v>Middle Age</v>
      </c>
    </row>
    <row r="333" spans="1:24">
      <c r="A333" t="s">
        <v>982</v>
      </c>
      <c r="B333" t="s">
        <v>661</v>
      </c>
      <c r="C333" t="s">
        <v>40</v>
      </c>
      <c r="D333" s="5">
        <v>30502</v>
      </c>
      <c r="E333" s="5">
        <v>45360</v>
      </c>
      <c r="F333" s="5">
        <v>45373</v>
      </c>
      <c r="G333" t="s">
        <v>94</v>
      </c>
      <c r="H333" t="s">
        <v>134</v>
      </c>
      <c r="I333" t="s">
        <v>53</v>
      </c>
      <c r="J333" t="s">
        <v>64</v>
      </c>
      <c r="K333" t="s">
        <v>110</v>
      </c>
      <c r="L333" s="6">
        <v>152258.14000000001</v>
      </c>
      <c r="M333">
        <v>143879.01999999999</v>
      </c>
      <c r="N333" t="s">
        <v>192</v>
      </c>
      <c r="O333">
        <v>13</v>
      </c>
      <c r="P333">
        <v>124</v>
      </c>
      <c r="Q333">
        <v>4</v>
      </c>
      <c r="R333">
        <v>130</v>
      </c>
      <c r="S333">
        <v>194</v>
      </c>
      <c r="T333" t="s">
        <v>37</v>
      </c>
      <c r="U333" s="7">
        <f t="shared" si="20"/>
        <v>40</v>
      </c>
      <c r="V333" s="7">
        <f t="shared" si="21"/>
        <v>13</v>
      </c>
      <c r="W333" s="6">
        <f t="shared" si="22"/>
        <v>8379.1200000000244</v>
      </c>
      <c r="X333" t="str">
        <f t="shared" si="23"/>
        <v>Middle Age</v>
      </c>
    </row>
    <row r="334" spans="1:24">
      <c r="A334" t="s">
        <v>985</v>
      </c>
      <c r="B334" t="s">
        <v>986</v>
      </c>
      <c r="C334" t="s">
        <v>40</v>
      </c>
      <c r="D334" s="5">
        <v>19834</v>
      </c>
      <c r="E334" s="5">
        <v>44949</v>
      </c>
      <c r="F334" s="5">
        <v>44959</v>
      </c>
      <c r="G334" t="s">
        <v>94</v>
      </c>
      <c r="H334" t="s">
        <v>113</v>
      </c>
      <c r="I334" t="s">
        <v>25</v>
      </c>
      <c r="J334" t="s">
        <v>80</v>
      </c>
      <c r="K334" t="s">
        <v>55</v>
      </c>
      <c r="L334" s="6">
        <v>69119.08</v>
      </c>
      <c r="M334">
        <v>54085.34</v>
      </c>
      <c r="N334" t="s">
        <v>56</v>
      </c>
      <c r="O334">
        <v>10</v>
      </c>
      <c r="P334">
        <v>149</v>
      </c>
      <c r="Q334">
        <v>4</v>
      </c>
      <c r="R334">
        <v>95</v>
      </c>
      <c r="S334">
        <v>79.099999999999994</v>
      </c>
      <c r="T334" t="s">
        <v>37</v>
      </c>
      <c r="U334" s="7">
        <f t="shared" si="20"/>
        <v>68</v>
      </c>
      <c r="V334" s="7">
        <f t="shared" si="21"/>
        <v>10</v>
      </c>
      <c r="W334" s="6">
        <f t="shared" si="22"/>
        <v>15033.740000000005</v>
      </c>
      <c r="X334" t="str">
        <f t="shared" si="23"/>
        <v>Senior</v>
      </c>
    </row>
    <row r="335" spans="1:24">
      <c r="A335" t="s">
        <v>987</v>
      </c>
      <c r="B335" t="s">
        <v>689</v>
      </c>
      <c r="C335" t="s">
        <v>40</v>
      </c>
      <c r="D335" s="5">
        <v>20724</v>
      </c>
      <c r="E335" s="5">
        <v>45234</v>
      </c>
      <c r="F335" s="5">
        <v>45235</v>
      </c>
      <c r="G335" t="s">
        <v>43</v>
      </c>
      <c r="H335" t="s">
        <v>32</v>
      </c>
      <c r="I335" t="s">
        <v>25</v>
      </c>
      <c r="J335" t="s">
        <v>71</v>
      </c>
      <c r="K335" t="s">
        <v>110</v>
      </c>
      <c r="L335" s="6">
        <v>42402.69</v>
      </c>
      <c r="M335">
        <v>30237.02</v>
      </c>
      <c r="N335" t="s">
        <v>192</v>
      </c>
      <c r="O335">
        <v>1</v>
      </c>
      <c r="P335">
        <v>231</v>
      </c>
      <c r="Q335">
        <v>2</v>
      </c>
      <c r="R335">
        <v>181</v>
      </c>
      <c r="S335">
        <v>114</v>
      </c>
      <c r="T335" t="s">
        <v>47</v>
      </c>
      <c r="U335" s="7">
        <f t="shared" si="20"/>
        <v>67</v>
      </c>
      <c r="V335" s="7">
        <f t="shared" si="21"/>
        <v>1</v>
      </c>
      <c r="W335" s="6">
        <f t="shared" si="22"/>
        <v>12165.670000000002</v>
      </c>
      <c r="X335" t="str">
        <f t="shared" si="23"/>
        <v>Senior</v>
      </c>
    </row>
    <row r="336" spans="1:24">
      <c r="A336" t="s">
        <v>988</v>
      </c>
      <c r="B336" t="s">
        <v>867</v>
      </c>
      <c r="C336" t="s">
        <v>133</v>
      </c>
      <c r="D336" s="5">
        <v>19353</v>
      </c>
      <c r="E336" s="5">
        <v>45720</v>
      </c>
      <c r="F336" s="5">
        <v>45728</v>
      </c>
      <c r="G336" t="s">
        <v>117</v>
      </c>
      <c r="H336" t="s">
        <v>118</v>
      </c>
      <c r="I336" t="s">
        <v>33</v>
      </c>
      <c r="J336" t="s">
        <v>97</v>
      </c>
      <c r="K336" t="s">
        <v>55</v>
      </c>
      <c r="L336" s="6">
        <v>142807.96</v>
      </c>
      <c r="M336">
        <v>98931.75</v>
      </c>
      <c r="N336" t="s">
        <v>73</v>
      </c>
      <c r="O336">
        <v>8</v>
      </c>
      <c r="P336">
        <v>8</v>
      </c>
      <c r="Q336">
        <v>3</v>
      </c>
      <c r="R336">
        <v>188</v>
      </c>
      <c r="S336">
        <v>235.4</v>
      </c>
      <c r="T336" t="s">
        <v>37</v>
      </c>
      <c r="U336" s="7">
        <f t="shared" si="20"/>
        <v>72</v>
      </c>
      <c r="V336" s="7">
        <f t="shared" si="21"/>
        <v>8</v>
      </c>
      <c r="W336" s="6">
        <f t="shared" si="22"/>
        <v>43876.209999999992</v>
      </c>
      <c r="X336" t="str">
        <f t="shared" si="23"/>
        <v>Senior</v>
      </c>
    </row>
    <row r="337" spans="1:24">
      <c r="A337" t="s">
        <v>991</v>
      </c>
      <c r="B337" t="s">
        <v>992</v>
      </c>
      <c r="C337" t="s">
        <v>133</v>
      </c>
      <c r="D337" s="5">
        <v>36028</v>
      </c>
      <c r="E337" s="5">
        <v>45214</v>
      </c>
      <c r="F337" s="5">
        <v>45218</v>
      </c>
      <c r="G337" t="s">
        <v>77</v>
      </c>
      <c r="H337" t="s">
        <v>24</v>
      </c>
      <c r="I337" t="s">
        <v>119</v>
      </c>
      <c r="J337" t="s">
        <v>71</v>
      </c>
      <c r="K337" t="s">
        <v>120</v>
      </c>
      <c r="L337" s="6">
        <v>101732.46</v>
      </c>
      <c r="M337">
        <v>89283.24</v>
      </c>
      <c r="N337" t="s">
        <v>73</v>
      </c>
      <c r="O337">
        <v>4</v>
      </c>
      <c r="P337">
        <v>38</v>
      </c>
      <c r="Q337">
        <v>4</v>
      </c>
      <c r="R337">
        <v>136</v>
      </c>
      <c r="S337">
        <v>167.4</v>
      </c>
      <c r="T337" t="s">
        <v>37</v>
      </c>
      <c r="U337" s="7">
        <f t="shared" si="20"/>
        <v>25</v>
      </c>
      <c r="V337" s="7">
        <f t="shared" si="21"/>
        <v>4</v>
      </c>
      <c r="W337" s="6">
        <f t="shared" si="22"/>
        <v>12449.220000000001</v>
      </c>
      <c r="X337" t="str">
        <f t="shared" si="23"/>
        <v>Adult</v>
      </c>
    </row>
    <row r="338" spans="1:24">
      <c r="A338" t="s">
        <v>993</v>
      </c>
      <c r="B338" t="s">
        <v>88</v>
      </c>
      <c r="C338" t="s">
        <v>133</v>
      </c>
      <c r="D338" s="5">
        <v>38027</v>
      </c>
      <c r="E338" s="5">
        <v>45696</v>
      </c>
      <c r="F338" s="5">
        <v>45702</v>
      </c>
      <c r="G338" t="s">
        <v>94</v>
      </c>
      <c r="H338" t="s">
        <v>52</v>
      </c>
      <c r="I338" t="s">
        <v>45</v>
      </c>
      <c r="J338" t="s">
        <v>34</v>
      </c>
      <c r="K338" t="s">
        <v>120</v>
      </c>
      <c r="L338" s="6">
        <v>218854.32</v>
      </c>
      <c r="M338">
        <v>135436.53</v>
      </c>
      <c r="N338" t="s">
        <v>73</v>
      </c>
      <c r="O338">
        <v>6</v>
      </c>
      <c r="P338">
        <v>124</v>
      </c>
      <c r="Q338">
        <v>4</v>
      </c>
      <c r="R338">
        <v>172</v>
      </c>
      <c r="S338">
        <v>171.7</v>
      </c>
      <c r="T338" t="s">
        <v>37</v>
      </c>
      <c r="U338" s="7">
        <f t="shared" si="20"/>
        <v>20</v>
      </c>
      <c r="V338" s="7">
        <f t="shared" si="21"/>
        <v>6</v>
      </c>
      <c r="W338" s="6">
        <f t="shared" si="22"/>
        <v>83417.790000000008</v>
      </c>
      <c r="X338" t="str">
        <f t="shared" si="23"/>
        <v>Adult</v>
      </c>
    </row>
    <row r="339" spans="1:24">
      <c r="A339" t="s">
        <v>996</v>
      </c>
      <c r="B339" t="s">
        <v>932</v>
      </c>
      <c r="C339" t="s">
        <v>40</v>
      </c>
      <c r="D339" s="5">
        <v>20955</v>
      </c>
      <c r="E339" s="5">
        <v>45005</v>
      </c>
      <c r="F339" s="5">
        <v>45023</v>
      </c>
      <c r="G339" t="s">
        <v>77</v>
      </c>
      <c r="H339" t="s">
        <v>124</v>
      </c>
      <c r="I339" t="s">
        <v>45</v>
      </c>
      <c r="J339" t="s">
        <v>46</v>
      </c>
      <c r="K339" t="s">
        <v>27</v>
      </c>
      <c r="L339" s="6">
        <v>143131.13</v>
      </c>
      <c r="M339">
        <v>120092.1</v>
      </c>
      <c r="N339" t="s">
        <v>35</v>
      </c>
      <c r="O339">
        <v>18</v>
      </c>
      <c r="P339">
        <v>20</v>
      </c>
      <c r="Q339">
        <v>5</v>
      </c>
      <c r="R339">
        <v>145</v>
      </c>
      <c r="S339">
        <v>255.9</v>
      </c>
      <c r="T339" t="s">
        <v>47</v>
      </c>
      <c r="U339" s="7">
        <f t="shared" si="20"/>
        <v>65</v>
      </c>
      <c r="V339" s="7">
        <f t="shared" si="21"/>
        <v>18</v>
      </c>
      <c r="W339" s="6">
        <f t="shared" si="22"/>
        <v>23039.03</v>
      </c>
      <c r="X339" t="str">
        <f t="shared" si="23"/>
        <v>Senior</v>
      </c>
    </row>
    <row r="340" spans="1:24">
      <c r="A340" t="s">
        <v>998</v>
      </c>
      <c r="B340" t="s">
        <v>999</v>
      </c>
      <c r="C340" t="s">
        <v>133</v>
      </c>
      <c r="D340" s="5">
        <v>30428</v>
      </c>
      <c r="E340" s="5">
        <v>45458</v>
      </c>
      <c r="F340" s="5">
        <v>45464</v>
      </c>
      <c r="G340" t="s">
        <v>161</v>
      </c>
      <c r="H340" t="s">
        <v>134</v>
      </c>
      <c r="I340" t="s">
        <v>119</v>
      </c>
      <c r="J340" t="s">
        <v>71</v>
      </c>
      <c r="K340" t="s">
        <v>120</v>
      </c>
      <c r="L340" s="6">
        <v>43221.99</v>
      </c>
      <c r="M340">
        <v>42469.17</v>
      </c>
      <c r="N340" t="s">
        <v>192</v>
      </c>
      <c r="O340">
        <v>6</v>
      </c>
      <c r="P340">
        <v>128</v>
      </c>
      <c r="Q340">
        <v>4</v>
      </c>
      <c r="R340">
        <v>158</v>
      </c>
      <c r="S340">
        <v>200.9</v>
      </c>
      <c r="T340" t="s">
        <v>47</v>
      </c>
      <c r="U340" s="7">
        <f t="shared" si="20"/>
        <v>41</v>
      </c>
      <c r="V340" s="7">
        <f t="shared" si="21"/>
        <v>6</v>
      </c>
      <c r="W340" s="6">
        <f t="shared" si="22"/>
        <v>752.81999999999971</v>
      </c>
      <c r="X340" t="str">
        <f t="shared" si="23"/>
        <v>Middle Age</v>
      </c>
    </row>
    <row r="341" spans="1:24">
      <c r="A341" t="s">
        <v>1000</v>
      </c>
      <c r="B341" t="s">
        <v>1001</v>
      </c>
      <c r="C341" t="s">
        <v>133</v>
      </c>
      <c r="D341" s="5">
        <v>39299</v>
      </c>
      <c r="E341" s="5">
        <v>45949</v>
      </c>
      <c r="F341" s="5">
        <v>45960</v>
      </c>
      <c r="G341" t="s">
        <v>152</v>
      </c>
      <c r="H341" t="s">
        <v>134</v>
      </c>
      <c r="I341" t="s">
        <v>96</v>
      </c>
      <c r="J341" t="s">
        <v>64</v>
      </c>
      <c r="K341" t="s">
        <v>55</v>
      </c>
      <c r="L341" s="6">
        <v>181265.79</v>
      </c>
      <c r="M341">
        <v>169274.56</v>
      </c>
      <c r="N341" t="s">
        <v>73</v>
      </c>
      <c r="O341">
        <v>11</v>
      </c>
      <c r="P341">
        <v>224</v>
      </c>
      <c r="Q341">
        <v>3</v>
      </c>
      <c r="R341">
        <v>171</v>
      </c>
      <c r="S341">
        <v>155.4</v>
      </c>
      <c r="T341" t="s">
        <v>37</v>
      </c>
      <c r="U341" s="7">
        <f t="shared" si="20"/>
        <v>18</v>
      </c>
      <c r="V341" s="7">
        <f t="shared" si="21"/>
        <v>11</v>
      </c>
      <c r="W341" s="6">
        <f t="shared" si="22"/>
        <v>11991.23000000001</v>
      </c>
      <c r="X341" t="str">
        <f t="shared" si="23"/>
        <v>Adult</v>
      </c>
    </row>
    <row r="342" spans="1:24">
      <c r="A342" t="s">
        <v>1002</v>
      </c>
      <c r="B342" t="s">
        <v>693</v>
      </c>
      <c r="C342" t="s">
        <v>40</v>
      </c>
      <c r="D342" s="5">
        <v>37408</v>
      </c>
      <c r="E342" s="5">
        <v>45545</v>
      </c>
      <c r="F342" s="5" t="s">
        <v>4237</v>
      </c>
      <c r="G342" t="s">
        <v>117</v>
      </c>
      <c r="H342" t="s">
        <v>52</v>
      </c>
      <c r="I342" t="s">
        <v>33</v>
      </c>
      <c r="J342" t="s">
        <v>34</v>
      </c>
      <c r="K342" t="s">
        <v>110</v>
      </c>
      <c r="L342" s="6">
        <v>104978.3</v>
      </c>
      <c r="M342">
        <v>84577.17</v>
      </c>
      <c r="N342" t="s">
        <v>73</v>
      </c>
      <c r="O342">
        <v>10</v>
      </c>
      <c r="P342">
        <v>143</v>
      </c>
      <c r="Q342">
        <v>4</v>
      </c>
      <c r="R342">
        <v>156</v>
      </c>
      <c r="S342">
        <v>255.1</v>
      </c>
      <c r="T342" t="s">
        <v>65</v>
      </c>
      <c r="U342" s="7">
        <f t="shared" si="20"/>
        <v>22</v>
      </c>
      <c r="V342" s="7" t="s">
        <v>4237</v>
      </c>
      <c r="W342" s="6">
        <f t="shared" si="22"/>
        <v>20401.130000000005</v>
      </c>
      <c r="X342" t="str">
        <f t="shared" si="23"/>
        <v>Adult</v>
      </c>
    </row>
    <row r="343" spans="1:24">
      <c r="A343" t="s">
        <v>1004</v>
      </c>
      <c r="B343" t="s">
        <v>604</v>
      </c>
      <c r="C343" t="s">
        <v>40</v>
      </c>
      <c r="D343" s="5">
        <v>20123</v>
      </c>
      <c r="E343" s="5">
        <v>44960</v>
      </c>
      <c r="F343" s="5">
        <v>44974</v>
      </c>
      <c r="G343" t="s">
        <v>161</v>
      </c>
      <c r="H343" t="s">
        <v>78</v>
      </c>
      <c r="I343" t="s">
        <v>33</v>
      </c>
      <c r="J343" t="s">
        <v>34</v>
      </c>
      <c r="K343" t="s">
        <v>120</v>
      </c>
      <c r="L343" s="6">
        <v>127081.98</v>
      </c>
      <c r="M343">
        <v>114413.56</v>
      </c>
      <c r="N343" t="s">
        <v>192</v>
      </c>
      <c r="O343">
        <v>14</v>
      </c>
      <c r="P343">
        <v>223</v>
      </c>
      <c r="Q343">
        <v>4</v>
      </c>
      <c r="R343">
        <v>117</v>
      </c>
      <c r="S343">
        <v>112.3</v>
      </c>
      <c r="T343" t="s">
        <v>37</v>
      </c>
      <c r="U343" s="7">
        <f t="shared" si="20"/>
        <v>68</v>
      </c>
      <c r="V343" s="7">
        <f t="shared" si="21"/>
        <v>14</v>
      </c>
      <c r="W343" s="6">
        <f t="shared" si="22"/>
        <v>12668.419999999998</v>
      </c>
      <c r="X343" t="str">
        <f t="shared" si="23"/>
        <v>Senior</v>
      </c>
    </row>
    <row r="344" spans="1:24">
      <c r="A344" t="s">
        <v>1006</v>
      </c>
      <c r="B344" t="s">
        <v>383</v>
      </c>
      <c r="C344" t="s">
        <v>40</v>
      </c>
      <c r="D344" s="5">
        <v>30080</v>
      </c>
      <c r="E344" s="5">
        <v>45468</v>
      </c>
      <c r="F344" s="5">
        <v>45478</v>
      </c>
      <c r="G344" t="s">
        <v>94</v>
      </c>
      <c r="H344" t="s">
        <v>134</v>
      </c>
      <c r="I344" t="s">
        <v>45</v>
      </c>
      <c r="J344" t="s">
        <v>179</v>
      </c>
      <c r="K344" t="s">
        <v>120</v>
      </c>
      <c r="L344" s="6">
        <v>225296.35</v>
      </c>
      <c r="M344">
        <v>151920.09</v>
      </c>
      <c r="N344" t="s">
        <v>73</v>
      </c>
      <c r="O344">
        <v>10</v>
      </c>
      <c r="P344">
        <v>11</v>
      </c>
      <c r="Q344">
        <v>3</v>
      </c>
      <c r="R344">
        <v>137</v>
      </c>
      <c r="S344">
        <v>229.7</v>
      </c>
      <c r="T344" t="s">
        <v>37</v>
      </c>
      <c r="U344" s="7">
        <f t="shared" si="20"/>
        <v>42</v>
      </c>
      <c r="V344" s="7">
        <f t="shared" si="21"/>
        <v>10</v>
      </c>
      <c r="W344" s="6">
        <f t="shared" si="22"/>
        <v>73376.260000000009</v>
      </c>
      <c r="X344" t="str">
        <f t="shared" si="23"/>
        <v>Middle Age</v>
      </c>
    </row>
    <row r="345" spans="1:24">
      <c r="A345" t="s">
        <v>1008</v>
      </c>
      <c r="B345" t="s">
        <v>980</v>
      </c>
      <c r="C345" t="s">
        <v>133</v>
      </c>
      <c r="D345" s="5">
        <v>35137</v>
      </c>
      <c r="E345" s="5">
        <v>45578</v>
      </c>
      <c r="F345" s="5">
        <v>45595</v>
      </c>
      <c r="G345" t="s">
        <v>94</v>
      </c>
      <c r="H345" t="s">
        <v>52</v>
      </c>
      <c r="I345" t="s">
        <v>53</v>
      </c>
      <c r="J345" t="s">
        <v>64</v>
      </c>
      <c r="K345" t="s">
        <v>120</v>
      </c>
      <c r="L345" s="6">
        <v>31797.25</v>
      </c>
      <c r="M345">
        <v>26765.52</v>
      </c>
      <c r="N345" t="s">
        <v>91</v>
      </c>
      <c r="O345">
        <v>17</v>
      </c>
      <c r="P345">
        <v>220</v>
      </c>
      <c r="Q345">
        <v>5</v>
      </c>
      <c r="R345">
        <v>160</v>
      </c>
      <c r="S345">
        <v>100.2</v>
      </c>
      <c r="T345" t="s">
        <v>65</v>
      </c>
      <c r="U345" s="7">
        <f t="shared" si="20"/>
        <v>28</v>
      </c>
      <c r="V345" s="7">
        <f t="shared" si="21"/>
        <v>17</v>
      </c>
      <c r="W345" s="6">
        <f t="shared" si="22"/>
        <v>5031.7299999999996</v>
      </c>
      <c r="X345" t="str">
        <f t="shared" si="23"/>
        <v>Adult</v>
      </c>
    </row>
    <row r="346" spans="1:24">
      <c r="A346" t="s">
        <v>1009</v>
      </c>
      <c r="B346" t="s">
        <v>378</v>
      </c>
      <c r="C346" t="s">
        <v>40</v>
      </c>
      <c r="D346" s="5">
        <v>22392</v>
      </c>
      <c r="E346" s="5">
        <v>45381</v>
      </c>
      <c r="F346" s="5">
        <v>45391</v>
      </c>
      <c r="G346" t="s">
        <v>161</v>
      </c>
      <c r="H346" t="s">
        <v>86</v>
      </c>
      <c r="I346" t="s">
        <v>79</v>
      </c>
      <c r="J346" t="s">
        <v>71</v>
      </c>
      <c r="K346" t="s">
        <v>55</v>
      </c>
      <c r="L346" s="6">
        <v>165666.28</v>
      </c>
      <c r="M346">
        <v>120089.67</v>
      </c>
      <c r="N346" t="s">
        <v>73</v>
      </c>
      <c r="O346">
        <v>10</v>
      </c>
      <c r="P346">
        <v>41</v>
      </c>
      <c r="Q346">
        <v>1</v>
      </c>
      <c r="R346">
        <v>171</v>
      </c>
      <c r="S346">
        <v>257.10000000000002</v>
      </c>
      <c r="T346" t="s">
        <v>37</v>
      </c>
      <c r="U346" s="7">
        <f t="shared" si="20"/>
        <v>62</v>
      </c>
      <c r="V346" s="7">
        <f t="shared" si="21"/>
        <v>10</v>
      </c>
      <c r="W346" s="6">
        <f t="shared" si="22"/>
        <v>45576.61</v>
      </c>
      <c r="X346" t="str">
        <f t="shared" si="23"/>
        <v>Senior</v>
      </c>
    </row>
    <row r="347" spans="1:24">
      <c r="A347" t="s">
        <v>1011</v>
      </c>
      <c r="B347" t="s">
        <v>511</v>
      </c>
      <c r="C347" t="s">
        <v>133</v>
      </c>
      <c r="D347" s="5">
        <v>27806</v>
      </c>
      <c r="E347" s="5">
        <v>45083</v>
      </c>
      <c r="F347" s="5">
        <v>45090</v>
      </c>
      <c r="G347" t="s">
        <v>43</v>
      </c>
      <c r="H347" t="s">
        <v>63</v>
      </c>
      <c r="I347" t="s">
        <v>33</v>
      </c>
      <c r="J347" t="s">
        <v>97</v>
      </c>
      <c r="K347" t="s">
        <v>55</v>
      </c>
      <c r="L347" s="6">
        <v>47002.09</v>
      </c>
      <c r="M347">
        <v>98646.34</v>
      </c>
      <c r="N347" t="s">
        <v>35</v>
      </c>
      <c r="O347">
        <v>7</v>
      </c>
      <c r="P347">
        <v>173</v>
      </c>
      <c r="Q347">
        <v>1</v>
      </c>
      <c r="R347">
        <v>105</v>
      </c>
      <c r="S347">
        <v>255.4</v>
      </c>
      <c r="T347" t="s">
        <v>65</v>
      </c>
      <c r="U347" s="7">
        <f t="shared" si="20"/>
        <v>47</v>
      </c>
      <c r="V347" s="7">
        <f t="shared" si="21"/>
        <v>7</v>
      </c>
      <c r="W347" s="6">
        <f t="shared" si="22"/>
        <v>-51644.25</v>
      </c>
      <c r="X347" t="str">
        <f t="shared" si="23"/>
        <v>Middle Age</v>
      </c>
    </row>
    <row r="348" spans="1:24">
      <c r="A348" t="s">
        <v>1013</v>
      </c>
      <c r="B348" t="s">
        <v>328</v>
      </c>
      <c r="C348" t="s">
        <v>40</v>
      </c>
      <c r="D348" s="5">
        <v>18784</v>
      </c>
      <c r="E348" s="5" t="s">
        <v>4237</v>
      </c>
      <c r="F348" s="5">
        <v>45380</v>
      </c>
      <c r="G348" t="s">
        <v>62</v>
      </c>
      <c r="H348" t="s">
        <v>44</v>
      </c>
      <c r="I348" t="s">
        <v>96</v>
      </c>
      <c r="J348" t="s">
        <v>34</v>
      </c>
      <c r="K348" t="s">
        <v>55</v>
      </c>
      <c r="L348" s="6">
        <v>51811.29</v>
      </c>
      <c r="M348">
        <v>41685.599999999999</v>
      </c>
      <c r="N348" t="s">
        <v>192</v>
      </c>
      <c r="O348">
        <v>3</v>
      </c>
      <c r="P348">
        <v>146</v>
      </c>
      <c r="Q348">
        <v>5</v>
      </c>
      <c r="R348">
        <v>149</v>
      </c>
      <c r="S348">
        <v>211.6</v>
      </c>
      <c r="T348" t="s">
        <v>37</v>
      </c>
      <c r="U348" s="7" t="s">
        <v>4237</v>
      </c>
      <c r="V348" s="7" t="s">
        <v>4237</v>
      </c>
      <c r="W348" s="6">
        <f t="shared" si="22"/>
        <v>10125.690000000002</v>
      </c>
      <c r="X348" t="s">
        <v>4237</v>
      </c>
    </row>
    <row r="349" spans="1:24">
      <c r="A349" t="s">
        <v>1016</v>
      </c>
      <c r="B349" t="s">
        <v>1017</v>
      </c>
      <c r="C349" t="s">
        <v>40</v>
      </c>
      <c r="D349" s="5">
        <v>35291</v>
      </c>
      <c r="E349" s="5">
        <v>45840</v>
      </c>
      <c r="F349" s="5">
        <v>45854</v>
      </c>
      <c r="G349" t="s">
        <v>109</v>
      </c>
      <c r="H349" t="s">
        <v>113</v>
      </c>
      <c r="I349" t="s">
        <v>119</v>
      </c>
      <c r="J349" t="s">
        <v>64</v>
      </c>
      <c r="K349" t="s">
        <v>110</v>
      </c>
      <c r="L349" s="6">
        <v>29120.880000000001</v>
      </c>
      <c r="M349">
        <v>22928.45</v>
      </c>
      <c r="N349" t="s">
        <v>4237</v>
      </c>
      <c r="O349">
        <v>14</v>
      </c>
      <c r="P349">
        <v>150</v>
      </c>
      <c r="Q349">
        <v>5</v>
      </c>
      <c r="R349">
        <v>137</v>
      </c>
      <c r="S349">
        <v>240.6</v>
      </c>
      <c r="T349" t="s">
        <v>37</v>
      </c>
      <c r="U349" s="7">
        <f t="shared" si="20"/>
        <v>28</v>
      </c>
      <c r="V349" s="7">
        <f t="shared" si="21"/>
        <v>14</v>
      </c>
      <c r="W349" s="6">
        <f t="shared" si="22"/>
        <v>6192.43</v>
      </c>
      <c r="X349" t="str">
        <f t="shared" si="23"/>
        <v>Adult</v>
      </c>
    </row>
    <row r="350" spans="1:24">
      <c r="A350" t="s">
        <v>4124</v>
      </c>
      <c r="B350" t="s">
        <v>368</v>
      </c>
      <c r="C350" t="s">
        <v>40</v>
      </c>
      <c r="D350" s="5">
        <v>28462</v>
      </c>
      <c r="E350" s="5">
        <v>45429</v>
      </c>
      <c r="F350" s="5">
        <v>45432</v>
      </c>
      <c r="G350" t="s">
        <v>105</v>
      </c>
      <c r="H350" t="s">
        <v>63</v>
      </c>
      <c r="I350" t="s">
        <v>53</v>
      </c>
      <c r="J350" t="s">
        <v>46</v>
      </c>
      <c r="K350" t="s">
        <v>120</v>
      </c>
      <c r="L350" s="6">
        <v>32770.14</v>
      </c>
      <c r="M350">
        <v>29705.73</v>
      </c>
      <c r="N350" t="s">
        <v>91</v>
      </c>
      <c r="O350">
        <v>3</v>
      </c>
      <c r="P350">
        <v>188</v>
      </c>
      <c r="Q350">
        <v>5</v>
      </c>
      <c r="R350">
        <v>117</v>
      </c>
      <c r="S350">
        <v>158.4</v>
      </c>
      <c r="T350" t="s">
        <v>65</v>
      </c>
      <c r="U350" s="7">
        <f t="shared" si="20"/>
        <v>46</v>
      </c>
      <c r="V350" s="7">
        <f t="shared" si="21"/>
        <v>3</v>
      </c>
      <c r="W350" s="6">
        <f t="shared" si="22"/>
        <v>3064.41</v>
      </c>
      <c r="X350" t="str">
        <f t="shared" si="23"/>
        <v>Middle Age</v>
      </c>
    </row>
    <row r="351" spans="1:24">
      <c r="A351" t="s">
        <v>1022</v>
      </c>
      <c r="B351" t="s">
        <v>342</v>
      </c>
      <c r="C351" t="s">
        <v>133</v>
      </c>
      <c r="D351" s="5">
        <v>25726</v>
      </c>
      <c r="E351" s="5">
        <v>45330</v>
      </c>
      <c r="F351" s="5">
        <v>45332</v>
      </c>
      <c r="G351" t="s">
        <v>77</v>
      </c>
      <c r="H351" t="s">
        <v>24</v>
      </c>
      <c r="I351" t="s">
        <v>96</v>
      </c>
      <c r="J351" t="s">
        <v>34</v>
      </c>
      <c r="K351" t="s">
        <v>55</v>
      </c>
      <c r="L351" s="6">
        <v>32016.61</v>
      </c>
      <c r="M351">
        <v>22852.65</v>
      </c>
      <c r="N351" t="s">
        <v>35</v>
      </c>
      <c r="O351">
        <v>2</v>
      </c>
      <c r="P351">
        <v>88</v>
      </c>
      <c r="Q351">
        <v>4</v>
      </c>
      <c r="R351">
        <v>120</v>
      </c>
      <c r="S351">
        <v>179.5</v>
      </c>
      <c r="T351" t="s">
        <v>65</v>
      </c>
      <c r="U351" s="7">
        <f t="shared" si="20"/>
        <v>53</v>
      </c>
      <c r="V351" s="7">
        <f t="shared" si="21"/>
        <v>2</v>
      </c>
      <c r="W351" s="6">
        <f t="shared" si="22"/>
        <v>9163.9599999999991</v>
      </c>
      <c r="X351" t="str">
        <f t="shared" si="23"/>
        <v>Middle Age</v>
      </c>
    </row>
    <row r="352" spans="1:24">
      <c r="A352" t="s">
        <v>1023</v>
      </c>
      <c r="B352" t="s">
        <v>579</v>
      </c>
      <c r="C352" t="s">
        <v>133</v>
      </c>
      <c r="D352" s="5">
        <v>35194</v>
      </c>
      <c r="E352" s="5">
        <v>45576</v>
      </c>
      <c r="F352" s="5">
        <v>45588</v>
      </c>
      <c r="G352" t="s">
        <v>89</v>
      </c>
      <c r="H352" t="s">
        <v>78</v>
      </c>
      <c r="I352" t="s">
        <v>119</v>
      </c>
      <c r="J352" t="s">
        <v>64</v>
      </c>
      <c r="K352" t="s">
        <v>120</v>
      </c>
      <c r="L352" s="6">
        <v>154049.35999999999</v>
      </c>
      <c r="M352">
        <v>115545.72</v>
      </c>
      <c r="N352" t="s">
        <v>73</v>
      </c>
      <c r="O352">
        <v>12</v>
      </c>
      <c r="P352">
        <v>121</v>
      </c>
      <c r="Q352">
        <v>4</v>
      </c>
      <c r="R352">
        <v>172</v>
      </c>
      <c r="S352">
        <v>253.8</v>
      </c>
      <c r="T352" t="s">
        <v>37</v>
      </c>
      <c r="U352" s="7">
        <f t="shared" si="20"/>
        <v>28</v>
      </c>
      <c r="V352" s="7">
        <f t="shared" si="21"/>
        <v>12</v>
      </c>
      <c r="W352" s="6">
        <f t="shared" si="22"/>
        <v>38503.639999999985</v>
      </c>
      <c r="X352" t="str">
        <f t="shared" si="23"/>
        <v>Adult</v>
      </c>
    </row>
    <row r="353" spans="1:24">
      <c r="A353" t="s">
        <v>1025</v>
      </c>
      <c r="B353" t="s">
        <v>1026</v>
      </c>
      <c r="C353" t="s">
        <v>133</v>
      </c>
      <c r="D353" s="5">
        <v>18625</v>
      </c>
      <c r="E353" s="5">
        <v>45034</v>
      </c>
      <c r="F353" s="5">
        <v>45043</v>
      </c>
      <c r="G353" t="s">
        <v>152</v>
      </c>
      <c r="H353" t="s">
        <v>52</v>
      </c>
      <c r="I353" t="s">
        <v>25</v>
      </c>
      <c r="J353" t="s">
        <v>71</v>
      </c>
      <c r="K353" t="s">
        <v>120</v>
      </c>
      <c r="L353" s="6">
        <v>21072.94</v>
      </c>
      <c r="M353">
        <v>19100.02</v>
      </c>
      <c r="N353" t="s">
        <v>35</v>
      </c>
      <c r="O353">
        <v>9</v>
      </c>
      <c r="P353">
        <v>207</v>
      </c>
      <c r="Q353">
        <v>4</v>
      </c>
      <c r="R353">
        <v>124</v>
      </c>
      <c r="S353">
        <v>202.7</v>
      </c>
      <c r="T353" t="s">
        <v>47</v>
      </c>
      <c r="U353" s="7">
        <f t="shared" si="20"/>
        <v>72</v>
      </c>
      <c r="V353" s="7">
        <f t="shared" si="21"/>
        <v>9</v>
      </c>
      <c r="W353" s="6">
        <f t="shared" si="22"/>
        <v>1972.9199999999983</v>
      </c>
      <c r="X353" t="str">
        <f t="shared" si="23"/>
        <v>Senior</v>
      </c>
    </row>
    <row r="354" spans="1:24">
      <c r="A354" t="s">
        <v>1030</v>
      </c>
      <c r="B354" t="s">
        <v>1031</v>
      </c>
      <c r="C354" t="s">
        <v>40</v>
      </c>
      <c r="D354" s="5" t="s">
        <v>4237</v>
      </c>
      <c r="E354" s="5">
        <v>45915</v>
      </c>
      <c r="F354" s="5" t="s">
        <v>4237</v>
      </c>
      <c r="G354" t="s">
        <v>94</v>
      </c>
      <c r="H354" t="s">
        <v>44</v>
      </c>
      <c r="I354" t="s">
        <v>33</v>
      </c>
      <c r="J354" t="s">
        <v>46</v>
      </c>
      <c r="K354" t="s">
        <v>27</v>
      </c>
      <c r="L354" s="6">
        <v>140732.51999999999</v>
      </c>
      <c r="M354">
        <v>126355.88</v>
      </c>
      <c r="N354" t="s">
        <v>35</v>
      </c>
      <c r="O354">
        <v>8</v>
      </c>
      <c r="P354">
        <v>193</v>
      </c>
      <c r="Q354">
        <v>4</v>
      </c>
      <c r="R354">
        <v>178</v>
      </c>
      <c r="S354">
        <v>84.8</v>
      </c>
      <c r="T354" t="s">
        <v>37</v>
      </c>
      <c r="U354" s="7" t="s">
        <v>4237</v>
      </c>
      <c r="V354" s="7" t="s">
        <v>4237</v>
      </c>
      <c r="W354" s="6">
        <f t="shared" si="22"/>
        <v>14376.639999999985</v>
      </c>
      <c r="X354" t="s">
        <v>4237</v>
      </c>
    </row>
    <row r="355" spans="1:24">
      <c r="A355" t="s">
        <v>1034</v>
      </c>
      <c r="B355" t="s">
        <v>436</v>
      </c>
      <c r="C355" t="s">
        <v>40</v>
      </c>
      <c r="D355" s="5">
        <v>33325</v>
      </c>
      <c r="E355" s="5">
        <v>45960</v>
      </c>
      <c r="F355" s="5">
        <v>45964</v>
      </c>
      <c r="G355" t="s">
        <v>94</v>
      </c>
      <c r="H355" t="s">
        <v>63</v>
      </c>
      <c r="I355" t="s">
        <v>79</v>
      </c>
      <c r="J355" t="s">
        <v>34</v>
      </c>
      <c r="K355" t="s">
        <v>120</v>
      </c>
      <c r="L355" s="6">
        <v>217295.05</v>
      </c>
      <c r="M355">
        <v>148807.04000000001</v>
      </c>
      <c r="N355" t="s">
        <v>56</v>
      </c>
      <c r="O355">
        <v>4</v>
      </c>
      <c r="P355">
        <v>121</v>
      </c>
      <c r="Q355">
        <v>4</v>
      </c>
      <c r="R355">
        <v>98</v>
      </c>
      <c r="S355">
        <v>122.8</v>
      </c>
      <c r="T355" t="s">
        <v>47</v>
      </c>
      <c r="U355" s="7">
        <f t="shared" si="20"/>
        <v>34</v>
      </c>
      <c r="V355" s="7">
        <f t="shared" si="21"/>
        <v>4</v>
      </c>
      <c r="W355" s="6">
        <f t="shared" si="22"/>
        <v>68488.00999999998</v>
      </c>
      <c r="X355" t="str">
        <f t="shared" si="23"/>
        <v>Adult</v>
      </c>
    </row>
    <row r="356" spans="1:24">
      <c r="A356" t="s">
        <v>1035</v>
      </c>
      <c r="B356" t="s">
        <v>423</v>
      </c>
      <c r="C356" t="s">
        <v>40</v>
      </c>
      <c r="D356" s="5">
        <v>20254</v>
      </c>
      <c r="E356" s="5">
        <v>45361</v>
      </c>
      <c r="F356" s="5">
        <v>45366</v>
      </c>
      <c r="G356" t="s">
        <v>43</v>
      </c>
      <c r="H356" t="s">
        <v>95</v>
      </c>
      <c r="I356" t="s">
        <v>119</v>
      </c>
      <c r="J356" t="s">
        <v>179</v>
      </c>
      <c r="K356" t="s">
        <v>27</v>
      </c>
      <c r="L356" s="6">
        <v>111731.8</v>
      </c>
      <c r="M356">
        <v>81490.899999999994</v>
      </c>
      <c r="N356" t="s">
        <v>56</v>
      </c>
      <c r="O356">
        <v>5</v>
      </c>
      <c r="P356">
        <v>171</v>
      </c>
      <c r="Q356">
        <v>4</v>
      </c>
      <c r="R356">
        <v>183</v>
      </c>
      <c r="S356">
        <v>246.3</v>
      </c>
      <c r="T356" t="s">
        <v>47</v>
      </c>
      <c r="U356" s="7">
        <f t="shared" si="20"/>
        <v>68</v>
      </c>
      <c r="V356" s="7">
        <f t="shared" si="21"/>
        <v>5</v>
      </c>
      <c r="W356" s="6">
        <f t="shared" si="22"/>
        <v>30240.900000000009</v>
      </c>
      <c r="X356" t="str">
        <f t="shared" si="23"/>
        <v>Senior</v>
      </c>
    </row>
    <row r="357" spans="1:24">
      <c r="A357" t="s">
        <v>1037</v>
      </c>
      <c r="B357" t="s">
        <v>917</v>
      </c>
      <c r="C357" t="s">
        <v>133</v>
      </c>
      <c r="D357" s="5">
        <v>31540</v>
      </c>
      <c r="E357" s="5">
        <v>45061</v>
      </c>
      <c r="F357" s="5">
        <v>45079</v>
      </c>
      <c r="G357" t="s">
        <v>94</v>
      </c>
      <c r="H357" t="s">
        <v>118</v>
      </c>
      <c r="I357" t="s">
        <v>79</v>
      </c>
      <c r="J357" t="s">
        <v>64</v>
      </c>
      <c r="K357" t="s">
        <v>161</v>
      </c>
      <c r="L357" s="6">
        <v>99739.14</v>
      </c>
      <c r="M357">
        <v>91777.69</v>
      </c>
      <c r="N357" t="s">
        <v>73</v>
      </c>
      <c r="O357">
        <v>18</v>
      </c>
      <c r="P357">
        <v>230</v>
      </c>
      <c r="Q357">
        <v>5</v>
      </c>
      <c r="R357">
        <v>153</v>
      </c>
      <c r="S357">
        <v>109.1</v>
      </c>
      <c r="T357" t="s">
        <v>47</v>
      </c>
      <c r="U357" s="7">
        <f t="shared" si="20"/>
        <v>37</v>
      </c>
      <c r="V357" s="7">
        <f t="shared" si="21"/>
        <v>18</v>
      </c>
      <c r="W357" s="6">
        <f t="shared" si="22"/>
        <v>7961.4499999999971</v>
      </c>
      <c r="X357" t="str">
        <f t="shared" si="23"/>
        <v>Adult</v>
      </c>
    </row>
    <row r="358" spans="1:24">
      <c r="A358" t="s">
        <v>1038</v>
      </c>
      <c r="B358" t="s">
        <v>898</v>
      </c>
      <c r="C358" t="s">
        <v>40</v>
      </c>
      <c r="D358" s="5">
        <v>21986</v>
      </c>
      <c r="E358" s="5">
        <v>45859</v>
      </c>
      <c r="F358" s="5">
        <v>45864</v>
      </c>
      <c r="G358" t="s">
        <v>152</v>
      </c>
      <c r="H358" t="s">
        <v>124</v>
      </c>
      <c r="I358" t="s">
        <v>79</v>
      </c>
      <c r="J358" t="s">
        <v>46</v>
      </c>
      <c r="K358" t="s">
        <v>55</v>
      </c>
      <c r="L358" s="6">
        <v>7654.64</v>
      </c>
      <c r="M358">
        <v>7381.96</v>
      </c>
      <c r="N358" t="s">
        <v>35</v>
      </c>
      <c r="O358">
        <v>5</v>
      </c>
      <c r="P358">
        <v>48</v>
      </c>
      <c r="Q358">
        <v>1</v>
      </c>
      <c r="R358">
        <v>166</v>
      </c>
      <c r="S358">
        <v>136.9</v>
      </c>
      <c r="T358" t="s">
        <v>37</v>
      </c>
      <c r="U358" s="7">
        <f t="shared" si="20"/>
        <v>65</v>
      </c>
      <c r="V358" s="7">
        <f t="shared" si="21"/>
        <v>5</v>
      </c>
      <c r="W358" s="6">
        <f t="shared" si="22"/>
        <v>272.68000000000029</v>
      </c>
      <c r="X358" t="str">
        <f t="shared" si="23"/>
        <v>Senior</v>
      </c>
    </row>
    <row r="359" spans="1:24">
      <c r="A359" t="s">
        <v>1040</v>
      </c>
      <c r="B359" t="s">
        <v>29</v>
      </c>
      <c r="C359" t="s">
        <v>133</v>
      </c>
      <c r="D359" s="5">
        <v>37236</v>
      </c>
      <c r="E359" s="5" t="s">
        <v>4237</v>
      </c>
      <c r="F359" s="5">
        <v>45869</v>
      </c>
      <c r="G359" t="s">
        <v>89</v>
      </c>
      <c r="H359" t="s">
        <v>44</v>
      </c>
      <c r="I359" t="s">
        <v>33</v>
      </c>
      <c r="J359" t="s">
        <v>71</v>
      </c>
      <c r="K359" t="s">
        <v>120</v>
      </c>
      <c r="L359" s="6">
        <v>92661.61</v>
      </c>
      <c r="M359">
        <v>87873.31</v>
      </c>
      <c r="N359" t="s">
        <v>35</v>
      </c>
      <c r="O359">
        <v>16</v>
      </c>
      <c r="P359">
        <v>82</v>
      </c>
      <c r="Q359">
        <v>5</v>
      </c>
      <c r="R359">
        <v>156</v>
      </c>
      <c r="S359">
        <v>217.2</v>
      </c>
      <c r="T359" t="s">
        <v>37</v>
      </c>
      <c r="U359" s="7" t="s">
        <v>4237</v>
      </c>
      <c r="V359" s="7" t="s">
        <v>4237</v>
      </c>
      <c r="W359" s="6">
        <f t="shared" si="22"/>
        <v>4788.3000000000029</v>
      </c>
      <c r="X359" t="s">
        <v>4237</v>
      </c>
    </row>
    <row r="360" spans="1:24">
      <c r="A360" t="s">
        <v>1043</v>
      </c>
      <c r="B360" t="s">
        <v>1044</v>
      </c>
      <c r="C360" t="s">
        <v>133</v>
      </c>
      <c r="D360" s="5">
        <v>26778</v>
      </c>
      <c r="E360" s="5">
        <v>45109</v>
      </c>
      <c r="F360" s="5">
        <v>45116</v>
      </c>
      <c r="G360" t="s">
        <v>43</v>
      </c>
      <c r="H360" t="s">
        <v>113</v>
      </c>
      <c r="I360" t="s">
        <v>33</v>
      </c>
      <c r="J360" t="s">
        <v>71</v>
      </c>
      <c r="K360" t="s">
        <v>120</v>
      </c>
      <c r="L360" s="6">
        <v>219593.15</v>
      </c>
      <c r="M360">
        <v>161171.20000000001</v>
      </c>
      <c r="N360" t="s">
        <v>73</v>
      </c>
      <c r="O360">
        <v>7</v>
      </c>
      <c r="P360">
        <v>238</v>
      </c>
      <c r="Q360">
        <v>4</v>
      </c>
      <c r="R360">
        <v>157</v>
      </c>
      <c r="S360">
        <v>103.2</v>
      </c>
      <c r="T360" t="s">
        <v>4237</v>
      </c>
      <c r="U360" s="7">
        <f t="shared" si="20"/>
        <v>50</v>
      </c>
      <c r="V360" s="7">
        <f t="shared" si="21"/>
        <v>7</v>
      </c>
      <c r="W360" s="6">
        <f t="shared" si="22"/>
        <v>58421.949999999983</v>
      </c>
      <c r="X360" t="str">
        <f t="shared" si="23"/>
        <v>Middle Age</v>
      </c>
    </row>
    <row r="361" spans="1:24">
      <c r="A361" t="s">
        <v>1047</v>
      </c>
      <c r="B361" t="s">
        <v>234</v>
      </c>
      <c r="C361" t="s">
        <v>40</v>
      </c>
      <c r="D361" s="5">
        <v>24869</v>
      </c>
      <c r="E361" s="5">
        <v>45948</v>
      </c>
      <c r="F361" s="5">
        <v>45953</v>
      </c>
      <c r="G361" t="s">
        <v>62</v>
      </c>
      <c r="H361" t="s">
        <v>24</v>
      </c>
      <c r="I361" t="s">
        <v>96</v>
      </c>
      <c r="J361" t="s">
        <v>64</v>
      </c>
      <c r="K361" t="s">
        <v>161</v>
      </c>
      <c r="L361" s="6">
        <v>140639.85999999999</v>
      </c>
      <c r="M361">
        <v>111259.3</v>
      </c>
      <c r="N361" t="s">
        <v>91</v>
      </c>
      <c r="O361">
        <v>5</v>
      </c>
      <c r="P361">
        <v>78</v>
      </c>
      <c r="Q361">
        <v>2</v>
      </c>
      <c r="R361">
        <v>127</v>
      </c>
      <c r="S361">
        <v>73</v>
      </c>
      <c r="T361" t="s">
        <v>37</v>
      </c>
      <c r="U361" s="7">
        <f t="shared" si="20"/>
        <v>57</v>
      </c>
      <c r="V361" s="7">
        <f t="shared" si="21"/>
        <v>5</v>
      </c>
      <c r="W361" s="6">
        <f t="shared" si="22"/>
        <v>29380.559999999983</v>
      </c>
      <c r="X361" t="str">
        <f t="shared" si="23"/>
        <v>Middle Age</v>
      </c>
    </row>
    <row r="362" spans="1:24">
      <c r="A362" t="s">
        <v>1049</v>
      </c>
      <c r="B362" t="s">
        <v>1050</v>
      </c>
      <c r="C362" t="s">
        <v>40</v>
      </c>
      <c r="D362" s="5" t="s">
        <v>4237</v>
      </c>
      <c r="E362" s="5">
        <v>45481</v>
      </c>
      <c r="F362" s="5">
        <v>45486</v>
      </c>
      <c r="G362" t="s">
        <v>94</v>
      </c>
      <c r="H362" t="s">
        <v>134</v>
      </c>
      <c r="I362" t="s">
        <v>33</v>
      </c>
      <c r="J362" t="s">
        <v>71</v>
      </c>
      <c r="K362" t="s">
        <v>161</v>
      </c>
      <c r="L362" s="6">
        <v>56667.3</v>
      </c>
      <c r="M362">
        <v>52750.82</v>
      </c>
      <c r="N362" t="s">
        <v>56</v>
      </c>
      <c r="O362">
        <v>5</v>
      </c>
      <c r="P362">
        <v>68</v>
      </c>
      <c r="Q362">
        <v>4</v>
      </c>
      <c r="R362">
        <v>144</v>
      </c>
      <c r="S362">
        <v>145.80000000000001</v>
      </c>
      <c r="T362" t="s">
        <v>37</v>
      </c>
      <c r="U362" s="7" t="s">
        <v>4237</v>
      </c>
      <c r="V362" s="7">
        <f t="shared" si="21"/>
        <v>5</v>
      </c>
      <c r="W362" s="6">
        <f t="shared" si="22"/>
        <v>3916.4800000000032</v>
      </c>
      <c r="X362" t="s">
        <v>4237</v>
      </c>
    </row>
    <row r="363" spans="1:24">
      <c r="A363" t="s">
        <v>1053</v>
      </c>
      <c r="B363" t="s">
        <v>1054</v>
      </c>
      <c r="C363" t="s">
        <v>133</v>
      </c>
      <c r="D363" s="5">
        <v>20228</v>
      </c>
      <c r="E363" s="5">
        <v>45871</v>
      </c>
      <c r="F363" s="5">
        <v>45889</v>
      </c>
      <c r="G363" t="s">
        <v>94</v>
      </c>
      <c r="H363" t="s">
        <v>134</v>
      </c>
      <c r="I363" t="s">
        <v>79</v>
      </c>
      <c r="J363" t="s">
        <v>64</v>
      </c>
      <c r="K363" t="s">
        <v>55</v>
      </c>
      <c r="L363" s="6">
        <v>36805.94</v>
      </c>
      <c r="M363">
        <v>31757.200000000001</v>
      </c>
      <c r="N363" t="s">
        <v>192</v>
      </c>
      <c r="O363">
        <v>18</v>
      </c>
      <c r="P363">
        <v>133</v>
      </c>
      <c r="Q363">
        <v>5</v>
      </c>
      <c r="R363">
        <v>149</v>
      </c>
      <c r="S363">
        <v>137.30000000000001</v>
      </c>
      <c r="T363" t="s">
        <v>37</v>
      </c>
      <c r="U363" s="7">
        <f t="shared" si="20"/>
        <v>70</v>
      </c>
      <c r="V363" s="7">
        <f t="shared" si="21"/>
        <v>18</v>
      </c>
      <c r="W363" s="6">
        <f t="shared" si="22"/>
        <v>5048.7400000000016</v>
      </c>
      <c r="X363" t="str">
        <f t="shared" si="23"/>
        <v>Senior</v>
      </c>
    </row>
    <row r="364" spans="1:24">
      <c r="A364" t="s">
        <v>1055</v>
      </c>
      <c r="B364" t="s">
        <v>576</v>
      </c>
      <c r="C364" t="s">
        <v>133</v>
      </c>
      <c r="D364" s="5">
        <v>30965</v>
      </c>
      <c r="E364" s="5">
        <v>45036</v>
      </c>
      <c r="F364" s="5">
        <v>45049</v>
      </c>
      <c r="G364" t="s">
        <v>152</v>
      </c>
      <c r="H364" t="s">
        <v>24</v>
      </c>
      <c r="I364" t="s">
        <v>33</v>
      </c>
      <c r="J364" t="s">
        <v>64</v>
      </c>
      <c r="K364" t="s">
        <v>120</v>
      </c>
      <c r="L364" s="6">
        <v>116404.64</v>
      </c>
      <c r="M364">
        <v>84439.66</v>
      </c>
      <c r="N364" t="s">
        <v>4237</v>
      </c>
      <c r="O364">
        <v>13</v>
      </c>
      <c r="P364">
        <v>74</v>
      </c>
      <c r="Q364">
        <v>2</v>
      </c>
      <c r="R364">
        <v>132</v>
      </c>
      <c r="S364">
        <v>182.9</v>
      </c>
      <c r="T364" t="s">
        <v>65</v>
      </c>
      <c r="U364" s="7">
        <f t="shared" si="20"/>
        <v>38</v>
      </c>
      <c r="V364" s="7">
        <f t="shared" si="21"/>
        <v>13</v>
      </c>
      <c r="W364" s="6">
        <f t="shared" si="22"/>
        <v>31964.979999999996</v>
      </c>
      <c r="X364" t="str">
        <f t="shared" si="23"/>
        <v>Adult</v>
      </c>
    </row>
    <row r="365" spans="1:24">
      <c r="A365" t="s">
        <v>1057</v>
      </c>
      <c r="B365" t="s">
        <v>624</v>
      </c>
      <c r="C365" t="s">
        <v>133</v>
      </c>
      <c r="D365" s="5">
        <v>25517</v>
      </c>
      <c r="E365" s="5">
        <v>44940</v>
      </c>
      <c r="F365" s="5">
        <v>44956</v>
      </c>
      <c r="G365" t="s">
        <v>94</v>
      </c>
      <c r="H365" t="s">
        <v>52</v>
      </c>
      <c r="I365" t="s">
        <v>33</v>
      </c>
      <c r="J365" t="s">
        <v>179</v>
      </c>
      <c r="K365" t="s">
        <v>55</v>
      </c>
      <c r="L365" s="6">
        <v>40372.97</v>
      </c>
      <c r="M365">
        <v>34557.11</v>
      </c>
      <c r="N365" t="s">
        <v>35</v>
      </c>
      <c r="O365">
        <v>16</v>
      </c>
      <c r="P365">
        <v>68</v>
      </c>
      <c r="Q365">
        <v>4</v>
      </c>
      <c r="R365">
        <v>103</v>
      </c>
      <c r="S365">
        <v>160</v>
      </c>
      <c r="T365" t="s">
        <v>37</v>
      </c>
      <c r="U365" s="7">
        <f t="shared" si="20"/>
        <v>53</v>
      </c>
      <c r="V365" s="7">
        <f t="shared" si="21"/>
        <v>16</v>
      </c>
      <c r="W365" s="6">
        <f t="shared" si="22"/>
        <v>5815.8600000000006</v>
      </c>
      <c r="X365" t="str">
        <f t="shared" si="23"/>
        <v>Middle Age</v>
      </c>
    </row>
    <row r="366" spans="1:24">
      <c r="A366" t="s">
        <v>1060</v>
      </c>
      <c r="B366" t="s">
        <v>1061</v>
      </c>
      <c r="C366" t="s">
        <v>133</v>
      </c>
      <c r="D366" s="5">
        <v>21855</v>
      </c>
      <c r="E366" s="5" t="s">
        <v>4237</v>
      </c>
      <c r="F366" s="5">
        <v>45310</v>
      </c>
      <c r="G366" t="s">
        <v>152</v>
      </c>
      <c r="H366" t="s">
        <v>86</v>
      </c>
      <c r="I366" t="s">
        <v>53</v>
      </c>
      <c r="J366" t="s">
        <v>64</v>
      </c>
      <c r="K366" t="s">
        <v>120</v>
      </c>
      <c r="L366" s="6">
        <v>186062.02</v>
      </c>
      <c r="M366">
        <v>127284.06</v>
      </c>
      <c r="N366" t="s">
        <v>4237</v>
      </c>
      <c r="O366">
        <v>5</v>
      </c>
      <c r="P366">
        <v>121</v>
      </c>
      <c r="Q366">
        <v>5</v>
      </c>
      <c r="R366">
        <v>127</v>
      </c>
      <c r="S366">
        <v>196.8</v>
      </c>
      <c r="T366" t="s">
        <v>37</v>
      </c>
      <c r="U366" s="7" t="s">
        <v>4237</v>
      </c>
      <c r="V366" s="7" t="s">
        <v>4237</v>
      </c>
      <c r="W366" s="6">
        <f t="shared" si="22"/>
        <v>58777.959999999992</v>
      </c>
      <c r="X366" t="s">
        <v>4237</v>
      </c>
    </row>
    <row r="367" spans="1:24">
      <c r="A367" t="s">
        <v>1062</v>
      </c>
      <c r="B367" t="s">
        <v>517</v>
      </c>
      <c r="C367" t="s">
        <v>133</v>
      </c>
      <c r="D367" s="5">
        <v>19319</v>
      </c>
      <c r="E367" s="5">
        <v>45837</v>
      </c>
      <c r="F367" s="5">
        <v>45839</v>
      </c>
      <c r="G367" t="s">
        <v>105</v>
      </c>
      <c r="H367" t="s">
        <v>124</v>
      </c>
      <c r="I367" t="s">
        <v>33</v>
      </c>
      <c r="J367" t="s">
        <v>34</v>
      </c>
      <c r="K367" t="s">
        <v>120</v>
      </c>
      <c r="L367" s="6">
        <v>71033.75</v>
      </c>
      <c r="M367">
        <v>57347.27</v>
      </c>
      <c r="N367" t="s">
        <v>192</v>
      </c>
      <c r="O367">
        <v>2</v>
      </c>
      <c r="P367">
        <v>224</v>
      </c>
      <c r="Q367">
        <v>4</v>
      </c>
      <c r="R367">
        <v>116</v>
      </c>
      <c r="S367">
        <v>136.30000000000001</v>
      </c>
      <c r="T367" t="s">
        <v>4237</v>
      </c>
      <c r="U367" s="7">
        <f t="shared" si="20"/>
        <v>72</v>
      </c>
      <c r="V367" s="7">
        <f t="shared" si="21"/>
        <v>2</v>
      </c>
      <c r="W367" s="6">
        <f t="shared" si="22"/>
        <v>13686.480000000003</v>
      </c>
      <c r="X367" t="str">
        <f t="shared" si="23"/>
        <v>Senior</v>
      </c>
    </row>
    <row r="368" spans="1:24">
      <c r="A368" t="s">
        <v>1064</v>
      </c>
      <c r="B368" t="s">
        <v>1065</v>
      </c>
      <c r="C368" t="s">
        <v>40</v>
      </c>
      <c r="D368" s="5">
        <v>27261</v>
      </c>
      <c r="E368" s="5">
        <v>45296</v>
      </c>
      <c r="F368" s="5">
        <v>45313</v>
      </c>
      <c r="G368" t="s">
        <v>89</v>
      </c>
      <c r="H368" t="s">
        <v>44</v>
      </c>
      <c r="I368" t="s">
        <v>53</v>
      </c>
      <c r="J368" t="s">
        <v>46</v>
      </c>
      <c r="K368" t="s">
        <v>27</v>
      </c>
      <c r="L368" s="6">
        <v>148240.89000000001</v>
      </c>
      <c r="M368">
        <v>107324.29</v>
      </c>
      <c r="N368" t="s">
        <v>192</v>
      </c>
      <c r="O368">
        <v>17</v>
      </c>
      <c r="P368">
        <v>163</v>
      </c>
      <c r="Q368">
        <v>4</v>
      </c>
      <c r="R368">
        <v>98</v>
      </c>
      <c r="S368">
        <v>78.5</v>
      </c>
      <c r="T368" t="s">
        <v>4237</v>
      </c>
      <c r="U368" s="7">
        <f t="shared" si="20"/>
        <v>49</v>
      </c>
      <c r="V368" s="7">
        <f t="shared" si="21"/>
        <v>17</v>
      </c>
      <c r="W368" s="6">
        <f t="shared" si="22"/>
        <v>40916.60000000002</v>
      </c>
      <c r="X368" t="str">
        <f t="shared" si="23"/>
        <v>Middle Age</v>
      </c>
    </row>
    <row r="369" spans="1:24">
      <c r="A369" t="s">
        <v>1066</v>
      </c>
      <c r="B369" t="s">
        <v>531</v>
      </c>
      <c r="C369" t="s">
        <v>133</v>
      </c>
      <c r="D369" s="5">
        <v>35979</v>
      </c>
      <c r="E369" s="5">
        <v>45053</v>
      </c>
      <c r="F369" s="5">
        <v>45062</v>
      </c>
      <c r="G369" t="s">
        <v>161</v>
      </c>
      <c r="H369" t="s">
        <v>153</v>
      </c>
      <c r="I369" t="s">
        <v>33</v>
      </c>
      <c r="J369" t="s">
        <v>34</v>
      </c>
      <c r="K369" t="s">
        <v>110</v>
      </c>
      <c r="L369" s="6">
        <v>191429.61</v>
      </c>
      <c r="M369">
        <v>153229.72</v>
      </c>
      <c r="N369" t="s">
        <v>192</v>
      </c>
      <c r="O369">
        <v>9</v>
      </c>
      <c r="P369">
        <v>12</v>
      </c>
      <c r="Q369">
        <v>3</v>
      </c>
      <c r="R369">
        <v>131</v>
      </c>
      <c r="S369">
        <v>90.5</v>
      </c>
      <c r="T369" t="s">
        <v>37</v>
      </c>
      <c r="U369" s="7">
        <f t="shared" si="20"/>
        <v>24</v>
      </c>
      <c r="V369" s="7">
        <f t="shared" si="21"/>
        <v>9</v>
      </c>
      <c r="W369" s="6">
        <f t="shared" si="22"/>
        <v>38199.889999999985</v>
      </c>
      <c r="X369" t="str">
        <f t="shared" si="23"/>
        <v>Adult</v>
      </c>
    </row>
    <row r="370" spans="1:24">
      <c r="A370" t="s">
        <v>1067</v>
      </c>
      <c r="B370" t="s">
        <v>1068</v>
      </c>
      <c r="C370" t="s">
        <v>40</v>
      </c>
      <c r="D370" s="5">
        <v>18954</v>
      </c>
      <c r="E370" s="5">
        <v>45124</v>
      </c>
      <c r="F370" s="5" t="s">
        <v>4237</v>
      </c>
      <c r="G370" t="s">
        <v>62</v>
      </c>
      <c r="H370" t="s">
        <v>24</v>
      </c>
      <c r="I370" t="s">
        <v>119</v>
      </c>
      <c r="J370" t="s">
        <v>34</v>
      </c>
      <c r="K370" t="s">
        <v>120</v>
      </c>
      <c r="L370" s="6">
        <v>143153.01999999999</v>
      </c>
      <c r="M370">
        <v>114839.27</v>
      </c>
      <c r="N370" t="s">
        <v>4237</v>
      </c>
      <c r="O370">
        <v>7</v>
      </c>
      <c r="P370">
        <v>179</v>
      </c>
      <c r="Q370">
        <v>4</v>
      </c>
      <c r="R370">
        <v>153</v>
      </c>
      <c r="S370">
        <v>106.1</v>
      </c>
      <c r="T370" t="s">
        <v>47</v>
      </c>
      <c r="U370" s="7">
        <f t="shared" si="20"/>
        <v>71</v>
      </c>
      <c r="V370" s="7" t="s">
        <v>4237</v>
      </c>
      <c r="W370" s="6">
        <f t="shared" si="22"/>
        <v>28313.749999999985</v>
      </c>
      <c r="X370" t="str">
        <f t="shared" si="23"/>
        <v>Senior</v>
      </c>
    </row>
    <row r="371" spans="1:24">
      <c r="A371" t="s">
        <v>1069</v>
      </c>
      <c r="B371" t="s">
        <v>737</v>
      </c>
      <c r="C371" t="s">
        <v>40</v>
      </c>
      <c r="D371" s="5">
        <v>21040</v>
      </c>
      <c r="E371" s="5">
        <v>45032</v>
      </c>
      <c r="F371" s="5">
        <v>45050</v>
      </c>
      <c r="G371" t="s">
        <v>94</v>
      </c>
      <c r="H371" t="s">
        <v>24</v>
      </c>
      <c r="I371" t="s">
        <v>96</v>
      </c>
      <c r="J371" t="s">
        <v>71</v>
      </c>
      <c r="K371" t="s">
        <v>161</v>
      </c>
      <c r="L371" s="6">
        <v>99130.54</v>
      </c>
      <c r="M371">
        <v>71412.240000000005</v>
      </c>
      <c r="N371" t="s">
        <v>91</v>
      </c>
      <c r="O371">
        <v>18</v>
      </c>
      <c r="P371">
        <v>228</v>
      </c>
      <c r="Q371">
        <v>3</v>
      </c>
      <c r="R371">
        <v>126</v>
      </c>
      <c r="S371">
        <v>163.5</v>
      </c>
      <c r="T371" t="s">
        <v>37</v>
      </c>
      <c r="U371" s="7">
        <f t="shared" si="20"/>
        <v>65</v>
      </c>
      <c r="V371" s="7">
        <f t="shared" si="21"/>
        <v>18</v>
      </c>
      <c r="W371" s="6">
        <f t="shared" si="22"/>
        <v>27718.299999999988</v>
      </c>
      <c r="X371" t="str">
        <f t="shared" si="23"/>
        <v>Senior</v>
      </c>
    </row>
    <row r="372" spans="1:24">
      <c r="A372" t="s">
        <v>1071</v>
      </c>
      <c r="B372" t="s">
        <v>495</v>
      </c>
      <c r="C372" t="s">
        <v>40</v>
      </c>
      <c r="D372" s="5">
        <v>38722</v>
      </c>
      <c r="E372" s="5">
        <v>45345</v>
      </c>
      <c r="F372" s="5">
        <v>45363</v>
      </c>
      <c r="G372" t="s">
        <v>105</v>
      </c>
      <c r="H372" t="s">
        <v>78</v>
      </c>
      <c r="I372" t="s">
        <v>25</v>
      </c>
      <c r="J372" t="s">
        <v>80</v>
      </c>
      <c r="K372" t="s">
        <v>55</v>
      </c>
      <c r="L372" s="6">
        <v>124654.89</v>
      </c>
      <c r="M372">
        <v>108969.25</v>
      </c>
      <c r="N372" t="s">
        <v>73</v>
      </c>
      <c r="O372">
        <v>18</v>
      </c>
      <c r="P372">
        <v>184</v>
      </c>
      <c r="Q372">
        <v>1</v>
      </c>
      <c r="R372">
        <v>134</v>
      </c>
      <c r="S372">
        <v>256.39999999999998</v>
      </c>
      <c r="T372" t="s">
        <v>37</v>
      </c>
      <c r="U372" s="7">
        <f t="shared" si="20"/>
        <v>18</v>
      </c>
      <c r="V372" s="7">
        <f t="shared" si="21"/>
        <v>18</v>
      </c>
      <c r="W372" s="6">
        <f t="shared" si="22"/>
        <v>15685.64</v>
      </c>
      <c r="X372" t="str">
        <f t="shared" si="23"/>
        <v>Adult</v>
      </c>
    </row>
    <row r="373" spans="1:24">
      <c r="A373" t="s">
        <v>1073</v>
      </c>
      <c r="B373" t="s">
        <v>429</v>
      </c>
      <c r="C373" t="s">
        <v>133</v>
      </c>
      <c r="D373" s="5">
        <v>18736</v>
      </c>
      <c r="E373" s="5">
        <v>45703</v>
      </c>
      <c r="F373" s="5">
        <v>45704</v>
      </c>
      <c r="G373" t="s">
        <v>152</v>
      </c>
      <c r="H373" t="s">
        <v>134</v>
      </c>
      <c r="I373" t="s">
        <v>79</v>
      </c>
      <c r="J373" t="s">
        <v>97</v>
      </c>
      <c r="K373" t="s">
        <v>27</v>
      </c>
      <c r="L373" s="6">
        <v>123663.9</v>
      </c>
      <c r="M373">
        <v>89437.78</v>
      </c>
      <c r="N373" t="s">
        <v>73</v>
      </c>
      <c r="O373">
        <v>1</v>
      </c>
      <c r="P373">
        <v>34</v>
      </c>
      <c r="Q373">
        <v>4</v>
      </c>
      <c r="R373">
        <v>105</v>
      </c>
      <c r="S373">
        <v>240.5</v>
      </c>
      <c r="T373" t="s">
        <v>65</v>
      </c>
      <c r="U373" s="7">
        <f t="shared" si="20"/>
        <v>73</v>
      </c>
      <c r="V373" s="7">
        <f t="shared" si="21"/>
        <v>1</v>
      </c>
      <c r="W373" s="6">
        <f t="shared" si="22"/>
        <v>34226.119999999995</v>
      </c>
      <c r="X373" t="str">
        <f t="shared" si="23"/>
        <v>Senior</v>
      </c>
    </row>
    <row r="374" spans="1:24">
      <c r="A374" t="s">
        <v>1076</v>
      </c>
      <c r="B374" t="s">
        <v>321</v>
      </c>
      <c r="C374" t="s">
        <v>133</v>
      </c>
      <c r="D374" s="5">
        <v>38694</v>
      </c>
      <c r="E374" s="5">
        <v>45043</v>
      </c>
      <c r="F374" s="5" t="s">
        <v>4237</v>
      </c>
      <c r="G374" t="s">
        <v>77</v>
      </c>
      <c r="H374" t="s">
        <v>124</v>
      </c>
      <c r="I374" t="s">
        <v>96</v>
      </c>
      <c r="J374" t="s">
        <v>179</v>
      </c>
      <c r="K374" t="s">
        <v>120</v>
      </c>
      <c r="L374" s="6">
        <v>80246.16</v>
      </c>
      <c r="M374">
        <v>64751.14</v>
      </c>
      <c r="N374" t="s">
        <v>73</v>
      </c>
      <c r="O374">
        <v>3</v>
      </c>
      <c r="P374">
        <v>67</v>
      </c>
      <c r="Q374">
        <v>5</v>
      </c>
      <c r="R374">
        <v>106</v>
      </c>
      <c r="S374">
        <v>185.2</v>
      </c>
      <c r="T374" t="s">
        <v>37</v>
      </c>
      <c r="U374" s="7">
        <f t="shared" si="20"/>
        <v>17</v>
      </c>
      <c r="V374" s="7" t="s">
        <v>4237</v>
      </c>
      <c r="W374" s="6">
        <f t="shared" si="22"/>
        <v>15495.020000000004</v>
      </c>
      <c r="X374" t="str">
        <f t="shared" si="23"/>
        <v>Child</v>
      </c>
    </row>
    <row r="375" spans="1:24">
      <c r="A375" t="s">
        <v>1078</v>
      </c>
      <c r="B375" t="s">
        <v>1079</v>
      </c>
      <c r="C375" t="s">
        <v>133</v>
      </c>
      <c r="D375" s="5">
        <v>25150</v>
      </c>
      <c r="E375" s="5">
        <v>46005</v>
      </c>
      <c r="F375" s="5">
        <v>46014</v>
      </c>
      <c r="G375" t="s">
        <v>89</v>
      </c>
      <c r="H375" t="s">
        <v>95</v>
      </c>
      <c r="I375" t="s">
        <v>33</v>
      </c>
      <c r="J375" t="s">
        <v>179</v>
      </c>
      <c r="K375" t="s">
        <v>161</v>
      </c>
      <c r="L375" s="6">
        <v>88292.27</v>
      </c>
      <c r="M375">
        <v>76467.11</v>
      </c>
      <c r="N375" t="s">
        <v>91</v>
      </c>
      <c r="O375">
        <v>9</v>
      </c>
      <c r="P375">
        <v>164</v>
      </c>
      <c r="Q375">
        <v>4</v>
      </c>
      <c r="R375">
        <v>125</v>
      </c>
      <c r="S375">
        <v>84.9</v>
      </c>
      <c r="T375" t="s">
        <v>47</v>
      </c>
      <c r="U375" s="7">
        <f t="shared" si="20"/>
        <v>57</v>
      </c>
      <c r="V375" s="7">
        <f t="shared" si="21"/>
        <v>9</v>
      </c>
      <c r="W375" s="6">
        <f t="shared" si="22"/>
        <v>11825.160000000003</v>
      </c>
      <c r="X375" t="str">
        <f t="shared" si="23"/>
        <v>Middle Age</v>
      </c>
    </row>
    <row r="376" spans="1:24">
      <c r="A376" t="s">
        <v>1082</v>
      </c>
      <c r="B376" t="s">
        <v>21</v>
      </c>
      <c r="C376" t="s">
        <v>40</v>
      </c>
      <c r="D376" s="5">
        <v>37865</v>
      </c>
      <c r="E376" s="5">
        <v>45496</v>
      </c>
      <c r="F376" s="5">
        <v>45509</v>
      </c>
      <c r="G376" t="s">
        <v>161</v>
      </c>
      <c r="H376" t="s">
        <v>24</v>
      </c>
      <c r="I376" t="s">
        <v>96</v>
      </c>
      <c r="J376" t="s">
        <v>64</v>
      </c>
      <c r="K376" t="s">
        <v>55</v>
      </c>
      <c r="L376" s="6">
        <v>97524.22</v>
      </c>
      <c r="M376">
        <v>93509.33</v>
      </c>
      <c r="N376" t="s">
        <v>192</v>
      </c>
      <c r="O376">
        <v>13</v>
      </c>
      <c r="P376">
        <v>103</v>
      </c>
      <c r="Q376">
        <v>4</v>
      </c>
      <c r="R376">
        <v>95</v>
      </c>
      <c r="S376">
        <v>112.6</v>
      </c>
      <c r="T376" t="s">
        <v>37</v>
      </c>
      <c r="U376" s="7">
        <f t="shared" si="20"/>
        <v>20</v>
      </c>
      <c r="V376" s="7">
        <f t="shared" si="21"/>
        <v>13</v>
      </c>
      <c r="W376" s="6">
        <f t="shared" si="22"/>
        <v>4014.8899999999994</v>
      </c>
      <c r="X376" t="str">
        <f t="shared" si="23"/>
        <v>Adult</v>
      </c>
    </row>
    <row r="377" spans="1:24">
      <c r="A377" t="s">
        <v>1085</v>
      </c>
      <c r="B377" t="s">
        <v>173</v>
      </c>
      <c r="C377" t="s">
        <v>40</v>
      </c>
      <c r="D377" s="5">
        <v>23022</v>
      </c>
      <c r="E377" s="5">
        <v>45815</v>
      </c>
      <c r="F377" s="5">
        <v>45829</v>
      </c>
      <c r="G377" t="s">
        <v>161</v>
      </c>
      <c r="H377" t="s">
        <v>78</v>
      </c>
      <c r="I377" t="s">
        <v>25</v>
      </c>
      <c r="J377" t="s">
        <v>26</v>
      </c>
      <c r="K377" t="s">
        <v>110</v>
      </c>
      <c r="L377" s="6">
        <v>139440.31</v>
      </c>
      <c r="M377">
        <v>116123.18</v>
      </c>
      <c r="N377" t="s">
        <v>56</v>
      </c>
      <c r="O377">
        <v>14</v>
      </c>
      <c r="P377">
        <v>78</v>
      </c>
      <c r="Q377">
        <v>4</v>
      </c>
      <c r="R377">
        <v>149</v>
      </c>
      <c r="S377">
        <v>150.5</v>
      </c>
      <c r="T377" t="s">
        <v>4237</v>
      </c>
      <c r="U377" s="7">
        <f t="shared" si="20"/>
        <v>62</v>
      </c>
      <c r="V377" s="7">
        <f t="shared" si="21"/>
        <v>14</v>
      </c>
      <c r="W377" s="6">
        <f t="shared" si="22"/>
        <v>23317.130000000005</v>
      </c>
      <c r="X377" t="str">
        <f t="shared" si="23"/>
        <v>Senior</v>
      </c>
    </row>
    <row r="378" spans="1:24">
      <c r="A378" t="s">
        <v>1087</v>
      </c>
      <c r="B378" t="s">
        <v>1088</v>
      </c>
      <c r="C378" t="s">
        <v>133</v>
      </c>
      <c r="D378" s="5">
        <v>31595</v>
      </c>
      <c r="E378" s="5">
        <v>45488</v>
      </c>
      <c r="F378" s="5">
        <v>45500</v>
      </c>
      <c r="G378" t="s">
        <v>109</v>
      </c>
      <c r="H378" t="s">
        <v>78</v>
      </c>
      <c r="I378" t="s">
        <v>25</v>
      </c>
      <c r="J378" t="s">
        <v>26</v>
      </c>
      <c r="K378" t="s">
        <v>55</v>
      </c>
      <c r="L378" s="6">
        <v>78456.55</v>
      </c>
      <c r="M378">
        <v>53103.5</v>
      </c>
      <c r="N378" t="s">
        <v>35</v>
      </c>
      <c r="O378">
        <v>12</v>
      </c>
      <c r="P378">
        <v>72</v>
      </c>
      <c r="Q378">
        <v>3</v>
      </c>
      <c r="R378">
        <v>146</v>
      </c>
      <c r="S378">
        <v>157.9</v>
      </c>
      <c r="T378" t="s">
        <v>37</v>
      </c>
      <c r="U378" s="7">
        <f t="shared" si="20"/>
        <v>38</v>
      </c>
      <c r="V378" s="7">
        <f t="shared" si="21"/>
        <v>12</v>
      </c>
      <c r="W378" s="6">
        <f t="shared" si="22"/>
        <v>25353.050000000003</v>
      </c>
      <c r="X378" t="str">
        <f t="shared" si="23"/>
        <v>Adult</v>
      </c>
    </row>
    <row r="379" spans="1:24">
      <c r="A379" t="s">
        <v>1091</v>
      </c>
      <c r="B379" t="s">
        <v>83</v>
      </c>
      <c r="C379" t="s">
        <v>133</v>
      </c>
      <c r="D379" s="5">
        <v>24236</v>
      </c>
      <c r="E379" s="5">
        <v>45940</v>
      </c>
      <c r="F379" s="5">
        <v>45945</v>
      </c>
      <c r="G379" t="s">
        <v>62</v>
      </c>
      <c r="H379" t="s">
        <v>32</v>
      </c>
      <c r="I379" t="s">
        <v>25</v>
      </c>
      <c r="J379" t="s">
        <v>80</v>
      </c>
      <c r="K379" t="s">
        <v>55</v>
      </c>
      <c r="L379" s="6">
        <v>30825.52</v>
      </c>
      <c r="M379">
        <v>23281.8</v>
      </c>
      <c r="N379" t="s">
        <v>91</v>
      </c>
      <c r="O379">
        <v>5</v>
      </c>
      <c r="P379">
        <v>134</v>
      </c>
      <c r="Q379">
        <v>4</v>
      </c>
      <c r="R379">
        <v>164</v>
      </c>
      <c r="S379">
        <v>130.30000000000001</v>
      </c>
      <c r="T379" t="s">
        <v>37</v>
      </c>
      <c r="U379" s="7">
        <f t="shared" si="20"/>
        <v>59</v>
      </c>
      <c r="V379" s="7">
        <f t="shared" si="21"/>
        <v>5</v>
      </c>
      <c r="W379" s="6">
        <f t="shared" si="22"/>
        <v>7543.7200000000012</v>
      </c>
      <c r="X379" t="str">
        <f t="shared" si="23"/>
        <v>Middle Age</v>
      </c>
    </row>
    <row r="380" spans="1:24">
      <c r="A380" t="s">
        <v>1092</v>
      </c>
      <c r="B380" t="s">
        <v>29</v>
      </c>
      <c r="C380" t="s">
        <v>133</v>
      </c>
      <c r="D380" s="5">
        <v>28538</v>
      </c>
      <c r="E380" s="5">
        <v>45085</v>
      </c>
      <c r="F380" s="5">
        <v>45093</v>
      </c>
      <c r="G380" t="s">
        <v>117</v>
      </c>
      <c r="H380" t="s">
        <v>63</v>
      </c>
      <c r="I380" t="s">
        <v>79</v>
      </c>
      <c r="J380" t="s">
        <v>64</v>
      </c>
      <c r="K380" t="s">
        <v>55</v>
      </c>
      <c r="L380" s="6">
        <v>161367.04000000001</v>
      </c>
      <c r="M380">
        <v>119883.42</v>
      </c>
      <c r="N380" t="s">
        <v>73</v>
      </c>
      <c r="O380">
        <v>8</v>
      </c>
      <c r="P380">
        <v>88</v>
      </c>
      <c r="Q380">
        <v>5</v>
      </c>
      <c r="R380">
        <v>132</v>
      </c>
      <c r="S380">
        <v>255.3</v>
      </c>
      <c r="T380" t="s">
        <v>4237</v>
      </c>
      <c r="U380" s="7">
        <f t="shared" si="20"/>
        <v>45</v>
      </c>
      <c r="V380" s="7">
        <f t="shared" si="21"/>
        <v>8</v>
      </c>
      <c r="W380" s="6">
        <f t="shared" si="22"/>
        <v>41483.62000000001</v>
      </c>
      <c r="X380" t="str">
        <f t="shared" si="23"/>
        <v>Middle Age</v>
      </c>
    </row>
    <row r="381" spans="1:24">
      <c r="A381" t="s">
        <v>1093</v>
      </c>
      <c r="B381" t="s">
        <v>1094</v>
      </c>
      <c r="C381" t="s">
        <v>40</v>
      </c>
      <c r="D381" s="5">
        <v>36822</v>
      </c>
      <c r="E381" s="5">
        <v>45631</v>
      </c>
      <c r="F381" s="5">
        <v>45638</v>
      </c>
      <c r="G381" t="s">
        <v>117</v>
      </c>
      <c r="H381" t="s">
        <v>24</v>
      </c>
      <c r="I381" t="s">
        <v>53</v>
      </c>
      <c r="J381" t="s">
        <v>34</v>
      </c>
      <c r="K381" t="s">
        <v>120</v>
      </c>
      <c r="L381" s="6">
        <v>191246.43</v>
      </c>
      <c r="M381">
        <v>117617.22</v>
      </c>
      <c r="N381" t="s">
        <v>192</v>
      </c>
      <c r="O381">
        <v>7</v>
      </c>
      <c r="P381">
        <v>24</v>
      </c>
      <c r="Q381">
        <v>4</v>
      </c>
      <c r="R381">
        <v>162</v>
      </c>
      <c r="S381">
        <v>165.7</v>
      </c>
      <c r="T381" t="s">
        <v>37</v>
      </c>
      <c r="U381" s="7">
        <f t="shared" si="20"/>
        <v>24</v>
      </c>
      <c r="V381" s="7">
        <f t="shared" si="21"/>
        <v>7</v>
      </c>
      <c r="W381" s="6">
        <f t="shared" si="22"/>
        <v>73629.209999999992</v>
      </c>
      <c r="X381" t="str">
        <f t="shared" si="23"/>
        <v>Adult</v>
      </c>
    </row>
    <row r="382" spans="1:24">
      <c r="A382" t="s">
        <v>1096</v>
      </c>
      <c r="B382" t="s">
        <v>1097</v>
      </c>
      <c r="C382" t="s">
        <v>40</v>
      </c>
      <c r="D382" s="5">
        <v>37050</v>
      </c>
      <c r="E382" s="5">
        <v>45860</v>
      </c>
      <c r="F382" s="5">
        <v>45871</v>
      </c>
      <c r="G382" t="s">
        <v>161</v>
      </c>
      <c r="H382" t="s">
        <v>153</v>
      </c>
      <c r="I382" t="s">
        <v>45</v>
      </c>
      <c r="J382" t="s">
        <v>34</v>
      </c>
      <c r="K382" t="s">
        <v>27</v>
      </c>
      <c r="L382" s="6">
        <v>183867.59</v>
      </c>
      <c r="M382">
        <v>141235.34</v>
      </c>
      <c r="N382" t="s">
        <v>4237</v>
      </c>
      <c r="O382">
        <v>11</v>
      </c>
      <c r="P382">
        <v>95</v>
      </c>
      <c r="Q382">
        <v>4</v>
      </c>
      <c r="R382">
        <v>154</v>
      </c>
      <c r="S382">
        <v>84.5</v>
      </c>
      <c r="T382" t="s">
        <v>65</v>
      </c>
      <c r="U382" s="7">
        <f t="shared" si="20"/>
        <v>24</v>
      </c>
      <c r="V382" s="7">
        <f t="shared" si="21"/>
        <v>11</v>
      </c>
      <c r="W382" s="6">
        <f t="shared" si="22"/>
        <v>42632.25</v>
      </c>
      <c r="X382" t="str">
        <f t="shared" si="23"/>
        <v>Adult</v>
      </c>
    </row>
    <row r="383" spans="1:24">
      <c r="A383" t="s">
        <v>1098</v>
      </c>
      <c r="B383" t="s">
        <v>1099</v>
      </c>
      <c r="C383" t="s">
        <v>133</v>
      </c>
      <c r="D383" s="5">
        <v>36657</v>
      </c>
      <c r="E383" s="5">
        <v>45569</v>
      </c>
      <c r="F383" s="5">
        <v>45573</v>
      </c>
      <c r="G383" t="s">
        <v>43</v>
      </c>
      <c r="H383" t="s">
        <v>95</v>
      </c>
      <c r="I383" t="s">
        <v>53</v>
      </c>
      <c r="J383" t="s">
        <v>64</v>
      </c>
      <c r="K383" t="s">
        <v>55</v>
      </c>
      <c r="L383" s="6">
        <v>124814.56</v>
      </c>
      <c r="M383">
        <v>121065.35</v>
      </c>
      <c r="N383" t="s">
        <v>56</v>
      </c>
      <c r="O383">
        <v>4</v>
      </c>
      <c r="P383">
        <v>229</v>
      </c>
      <c r="Q383">
        <v>4</v>
      </c>
      <c r="R383">
        <v>91</v>
      </c>
      <c r="S383">
        <v>101.7</v>
      </c>
      <c r="T383" t="s">
        <v>37</v>
      </c>
      <c r="U383" s="7">
        <f t="shared" si="20"/>
        <v>24</v>
      </c>
      <c r="V383" s="7">
        <f t="shared" si="21"/>
        <v>4</v>
      </c>
      <c r="W383" s="6">
        <f t="shared" si="22"/>
        <v>3749.2099999999919</v>
      </c>
      <c r="X383" t="str">
        <f t="shared" si="23"/>
        <v>Adult</v>
      </c>
    </row>
    <row r="384" spans="1:24">
      <c r="A384" t="s">
        <v>4125</v>
      </c>
      <c r="B384" t="s">
        <v>1101</v>
      </c>
      <c r="C384" t="s">
        <v>133</v>
      </c>
      <c r="D384" s="5">
        <v>27746</v>
      </c>
      <c r="E384" s="5">
        <v>45421</v>
      </c>
      <c r="F384" s="5">
        <v>45431</v>
      </c>
      <c r="G384" t="s">
        <v>161</v>
      </c>
      <c r="H384" t="s">
        <v>63</v>
      </c>
      <c r="I384" t="s">
        <v>33</v>
      </c>
      <c r="J384" t="s">
        <v>179</v>
      </c>
      <c r="K384" t="s">
        <v>55</v>
      </c>
      <c r="L384" s="6">
        <v>20753.75</v>
      </c>
      <c r="M384">
        <v>20441.939999999999</v>
      </c>
      <c r="N384" t="s">
        <v>56</v>
      </c>
      <c r="O384">
        <v>10</v>
      </c>
      <c r="P384">
        <v>238</v>
      </c>
      <c r="Q384">
        <v>4</v>
      </c>
      <c r="R384">
        <v>170</v>
      </c>
      <c r="S384">
        <v>163.5</v>
      </c>
      <c r="T384" t="s">
        <v>37</v>
      </c>
      <c r="U384" s="7">
        <f t="shared" si="20"/>
        <v>48</v>
      </c>
      <c r="V384" s="7">
        <f t="shared" si="21"/>
        <v>10</v>
      </c>
      <c r="W384" s="6">
        <f t="shared" si="22"/>
        <v>311.81000000000131</v>
      </c>
      <c r="X384" t="str">
        <f t="shared" si="23"/>
        <v>Middle Age</v>
      </c>
    </row>
    <row r="385" spans="1:24">
      <c r="A385" t="s">
        <v>1103</v>
      </c>
      <c r="B385" t="s">
        <v>1104</v>
      </c>
      <c r="C385" t="s">
        <v>40</v>
      </c>
      <c r="D385" s="5">
        <v>28566</v>
      </c>
      <c r="E385" s="5">
        <v>45499</v>
      </c>
      <c r="F385" s="5">
        <v>45503</v>
      </c>
      <c r="G385" t="s">
        <v>77</v>
      </c>
      <c r="H385" t="s">
        <v>63</v>
      </c>
      <c r="I385" t="s">
        <v>25</v>
      </c>
      <c r="J385" t="s">
        <v>64</v>
      </c>
      <c r="K385" t="s">
        <v>110</v>
      </c>
      <c r="L385" s="6">
        <v>130625.22</v>
      </c>
      <c r="M385">
        <v>102743.74</v>
      </c>
      <c r="N385" t="s">
        <v>192</v>
      </c>
      <c r="O385">
        <v>4</v>
      </c>
      <c r="P385">
        <v>221</v>
      </c>
      <c r="Q385">
        <v>4</v>
      </c>
      <c r="R385">
        <v>126</v>
      </c>
      <c r="S385">
        <v>131.30000000000001</v>
      </c>
      <c r="T385" t="s">
        <v>65</v>
      </c>
      <c r="U385" s="7">
        <f t="shared" si="20"/>
        <v>46</v>
      </c>
      <c r="V385" s="7">
        <f t="shared" si="21"/>
        <v>4</v>
      </c>
      <c r="W385" s="6">
        <f t="shared" si="22"/>
        <v>27881.479999999996</v>
      </c>
      <c r="X385" t="str">
        <f t="shared" si="23"/>
        <v>Middle Age</v>
      </c>
    </row>
    <row r="386" spans="1:24">
      <c r="A386" t="s">
        <v>1105</v>
      </c>
      <c r="B386" t="s">
        <v>1106</v>
      </c>
      <c r="C386" t="s">
        <v>133</v>
      </c>
      <c r="D386" s="5">
        <v>24699</v>
      </c>
      <c r="E386" s="5">
        <v>45385</v>
      </c>
      <c r="F386" s="5">
        <v>45391</v>
      </c>
      <c r="G386" t="s">
        <v>109</v>
      </c>
      <c r="H386" t="s">
        <v>118</v>
      </c>
      <c r="I386" t="s">
        <v>33</v>
      </c>
      <c r="J386" t="s">
        <v>64</v>
      </c>
      <c r="K386" t="s">
        <v>27</v>
      </c>
      <c r="L386" s="6">
        <v>167442.32</v>
      </c>
      <c r="M386">
        <v>122030.76</v>
      </c>
      <c r="N386" t="s">
        <v>35</v>
      </c>
      <c r="O386">
        <v>6</v>
      </c>
      <c r="P386">
        <v>146</v>
      </c>
      <c r="Q386">
        <v>4</v>
      </c>
      <c r="R386">
        <v>186</v>
      </c>
      <c r="S386">
        <v>102.1</v>
      </c>
      <c r="T386" t="s">
        <v>37</v>
      </c>
      <c r="U386" s="7">
        <f t="shared" ref="U386:U449" si="24">DATEDIF(D386,E386,"Y")</f>
        <v>56</v>
      </c>
      <c r="V386" s="7">
        <f t="shared" ref="V386:V449" si="25">IF(OR(E386=" ",F386=" ",E386="Unknown",F386="Unknown")," ",F386-E386)</f>
        <v>6</v>
      </c>
      <c r="W386" s="6">
        <f t="shared" ref="W386:W449" si="26">L386-M386</f>
        <v>45411.560000000012</v>
      </c>
      <c r="X386" t="str">
        <f t="shared" ref="X386:X449" si="27">IF(OR(U386="",U386="Unknown"),"",IF(U386&lt;18,"Child",IF(U386&lt;40,"Adult",IF(U386&lt;60,"Middle Age","Senior"))))</f>
        <v>Middle Age</v>
      </c>
    </row>
    <row r="387" spans="1:24">
      <c r="A387" t="s">
        <v>1107</v>
      </c>
      <c r="B387" t="s">
        <v>1108</v>
      </c>
      <c r="C387" t="s">
        <v>40</v>
      </c>
      <c r="D387" s="5">
        <v>35061</v>
      </c>
      <c r="E387" s="5">
        <v>45172</v>
      </c>
      <c r="F387" s="5">
        <v>45187</v>
      </c>
      <c r="G387" t="s">
        <v>77</v>
      </c>
      <c r="H387" t="s">
        <v>44</v>
      </c>
      <c r="I387" t="s">
        <v>33</v>
      </c>
      <c r="J387" t="s">
        <v>97</v>
      </c>
      <c r="K387" t="s">
        <v>120</v>
      </c>
      <c r="L387" s="6">
        <v>248286.62</v>
      </c>
      <c r="M387">
        <v>190068.99</v>
      </c>
      <c r="N387" t="s">
        <v>73</v>
      </c>
      <c r="O387">
        <v>15</v>
      </c>
      <c r="P387">
        <v>95</v>
      </c>
      <c r="Q387">
        <v>2</v>
      </c>
      <c r="R387">
        <v>185</v>
      </c>
      <c r="S387">
        <v>220.7</v>
      </c>
      <c r="T387" t="s">
        <v>4237</v>
      </c>
      <c r="U387" s="7">
        <f t="shared" si="24"/>
        <v>27</v>
      </c>
      <c r="V387" s="7">
        <f t="shared" si="25"/>
        <v>15</v>
      </c>
      <c r="W387" s="6">
        <f t="shared" si="26"/>
        <v>58217.630000000005</v>
      </c>
      <c r="X387" t="str">
        <f t="shared" si="27"/>
        <v>Adult</v>
      </c>
    </row>
    <row r="388" spans="1:24">
      <c r="A388" t="s">
        <v>1109</v>
      </c>
      <c r="B388" t="s">
        <v>328</v>
      </c>
      <c r="C388" t="s">
        <v>133</v>
      </c>
      <c r="D388" s="5">
        <v>25685</v>
      </c>
      <c r="E388" s="5">
        <v>44999</v>
      </c>
      <c r="F388" s="5">
        <v>45000</v>
      </c>
      <c r="G388" t="s">
        <v>117</v>
      </c>
      <c r="H388" t="s">
        <v>134</v>
      </c>
      <c r="I388" t="s">
        <v>45</v>
      </c>
      <c r="J388" t="s">
        <v>80</v>
      </c>
      <c r="K388" t="s">
        <v>27</v>
      </c>
      <c r="L388" s="6">
        <v>68158.3</v>
      </c>
      <c r="M388">
        <v>57617.77</v>
      </c>
      <c r="N388" t="s">
        <v>73</v>
      </c>
      <c r="O388">
        <v>1</v>
      </c>
      <c r="P388">
        <v>52</v>
      </c>
      <c r="Q388">
        <v>4</v>
      </c>
      <c r="R388">
        <v>126</v>
      </c>
      <c r="S388">
        <v>95</v>
      </c>
      <c r="T388" t="s">
        <v>4237</v>
      </c>
      <c r="U388" s="7">
        <f t="shared" si="24"/>
        <v>52</v>
      </c>
      <c r="V388" s="7">
        <f t="shared" si="25"/>
        <v>1</v>
      </c>
      <c r="W388" s="6">
        <f t="shared" si="26"/>
        <v>10540.530000000006</v>
      </c>
      <c r="X388" t="str">
        <f t="shared" si="27"/>
        <v>Middle Age</v>
      </c>
    </row>
    <row r="389" spans="1:24">
      <c r="A389" t="s">
        <v>1111</v>
      </c>
      <c r="B389" t="s">
        <v>697</v>
      </c>
      <c r="C389" t="s">
        <v>133</v>
      </c>
      <c r="D389" s="5">
        <v>33673</v>
      </c>
      <c r="E389" s="5">
        <v>45401</v>
      </c>
      <c r="F389" s="5">
        <v>45411</v>
      </c>
      <c r="G389" t="s">
        <v>77</v>
      </c>
      <c r="H389" t="s">
        <v>78</v>
      </c>
      <c r="I389" t="s">
        <v>79</v>
      </c>
      <c r="J389" t="s">
        <v>64</v>
      </c>
      <c r="K389" t="s">
        <v>120</v>
      </c>
      <c r="L389" s="6">
        <v>90889.15</v>
      </c>
      <c r="M389">
        <v>68093.600000000006</v>
      </c>
      <c r="N389" t="s">
        <v>4237</v>
      </c>
      <c r="O389">
        <v>10</v>
      </c>
      <c r="P389">
        <v>61</v>
      </c>
      <c r="Q389">
        <v>2</v>
      </c>
      <c r="R389">
        <v>186</v>
      </c>
      <c r="S389">
        <v>215.1</v>
      </c>
      <c r="T389" t="s">
        <v>37</v>
      </c>
      <c r="U389" s="7">
        <f t="shared" si="24"/>
        <v>32</v>
      </c>
      <c r="V389" s="7">
        <f t="shared" si="25"/>
        <v>10</v>
      </c>
      <c r="W389" s="6">
        <f t="shared" si="26"/>
        <v>22795.549999999988</v>
      </c>
      <c r="X389" t="str">
        <f t="shared" si="27"/>
        <v>Adult</v>
      </c>
    </row>
    <row r="390" spans="1:24">
      <c r="A390" t="s">
        <v>1112</v>
      </c>
      <c r="B390" t="s">
        <v>433</v>
      </c>
      <c r="C390" t="s">
        <v>133</v>
      </c>
      <c r="D390" s="5">
        <v>34060</v>
      </c>
      <c r="E390" s="5">
        <v>45522</v>
      </c>
      <c r="F390" s="5">
        <v>45531</v>
      </c>
      <c r="G390" t="s">
        <v>161</v>
      </c>
      <c r="H390" t="s">
        <v>78</v>
      </c>
      <c r="I390" t="s">
        <v>79</v>
      </c>
      <c r="J390" t="s">
        <v>179</v>
      </c>
      <c r="K390" t="s">
        <v>161</v>
      </c>
      <c r="L390" s="6">
        <v>141658.68</v>
      </c>
      <c r="M390">
        <v>110278.67</v>
      </c>
      <c r="N390" t="s">
        <v>192</v>
      </c>
      <c r="O390">
        <v>9</v>
      </c>
      <c r="P390">
        <v>86</v>
      </c>
      <c r="Q390">
        <v>4</v>
      </c>
      <c r="R390">
        <v>140</v>
      </c>
      <c r="S390">
        <v>223.7</v>
      </c>
      <c r="T390" t="s">
        <v>37</v>
      </c>
      <c r="U390" s="7">
        <f t="shared" si="24"/>
        <v>31</v>
      </c>
      <c r="V390" s="7">
        <f t="shared" si="25"/>
        <v>9</v>
      </c>
      <c r="W390" s="6">
        <f t="shared" si="26"/>
        <v>31380.009999999995</v>
      </c>
      <c r="X390" t="str">
        <f t="shared" si="27"/>
        <v>Adult</v>
      </c>
    </row>
    <row r="391" spans="1:24">
      <c r="A391" t="s">
        <v>1113</v>
      </c>
      <c r="B391" t="s">
        <v>295</v>
      </c>
      <c r="C391" t="s">
        <v>40</v>
      </c>
      <c r="D391" s="5">
        <v>40471</v>
      </c>
      <c r="E391" s="5">
        <v>45602</v>
      </c>
      <c r="F391" s="5">
        <v>45607</v>
      </c>
      <c r="G391" t="s">
        <v>152</v>
      </c>
      <c r="H391" t="s">
        <v>153</v>
      </c>
      <c r="I391" t="s">
        <v>25</v>
      </c>
      <c r="J391" t="s">
        <v>34</v>
      </c>
      <c r="K391" t="s">
        <v>120</v>
      </c>
      <c r="L391" s="6">
        <v>24837.55</v>
      </c>
      <c r="M391">
        <v>16889.25</v>
      </c>
      <c r="N391" t="s">
        <v>91</v>
      </c>
      <c r="O391">
        <v>5</v>
      </c>
      <c r="P391">
        <v>95</v>
      </c>
      <c r="Q391">
        <v>4</v>
      </c>
      <c r="R391">
        <v>98</v>
      </c>
      <c r="S391">
        <v>194.4</v>
      </c>
      <c r="T391" t="s">
        <v>37</v>
      </c>
      <c r="U391" s="7">
        <f t="shared" si="24"/>
        <v>14</v>
      </c>
      <c r="V391" s="7">
        <f t="shared" si="25"/>
        <v>5</v>
      </c>
      <c r="W391" s="6">
        <f t="shared" si="26"/>
        <v>7948.2999999999993</v>
      </c>
      <c r="X391" t="str">
        <f t="shared" si="27"/>
        <v>Child</v>
      </c>
    </row>
    <row r="392" spans="1:24">
      <c r="A392" t="s">
        <v>1116</v>
      </c>
      <c r="B392" t="s">
        <v>541</v>
      </c>
      <c r="C392" t="s">
        <v>40</v>
      </c>
      <c r="D392" s="5">
        <v>40210</v>
      </c>
      <c r="E392" s="5">
        <v>44968</v>
      </c>
      <c r="F392" s="5">
        <v>44985</v>
      </c>
      <c r="G392" t="s">
        <v>43</v>
      </c>
      <c r="H392" t="s">
        <v>78</v>
      </c>
      <c r="I392" t="s">
        <v>33</v>
      </c>
      <c r="J392" t="s">
        <v>179</v>
      </c>
      <c r="K392" t="s">
        <v>55</v>
      </c>
      <c r="L392" s="6">
        <v>41344.01</v>
      </c>
      <c r="M392">
        <v>29241.51</v>
      </c>
      <c r="N392" t="s">
        <v>192</v>
      </c>
      <c r="O392">
        <v>17</v>
      </c>
      <c r="P392">
        <v>166</v>
      </c>
      <c r="Q392">
        <v>4</v>
      </c>
      <c r="R392">
        <v>141</v>
      </c>
      <c r="S392">
        <v>121.8</v>
      </c>
      <c r="T392" t="s">
        <v>37</v>
      </c>
      <c r="U392" s="7">
        <f t="shared" si="24"/>
        <v>13</v>
      </c>
      <c r="V392" s="7">
        <f t="shared" si="25"/>
        <v>17</v>
      </c>
      <c r="W392" s="6">
        <f t="shared" si="26"/>
        <v>12102.500000000004</v>
      </c>
      <c r="X392" t="str">
        <f t="shared" si="27"/>
        <v>Child</v>
      </c>
    </row>
    <row r="393" spans="1:24">
      <c r="A393" t="s">
        <v>4126</v>
      </c>
      <c r="B393" t="s">
        <v>1119</v>
      </c>
      <c r="C393" t="s">
        <v>133</v>
      </c>
      <c r="D393" s="5">
        <v>20808</v>
      </c>
      <c r="E393" s="5">
        <v>45728</v>
      </c>
      <c r="F393" s="5">
        <v>45735</v>
      </c>
      <c r="G393" t="s">
        <v>117</v>
      </c>
      <c r="H393" t="s">
        <v>44</v>
      </c>
      <c r="I393" t="s">
        <v>119</v>
      </c>
      <c r="J393" t="s">
        <v>34</v>
      </c>
      <c r="K393" t="s">
        <v>55</v>
      </c>
      <c r="L393" s="6">
        <v>129308.02</v>
      </c>
      <c r="M393">
        <v>102236.89</v>
      </c>
      <c r="N393" t="s">
        <v>4237</v>
      </c>
      <c r="O393">
        <v>7</v>
      </c>
      <c r="P393">
        <v>122</v>
      </c>
      <c r="Q393">
        <v>4</v>
      </c>
      <c r="R393">
        <v>141</v>
      </c>
      <c r="S393">
        <v>120.2</v>
      </c>
      <c r="T393" t="s">
        <v>4237</v>
      </c>
      <c r="U393" s="7">
        <f t="shared" si="24"/>
        <v>68</v>
      </c>
      <c r="V393" s="7">
        <f t="shared" si="25"/>
        <v>7</v>
      </c>
      <c r="W393" s="6">
        <f t="shared" si="26"/>
        <v>27071.130000000005</v>
      </c>
      <c r="X393" t="str">
        <f t="shared" si="27"/>
        <v>Senior</v>
      </c>
    </row>
    <row r="394" spans="1:24">
      <c r="A394" t="s">
        <v>1121</v>
      </c>
      <c r="B394" t="s">
        <v>700</v>
      </c>
      <c r="C394" t="s">
        <v>133</v>
      </c>
      <c r="D394" s="5">
        <v>40354</v>
      </c>
      <c r="E394" s="5">
        <v>45148</v>
      </c>
      <c r="F394" s="5">
        <v>45163</v>
      </c>
      <c r="G394" t="s">
        <v>152</v>
      </c>
      <c r="H394" t="s">
        <v>134</v>
      </c>
      <c r="I394" t="s">
        <v>45</v>
      </c>
      <c r="J394" t="s">
        <v>34</v>
      </c>
      <c r="K394" t="s">
        <v>110</v>
      </c>
      <c r="L394" s="6">
        <v>94030.85</v>
      </c>
      <c r="M394">
        <v>62005.45</v>
      </c>
      <c r="N394" t="s">
        <v>73</v>
      </c>
      <c r="O394">
        <v>15</v>
      </c>
      <c r="P394">
        <v>84</v>
      </c>
      <c r="Q394">
        <v>5</v>
      </c>
      <c r="R394">
        <v>108</v>
      </c>
      <c r="S394">
        <v>223.8</v>
      </c>
      <c r="T394" t="s">
        <v>37</v>
      </c>
      <c r="U394" s="7">
        <f t="shared" si="24"/>
        <v>13</v>
      </c>
      <c r="V394" s="7">
        <f t="shared" si="25"/>
        <v>15</v>
      </c>
      <c r="W394" s="6">
        <f t="shared" si="26"/>
        <v>32025.400000000009</v>
      </c>
      <c r="X394" t="str">
        <f t="shared" si="27"/>
        <v>Child</v>
      </c>
    </row>
    <row r="395" spans="1:24">
      <c r="A395" t="s">
        <v>1122</v>
      </c>
      <c r="B395" t="s">
        <v>321</v>
      </c>
      <c r="C395" t="s">
        <v>40</v>
      </c>
      <c r="D395" s="5">
        <v>24387</v>
      </c>
      <c r="E395" s="5">
        <v>45618</v>
      </c>
      <c r="F395" s="5" t="s">
        <v>4237</v>
      </c>
      <c r="G395" t="s">
        <v>161</v>
      </c>
      <c r="H395" t="s">
        <v>118</v>
      </c>
      <c r="I395" t="s">
        <v>79</v>
      </c>
      <c r="J395" t="s">
        <v>179</v>
      </c>
      <c r="K395" t="s">
        <v>120</v>
      </c>
      <c r="L395" s="6">
        <v>68865.86</v>
      </c>
      <c r="M395">
        <v>63805</v>
      </c>
      <c r="N395" t="s">
        <v>91</v>
      </c>
      <c r="O395">
        <v>5</v>
      </c>
      <c r="P395">
        <v>208</v>
      </c>
      <c r="Q395">
        <v>4</v>
      </c>
      <c r="R395">
        <v>159</v>
      </c>
      <c r="S395">
        <v>165</v>
      </c>
      <c r="T395" t="s">
        <v>4237</v>
      </c>
      <c r="U395" s="7">
        <f t="shared" si="24"/>
        <v>58</v>
      </c>
      <c r="V395" s="7" t="s">
        <v>4237</v>
      </c>
      <c r="W395" s="6">
        <f t="shared" si="26"/>
        <v>5060.8600000000006</v>
      </c>
      <c r="X395" t="str">
        <f t="shared" si="27"/>
        <v>Middle Age</v>
      </c>
    </row>
    <row r="396" spans="1:24">
      <c r="A396" t="s">
        <v>1124</v>
      </c>
      <c r="B396" t="s">
        <v>1125</v>
      </c>
      <c r="C396" t="s">
        <v>133</v>
      </c>
      <c r="D396" s="5">
        <v>35467</v>
      </c>
      <c r="E396" s="5">
        <v>45537</v>
      </c>
      <c r="F396" s="5">
        <v>45346</v>
      </c>
      <c r="G396" t="s">
        <v>161</v>
      </c>
      <c r="H396" t="s">
        <v>24</v>
      </c>
      <c r="I396" t="s">
        <v>79</v>
      </c>
      <c r="J396" t="s">
        <v>34</v>
      </c>
      <c r="K396" t="s">
        <v>55</v>
      </c>
      <c r="L396" s="6">
        <v>44753.72</v>
      </c>
      <c r="M396">
        <v>34081.85</v>
      </c>
      <c r="N396" t="s">
        <v>73</v>
      </c>
      <c r="O396">
        <v>15</v>
      </c>
      <c r="P396">
        <v>196</v>
      </c>
      <c r="Q396">
        <v>4</v>
      </c>
      <c r="R396">
        <v>143</v>
      </c>
      <c r="S396">
        <v>145.9</v>
      </c>
      <c r="T396" t="s">
        <v>65</v>
      </c>
      <c r="U396" s="7">
        <f t="shared" si="24"/>
        <v>27</v>
      </c>
      <c r="V396" s="7">
        <f t="shared" si="25"/>
        <v>-191</v>
      </c>
      <c r="W396" s="6">
        <f t="shared" si="26"/>
        <v>10671.870000000003</v>
      </c>
      <c r="X396" t="str">
        <f t="shared" si="27"/>
        <v>Adult</v>
      </c>
    </row>
    <row r="397" spans="1:24">
      <c r="A397" t="s">
        <v>1128</v>
      </c>
      <c r="B397" t="s">
        <v>295</v>
      </c>
      <c r="C397" t="s">
        <v>40</v>
      </c>
      <c r="D397" s="5">
        <v>40524</v>
      </c>
      <c r="E397" s="5">
        <v>45990</v>
      </c>
      <c r="F397" s="5">
        <v>45999</v>
      </c>
      <c r="G397" t="s">
        <v>94</v>
      </c>
      <c r="H397" t="s">
        <v>63</v>
      </c>
      <c r="I397" t="s">
        <v>53</v>
      </c>
      <c r="J397" t="s">
        <v>97</v>
      </c>
      <c r="K397" t="s">
        <v>27</v>
      </c>
      <c r="L397" s="6">
        <v>132283.67000000001</v>
      </c>
      <c r="M397">
        <v>88338.91</v>
      </c>
      <c r="N397" t="s">
        <v>56</v>
      </c>
      <c r="O397">
        <v>9</v>
      </c>
      <c r="P397">
        <v>111</v>
      </c>
      <c r="Q397">
        <v>3</v>
      </c>
      <c r="R397">
        <v>109</v>
      </c>
      <c r="S397">
        <v>159.4</v>
      </c>
      <c r="T397" t="s">
        <v>37</v>
      </c>
      <c r="U397" s="7">
        <f t="shared" si="24"/>
        <v>14</v>
      </c>
      <c r="V397" s="7">
        <f t="shared" si="25"/>
        <v>9</v>
      </c>
      <c r="W397" s="6">
        <f t="shared" si="26"/>
        <v>43944.760000000009</v>
      </c>
      <c r="X397" t="str">
        <f t="shared" si="27"/>
        <v>Child</v>
      </c>
    </row>
    <row r="398" spans="1:24">
      <c r="A398" t="s">
        <v>1130</v>
      </c>
      <c r="B398" t="s">
        <v>1131</v>
      </c>
      <c r="C398" t="s">
        <v>133</v>
      </c>
      <c r="D398" s="5">
        <v>39912</v>
      </c>
      <c r="E398" s="5">
        <v>45509</v>
      </c>
      <c r="F398" s="5">
        <v>45523</v>
      </c>
      <c r="G398" t="s">
        <v>109</v>
      </c>
      <c r="H398" t="s">
        <v>63</v>
      </c>
      <c r="I398" t="s">
        <v>79</v>
      </c>
      <c r="J398" t="s">
        <v>71</v>
      </c>
      <c r="K398" t="s">
        <v>161</v>
      </c>
      <c r="L398" s="6">
        <v>141375.29</v>
      </c>
      <c r="M398">
        <v>107888.96000000001</v>
      </c>
      <c r="N398" t="s">
        <v>192</v>
      </c>
      <c r="O398">
        <v>14</v>
      </c>
      <c r="P398">
        <v>24</v>
      </c>
      <c r="Q398">
        <v>3</v>
      </c>
      <c r="R398">
        <v>103</v>
      </c>
      <c r="S398">
        <v>208.8</v>
      </c>
      <c r="T398" t="s">
        <v>65</v>
      </c>
      <c r="U398" s="7">
        <f t="shared" si="24"/>
        <v>15</v>
      </c>
      <c r="V398" s="7">
        <f t="shared" si="25"/>
        <v>14</v>
      </c>
      <c r="W398" s="6">
        <f t="shared" si="26"/>
        <v>33486.33</v>
      </c>
      <c r="X398" t="str">
        <f t="shared" si="27"/>
        <v>Child</v>
      </c>
    </row>
    <row r="399" spans="1:24">
      <c r="A399" t="s">
        <v>1132</v>
      </c>
      <c r="B399" t="s">
        <v>666</v>
      </c>
      <c r="C399" t="s">
        <v>40</v>
      </c>
      <c r="D399" s="5">
        <v>23071</v>
      </c>
      <c r="E399" s="5">
        <v>45401</v>
      </c>
      <c r="F399" s="5">
        <v>45408</v>
      </c>
      <c r="G399" t="s">
        <v>94</v>
      </c>
      <c r="H399" t="s">
        <v>118</v>
      </c>
      <c r="I399" t="s">
        <v>53</v>
      </c>
      <c r="J399" t="s">
        <v>97</v>
      </c>
      <c r="K399" t="s">
        <v>55</v>
      </c>
      <c r="L399" s="6">
        <v>43292.55</v>
      </c>
      <c r="M399">
        <v>34504.22</v>
      </c>
      <c r="N399" t="s">
        <v>192</v>
      </c>
      <c r="O399">
        <v>7</v>
      </c>
      <c r="P399">
        <v>234</v>
      </c>
      <c r="Q399">
        <v>1</v>
      </c>
      <c r="R399">
        <v>107</v>
      </c>
      <c r="S399">
        <v>167.2</v>
      </c>
      <c r="T399" t="s">
        <v>37</v>
      </c>
      <c r="U399" s="7">
        <f t="shared" si="24"/>
        <v>61</v>
      </c>
      <c r="V399" s="7">
        <f t="shared" si="25"/>
        <v>7</v>
      </c>
      <c r="W399" s="6">
        <f t="shared" si="26"/>
        <v>8788.3300000000017</v>
      </c>
      <c r="X399" t="str">
        <f t="shared" si="27"/>
        <v>Senior</v>
      </c>
    </row>
    <row r="400" spans="1:24">
      <c r="A400" t="s">
        <v>4127</v>
      </c>
      <c r="B400" t="s">
        <v>1135</v>
      </c>
      <c r="C400" t="s">
        <v>40</v>
      </c>
      <c r="D400" s="5">
        <v>37717</v>
      </c>
      <c r="E400" s="5">
        <v>45495</v>
      </c>
      <c r="F400" s="5">
        <v>45500</v>
      </c>
      <c r="G400" t="s">
        <v>89</v>
      </c>
      <c r="H400" t="s">
        <v>32</v>
      </c>
      <c r="I400" t="s">
        <v>33</v>
      </c>
      <c r="J400" t="s">
        <v>71</v>
      </c>
      <c r="K400" t="s">
        <v>120</v>
      </c>
      <c r="L400" s="6">
        <v>172128.48</v>
      </c>
      <c r="M400">
        <v>150257.10999999999</v>
      </c>
      <c r="N400" t="s">
        <v>35</v>
      </c>
      <c r="O400">
        <v>5</v>
      </c>
      <c r="P400">
        <v>171</v>
      </c>
      <c r="Q400">
        <v>5</v>
      </c>
      <c r="R400">
        <v>141</v>
      </c>
      <c r="S400">
        <v>74.8</v>
      </c>
      <c r="T400" t="s">
        <v>65</v>
      </c>
      <c r="U400" s="7">
        <f t="shared" si="24"/>
        <v>21</v>
      </c>
      <c r="V400" s="7">
        <f t="shared" si="25"/>
        <v>5</v>
      </c>
      <c r="W400" s="6">
        <f t="shared" si="26"/>
        <v>21871.370000000024</v>
      </c>
      <c r="X400" t="str">
        <f t="shared" si="27"/>
        <v>Adult</v>
      </c>
    </row>
    <row r="401" spans="1:24">
      <c r="A401" t="s">
        <v>1137</v>
      </c>
      <c r="B401" t="s">
        <v>108</v>
      </c>
      <c r="C401" t="s">
        <v>40</v>
      </c>
      <c r="D401" s="5">
        <v>22665</v>
      </c>
      <c r="E401" s="5">
        <v>45562</v>
      </c>
      <c r="F401" s="5">
        <v>45573</v>
      </c>
      <c r="G401" t="s">
        <v>105</v>
      </c>
      <c r="H401" t="s">
        <v>44</v>
      </c>
      <c r="I401" t="s">
        <v>25</v>
      </c>
      <c r="J401" t="s">
        <v>64</v>
      </c>
      <c r="K401" t="s">
        <v>161</v>
      </c>
      <c r="L401" s="6">
        <v>70074.39</v>
      </c>
      <c r="M401">
        <v>46607.360000000001</v>
      </c>
      <c r="N401" t="s">
        <v>56</v>
      </c>
      <c r="O401">
        <v>11</v>
      </c>
      <c r="P401">
        <v>127</v>
      </c>
      <c r="Q401">
        <v>4</v>
      </c>
      <c r="R401">
        <v>95</v>
      </c>
      <c r="S401">
        <v>259.2</v>
      </c>
      <c r="T401" t="s">
        <v>4237</v>
      </c>
      <c r="U401" s="7">
        <f t="shared" si="24"/>
        <v>62</v>
      </c>
      <c r="V401" s="7">
        <f t="shared" si="25"/>
        <v>11</v>
      </c>
      <c r="W401" s="6">
        <f t="shared" si="26"/>
        <v>23467.03</v>
      </c>
      <c r="X401" t="str">
        <f t="shared" si="27"/>
        <v>Senior</v>
      </c>
    </row>
    <row r="402" spans="1:24">
      <c r="A402" t="s">
        <v>1139</v>
      </c>
      <c r="B402" t="s">
        <v>1140</v>
      </c>
      <c r="C402" t="s">
        <v>40</v>
      </c>
      <c r="D402" s="5">
        <v>19146</v>
      </c>
      <c r="E402" s="5">
        <v>45240</v>
      </c>
      <c r="F402" s="5">
        <v>45246</v>
      </c>
      <c r="G402" t="s">
        <v>62</v>
      </c>
      <c r="H402" t="s">
        <v>52</v>
      </c>
      <c r="I402" t="s">
        <v>79</v>
      </c>
      <c r="J402" t="s">
        <v>26</v>
      </c>
      <c r="K402" t="s">
        <v>120</v>
      </c>
      <c r="L402" s="6">
        <v>16371.88</v>
      </c>
      <c r="M402">
        <v>12707.86</v>
      </c>
      <c r="N402" t="s">
        <v>35</v>
      </c>
      <c r="O402">
        <v>6</v>
      </c>
      <c r="P402">
        <v>85</v>
      </c>
      <c r="Q402">
        <v>2</v>
      </c>
      <c r="R402">
        <v>159</v>
      </c>
      <c r="S402">
        <v>122.7</v>
      </c>
      <c r="T402" t="s">
        <v>47</v>
      </c>
      <c r="U402" s="7">
        <f t="shared" si="24"/>
        <v>71</v>
      </c>
      <c r="V402" s="7">
        <f t="shared" si="25"/>
        <v>6</v>
      </c>
      <c r="W402" s="6">
        <f t="shared" si="26"/>
        <v>3664.0199999999986</v>
      </c>
      <c r="X402" t="str">
        <f t="shared" si="27"/>
        <v>Senior</v>
      </c>
    </row>
    <row r="403" spans="1:24">
      <c r="A403" t="s">
        <v>1144</v>
      </c>
      <c r="B403" t="s">
        <v>857</v>
      </c>
      <c r="C403" t="s">
        <v>133</v>
      </c>
      <c r="D403" s="5">
        <v>19841</v>
      </c>
      <c r="E403" s="5">
        <v>45954</v>
      </c>
      <c r="F403" s="5">
        <v>45959</v>
      </c>
      <c r="G403" t="s">
        <v>161</v>
      </c>
      <c r="H403" t="s">
        <v>124</v>
      </c>
      <c r="I403" t="s">
        <v>33</v>
      </c>
      <c r="J403" t="s">
        <v>179</v>
      </c>
      <c r="K403" t="s">
        <v>161</v>
      </c>
      <c r="L403" s="6">
        <v>70692.55</v>
      </c>
      <c r="M403">
        <v>64090.93</v>
      </c>
      <c r="N403" t="s">
        <v>56</v>
      </c>
      <c r="O403">
        <v>5</v>
      </c>
      <c r="P403">
        <v>109</v>
      </c>
      <c r="Q403">
        <v>3</v>
      </c>
      <c r="R403">
        <v>171</v>
      </c>
      <c r="S403">
        <v>211.9</v>
      </c>
      <c r="T403" t="s">
        <v>37</v>
      </c>
      <c r="U403" s="7">
        <f t="shared" si="24"/>
        <v>71</v>
      </c>
      <c r="V403" s="7">
        <f t="shared" si="25"/>
        <v>5</v>
      </c>
      <c r="W403" s="6">
        <f t="shared" si="26"/>
        <v>6601.6200000000026</v>
      </c>
      <c r="X403" t="str">
        <f t="shared" si="27"/>
        <v>Senior</v>
      </c>
    </row>
    <row r="404" spans="1:24">
      <c r="A404" t="s">
        <v>1145</v>
      </c>
      <c r="B404" t="s">
        <v>1146</v>
      </c>
      <c r="C404" t="s">
        <v>40</v>
      </c>
      <c r="D404" s="5">
        <v>32082</v>
      </c>
      <c r="E404" s="5">
        <v>45273</v>
      </c>
      <c r="F404" s="5">
        <v>45274</v>
      </c>
      <c r="G404" t="s">
        <v>105</v>
      </c>
      <c r="H404" t="s">
        <v>32</v>
      </c>
      <c r="I404" t="s">
        <v>33</v>
      </c>
      <c r="J404" t="s">
        <v>80</v>
      </c>
      <c r="K404" t="s">
        <v>55</v>
      </c>
      <c r="L404" s="6">
        <v>78676.12</v>
      </c>
      <c r="M404">
        <v>59698.73</v>
      </c>
      <c r="N404" t="s">
        <v>56</v>
      </c>
      <c r="O404">
        <v>1</v>
      </c>
      <c r="P404">
        <v>235</v>
      </c>
      <c r="Q404">
        <v>4</v>
      </c>
      <c r="R404">
        <v>185</v>
      </c>
      <c r="S404">
        <v>213.6</v>
      </c>
      <c r="T404" t="s">
        <v>47</v>
      </c>
      <c r="U404" s="7">
        <f t="shared" si="24"/>
        <v>36</v>
      </c>
      <c r="V404" s="7">
        <f t="shared" si="25"/>
        <v>1</v>
      </c>
      <c r="W404" s="6">
        <f t="shared" si="26"/>
        <v>18977.389999999992</v>
      </c>
      <c r="X404" t="str">
        <f t="shared" si="27"/>
        <v>Adult</v>
      </c>
    </row>
    <row r="405" spans="1:24">
      <c r="A405" t="s">
        <v>1147</v>
      </c>
      <c r="B405" t="s">
        <v>39</v>
      </c>
      <c r="C405" t="s">
        <v>40</v>
      </c>
      <c r="D405" s="5">
        <v>24154</v>
      </c>
      <c r="E405" s="5">
        <v>45654</v>
      </c>
      <c r="F405" s="5">
        <v>45666</v>
      </c>
      <c r="G405" t="s">
        <v>152</v>
      </c>
      <c r="H405" t="s">
        <v>95</v>
      </c>
      <c r="I405" t="s">
        <v>33</v>
      </c>
      <c r="J405" t="s">
        <v>97</v>
      </c>
      <c r="K405" t="s">
        <v>27</v>
      </c>
      <c r="L405" s="6">
        <v>11590.95</v>
      </c>
      <c r="M405">
        <v>8509.31</v>
      </c>
      <c r="N405" t="s">
        <v>56</v>
      </c>
      <c r="O405">
        <v>12</v>
      </c>
      <c r="P405">
        <v>142</v>
      </c>
      <c r="Q405">
        <v>4</v>
      </c>
      <c r="R405">
        <v>179</v>
      </c>
      <c r="S405">
        <v>152.4</v>
      </c>
      <c r="T405" t="s">
        <v>4237</v>
      </c>
      <c r="U405" s="7">
        <f t="shared" si="24"/>
        <v>58</v>
      </c>
      <c r="V405" s="7">
        <f t="shared" si="25"/>
        <v>12</v>
      </c>
      <c r="W405" s="6">
        <f t="shared" si="26"/>
        <v>3081.6400000000012</v>
      </c>
      <c r="X405" t="str">
        <f t="shared" si="27"/>
        <v>Middle Age</v>
      </c>
    </row>
    <row r="406" spans="1:24">
      <c r="A406" t="s">
        <v>1148</v>
      </c>
      <c r="B406" t="s">
        <v>324</v>
      </c>
      <c r="C406" t="s">
        <v>133</v>
      </c>
      <c r="D406" s="5" t="s">
        <v>4237</v>
      </c>
      <c r="E406" s="5">
        <v>45588</v>
      </c>
      <c r="F406" s="5">
        <v>45393</v>
      </c>
      <c r="G406" t="s">
        <v>152</v>
      </c>
      <c r="H406" t="s">
        <v>118</v>
      </c>
      <c r="I406" t="s">
        <v>25</v>
      </c>
      <c r="J406" t="s">
        <v>46</v>
      </c>
      <c r="K406" t="s">
        <v>120</v>
      </c>
      <c r="L406" s="6">
        <v>176068.85</v>
      </c>
      <c r="M406">
        <v>120873.99</v>
      </c>
      <c r="N406" t="s">
        <v>73</v>
      </c>
      <c r="O406">
        <v>12</v>
      </c>
      <c r="P406">
        <v>235</v>
      </c>
      <c r="Q406">
        <v>1</v>
      </c>
      <c r="R406">
        <v>110</v>
      </c>
      <c r="S406">
        <v>150.1</v>
      </c>
      <c r="T406" t="s">
        <v>65</v>
      </c>
      <c r="U406" s="7" t="s">
        <v>4237</v>
      </c>
      <c r="V406" s="7">
        <f t="shared" si="25"/>
        <v>-195</v>
      </c>
      <c r="W406" s="6">
        <f t="shared" si="26"/>
        <v>55194.86</v>
      </c>
      <c r="X406" t="s">
        <v>4237</v>
      </c>
    </row>
    <row r="407" spans="1:24">
      <c r="A407" t="s">
        <v>1152</v>
      </c>
      <c r="B407" t="s">
        <v>1153</v>
      </c>
      <c r="C407" t="s">
        <v>40</v>
      </c>
      <c r="D407" s="5">
        <v>24453</v>
      </c>
      <c r="E407" s="5">
        <v>45618</v>
      </c>
      <c r="F407" s="5">
        <v>45634</v>
      </c>
      <c r="G407" t="s">
        <v>109</v>
      </c>
      <c r="H407" t="s">
        <v>24</v>
      </c>
      <c r="I407" t="s">
        <v>45</v>
      </c>
      <c r="J407" t="s">
        <v>64</v>
      </c>
      <c r="K407" t="s">
        <v>161</v>
      </c>
      <c r="L407" s="6">
        <v>29194.19</v>
      </c>
      <c r="M407">
        <v>25854.69</v>
      </c>
      <c r="N407" t="s">
        <v>192</v>
      </c>
      <c r="O407">
        <v>16</v>
      </c>
      <c r="P407">
        <v>152</v>
      </c>
      <c r="Q407">
        <v>4</v>
      </c>
      <c r="R407">
        <v>165</v>
      </c>
      <c r="S407">
        <v>75.400000000000006</v>
      </c>
      <c r="T407" t="s">
        <v>37</v>
      </c>
      <c r="U407" s="7">
        <f t="shared" si="24"/>
        <v>57</v>
      </c>
      <c r="V407" s="7">
        <f t="shared" si="25"/>
        <v>16</v>
      </c>
      <c r="W407" s="6">
        <f t="shared" si="26"/>
        <v>3339.5</v>
      </c>
      <c r="X407" t="str">
        <f t="shared" si="27"/>
        <v>Middle Age</v>
      </c>
    </row>
    <row r="408" spans="1:24">
      <c r="A408" t="s">
        <v>1156</v>
      </c>
      <c r="B408" t="s">
        <v>940</v>
      </c>
      <c r="C408" t="s">
        <v>40</v>
      </c>
      <c r="D408" s="5">
        <v>37057</v>
      </c>
      <c r="E408" s="5">
        <v>45737</v>
      </c>
      <c r="F408" s="5">
        <v>45743</v>
      </c>
      <c r="G408" t="s">
        <v>152</v>
      </c>
      <c r="H408" t="s">
        <v>124</v>
      </c>
      <c r="I408" t="s">
        <v>45</v>
      </c>
      <c r="J408" t="s">
        <v>97</v>
      </c>
      <c r="K408" t="s">
        <v>120</v>
      </c>
      <c r="L408" s="6">
        <v>77067.38</v>
      </c>
      <c r="M408">
        <v>58215.01</v>
      </c>
      <c r="N408" t="s">
        <v>192</v>
      </c>
      <c r="O408">
        <v>6</v>
      </c>
      <c r="P408">
        <v>224</v>
      </c>
      <c r="Q408">
        <v>4</v>
      </c>
      <c r="R408">
        <v>145</v>
      </c>
      <c r="S408">
        <v>87.1</v>
      </c>
      <c r="T408" t="s">
        <v>47</v>
      </c>
      <c r="U408" s="7">
        <f t="shared" si="24"/>
        <v>23</v>
      </c>
      <c r="V408" s="7">
        <f t="shared" si="25"/>
        <v>6</v>
      </c>
      <c r="W408" s="6">
        <f t="shared" si="26"/>
        <v>18852.370000000003</v>
      </c>
      <c r="X408" t="str">
        <f t="shared" si="27"/>
        <v>Adult</v>
      </c>
    </row>
    <row r="409" spans="1:24">
      <c r="A409" t="s">
        <v>1158</v>
      </c>
      <c r="B409" t="s">
        <v>527</v>
      </c>
      <c r="C409" t="s">
        <v>40</v>
      </c>
      <c r="D409" s="5">
        <v>27099</v>
      </c>
      <c r="E409" s="5">
        <v>45200</v>
      </c>
      <c r="F409" s="5" t="s">
        <v>4237</v>
      </c>
      <c r="G409" t="s">
        <v>109</v>
      </c>
      <c r="H409" t="s">
        <v>134</v>
      </c>
      <c r="I409" t="s">
        <v>79</v>
      </c>
      <c r="J409" t="s">
        <v>64</v>
      </c>
      <c r="K409" t="s">
        <v>120</v>
      </c>
      <c r="L409" s="6">
        <v>99977.96</v>
      </c>
      <c r="M409">
        <v>80388.289999999994</v>
      </c>
      <c r="N409" t="s">
        <v>91</v>
      </c>
      <c r="O409">
        <v>13</v>
      </c>
      <c r="P409">
        <v>176</v>
      </c>
      <c r="Q409">
        <v>1</v>
      </c>
      <c r="R409">
        <v>118</v>
      </c>
      <c r="S409">
        <v>238.3</v>
      </c>
      <c r="T409" t="s">
        <v>47</v>
      </c>
      <c r="U409" s="7">
        <f t="shared" si="24"/>
        <v>49</v>
      </c>
      <c r="V409" s="7" t="s">
        <v>4237</v>
      </c>
      <c r="W409" s="6">
        <f t="shared" si="26"/>
        <v>19589.670000000013</v>
      </c>
      <c r="X409" t="str">
        <f t="shared" si="27"/>
        <v>Middle Age</v>
      </c>
    </row>
    <row r="410" spans="1:24">
      <c r="A410" t="s">
        <v>1162</v>
      </c>
      <c r="B410" t="s">
        <v>864</v>
      </c>
      <c r="C410" t="s">
        <v>40</v>
      </c>
      <c r="D410" s="5">
        <v>26135</v>
      </c>
      <c r="E410" s="5">
        <v>45295</v>
      </c>
      <c r="F410" s="5">
        <v>45309</v>
      </c>
      <c r="G410" t="s">
        <v>109</v>
      </c>
      <c r="H410" t="s">
        <v>134</v>
      </c>
      <c r="I410" t="s">
        <v>33</v>
      </c>
      <c r="J410" t="s">
        <v>179</v>
      </c>
      <c r="K410" t="s">
        <v>120</v>
      </c>
      <c r="L410" s="6">
        <v>67102.33</v>
      </c>
      <c r="M410">
        <v>48056.18</v>
      </c>
      <c r="N410" t="s">
        <v>73</v>
      </c>
      <c r="O410">
        <v>14</v>
      </c>
      <c r="P410">
        <v>106</v>
      </c>
      <c r="Q410">
        <v>4</v>
      </c>
      <c r="R410">
        <v>103</v>
      </c>
      <c r="S410">
        <v>163.5</v>
      </c>
      <c r="T410" t="s">
        <v>37</v>
      </c>
      <c r="U410" s="7">
        <f t="shared" si="24"/>
        <v>52</v>
      </c>
      <c r="V410" s="7">
        <f t="shared" si="25"/>
        <v>14</v>
      </c>
      <c r="W410" s="6">
        <f t="shared" si="26"/>
        <v>19046.150000000001</v>
      </c>
      <c r="X410" t="str">
        <f t="shared" si="27"/>
        <v>Middle Age</v>
      </c>
    </row>
    <row r="411" spans="1:24">
      <c r="A411" t="s">
        <v>1163</v>
      </c>
      <c r="B411" t="s">
        <v>857</v>
      </c>
      <c r="C411" t="s">
        <v>40</v>
      </c>
      <c r="D411" s="5">
        <v>25393</v>
      </c>
      <c r="E411" s="5">
        <v>45164</v>
      </c>
      <c r="F411" s="5">
        <v>45179</v>
      </c>
      <c r="G411" t="s">
        <v>94</v>
      </c>
      <c r="H411" t="s">
        <v>32</v>
      </c>
      <c r="I411" t="s">
        <v>119</v>
      </c>
      <c r="J411" t="s">
        <v>64</v>
      </c>
      <c r="K411" t="s">
        <v>110</v>
      </c>
      <c r="L411" s="6">
        <v>243013.14</v>
      </c>
      <c r="M411">
        <v>227374.86</v>
      </c>
      <c r="N411" t="s">
        <v>73</v>
      </c>
      <c r="O411">
        <v>15</v>
      </c>
      <c r="P411">
        <v>113</v>
      </c>
      <c r="Q411">
        <v>4</v>
      </c>
      <c r="R411">
        <v>187</v>
      </c>
      <c r="S411">
        <v>142.9</v>
      </c>
      <c r="T411" t="s">
        <v>4237</v>
      </c>
      <c r="U411" s="7">
        <f t="shared" si="24"/>
        <v>54</v>
      </c>
      <c r="V411" s="7">
        <f t="shared" si="25"/>
        <v>15</v>
      </c>
      <c r="W411" s="6">
        <f t="shared" si="26"/>
        <v>15638.280000000028</v>
      </c>
      <c r="X411" t="str">
        <f t="shared" si="27"/>
        <v>Middle Age</v>
      </c>
    </row>
    <row r="412" spans="1:24">
      <c r="A412" t="s">
        <v>1166</v>
      </c>
      <c r="B412" t="s">
        <v>1167</v>
      </c>
      <c r="C412" t="s">
        <v>40</v>
      </c>
      <c r="D412" s="5">
        <v>28892</v>
      </c>
      <c r="E412" s="5">
        <v>45683</v>
      </c>
      <c r="F412" s="5">
        <v>45692</v>
      </c>
      <c r="G412" t="s">
        <v>152</v>
      </c>
      <c r="H412" t="s">
        <v>44</v>
      </c>
      <c r="I412" t="s">
        <v>25</v>
      </c>
      <c r="J412" t="s">
        <v>64</v>
      </c>
      <c r="K412" t="s">
        <v>120</v>
      </c>
      <c r="L412" s="6">
        <v>68640.789999999994</v>
      </c>
      <c r="M412">
        <v>55397.62</v>
      </c>
      <c r="N412" t="s">
        <v>73</v>
      </c>
      <c r="O412">
        <v>9</v>
      </c>
      <c r="P412">
        <v>9</v>
      </c>
      <c r="Q412">
        <v>4</v>
      </c>
      <c r="R412">
        <v>131</v>
      </c>
      <c r="S412">
        <v>126.6</v>
      </c>
      <c r="T412" t="s">
        <v>37</v>
      </c>
      <c r="U412" s="7">
        <f t="shared" si="24"/>
        <v>45</v>
      </c>
      <c r="V412" s="7">
        <f t="shared" si="25"/>
        <v>9</v>
      </c>
      <c r="W412" s="6">
        <f t="shared" si="26"/>
        <v>13243.169999999991</v>
      </c>
      <c r="X412" t="str">
        <f t="shared" si="27"/>
        <v>Middle Age</v>
      </c>
    </row>
    <row r="413" spans="1:24">
      <c r="A413" t="s">
        <v>1169</v>
      </c>
      <c r="B413" t="s">
        <v>697</v>
      </c>
      <c r="C413" t="s">
        <v>133</v>
      </c>
      <c r="D413" s="5">
        <v>24103</v>
      </c>
      <c r="E413" s="5">
        <v>45999</v>
      </c>
      <c r="F413" s="5" t="s">
        <v>4237</v>
      </c>
      <c r="G413" t="s">
        <v>105</v>
      </c>
      <c r="H413" t="s">
        <v>32</v>
      </c>
      <c r="I413" t="s">
        <v>25</v>
      </c>
      <c r="J413" t="s">
        <v>97</v>
      </c>
      <c r="K413" t="s">
        <v>120</v>
      </c>
      <c r="L413" s="6">
        <v>153314.99</v>
      </c>
      <c r="M413">
        <v>116157.98</v>
      </c>
      <c r="N413" t="s">
        <v>73</v>
      </c>
      <c r="O413">
        <v>15</v>
      </c>
      <c r="P413">
        <v>230</v>
      </c>
      <c r="Q413">
        <v>2</v>
      </c>
      <c r="R413">
        <v>138</v>
      </c>
      <c r="S413">
        <v>167.4</v>
      </c>
      <c r="T413" t="s">
        <v>4237</v>
      </c>
      <c r="U413" s="7">
        <f t="shared" si="24"/>
        <v>59</v>
      </c>
      <c r="V413" s="7" t="s">
        <v>4237</v>
      </c>
      <c r="W413" s="6">
        <f t="shared" si="26"/>
        <v>37157.009999999995</v>
      </c>
      <c r="X413" t="str">
        <f t="shared" si="27"/>
        <v>Middle Age</v>
      </c>
    </row>
    <row r="414" spans="1:24">
      <c r="A414" t="s">
        <v>1171</v>
      </c>
      <c r="B414" t="s">
        <v>363</v>
      </c>
      <c r="C414" t="s">
        <v>40</v>
      </c>
      <c r="D414" s="5">
        <v>31542</v>
      </c>
      <c r="E414" s="5">
        <v>45979</v>
      </c>
      <c r="F414" s="5">
        <v>45997</v>
      </c>
      <c r="G414" t="s">
        <v>94</v>
      </c>
      <c r="H414" t="s">
        <v>153</v>
      </c>
      <c r="I414" t="s">
        <v>25</v>
      </c>
      <c r="J414" t="s">
        <v>46</v>
      </c>
      <c r="K414" t="s">
        <v>55</v>
      </c>
      <c r="L414" s="6">
        <v>144400.66</v>
      </c>
      <c r="M414">
        <v>98646.34</v>
      </c>
      <c r="N414" t="s">
        <v>56</v>
      </c>
      <c r="O414">
        <v>18</v>
      </c>
      <c r="P414">
        <v>116</v>
      </c>
      <c r="Q414">
        <v>5</v>
      </c>
      <c r="R414">
        <v>185</v>
      </c>
      <c r="S414">
        <v>200.9</v>
      </c>
      <c r="T414" t="s">
        <v>47</v>
      </c>
      <c r="U414" s="7">
        <f t="shared" si="24"/>
        <v>39</v>
      </c>
      <c r="V414" s="7">
        <f t="shared" si="25"/>
        <v>18</v>
      </c>
      <c r="W414" s="6">
        <f t="shared" si="26"/>
        <v>45754.320000000007</v>
      </c>
      <c r="X414" t="str">
        <f t="shared" si="27"/>
        <v>Adult</v>
      </c>
    </row>
    <row r="415" spans="1:24">
      <c r="A415" t="s">
        <v>1174</v>
      </c>
      <c r="B415" t="s">
        <v>1175</v>
      </c>
      <c r="C415" t="s">
        <v>40</v>
      </c>
      <c r="D415" s="5">
        <v>20553</v>
      </c>
      <c r="E415" s="5">
        <v>44964</v>
      </c>
      <c r="F415" s="5">
        <v>44975</v>
      </c>
      <c r="G415" t="s">
        <v>117</v>
      </c>
      <c r="H415" t="s">
        <v>44</v>
      </c>
      <c r="I415" t="s">
        <v>33</v>
      </c>
      <c r="J415" t="s">
        <v>64</v>
      </c>
      <c r="K415" t="s">
        <v>120</v>
      </c>
      <c r="L415" s="6">
        <v>106639.28</v>
      </c>
      <c r="M415">
        <v>76648.37</v>
      </c>
      <c r="N415" t="s">
        <v>73</v>
      </c>
      <c r="O415">
        <v>11</v>
      </c>
      <c r="P415">
        <v>104</v>
      </c>
      <c r="Q415">
        <v>4</v>
      </c>
      <c r="R415">
        <v>161</v>
      </c>
      <c r="S415">
        <v>72.400000000000006</v>
      </c>
      <c r="T415" t="s">
        <v>65</v>
      </c>
      <c r="U415" s="7">
        <f t="shared" si="24"/>
        <v>66</v>
      </c>
      <c r="V415" s="7">
        <f t="shared" si="25"/>
        <v>11</v>
      </c>
      <c r="W415" s="6">
        <f t="shared" si="26"/>
        <v>29990.910000000003</v>
      </c>
      <c r="X415" t="str">
        <f t="shared" si="27"/>
        <v>Senior</v>
      </c>
    </row>
    <row r="416" spans="1:24">
      <c r="A416" t="s">
        <v>1177</v>
      </c>
      <c r="B416" t="s">
        <v>967</v>
      </c>
      <c r="C416" t="s">
        <v>40</v>
      </c>
      <c r="D416" s="5">
        <v>31201</v>
      </c>
      <c r="E416" s="5">
        <v>45352</v>
      </c>
      <c r="F416" s="5">
        <v>45369</v>
      </c>
      <c r="G416" t="s">
        <v>109</v>
      </c>
      <c r="H416" t="s">
        <v>78</v>
      </c>
      <c r="I416" t="s">
        <v>119</v>
      </c>
      <c r="J416" t="s">
        <v>34</v>
      </c>
      <c r="K416" t="s">
        <v>55</v>
      </c>
      <c r="L416" s="6">
        <v>169439.09</v>
      </c>
      <c r="M416">
        <v>126532.05</v>
      </c>
      <c r="N416" t="s">
        <v>192</v>
      </c>
      <c r="O416">
        <v>17</v>
      </c>
      <c r="P416">
        <v>154</v>
      </c>
      <c r="Q416">
        <v>3</v>
      </c>
      <c r="R416">
        <v>169</v>
      </c>
      <c r="S416">
        <v>136.80000000000001</v>
      </c>
      <c r="T416" t="s">
        <v>37</v>
      </c>
      <c r="U416" s="7">
        <f t="shared" si="24"/>
        <v>38</v>
      </c>
      <c r="V416" s="7">
        <f t="shared" si="25"/>
        <v>17</v>
      </c>
      <c r="W416" s="6">
        <f t="shared" si="26"/>
        <v>42907.039999999994</v>
      </c>
      <c r="X416" t="str">
        <f t="shared" si="27"/>
        <v>Adult</v>
      </c>
    </row>
    <row r="417" spans="1:24">
      <c r="A417" t="s">
        <v>1179</v>
      </c>
      <c r="B417" t="s">
        <v>922</v>
      </c>
      <c r="C417" t="s">
        <v>40</v>
      </c>
      <c r="D417" s="5">
        <v>21103</v>
      </c>
      <c r="E417" s="5">
        <v>45292</v>
      </c>
      <c r="F417" s="5">
        <v>45298</v>
      </c>
      <c r="G417" t="s">
        <v>161</v>
      </c>
      <c r="H417" t="s">
        <v>134</v>
      </c>
      <c r="I417" t="s">
        <v>79</v>
      </c>
      <c r="J417" t="s">
        <v>46</v>
      </c>
      <c r="K417" t="s">
        <v>55</v>
      </c>
      <c r="L417" s="6">
        <v>188442.03</v>
      </c>
      <c r="M417">
        <v>173673.98</v>
      </c>
      <c r="N417" t="s">
        <v>73</v>
      </c>
      <c r="O417">
        <v>6</v>
      </c>
      <c r="P417">
        <v>76</v>
      </c>
      <c r="Q417">
        <v>5</v>
      </c>
      <c r="R417">
        <v>141</v>
      </c>
      <c r="S417">
        <v>139</v>
      </c>
      <c r="T417" t="s">
        <v>37</v>
      </c>
      <c r="U417" s="7">
        <f t="shared" si="24"/>
        <v>66</v>
      </c>
      <c r="V417" s="7">
        <f t="shared" si="25"/>
        <v>6</v>
      </c>
      <c r="W417" s="6">
        <f t="shared" si="26"/>
        <v>14768.049999999988</v>
      </c>
      <c r="X417" t="str">
        <f t="shared" si="27"/>
        <v>Senior</v>
      </c>
    </row>
    <row r="418" spans="1:24">
      <c r="A418" t="s">
        <v>1181</v>
      </c>
      <c r="B418" t="s">
        <v>1182</v>
      </c>
      <c r="C418" t="s">
        <v>40</v>
      </c>
      <c r="D418" s="5">
        <v>33319</v>
      </c>
      <c r="E418" s="5">
        <v>45128</v>
      </c>
      <c r="F418" s="5">
        <v>45141</v>
      </c>
      <c r="G418" t="s">
        <v>43</v>
      </c>
      <c r="H418" t="s">
        <v>134</v>
      </c>
      <c r="I418" t="s">
        <v>79</v>
      </c>
      <c r="J418" t="s">
        <v>80</v>
      </c>
      <c r="K418" t="s">
        <v>55</v>
      </c>
      <c r="L418" s="6">
        <v>160013.18</v>
      </c>
      <c r="M418">
        <v>110494.22</v>
      </c>
      <c r="N418" t="s">
        <v>192</v>
      </c>
      <c r="O418">
        <v>13</v>
      </c>
      <c r="P418">
        <v>161</v>
      </c>
      <c r="Q418">
        <v>4</v>
      </c>
      <c r="R418">
        <v>100</v>
      </c>
      <c r="S418">
        <v>183.9</v>
      </c>
      <c r="T418" t="s">
        <v>4237</v>
      </c>
      <c r="U418" s="7">
        <f t="shared" si="24"/>
        <v>32</v>
      </c>
      <c r="V418" s="7">
        <f t="shared" si="25"/>
        <v>13</v>
      </c>
      <c r="W418" s="6">
        <f t="shared" si="26"/>
        <v>49518.959999999992</v>
      </c>
      <c r="X418" t="str">
        <f t="shared" si="27"/>
        <v>Adult</v>
      </c>
    </row>
    <row r="419" spans="1:24">
      <c r="A419" t="s">
        <v>1183</v>
      </c>
      <c r="B419" t="s">
        <v>464</v>
      </c>
      <c r="C419" t="s">
        <v>40</v>
      </c>
      <c r="D419" s="5">
        <v>38061</v>
      </c>
      <c r="E419" s="5">
        <v>45682</v>
      </c>
      <c r="F419" s="5">
        <v>45690</v>
      </c>
      <c r="G419" t="s">
        <v>161</v>
      </c>
      <c r="H419" t="s">
        <v>86</v>
      </c>
      <c r="I419" t="s">
        <v>119</v>
      </c>
      <c r="J419" t="s">
        <v>97</v>
      </c>
      <c r="K419" t="s">
        <v>110</v>
      </c>
      <c r="L419" s="6">
        <v>75013.02</v>
      </c>
      <c r="M419">
        <v>57167.59</v>
      </c>
      <c r="N419" t="s">
        <v>91</v>
      </c>
      <c r="O419">
        <v>8</v>
      </c>
      <c r="P419">
        <v>123</v>
      </c>
      <c r="Q419">
        <v>4</v>
      </c>
      <c r="R419">
        <v>121</v>
      </c>
      <c r="S419">
        <v>199.9</v>
      </c>
      <c r="T419" t="s">
        <v>37</v>
      </c>
      <c r="U419" s="7">
        <f t="shared" si="24"/>
        <v>20</v>
      </c>
      <c r="V419" s="7">
        <f t="shared" si="25"/>
        <v>8</v>
      </c>
      <c r="W419" s="6">
        <f t="shared" si="26"/>
        <v>17845.430000000008</v>
      </c>
      <c r="X419" t="str">
        <f t="shared" si="27"/>
        <v>Adult</v>
      </c>
    </row>
    <row r="420" spans="1:24">
      <c r="A420" t="s">
        <v>1185</v>
      </c>
      <c r="B420" t="s">
        <v>1186</v>
      </c>
      <c r="C420" t="s">
        <v>133</v>
      </c>
      <c r="D420" s="5">
        <v>34287</v>
      </c>
      <c r="E420" s="5">
        <v>45991</v>
      </c>
      <c r="F420" s="5">
        <v>46007</v>
      </c>
      <c r="G420" t="s">
        <v>161</v>
      </c>
      <c r="H420" t="s">
        <v>78</v>
      </c>
      <c r="I420" t="s">
        <v>79</v>
      </c>
      <c r="J420" t="s">
        <v>71</v>
      </c>
      <c r="K420" t="s">
        <v>161</v>
      </c>
      <c r="L420" s="6">
        <v>221130.87</v>
      </c>
      <c r="M420">
        <v>146535.72</v>
      </c>
      <c r="N420" t="s">
        <v>35</v>
      </c>
      <c r="O420">
        <v>16</v>
      </c>
      <c r="P420">
        <v>203</v>
      </c>
      <c r="Q420">
        <v>4</v>
      </c>
      <c r="R420">
        <v>181</v>
      </c>
      <c r="S420">
        <v>74.5</v>
      </c>
      <c r="T420" t="s">
        <v>37</v>
      </c>
      <c r="U420" s="7">
        <f t="shared" si="24"/>
        <v>32</v>
      </c>
      <c r="V420" s="7">
        <f t="shared" si="25"/>
        <v>16</v>
      </c>
      <c r="W420" s="6">
        <f t="shared" si="26"/>
        <v>74595.149999999994</v>
      </c>
      <c r="X420" t="str">
        <f t="shared" si="27"/>
        <v>Adult</v>
      </c>
    </row>
    <row r="421" spans="1:24">
      <c r="A421" t="s">
        <v>1187</v>
      </c>
      <c r="B421" t="s">
        <v>368</v>
      </c>
      <c r="C421" t="s">
        <v>133</v>
      </c>
      <c r="D421" s="5" t="s">
        <v>4237</v>
      </c>
      <c r="E421" s="5" t="s">
        <v>4237</v>
      </c>
      <c r="F421" s="5">
        <v>45161</v>
      </c>
      <c r="G421" t="s">
        <v>152</v>
      </c>
      <c r="H421" t="s">
        <v>63</v>
      </c>
      <c r="I421" t="s">
        <v>53</v>
      </c>
      <c r="J421" t="s">
        <v>80</v>
      </c>
      <c r="K421" t="s">
        <v>161</v>
      </c>
      <c r="L421" s="6">
        <v>199399.39</v>
      </c>
      <c r="M421">
        <v>155402.38</v>
      </c>
      <c r="N421" t="s">
        <v>91</v>
      </c>
      <c r="O421">
        <v>6</v>
      </c>
      <c r="P421">
        <v>89</v>
      </c>
      <c r="Q421">
        <v>2</v>
      </c>
      <c r="R421">
        <v>148</v>
      </c>
      <c r="S421">
        <v>240.8</v>
      </c>
      <c r="T421" t="s">
        <v>37</v>
      </c>
      <c r="U421" s="7" t="s">
        <v>4237</v>
      </c>
      <c r="V421" s="7" t="s">
        <v>4237</v>
      </c>
      <c r="W421" s="6">
        <f t="shared" si="26"/>
        <v>43997.010000000009</v>
      </c>
      <c r="X421" t="s">
        <v>4237</v>
      </c>
    </row>
    <row r="422" spans="1:24">
      <c r="A422" t="s">
        <v>1190</v>
      </c>
      <c r="B422" t="s">
        <v>304</v>
      </c>
      <c r="C422" t="s">
        <v>133</v>
      </c>
      <c r="D422" s="5">
        <v>31586</v>
      </c>
      <c r="E422" s="5">
        <v>45523</v>
      </c>
      <c r="F422" s="5">
        <v>45533</v>
      </c>
      <c r="G422" t="s">
        <v>62</v>
      </c>
      <c r="H422" t="s">
        <v>118</v>
      </c>
      <c r="I422" t="s">
        <v>96</v>
      </c>
      <c r="J422" t="s">
        <v>34</v>
      </c>
      <c r="K422" t="s">
        <v>27</v>
      </c>
      <c r="L422" s="6">
        <v>178987.01</v>
      </c>
      <c r="M422">
        <v>119956.07</v>
      </c>
      <c r="N422" t="s">
        <v>56</v>
      </c>
      <c r="O422">
        <v>10</v>
      </c>
      <c r="P422">
        <v>195</v>
      </c>
      <c r="Q422">
        <v>3</v>
      </c>
      <c r="R422">
        <v>108</v>
      </c>
      <c r="S422">
        <v>185.4</v>
      </c>
      <c r="T422" t="s">
        <v>37</v>
      </c>
      <c r="U422" s="7">
        <f t="shared" si="24"/>
        <v>38</v>
      </c>
      <c r="V422" s="7">
        <f t="shared" si="25"/>
        <v>10</v>
      </c>
      <c r="W422" s="6">
        <f t="shared" si="26"/>
        <v>59030.94</v>
      </c>
      <c r="X422" t="str">
        <f t="shared" si="27"/>
        <v>Adult</v>
      </c>
    </row>
    <row r="423" spans="1:24">
      <c r="A423" t="s">
        <v>1192</v>
      </c>
      <c r="B423" t="s">
        <v>604</v>
      </c>
      <c r="C423" t="s">
        <v>133</v>
      </c>
      <c r="D423" s="5">
        <v>26608</v>
      </c>
      <c r="E423" s="5">
        <v>45953</v>
      </c>
      <c r="F423" s="5">
        <v>45964</v>
      </c>
      <c r="G423" t="s">
        <v>43</v>
      </c>
      <c r="H423" t="s">
        <v>153</v>
      </c>
      <c r="I423" t="s">
        <v>33</v>
      </c>
      <c r="J423" t="s">
        <v>97</v>
      </c>
      <c r="K423" t="s">
        <v>27</v>
      </c>
      <c r="L423" s="6">
        <v>218018.61</v>
      </c>
      <c r="M423">
        <v>155880.12</v>
      </c>
      <c r="N423" t="s">
        <v>73</v>
      </c>
      <c r="O423">
        <v>11</v>
      </c>
      <c r="P423">
        <v>234</v>
      </c>
      <c r="Q423">
        <v>4</v>
      </c>
      <c r="R423">
        <v>91</v>
      </c>
      <c r="S423">
        <v>197.1</v>
      </c>
      <c r="T423" t="s">
        <v>37</v>
      </c>
      <c r="U423" s="7">
        <f t="shared" si="24"/>
        <v>52</v>
      </c>
      <c r="V423" s="7">
        <f t="shared" si="25"/>
        <v>11</v>
      </c>
      <c r="W423" s="6">
        <f t="shared" si="26"/>
        <v>62138.489999999991</v>
      </c>
      <c r="X423" t="str">
        <f t="shared" si="27"/>
        <v>Middle Age</v>
      </c>
    </row>
    <row r="424" spans="1:24">
      <c r="A424" t="s">
        <v>1194</v>
      </c>
      <c r="B424" t="s">
        <v>503</v>
      </c>
      <c r="C424" t="s">
        <v>133</v>
      </c>
      <c r="D424" s="5">
        <v>39196</v>
      </c>
      <c r="E424" s="5">
        <v>45341</v>
      </c>
      <c r="F424" s="5">
        <v>45353</v>
      </c>
      <c r="G424" t="s">
        <v>43</v>
      </c>
      <c r="H424" t="s">
        <v>113</v>
      </c>
      <c r="I424" t="s">
        <v>33</v>
      </c>
      <c r="J424" t="s">
        <v>46</v>
      </c>
      <c r="K424" t="s">
        <v>27</v>
      </c>
      <c r="L424" s="6">
        <v>128085.58</v>
      </c>
      <c r="M424">
        <v>110920.24</v>
      </c>
      <c r="N424" t="s">
        <v>35</v>
      </c>
      <c r="O424">
        <v>12</v>
      </c>
      <c r="P424">
        <v>141</v>
      </c>
      <c r="Q424">
        <v>4</v>
      </c>
      <c r="R424">
        <v>100</v>
      </c>
      <c r="S424">
        <v>254.4</v>
      </c>
      <c r="T424" t="s">
        <v>37</v>
      </c>
      <c r="U424" s="7">
        <f t="shared" si="24"/>
        <v>16</v>
      </c>
      <c r="V424" s="7">
        <f t="shared" si="25"/>
        <v>12</v>
      </c>
      <c r="W424" s="6">
        <f t="shared" si="26"/>
        <v>17165.339999999997</v>
      </c>
      <c r="X424" t="str">
        <f t="shared" si="27"/>
        <v>Child</v>
      </c>
    </row>
    <row r="425" spans="1:24">
      <c r="A425" t="s">
        <v>1196</v>
      </c>
      <c r="B425" t="s">
        <v>59</v>
      </c>
      <c r="C425" t="s">
        <v>133</v>
      </c>
      <c r="D425" s="5">
        <v>20282</v>
      </c>
      <c r="E425" s="5">
        <v>45057</v>
      </c>
      <c r="F425" s="5">
        <v>45062</v>
      </c>
      <c r="G425" t="s">
        <v>152</v>
      </c>
      <c r="H425" t="s">
        <v>86</v>
      </c>
      <c r="I425" t="s">
        <v>45</v>
      </c>
      <c r="J425" t="s">
        <v>80</v>
      </c>
      <c r="K425" t="s">
        <v>27</v>
      </c>
      <c r="L425" s="6">
        <v>147455.15</v>
      </c>
      <c r="M425">
        <v>111898.73</v>
      </c>
      <c r="N425" t="s">
        <v>73</v>
      </c>
      <c r="O425">
        <v>5</v>
      </c>
      <c r="P425">
        <v>30</v>
      </c>
      <c r="Q425">
        <v>4</v>
      </c>
      <c r="R425">
        <v>190</v>
      </c>
      <c r="S425">
        <v>163.5</v>
      </c>
      <c r="T425" t="s">
        <v>4237</v>
      </c>
      <c r="U425" s="7">
        <f t="shared" si="24"/>
        <v>67</v>
      </c>
      <c r="V425" s="7">
        <f t="shared" si="25"/>
        <v>5</v>
      </c>
      <c r="W425" s="6">
        <f t="shared" si="26"/>
        <v>35556.42</v>
      </c>
      <c r="X425" t="str">
        <f t="shared" si="27"/>
        <v>Senior</v>
      </c>
    </row>
    <row r="426" spans="1:24">
      <c r="A426" t="s">
        <v>1199</v>
      </c>
      <c r="B426" t="s">
        <v>1200</v>
      </c>
      <c r="C426" t="s">
        <v>40</v>
      </c>
      <c r="D426" s="5">
        <v>36471</v>
      </c>
      <c r="E426" s="5">
        <v>45861</v>
      </c>
      <c r="F426" s="5">
        <v>45862</v>
      </c>
      <c r="G426" t="s">
        <v>43</v>
      </c>
      <c r="H426" t="s">
        <v>118</v>
      </c>
      <c r="I426" t="s">
        <v>96</v>
      </c>
      <c r="J426" t="s">
        <v>34</v>
      </c>
      <c r="K426" t="s">
        <v>120</v>
      </c>
      <c r="L426" s="6">
        <v>158704.23000000001</v>
      </c>
      <c r="M426">
        <v>135245.82</v>
      </c>
      <c r="N426" t="s">
        <v>91</v>
      </c>
      <c r="O426">
        <v>1</v>
      </c>
      <c r="P426">
        <v>136</v>
      </c>
      <c r="Q426">
        <v>5</v>
      </c>
      <c r="R426">
        <v>172</v>
      </c>
      <c r="S426">
        <v>126.9</v>
      </c>
      <c r="T426" t="s">
        <v>37</v>
      </c>
      <c r="U426" s="7">
        <f t="shared" si="24"/>
        <v>25</v>
      </c>
      <c r="V426" s="7">
        <f t="shared" si="25"/>
        <v>1</v>
      </c>
      <c r="W426" s="6">
        <f t="shared" si="26"/>
        <v>23458.410000000003</v>
      </c>
      <c r="X426" t="str">
        <f t="shared" si="27"/>
        <v>Adult</v>
      </c>
    </row>
    <row r="427" spans="1:24">
      <c r="A427" t="s">
        <v>1201</v>
      </c>
      <c r="B427" t="s">
        <v>760</v>
      </c>
      <c r="C427" t="s">
        <v>133</v>
      </c>
      <c r="D427" s="5" t="s">
        <v>4237</v>
      </c>
      <c r="E427" s="5">
        <v>45811</v>
      </c>
      <c r="F427" s="5">
        <v>45821</v>
      </c>
      <c r="G427" t="s">
        <v>117</v>
      </c>
      <c r="H427" t="s">
        <v>32</v>
      </c>
      <c r="I427" t="s">
        <v>119</v>
      </c>
      <c r="J427" t="s">
        <v>64</v>
      </c>
      <c r="K427" t="s">
        <v>55</v>
      </c>
      <c r="L427" s="6">
        <v>206083.03</v>
      </c>
      <c r="M427">
        <v>192406.85</v>
      </c>
      <c r="N427" t="s">
        <v>73</v>
      </c>
      <c r="O427">
        <v>10</v>
      </c>
      <c r="P427">
        <v>200</v>
      </c>
      <c r="Q427">
        <v>4</v>
      </c>
      <c r="R427">
        <v>117</v>
      </c>
      <c r="S427">
        <v>128.4</v>
      </c>
      <c r="T427" t="s">
        <v>65</v>
      </c>
      <c r="U427" s="7" t="s">
        <v>4237</v>
      </c>
      <c r="V427" s="7">
        <f t="shared" si="25"/>
        <v>10</v>
      </c>
      <c r="W427" s="6">
        <f t="shared" si="26"/>
        <v>13676.179999999993</v>
      </c>
      <c r="X427" t="s">
        <v>4237</v>
      </c>
    </row>
    <row r="428" spans="1:24">
      <c r="A428" t="s">
        <v>1204</v>
      </c>
      <c r="B428" t="s">
        <v>666</v>
      </c>
      <c r="C428" t="s">
        <v>133</v>
      </c>
      <c r="D428" s="5">
        <v>25827</v>
      </c>
      <c r="E428" s="5">
        <v>45780</v>
      </c>
      <c r="F428" s="5">
        <v>45789</v>
      </c>
      <c r="G428" t="s">
        <v>109</v>
      </c>
      <c r="H428" t="s">
        <v>32</v>
      </c>
      <c r="I428" t="s">
        <v>96</v>
      </c>
      <c r="J428" t="s">
        <v>46</v>
      </c>
      <c r="K428" t="s">
        <v>55</v>
      </c>
      <c r="L428" s="6">
        <v>38384.17</v>
      </c>
      <c r="M428">
        <v>35237.160000000003</v>
      </c>
      <c r="N428" t="s">
        <v>192</v>
      </c>
      <c r="O428">
        <v>9</v>
      </c>
      <c r="P428">
        <v>217</v>
      </c>
      <c r="Q428">
        <v>5</v>
      </c>
      <c r="R428">
        <v>147</v>
      </c>
      <c r="S428">
        <v>128.5</v>
      </c>
      <c r="T428" t="s">
        <v>37</v>
      </c>
      <c r="U428" s="7">
        <f t="shared" si="24"/>
        <v>54</v>
      </c>
      <c r="V428" s="7">
        <f t="shared" si="25"/>
        <v>9</v>
      </c>
      <c r="W428" s="6">
        <f t="shared" si="26"/>
        <v>3147.0099999999948</v>
      </c>
      <c r="X428" t="str">
        <f t="shared" si="27"/>
        <v>Middle Age</v>
      </c>
    </row>
    <row r="429" spans="1:24">
      <c r="A429" t="s">
        <v>1205</v>
      </c>
      <c r="B429" t="s">
        <v>1206</v>
      </c>
      <c r="C429" t="s">
        <v>133</v>
      </c>
      <c r="D429" s="5">
        <v>24990</v>
      </c>
      <c r="E429" s="5">
        <v>45586</v>
      </c>
      <c r="F429" s="5">
        <v>45600</v>
      </c>
      <c r="G429" t="s">
        <v>105</v>
      </c>
      <c r="H429" t="s">
        <v>95</v>
      </c>
      <c r="I429" t="s">
        <v>45</v>
      </c>
      <c r="J429" t="s">
        <v>80</v>
      </c>
      <c r="K429" t="s">
        <v>55</v>
      </c>
      <c r="L429" s="6">
        <v>155345.07</v>
      </c>
      <c r="M429">
        <v>141220.32</v>
      </c>
      <c r="N429" t="s">
        <v>35</v>
      </c>
      <c r="O429">
        <v>14</v>
      </c>
      <c r="P429">
        <v>32</v>
      </c>
      <c r="Q429">
        <v>2</v>
      </c>
      <c r="R429">
        <v>121</v>
      </c>
      <c r="S429">
        <v>100.5</v>
      </c>
      <c r="T429" t="s">
        <v>4237</v>
      </c>
      <c r="U429" s="7">
        <f t="shared" si="24"/>
        <v>56</v>
      </c>
      <c r="V429" s="7">
        <f t="shared" si="25"/>
        <v>14</v>
      </c>
      <c r="W429" s="6">
        <f t="shared" si="26"/>
        <v>14124.75</v>
      </c>
      <c r="X429" t="str">
        <f t="shared" si="27"/>
        <v>Middle Age</v>
      </c>
    </row>
    <row r="430" spans="1:24">
      <c r="A430" t="s">
        <v>1207</v>
      </c>
      <c r="B430" t="s">
        <v>1167</v>
      </c>
      <c r="C430" t="s">
        <v>133</v>
      </c>
      <c r="D430" s="5">
        <v>33033</v>
      </c>
      <c r="E430" s="5">
        <v>45683</v>
      </c>
      <c r="F430" s="5">
        <v>45698</v>
      </c>
      <c r="G430" t="s">
        <v>161</v>
      </c>
      <c r="H430" t="s">
        <v>32</v>
      </c>
      <c r="I430" t="s">
        <v>53</v>
      </c>
      <c r="J430" t="s">
        <v>26</v>
      </c>
      <c r="K430" t="s">
        <v>55</v>
      </c>
      <c r="L430" s="6">
        <v>82825.02</v>
      </c>
      <c r="M430">
        <v>58020.02</v>
      </c>
      <c r="N430" t="s">
        <v>73</v>
      </c>
      <c r="O430">
        <v>15</v>
      </c>
      <c r="P430">
        <v>121</v>
      </c>
      <c r="Q430">
        <v>3</v>
      </c>
      <c r="R430">
        <v>165</v>
      </c>
      <c r="S430">
        <v>126.8</v>
      </c>
      <c r="T430" t="s">
        <v>47</v>
      </c>
      <c r="U430" s="7">
        <f t="shared" si="24"/>
        <v>34</v>
      </c>
      <c r="V430" s="7">
        <f t="shared" si="25"/>
        <v>15</v>
      </c>
      <c r="W430" s="6">
        <f t="shared" si="26"/>
        <v>24805.000000000007</v>
      </c>
      <c r="X430" t="str">
        <f t="shared" si="27"/>
        <v>Adult</v>
      </c>
    </row>
    <row r="431" spans="1:24">
      <c r="A431" t="s">
        <v>1209</v>
      </c>
      <c r="B431" t="s">
        <v>843</v>
      </c>
      <c r="C431" t="s">
        <v>40</v>
      </c>
      <c r="D431" s="5">
        <v>39318</v>
      </c>
      <c r="E431" s="5">
        <v>45366</v>
      </c>
      <c r="F431" s="5">
        <v>45372</v>
      </c>
      <c r="G431" t="s">
        <v>94</v>
      </c>
      <c r="H431" t="s">
        <v>32</v>
      </c>
      <c r="I431" t="s">
        <v>119</v>
      </c>
      <c r="J431" t="s">
        <v>46</v>
      </c>
      <c r="K431" t="s">
        <v>55</v>
      </c>
      <c r="L431" s="6">
        <v>51748.83</v>
      </c>
      <c r="M431">
        <v>34208.65</v>
      </c>
      <c r="N431" t="s">
        <v>192</v>
      </c>
      <c r="O431">
        <v>6</v>
      </c>
      <c r="P431">
        <v>159</v>
      </c>
      <c r="Q431">
        <v>1</v>
      </c>
      <c r="R431">
        <v>107</v>
      </c>
      <c r="S431">
        <v>92.6</v>
      </c>
      <c r="T431" t="s">
        <v>37</v>
      </c>
      <c r="U431" s="7">
        <f t="shared" si="24"/>
        <v>16</v>
      </c>
      <c r="V431" s="7">
        <f t="shared" si="25"/>
        <v>6</v>
      </c>
      <c r="W431" s="6">
        <f t="shared" si="26"/>
        <v>17540.18</v>
      </c>
      <c r="X431" t="str">
        <f t="shared" si="27"/>
        <v>Child</v>
      </c>
    </row>
    <row r="432" spans="1:24">
      <c r="A432" t="s">
        <v>1211</v>
      </c>
      <c r="B432" t="s">
        <v>1182</v>
      </c>
      <c r="C432" t="s">
        <v>40</v>
      </c>
      <c r="D432" s="5">
        <v>29725</v>
      </c>
      <c r="E432" s="5">
        <v>45610</v>
      </c>
      <c r="F432" s="5">
        <v>45613</v>
      </c>
      <c r="G432" t="s">
        <v>117</v>
      </c>
      <c r="H432" t="s">
        <v>52</v>
      </c>
      <c r="I432" t="s">
        <v>33</v>
      </c>
      <c r="J432" t="s">
        <v>64</v>
      </c>
      <c r="K432" t="s">
        <v>55</v>
      </c>
      <c r="L432" s="6">
        <v>41660.42</v>
      </c>
      <c r="M432">
        <v>35765.5</v>
      </c>
      <c r="N432" t="s">
        <v>73</v>
      </c>
      <c r="O432">
        <v>3</v>
      </c>
      <c r="P432">
        <v>27</v>
      </c>
      <c r="Q432">
        <v>4</v>
      </c>
      <c r="R432">
        <v>168</v>
      </c>
      <c r="S432">
        <v>193.5</v>
      </c>
      <c r="T432" t="s">
        <v>47</v>
      </c>
      <c r="U432" s="7">
        <f t="shared" si="24"/>
        <v>43</v>
      </c>
      <c r="V432" s="7">
        <f t="shared" si="25"/>
        <v>3</v>
      </c>
      <c r="W432" s="6">
        <f t="shared" si="26"/>
        <v>5894.9199999999983</v>
      </c>
      <c r="X432" t="str">
        <f t="shared" si="27"/>
        <v>Middle Age</v>
      </c>
    </row>
    <row r="433" spans="1:24">
      <c r="A433" t="s">
        <v>1213</v>
      </c>
      <c r="B433" t="s">
        <v>852</v>
      </c>
      <c r="C433" t="s">
        <v>133</v>
      </c>
      <c r="D433" s="5">
        <v>27677</v>
      </c>
      <c r="E433" s="5">
        <v>44940</v>
      </c>
      <c r="F433" s="5" t="s">
        <v>4237</v>
      </c>
      <c r="G433" t="s">
        <v>94</v>
      </c>
      <c r="H433" t="s">
        <v>63</v>
      </c>
      <c r="I433" t="s">
        <v>79</v>
      </c>
      <c r="J433" t="s">
        <v>97</v>
      </c>
      <c r="K433" t="s">
        <v>120</v>
      </c>
      <c r="L433" s="6">
        <v>66566.11</v>
      </c>
      <c r="M433">
        <v>58266.18</v>
      </c>
      <c r="N433" t="s">
        <v>91</v>
      </c>
      <c r="O433">
        <v>13</v>
      </c>
      <c r="P433">
        <v>201</v>
      </c>
      <c r="Q433">
        <v>5</v>
      </c>
      <c r="R433">
        <v>158</v>
      </c>
      <c r="S433">
        <v>157</v>
      </c>
      <c r="T433" t="s">
        <v>4237</v>
      </c>
      <c r="U433" s="7">
        <f t="shared" si="24"/>
        <v>47</v>
      </c>
      <c r="V433" s="7" t="s">
        <v>4237</v>
      </c>
      <c r="W433" s="6">
        <f t="shared" si="26"/>
        <v>8299.93</v>
      </c>
      <c r="X433" t="str">
        <f t="shared" si="27"/>
        <v>Middle Age</v>
      </c>
    </row>
    <row r="434" spans="1:24">
      <c r="A434" t="s">
        <v>1214</v>
      </c>
      <c r="B434" t="s">
        <v>321</v>
      </c>
      <c r="C434" t="s">
        <v>133</v>
      </c>
      <c r="D434" s="5">
        <v>30836</v>
      </c>
      <c r="E434" s="5">
        <v>45597</v>
      </c>
      <c r="F434" s="5">
        <v>45608</v>
      </c>
      <c r="G434" t="s">
        <v>152</v>
      </c>
      <c r="H434" t="s">
        <v>86</v>
      </c>
      <c r="I434" t="s">
        <v>45</v>
      </c>
      <c r="J434" t="s">
        <v>71</v>
      </c>
      <c r="K434" t="s">
        <v>120</v>
      </c>
      <c r="L434" s="6">
        <v>42914.01</v>
      </c>
      <c r="M434">
        <v>33039.22</v>
      </c>
      <c r="N434" t="s">
        <v>35</v>
      </c>
      <c r="O434">
        <v>11</v>
      </c>
      <c r="P434">
        <v>240</v>
      </c>
      <c r="Q434">
        <v>4</v>
      </c>
      <c r="R434">
        <v>188</v>
      </c>
      <c r="S434">
        <v>137.5</v>
      </c>
      <c r="T434" t="s">
        <v>47</v>
      </c>
      <c r="U434" s="7">
        <f t="shared" si="24"/>
        <v>40</v>
      </c>
      <c r="V434" s="7">
        <f t="shared" si="25"/>
        <v>11</v>
      </c>
      <c r="W434" s="6">
        <f t="shared" si="26"/>
        <v>9874.7900000000009</v>
      </c>
      <c r="X434" t="str">
        <f t="shared" si="27"/>
        <v>Middle Age</v>
      </c>
    </row>
    <row r="435" spans="1:24">
      <c r="A435" t="s">
        <v>1216</v>
      </c>
      <c r="B435" t="s">
        <v>522</v>
      </c>
      <c r="C435" t="s">
        <v>40</v>
      </c>
      <c r="D435" s="5">
        <v>20165</v>
      </c>
      <c r="E435" s="5">
        <v>45984</v>
      </c>
      <c r="F435" s="5">
        <v>45988</v>
      </c>
      <c r="G435" t="s">
        <v>94</v>
      </c>
      <c r="H435" t="s">
        <v>52</v>
      </c>
      <c r="I435" t="s">
        <v>33</v>
      </c>
      <c r="J435" t="s">
        <v>64</v>
      </c>
      <c r="K435" t="s">
        <v>55</v>
      </c>
      <c r="L435" s="6">
        <v>91201.61</v>
      </c>
      <c r="M435">
        <v>75199.23</v>
      </c>
      <c r="N435" t="s">
        <v>73</v>
      </c>
      <c r="O435">
        <v>4</v>
      </c>
      <c r="P435">
        <v>58</v>
      </c>
      <c r="Q435">
        <v>2</v>
      </c>
      <c r="R435">
        <v>154</v>
      </c>
      <c r="S435">
        <v>138.4</v>
      </c>
      <c r="T435" t="s">
        <v>65</v>
      </c>
      <c r="U435" s="7">
        <f t="shared" si="24"/>
        <v>70</v>
      </c>
      <c r="V435" s="7">
        <f t="shared" si="25"/>
        <v>4</v>
      </c>
      <c r="W435" s="6">
        <f t="shared" si="26"/>
        <v>16002.380000000005</v>
      </c>
      <c r="X435" t="str">
        <f t="shared" si="27"/>
        <v>Senior</v>
      </c>
    </row>
    <row r="436" spans="1:24">
      <c r="A436" t="s">
        <v>1220</v>
      </c>
      <c r="B436" t="s">
        <v>548</v>
      </c>
      <c r="C436" t="s">
        <v>40</v>
      </c>
      <c r="D436" s="5">
        <v>33568</v>
      </c>
      <c r="E436" s="5">
        <v>45725</v>
      </c>
      <c r="F436" s="5" t="s">
        <v>4237</v>
      </c>
      <c r="G436" t="s">
        <v>109</v>
      </c>
      <c r="H436" t="s">
        <v>153</v>
      </c>
      <c r="I436" t="s">
        <v>119</v>
      </c>
      <c r="J436" t="s">
        <v>179</v>
      </c>
      <c r="K436" t="s">
        <v>55</v>
      </c>
      <c r="L436" s="6">
        <v>37332.120000000003</v>
      </c>
      <c r="M436">
        <v>28118.83</v>
      </c>
      <c r="N436" t="s">
        <v>35</v>
      </c>
      <c r="O436">
        <v>16</v>
      </c>
      <c r="P436">
        <v>7</v>
      </c>
      <c r="Q436">
        <v>3</v>
      </c>
      <c r="R436">
        <v>156</v>
      </c>
      <c r="S436">
        <v>99.6</v>
      </c>
      <c r="T436" t="s">
        <v>4237</v>
      </c>
      <c r="U436" s="7">
        <f t="shared" si="24"/>
        <v>33</v>
      </c>
      <c r="V436" s="7" t="s">
        <v>4237</v>
      </c>
      <c r="W436" s="6">
        <f t="shared" si="26"/>
        <v>9213.2900000000009</v>
      </c>
      <c r="X436" t="str">
        <f t="shared" si="27"/>
        <v>Adult</v>
      </c>
    </row>
    <row r="437" spans="1:24">
      <c r="A437" t="s">
        <v>1221</v>
      </c>
      <c r="B437" t="s">
        <v>334</v>
      </c>
      <c r="C437" t="s">
        <v>133</v>
      </c>
      <c r="D437" s="5">
        <v>26721</v>
      </c>
      <c r="E437" s="5">
        <v>45259</v>
      </c>
      <c r="F437" s="5">
        <v>45260</v>
      </c>
      <c r="G437" t="s">
        <v>109</v>
      </c>
      <c r="H437" t="s">
        <v>134</v>
      </c>
      <c r="I437" t="s">
        <v>119</v>
      </c>
      <c r="J437" t="s">
        <v>71</v>
      </c>
      <c r="K437" t="s">
        <v>55</v>
      </c>
      <c r="L437" s="6">
        <v>156423.60999999999</v>
      </c>
      <c r="M437">
        <v>146253.04999999999</v>
      </c>
      <c r="N437" t="s">
        <v>192</v>
      </c>
      <c r="O437">
        <v>1</v>
      </c>
      <c r="P437">
        <v>89</v>
      </c>
      <c r="Q437">
        <v>1</v>
      </c>
      <c r="R437">
        <v>150</v>
      </c>
      <c r="S437">
        <v>76.5</v>
      </c>
      <c r="T437" t="s">
        <v>47</v>
      </c>
      <c r="U437" s="7">
        <f t="shared" si="24"/>
        <v>50</v>
      </c>
      <c r="V437" s="7">
        <f t="shared" si="25"/>
        <v>1</v>
      </c>
      <c r="W437" s="6">
        <f t="shared" si="26"/>
        <v>10170.559999999998</v>
      </c>
      <c r="X437" t="str">
        <f t="shared" si="27"/>
        <v>Middle Age</v>
      </c>
    </row>
    <row r="438" spans="1:24">
      <c r="A438" t="s">
        <v>1223</v>
      </c>
      <c r="B438" t="s">
        <v>760</v>
      </c>
      <c r="C438" t="s">
        <v>133</v>
      </c>
      <c r="D438" s="5">
        <v>38245</v>
      </c>
      <c r="E438" s="5">
        <v>45202</v>
      </c>
      <c r="F438" s="5">
        <v>45203</v>
      </c>
      <c r="G438" t="s">
        <v>77</v>
      </c>
      <c r="H438" t="s">
        <v>44</v>
      </c>
      <c r="I438" t="s">
        <v>53</v>
      </c>
      <c r="J438" t="s">
        <v>46</v>
      </c>
      <c r="K438" t="s">
        <v>110</v>
      </c>
      <c r="L438" s="6">
        <v>164952.63</v>
      </c>
      <c r="M438">
        <v>162820.06</v>
      </c>
      <c r="N438" t="s">
        <v>91</v>
      </c>
      <c r="O438">
        <v>1</v>
      </c>
      <c r="P438">
        <v>176</v>
      </c>
      <c r="Q438">
        <v>2</v>
      </c>
      <c r="R438">
        <v>151</v>
      </c>
      <c r="S438">
        <v>163.6</v>
      </c>
      <c r="T438" t="s">
        <v>37</v>
      </c>
      <c r="U438" s="7">
        <f t="shared" si="24"/>
        <v>19</v>
      </c>
      <c r="V438" s="7">
        <f t="shared" si="25"/>
        <v>1</v>
      </c>
      <c r="W438" s="6">
        <f t="shared" si="26"/>
        <v>2132.570000000007</v>
      </c>
      <c r="X438" t="str">
        <f t="shared" si="27"/>
        <v>Adult</v>
      </c>
    </row>
    <row r="439" spans="1:24">
      <c r="A439" t="s">
        <v>1226</v>
      </c>
      <c r="B439" t="s">
        <v>553</v>
      </c>
      <c r="C439" t="s">
        <v>133</v>
      </c>
      <c r="D439" s="5">
        <v>35379</v>
      </c>
      <c r="E439" s="5">
        <v>45393</v>
      </c>
      <c r="F439" s="5">
        <v>45615</v>
      </c>
      <c r="G439" t="s">
        <v>89</v>
      </c>
      <c r="H439" t="s">
        <v>95</v>
      </c>
      <c r="I439" t="s">
        <v>33</v>
      </c>
      <c r="J439" t="s">
        <v>97</v>
      </c>
      <c r="K439" t="s">
        <v>27</v>
      </c>
      <c r="L439" s="6">
        <v>83666.14</v>
      </c>
      <c r="M439">
        <v>75162.36</v>
      </c>
      <c r="N439" t="s">
        <v>35</v>
      </c>
      <c r="O439">
        <v>15</v>
      </c>
      <c r="P439">
        <v>121</v>
      </c>
      <c r="Q439">
        <v>1</v>
      </c>
      <c r="R439">
        <v>185</v>
      </c>
      <c r="S439">
        <v>242.1</v>
      </c>
      <c r="T439" t="s">
        <v>37</v>
      </c>
      <c r="U439" s="7">
        <f t="shared" si="24"/>
        <v>27</v>
      </c>
      <c r="V439" s="7">
        <f t="shared" si="25"/>
        <v>222</v>
      </c>
      <c r="W439" s="6">
        <f t="shared" si="26"/>
        <v>8503.7799999999988</v>
      </c>
      <c r="X439" t="str">
        <f t="shared" si="27"/>
        <v>Adult</v>
      </c>
    </row>
    <row r="440" spans="1:24">
      <c r="A440" t="s">
        <v>1229</v>
      </c>
      <c r="B440" t="s">
        <v>1230</v>
      </c>
      <c r="C440" t="s">
        <v>40</v>
      </c>
      <c r="D440" s="5">
        <v>27613</v>
      </c>
      <c r="E440" s="5">
        <v>45855</v>
      </c>
      <c r="F440" s="5">
        <v>45864</v>
      </c>
      <c r="G440" t="s">
        <v>161</v>
      </c>
      <c r="H440" t="s">
        <v>153</v>
      </c>
      <c r="I440" t="s">
        <v>96</v>
      </c>
      <c r="J440" t="s">
        <v>64</v>
      </c>
      <c r="K440" t="s">
        <v>120</v>
      </c>
      <c r="L440" s="6">
        <v>231161.69</v>
      </c>
      <c r="M440">
        <v>230931.85</v>
      </c>
      <c r="N440" t="s">
        <v>4237</v>
      </c>
      <c r="O440">
        <v>9</v>
      </c>
      <c r="P440">
        <v>52</v>
      </c>
      <c r="Q440">
        <v>5</v>
      </c>
      <c r="R440">
        <v>133</v>
      </c>
      <c r="S440">
        <v>223.3</v>
      </c>
      <c r="T440" t="s">
        <v>37</v>
      </c>
      <c r="U440" s="7">
        <f t="shared" si="24"/>
        <v>49</v>
      </c>
      <c r="V440" s="7">
        <f t="shared" si="25"/>
        <v>9</v>
      </c>
      <c r="W440" s="6">
        <f t="shared" si="26"/>
        <v>229.83999999999651</v>
      </c>
      <c r="X440" t="str">
        <f t="shared" si="27"/>
        <v>Middle Age</v>
      </c>
    </row>
    <row r="441" spans="1:24">
      <c r="A441" t="s">
        <v>1231</v>
      </c>
      <c r="B441" t="s">
        <v>999</v>
      </c>
      <c r="C441" t="s">
        <v>40</v>
      </c>
      <c r="D441" s="5">
        <v>21086</v>
      </c>
      <c r="E441" s="5">
        <v>45532</v>
      </c>
      <c r="F441" s="5">
        <v>45331</v>
      </c>
      <c r="G441" t="s">
        <v>109</v>
      </c>
      <c r="H441" t="s">
        <v>32</v>
      </c>
      <c r="I441" t="s">
        <v>79</v>
      </c>
      <c r="J441" t="s">
        <v>64</v>
      </c>
      <c r="K441" t="s">
        <v>110</v>
      </c>
      <c r="L441" s="6">
        <v>246117.15</v>
      </c>
      <c r="M441">
        <v>243628.36</v>
      </c>
      <c r="N441" t="s">
        <v>91</v>
      </c>
      <c r="O441">
        <v>5</v>
      </c>
      <c r="P441">
        <v>134</v>
      </c>
      <c r="Q441">
        <v>3</v>
      </c>
      <c r="R441">
        <v>140</v>
      </c>
      <c r="S441">
        <v>225.8</v>
      </c>
      <c r="T441" t="s">
        <v>37</v>
      </c>
      <c r="U441" s="7">
        <f t="shared" si="24"/>
        <v>66</v>
      </c>
      <c r="V441" s="7">
        <f t="shared" si="25"/>
        <v>-201</v>
      </c>
      <c r="W441" s="6">
        <f t="shared" si="26"/>
        <v>2488.7900000000081</v>
      </c>
      <c r="X441" t="str">
        <f t="shared" si="27"/>
        <v>Senior</v>
      </c>
    </row>
    <row r="442" spans="1:24">
      <c r="A442" t="s">
        <v>1234</v>
      </c>
      <c r="B442" t="s">
        <v>810</v>
      </c>
      <c r="C442" t="s">
        <v>133</v>
      </c>
      <c r="D442" s="5">
        <v>23728</v>
      </c>
      <c r="E442" s="5">
        <v>45268</v>
      </c>
      <c r="F442" s="5">
        <v>45280</v>
      </c>
      <c r="G442" t="s">
        <v>152</v>
      </c>
      <c r="H442" t="s">
        <v>124</v>
      </c>
      <c r="I442" t="s">
        <v>45</v>
      </c>
      <c r="J442" t="s">
        <v>97</v>
      </c>
      <c r="K442" t="s">
        <v>55</v>
      </c>
      <c r="L442" s="6">
        <v>136353.34</v>
      </c>
      <c r="M442">
        <v>101512.91</v>
      </c>
      <c r="N442" t="s">
        <v>56</v>
      </c>
      <c r="O442">
        <v>12</v>
      </c>
      <c r="P442">
        <v>121</v>
      </c>
      <c r="Q442">
        <v>5</v>
      </c>
      <c r="R442">
        <v>96</v>
      </c>
      <c r="S442">
        <v>252.2</v>
      </c>
      <c r="T442" t="s">
        <v>37</v>
      </c>
      <c r="U442" s="7">
        <f t="shared" si="24"/>
        <v>58</v>
      </c>
      <c r="V442" s="7">
        <f t="shared" si="25"/>
        <v>12</v>
      </c>
      <c r="W442" s="6">
        <f t="shared" si="26"/>
        <v>34840.429999999993</v>
      </c>
      <c r="X442" t="str">
        <f t="shared" si="27"/>
        <v>Middle Age</v>
      </c>
    </row>
    <row r="443" spans="1:24">
      <c r="A443" t="s">
        <v>1236</v>
      </c>
      <c r="B443" t="s">
        <v>548</v>
      </c>
      <c r="C443" t="s">
        <v>133</v>
      </c>
      <c r="D443" s="5">
        <v>32175</v>
      </c>
      <c r="E443" s="5" t="s">
        <v>4237</v>
      </c>
      <c r="F443" s="5">
        <v>45772</v>
      </c>
      <c r="G443" t="s">
        <v>94</v>
      </c>
      <c r="H443" t="s">
        <v>124</v>
      </c>
      <c r="I443" t="s">
        <v>45</v>
      </c>
      <c r="J443" t="s">
        <v>34</v>
      </c>
      <c r="K443" t="s">
        <v>161</v>
      </c>
      <c r="L443" s="6">
        <v>197112.43</v>
      </c>
      <c r="M443">
        <v>138342.84</v>
      </c>
      <c r="N443" t="s">
        <v>91</v>
      </c>
      <c r="O443">
        <v>5</v>
      </c>
      <c r="P443">
        <v>156</v>
      </c>
      <c r="Q443">
        <v>4</v>
      </c>
      <c r="R443">
        <v>121</v>
      </c>
      <c r="S443">
        <v>228.5</v>
      </c>
      <c r="T443" t="s">
        <v>37</v>
      </c>
      <c r="U443" s="7" t="s">
        <v>4237</v>
      </c>
      <c r="V443" s="7" t="s">
        <v>4237</v>
      </c>
      <c r="W443" s="6">
        <f t="shared" si="26"/>
        <v>58769.59</v>
      </c>
      <c r="X443" t="s">
        <v>4237</v>
      </c>
    </row>
    <row r="444" spans="1:24">
      <c r="A444" t="s">
        <v>1238</v>
      </c>
      <c r="B444" t="s">
        <v>324</v>
      </c>
      <c r="C444" t="s">
        <v>133</v>
      </c>
      <c r="D444" s="5">
        <v>30372</v>
      </c>
      <c r="E444" s="5">
        <v>45891</v>
      </c>
      <c r="F444" s="5">
        <v>45899</v>
      </c>
      <c r="G444" t="s">
        <v>109</v>
      </c>
      <c r="H444" t="s">
        <v>44</v>
      </c>
      <c r="I444" t="s">
        <v>33</v>
      </c>
      <c r="J444" t="s">
        <v>64</v>
      </c>
      <c r="K444" t="s">
        <v>161</v>
      </c>
      <c r="L444" s="6">
        <v>186370.65</v>
      </c>
      <c r="M444">
        <v>132099.10999999999</v>
      </c>
      <c r="N444" t="s">
        <v>192</v>
      </c>
      <c r="O444">
        <v>8</v>
      </c>
      <c r="P444">
        <v>230</v>
      </c>
      <c r="Q444">
        <v>5</v>
      </c>
      <c r="R444">
        <v>124</v>
      </c>
      <c r="S444">
        <v>250.4</v>
      </c>
      <c r="T444" t="s">
        <v>37</v>
      </c>
      <c r="U444" s="7">
        <f t="shared" si="24"/>
        <v>42</v>
      </c>
      <c r="V444" s="7">
        <f t="shared" si="25"/>
        <v>8</v>
      </c>
      <c r="W444" s="6">
        <f t="shared" si="26"/>
        <v>54271.540000000008</v>
      </c>
      <c r="X444" t="str">
        <f t="shared" si="27"/>
        <v>Middle Age</v>
      </c>
    </row>
    <row r="445" spans="1:24">
      <c r="A445" t="s">
        <v>1242</v>
      </c>
      <c r="B445" t="s">
        <v>356</v>
      </c>
      <c r="C445" t="s">
        <v>40</v>
      </c>
      <c r="D445" s="5">
        <v>24062</v>
      </c>
      <c r="E445" s="5">
        <v>45812</v>
      </c>
      <c r="F445" s="5" t="s">
        <v>4237</v>
      </c>
      <c r="G445" t="s">
        <v>161</v>
      </c>
      <c r="H445" t="s">
        <v>24</v>
      </c>
      <c r="I445" t="s">
        <v>96</v>
      </c>
      <c r="J445" t="s">
        <v>71</v>
      </c>
      <c r="K445" t="s">
        <v>27</v>
      </c>
      <c r="L445" s="6">
        <v>226421.01</v>
      </c>
      <c r="M445">
        <v>164040.89000000001</v>
      </c>
      <c r="N445" t="s">
        <v>35</v>
      </c>
      <c r="O445">
        <v>14</v>
      </c>
      <c r="P445">
        <v>112</v>
      </c>
      <c r="Q445">
        <v>5</v>
      </c>
      <c r="R445">
        <v>135</v>
      </c>
      <c r="S445">
        <v>85.8</v>
      </c>
      <c r="T445" t="s">
        <v>37</v>
      </c>
      <c r="U445" s="7">
        <f t="shared" si="24"/>
        <v>59</v>
      </c>
      <c r="V445" s="7" t="s">
        <v>4237</v>
      </c>
      <c r="W445" s="6">
        <f t="shared" si="26"/>
        <v>62380.119999999995</v>
      </c>
      <c r="X445" t="str">
        <f t="shared" si="27"/>
        <v>Middle Age</v>
      </c>
    </row>
    <row r="446" spans="1:24">
      <c r="A446" t="s">
        <v>1244</v>
      </c>
      <c r="B446" t="s">
        <v>515</v>
      </c>
      <c r="C446" t="s">
        <v>133</v>
      </c>
      <c r="D446" s="5">
        <v>19271</v>
      </c>
      <c r="E446" s="5">
        <v>45128</v>
      </c>
      <c r="F446" s="5">
        <v>45132</v>
      </c>
      <c r="G446" t="s">
        <v>94</v>
      </c>
      <c r="H446" t="s">
        <v>86</v>
      </c>
      <c r="I446" t="s">
        <v>119</v>
      </c>
      <c r="J446" t="s">
        <v>64</v>
      </c>
      <c r="K446" t="s">
        <v>55</v>
      </c>
      <c r="L446" s="6">
        <v>168970.83</v>
      </c>
      <c r="M446">
        <v>125696.37</v>
      </c>
      <c r="N446" t="s">
        <v>4237</v>
      </c>
      <c r="O446">
        <v>4</v>
      </c>
      <c r="P446">
        <v>105</v>
      </c>
      <c r="Q446">
        <v>1</v>
      </c>
      <c r="R446">
        <v>134</v>
      </c>
      <c r="S446">
        <v>163.5</v>
      </c>
      <c r="T446" t="s">
        <v>37</v>
      </c>
      <c r="U446" s="7">
        <f t="shared" si="24"/>
        <v>70</v>
      </c>
      <c r="V446" s="7">
        <f t="shared" si="25"/>
        <v>4</v>
      </c>
      <c r="W446" s="6">
        <f t="shared" si="26"/>
        <v>43274.459999999992</v>
      </c>
      <c r="X446" t="str">
        <f t="shared" si="27"/>
        <v>Senior</v>
      </c>
    </row>
    <row r="447" spans="1:24">
      <c r="A447" t="s">
        <v>1249</v>
      </c>
      <c r="B447" t="s">
        <v>238</v>
      </c>
      <c r="C447" t="s">
        <v>133</v>
      </c>
      <c r="D447" s="5">
        <v>36915</v>
      </c>
      <c r="E447" s="5">
        <v>45862</v>
      </c>
      <c r="F447" s="5">
        <v>45871</v>
      </c>
      <c r="G447" t="s">
        <v>152</v>
      </c>
      <c r="H447" t="s">
        <v>63</v>
      </c>
      <c r="I447" t="s">
        <v>119</v>
      </c>
      <c r="J447" t="s">
        <v>80</v>
      </c>
      <c r="K447" t="s">
        <v>55</v>
      </c>
      <c r="L447" s="6">
        <v>70966.539999999994</v>
      </c>
      <c r="M447">
        <v>56585.43</v>
      </c>
      <c r="N447" t="s">
        <v>73</v>
      </c>
      <c r="O447">
        <v>9</v>
      </c>
      <c r="P447">
        <v>183</v>
      </c>
      <c r="Q447">
        <v>5</v>
      </c>
      <c r="R447">
        <v>188</v>
      </c>
      <c r="S447">
        <v>220.8</v>
      </c>
      <c r="T447" t="s">
        <v>47</v>
      </c>
      <c r="U447" s="7">
        <f t="shared" si="24"/>
        <v>24</v>
      </c>
      <c r="V447" s="7">
        <f t="shared" si="25"/>
        <v>9</v>
      </c>
      <c r="W447" s="6">
        <f t="shared" si="26"/>
        <v>14381.109999999993</v>
      </c>
      <c r="X447" t="str">
        <f t="shared" si="27"/>
        <v>Adult</v>
      </c>
    </row>
    <row r="448" spans="1:24">
      <c r="A448" t="s">
        <v>1250</v>
      </c>
      <c r="B448" t="s">
        <v>843</v>
      </c>
      <c r="C448" t="s">
        <v>133</v>
      </c>
      <c r="D448" s="5">
        <v>20792</v>
      </c>
      <c r="E448" s="5">
        <v>45758</v>
      </c>
      <c r="F448" s="5">
        <v>45769</v>
      </c>
      <c r="G448" t="s">
        <v>152</v>
      </c>
      <c r="H448" t="s">
        <v>124</v>
      </c>
      <c r="I448" t="s">
        <v>79</v>
      </c>
      <c r="J448" t="s">
        <v>80</v>
      </c>
      <c r="K448" t="s">
        <v>55</v>
      </c>
      <c r="L448" s="6">
        <v>68008.399999999994</v>
      </c>
      <c r="M448">
        <v>48883.58</v>
      </c>
      <c r="N448" t="s">
        <v>73</v>
      </c>
      <c r="O448">
        <v>11</v>
      </c>
      <c r="P448">
        <v>91</v>
      </c>
      <c r="Q448">
        <v>4</v>
      </c>
      <c r="R448">
        <v>136</v>
      </c>
      <c r="S448">
        <v>213.4</v>
      </c>
      <c r="T448" t="s">
        <v>47</v>
      </c>
      <c r="U448" s="7">
        <f t="shared" si="24"/>
        <v>68</v>
      </c>
      <c r="V448" s="7">
        <f t="shared" si="25"/>
        <v>11</v>
      </c>
      <c r="W448" s="6">
        <f t="shared" si="26"/>
        <v>19124.819999999992</v>
      </c>
      <c r="X448" t="str">
        <f t="shared" si="27"/>
        <v>Senior</v>
      </c>
    </row>
    <row r="449" spans="1:24">
      <c r="A449" t="s">
        <v>1252</v>
      </c>
      <c r="B449" t="s">
        <v>1068</v>
      </c>
      <c r="C449" t="s">
        <v>40</v>
      </c>
      <c r="D449" s="5">
        <v>34994</v>
      </c>
      <c r="E449" s="5">
        <v>45755</v>
      </c>
      <c r="F449" s="5">
        <v>45764</v>
      </c>
      <c r="G449" t="s">
        <v>105</v>
      </c>
      <c r="H449" t="s">
        <v>95</v>
      </c>
      <c r="I449" t="s">
        <v>119</v>
      </c>
      <c r="J449" t="s">
        <v>34</v>
      </c>
      <c r="K449" t="s">
        <v>27</v>
      </c>
      <c r="L449" s="6">
        <v>35425.49</v>
      </c>
      <c r="M449">
        <v>24604.19</v>
      </c>
      <c r="N449" t="s">
        <v>73</v>
      </c>
      <c r="O449">
        <v>9</v>
      </c>
      <c r="P449">
        <v>193</v>
      </c>
      <c r="Q449">
        <v>5</v>
      </c>
      <c r="R449">
        <v>168</v>
      </c>
      <c r="S449">
        <v>178.3</v>
      </c>
      <c r="T449" t="s">
        <v>37</v>
      </c>
      <c r="U449" s="7">
        <f t="shared" si="24"/>
        <v>29</v>
      </c>
      <c r="V449" s="7">
        <f t="shared" si="25"/>
        <v>9</v>
      </c>
      <c r="W449" s="6">
        <f t="shared" si="26"/>
        <v>10821.3</v>
      </c>
      <c r="X449" t="str">
        <f t="shared" si="27"/>
        <v>Adult</v>
      </c>
    </row>
    <row r="450" spans="1:24">
      <c r="A450" t="s">
        <v>1253</v>
      </c>
      <c r="B450" t="s">
        <v>652</v>
      </c>
      <c r="C450" t="s">
        <v>40</v>
      </c>
      <c r="D450" s="5">
        <v>21824</v>
      </c>
      <c r="E450" s="5">
        <v>45426</v>
      </c>
      <c r="F450" s="5">
        <v>45427</v>
      </c>
      <c r="G450" t="s">
        <v>77</v>
      </c>
      <c r="H450" t="s">
        <v>4236</v>
      </c>
      <c r="I450" t="s">
        <v>33</v>
      </c>
      <c r="J450" t="s">
        <v>34</v>
      </c>
      <c r="K450" t="s">
        <v>161</v>
      </c>
      <c r="L450" s="6">
        <v>140189.78</v>
      </c>
      <c r="M450">
        <v>95596.05</v>
      </c>
      <c r="N450" t="s">
        <v>192</v>
      </c>
      <c r="O450">
        <v>1</v>
      </c>
      <c r="P450">
        <v>52</v>
      </c>
      <c r="Q450">
        <v>4</v>
      </c>
      <c r="R450">
        <v>164</v>
      </c>
      <c r="S450">
        <v>145.9</v>
      </c>
      <c r="T450" t="s">
        <v>37</v>
      </c>
      <c r="U450" s="7">
        <f t="shared" ref="U450:U513" si="28">DATEDIF(D450,E450,"Y")</f>
        <v>64</v>
      </c>
      <c r="V450" s="7">
        <f t="shared" ref="V450:V513" si="29">IF(OR(E450=" ",F450=" ",E450="Unknown",F450="Unknown")," ",F450-E450)</f>
        <v>1</v>
      </c>
      <c r="W450" s="6">
        <f t="shared" ref="W450:W513" si="30">L450-M450</f>
        <v>44593.729999999996</v>
      </c>
      <c r="X450" t="str">
        <f t="shared" ref="X450:X513" si="31">IF(OR(U450="",U450="Unknown"),"",IF(U450&lt;18,"Child",IF(U450&lt;40,"Adult",IF(U450&lt;60,"Middle Age","Senior"))))</f>
        <v>Senior</v>
      </c>
    </row>
    <row r="451" spans="1:24">
      <c r="A451" t="s">
        <v>1255</v>
      </c>
      <c r="B451" t="s">
        <v>1256</v>
      </c>
      <c r="C451" t="s">
        <v>40</v>
      </c>
      <c r="D451" s="5">
        <v>36788</v>
      </c>
      <c r="E451" s="5">
        <v>45190</v>
      </c>
      <c r="F451" s="5" t="s">
        <v>4237</v>
      </c>
      <c r="G451" t="s">
        <v>94</v>
      </c>
      <c r="H451" t="s">
        <v>95</v>
      </c>
      <c r="I451" t="s">
        <v>33</v>
      </c>
      <c r="J451" t="s">
        <v>64</v>
      </c>
      <c r="K451" t="s">
        <v>55</v>
      </c>
      <c r="L451" s="6">
        <v>80087.48</v>
      </c>
      <c r="M451">
        <v>55381.5</v>
      </c>
      <c r="N451" t="s">
        <v>35</v>
      </c>
      <c r="O451">
        <v>4</v>
      </c>
      <c r="P451">
        <v>94</v>
      </c>
      <c r="Q451">
        <v>4</v>
      </c>
      <c r="R451">
        <v>118</v>
      </c>
      <c r="S451">
        <v>158.4</v>
      </c>
      <c r="T451" t="s">
        <v>37</v>
      </c>
      <c r="U451" s="7">
        <f t="shared" si="28"/>
        <v>23</v>
      </c>
      <c r="V451" s="7" t="s">
        <v>4237</v>
      </c>
      <c r="W451" s="6">
        <f t="shared" si="30"/>
        <v>24705.979999999996</v>
      </c>
      <c r="X451" t="str">
        <f t="shared" si="31"/>
        <v>Adult</v>
      </c>
    </row>
    <row r="452" spans="1:24">
      <c r="A452" t="s">
        <v>1258</v>
      </c>
      <c r="B452" t="s">
        <v>640</v>
      </c>
      <c r="C452" t="s">
        <v>40</v>
      </c>
      <c r="D452" s="5">
        <v>20067</v>
      </c>
      <c r="E452" s="5">
        <v>45443</v>
      </c>
      <c r="F452" s="5">
        <v>45444</v>
      </c>
      <c r="G452" t="s">
        <v>77</v>
      </c>
      <c r="H452" t="s">
        <v>134</v>
      </c>
      <c r="I452" t="s">
        <v>53</v>
      </c>
      <c r="J452" t="s">
        <v>34</v>
      </c>
      <c r="K452" t="s">
        <v>110</v>
      </c>
      <c r="L452" s="6">
        <v>55763.02</v>
      </c>
      <c r="M452">
        <v>42006.29</v>
      </c>
      <c r="N452" t="s">
        <v>192</v>
      </c>
      <c r="O452">
        <v>1</v>
      </c>
      <c r="P452">
        <v>183</v>
      </c>
      <c r="Q452">
        <v>5</v>
      </c>
      <c r="R452">
        <v>132</v>
      </c>
      <c r="S452">
        <v>114.2</v>
      </c>
      <c r="T452" t="s">
        <v>37</v>
      </c>
      <c r="U452" s="7">
        <f t="shared" si="28"/>
        <v>69</v>
      </c>
      <c r="V452" s="7">
        <f t="shared" si="29"/>
        <v>1</v>
      </c>
      <c r="W452" s="6">
        <f t="shared" si="30"/>
        <v>13756.729999999996</v>
      </c>
      <c r="X452" t="str">
        <f t="shared" si="31"/>
        <v>Senior</v>
      </c>
    </row>
    <row r="453" spans="1:24">
      <c r="A453" t="s">
        <v>1261</v>
      </c>
      <c r="B453" t="s">
        <v>155</v>
      </c>
      <c r="C453" t="s">
        <v>40</v>
      </c>
      <c r="D453" s="5">
        <v>30521</v>
      </c>
      <c r="E453" s="5">
        <v>45257</v>
      </c>
      <c r="F453" s="5">
        <v>45264</v>
      </c>
      <c r="G453" t="s">
        <v>117</v>
      </c>
      <c r="H453" t="s">
        <v>78</v>
      </c>
      <c r="I453" t="s">
        <v>53</v>
      </c>
      <c r="J453" t="s">
        <v>97</v>
      </c>
      <c r="K453" t="s">
        <v>55</v>
      </c>
      <c r="L453" s="6">
        <v>9798.17</v>
      </c>
      <c r="M453">
        <v>8550.57</v>
      </c>
      <c r="N453" t="s">
        <v>192</v>
      </c>
      <c r="O453">
        <v>7</v>
      </c>
      <c r="P453">
        <v>89</v>
      </c>
      <c r="Q453">
        <v>2</v>
      </c>
      <c r="R453">
        <v>102</v>
      </c>
      <c r="S453">
        <v>249.8</v>
      </c>
      <c r="T453" t="s">
        <v>37</v>
      </c>
      <c r="U453" s="7">
        <f t="shared" si="28"/>
        <v>40</v>
      </c>
      <c r="V453" s="7">
        <f t="shared" si="29"/>
        <v>7</v>
      </c>
      <c r="W453" s="6">
        <f t="shared" si="30"/>
        <v>1247.6000000000004</v>
      </c>
      <c r="X453" t="str">
        <f t="shared" si="31"/>
        <v>Middle Age</v>
      </c>
    </row>
    <row r="454" spans="1:24">
      <c r="A454" t="s">
        <v>1262</v>
      </c>
      <c r="B454" t="s">
        <v>1263</v>
      </c>
      <c r="C454" t="s">
        <v>40</v>
      </c>
      <c r="D454" s="5">
        <v>23549</v>
      </c>
      <c r="E454" s="5">
        <v>45094</v>
      </c>
      <c r="F454" s="5">
        <v>45105</v>
      </c>
      <c r="G454" t="s">
        <v>161</v>
      </c>
      <c r="H454" t="s">
        <v>95</v>
      </c>
      <c r="I454" t="s">
        <v>96</v>
      </c>
      <c r="J454" t="s">
        <v>179</v>
      </c>
      <c r="K454" t="s">
        <v>55</v>
      </c>
      <c r="L454" s="6">
        <v>220127.06</v>
      </c>
      <c r="M454">
        <v>218939.04</v>
      </c>
      <c r="N454" t="s">
        <v>35</v>
      </c>
      <c r="O454">
        <v>11</v>
      </c>
      <c r="P454">
        <v>20</v>
      </c>
      <c r="Q454">
        <v>5</v>
      </c>
      <c r="R454">
        <v>102</v>
      </c>
      <c r="S454">
        <v>102</v>
      </c>
      <c r="T454" t="s">
        <v>37</v>
      </c>
      <c r="U454" s="7">
        <f t="shared" si="28"/>
        <v>58</v>
      </c>
      <c r="V454" s="7">
        <f t="shared" si="29"/>
        <v>11</v>
      </c>
      <c r="W454" s="6">
        <f t="shared" si="30"/>
        <v>1188.0199999999895</v>
      </c>
      <c r="X454" t="str">
        <f t="shared" si="31"/>
        <v>Middle Age</v>
      </c>
    </row>
    <row r="455" spans="1:24">
      <c r="A455" t="s">
        <v>1264</v>
      </c>
      <c r="B455" t="s">
        <v>572</v>
      </c>
      <c r="C455" t="s">
        <v>40</v>
      </c>
      <c r="D455" s="5">
        <v>20764</v>
      </c>
      <c r="E455" s="5">
        <v>45693</v>
      </c>
      <c r="F455" s="5">
        <v>45699</v>
      </c>
      <c r="G455" t="s">
        <v>161</v>
      </c>
      <c r="H455" t="s">
        <v>153</v>
      </c>
      <c r="I455" t="s">
        <v>53</v>
      </c>
      <c r="J455" t="s">
        <v>64</v>
      </c>
      <c r="K455" t="s">
        <v>120</v>
      </c>
      <c r="L455" s="6">
        <v>39340.31</v>
      </c>
      <c r="M455">
        <v>26501.5</v>
      </c>
      <c r="N455" t="s">
        <v>56</v>
      </c>
      <c r="O455">
        <v>6</v>
      </c>
      <c r="P455">
        <v>14</v>
      </c>
      <c r="Q455">
        <v>4</v>
      </c>
      <c r="R455">
        <v>105</v>
      </c>
      <c r="S455">
        <v>223.4</v>
      </c>
      <c r="T455" t="s">
        <v>65</v>
      </c>
      <c r="U455" s="7">
        <f t="shared" si="28"/>
        <v>68</v>
      </c>
      <c r="V455" s="7">
        <f t="shared" si="29"/>
        <v>6</v>
      </c>
      <c r="W455" s="6">
        <f t="shared" si="30"/>
        <v>12838.809999999998</v>
      </c>
      <c r="X455" t="str">
        <f t="shared" si="31"/>
        <v>Senior</v>
      </c>
    </row>
    <row r="456" spans="1:24">
      <c r="A456" t="s">
        <v>1265</v>
      </c>
      <c r="B456" t="s">
        <v>472</v>
      </c>
      <c r="C456" t="s">
        <v>133</v>
      </c>
      <c r="D456" s="5">
        <v>36742</v>
      </c>
      <c r="E456" s="5">
        <v>45061</v>
      </c>
      <c r="F456" s="5" t="s">
        <v>4237</v>
      </c>
      <c r="G456" t="s">
        <v>62</v>
      </c>
      <c r="H456" t="s">
        <v>86</v>
      </c>
      <c r="I456" t="s">
        <v>33</v>
      </c>
      <c r="J456" t="s">
        <v>80</v>
      </c>
      <c r="K456" t="s">
        <v>120</v>
      </c>
      <c r="L456" s="6">
        <v>199028.36</v>
      </c>
      <c r="M456">
        <v>160714.69</v>
      </c>
      <c r="N456" t="s">
        <v>73</v>
      </c>
      <c r="O456">
        <v>11</v>
      </c>
      <c r="P456">
        <v>239</v>
      </c>
      <c r="Q456">
        <v>4</v>
      </c>
      <c r="R456">
        <v>174</v>
      </c>
      <c r="S456">
        <v>204.5</v>
      </c>
      <c r="T456" t="s">
        <v>37</v>
      </c>
      <c r="U456" s="7">
        <f t="shared" si="28"/>
        <v>22</v>
      </c>
      <c r="V456" s="7" t="s">
        <v>4237</v>
      </c>
      <c r="W456" s="6">
        <f t="shared" si="30"/>
        <v>38313.669999999984</v>
      </c>
      <c r="X456" t="str">
        <f t="shared" si="31"/>
        <v>Adult</v>
      </c>
    </row>
    <row r="457" spans="1:24">
      <c r="A457" t="s">
        <v>4128</v>
      </c>
      <c r="B457" t="s">
        <v>545</v>
      </c>
      <c r="C457" t="s">
        <v>40</v>
      </c>
      <c r="D457" s="5">
        <v>25156</v>
      </c>
      <c r="E457" s="5">
        <v>45754</v>
      </c>
      <c r="F457" s="5">
        <v>45768</v>
      </c>
      <c r="G457" t="s">
        <v>77</v>
      </c>
      <c r="H457" t="s">
        <v>24</v>
      </c>
      <c r="I457" t="s">
        <v>33</v>
      </c>
      <c r="J457" t="s">
        <v>26</v>
      </c>
      <c r="K457" t="s">
        <v>55</v>
      </c>
      <c r="L457" s="6">
        <v>82074.84</v>
      </c>
      <c r="M457">
        <v>68840.600000000006</v>
      </c>
      <c r="N457" t="s">
        <v>35</v>
      </c>
      <c r="O457">
        <v>14</v>
      </c>
      <c r="P457">
        <v>83</v>
      </c>
      <c r="Q457">
        <v>4</v>
      </c>
      <c r="R457">
        <v>190</v>
      </c>
      <c r="S457">
        <v>216.4</v>
      </c>
      <c r="T457" t="s">
        <v>4237</v>
      </c>
      <c r="U457" s="7">
        <f t="shared" si="28"/>
        <v>56</v>
      </c>
      <c r="V457" s="7">
        <f t="shared" si="29"/>
        <v>14</v>
      </c>
      <c r="W457" s="6">
        <f t="shared" si="30"/>
        <v>13234.239999999991</v>
      </c>
      <c r="X457" t="str">
        <f t="shared" si="31"/>
        <v>Middle Age</v>
      </c>
    </row>
    <row r="458" spans="1:24">
      <c r="A458" t="s">
        <v>1269</v>
      </c>
      <c r="B458" t="s">
        <v>864</v>
      </c>
      <c r="C458" t="s">
        <v>40</v>
      </c>
      <c r="D458" s="5">
        <v>26544</v>
      </c>
      <c r="E458" s="5">
        <v>45815</v>
      </c>
      <c r="F458" s="5">
        <v>45832</v>
      </c>
      <c r="G458" t="s">
        <v>62</v>
      </c>
      <c r="H458" t="s">
        <v>95</v>
      </c>
      <c r="I458" t="s">
        <v>119</v>
      </c>
      <c r="J458" t="s">
        <v>64</v>
      </c>
      <c r="K458" t="s">
        <v>55</v>
      </c>
      <c r="L458" s="6">
        <v>227888.87</v>
      </c>
      <c r="M458">
        <v>190781.75</v>
      </c>
      <c r="N458" t="s">
        <v>91</v>
      </c>
      <c r="O458">
        <v>17</v>
      </c>
      <c r="P458">
        <v>52</v>
      </c>
      <c r="Q458">
        <v>4</v>
      </c>
      <c r="R458">
        <v>181</v>
      </c>
      <c r="S458">
        <v>163.5</v>
      </c>
      <c r="T458" t="s">
        <v>4237</v>
      </c>
      <c r="U458" s="7">
        <f t="shared" si="28"/>
        <v>52</v>
      </c>
      <c r="V458" s="7">
        <f t="shared" si="29"/>
        <v>17</v>
      </c>
      <c r="W458" s="6">
        <f t="shared" si="30"/>
        <v>37107.119999999995</v>
      </c>
      <c r="X458" t="str">
        <f t="shared" si="31"/>
        <v>Middle Age</v>
      </c>
    </row>
    <row r="459" spans="1:24">
      <c r="A459" t="s">
        <v>1272</v>
      </c>
      <c r="B459" t="s">
        <v>887</v>
      </c>
      <c r="C459" t="s">
        <v>133</v>
      </c>
      <c r="D459" s="5">
        <v>37358</v>
      </c>
      <c r="E459" s="5">
        <v>45750</v>
      </c>
      <c r="F459" s="5">
        <v>45752</v>
      </c>
      <c r="G459" t="s">
        <v>117</v>
      </c>
      <c r="H459" t="s">
        <v>86</v>
      </c>
      <c r="I459" t="s">
        <v>96</v>
      </c>
      <c r="J459" t="s">
        <v>34</v>
      </c>
      <c r="K459" t="s">
        <v>55</v>
      </c>
      <c r="L459" s="6">
        <v>170897.94</v>
      </c>
      <c r="M459">
        <v>139325.32999999999</v>
      </c>
      <c r="N459" t="s">
        <v>56</v>
      </c>
      <c r="O459">
        <v>2</v>
      </c>
      <c r="P459">
        <v>165</v>
      </c>
      <c r="Q459">
        <v>5</v>
      </c>
      <c r="R459">
        <v>116</v>
      </c>
      <c r="S459">
        <v>248.7</v>
      </c>
      <c r="T459" t="s">
        <v>4237</v>
      </c>
      <c r="U459" s="7">
        <f t="shared" si="28"/>
        <v>22</v>
      </c>
      <c r="V459" s="7">
        <f t="shared" si="29"/>
        <v>2</v>
      </c>
      <c r="W459" s="6">
        <f t="shared" si="30"/>
        <v>31572.610000000015</v>
      </c>
      <c r="X459" t="str">
        <f t="shared" si="31"/>
        <v>Adult</v>
      </c>
    </row>
    <row r="460" spans="1:24">
      <c r="A460" t="s">
        <v>1275</v>
      </c>
      <c r="B460" t="s">
        <v>1276</v>
      </c>
      <c r="C460" t="s">
        <v>40</v>
      </c>
      <c r="D460" s="5">
        <v>21512</v>
      </c>
      <c r="E460" s="5">
        <v>45383</v>
      </c>
      <c r="F460" s="5">
        <v>45386</v>
      </c>
      <c r="G460" t="s">
        <v>161</v>
      </c>
      <c r="H460" t="s">
        <v>124</v>
      </c>
      <c r="I460" t="s">
        <v>33</v>
      </c>
      <c r="J460" t="s">
        <v>26</v>
      </c>
      <c r="K460" t="s">
        <v>161</v>
      </c>
      <c r="L460" s="6">
        <v>47881.24</v>
      </c>
      <c r="M460">
        <v>35920.99</v>
      </c>
      <c r="N460" t="s">
        <v>192</v>
      </c>
      <c r="O460">
        <v>3</v>
      </c>
      <c r="P460">
        <v>194</v>
      </c>
      <c r="Q460">
        <v>5</v>
      </c>
      <c r="R460">
        <v>177</v>
      </c>
      <c r="S460">
        <v>205.9</v>
      </c>
      <c r="T460" t="s">
        <v>4237</v>
      </c>
      <c r="U460" s="7">
        <f t="shared" si="28"/>
        <v>65</v>
      </c>
      <c r="V460" s="7">
        <f t="shared" si="29"/>
        <v>3</v>
      </c>
      <c r="W460" s="6">
        <f t="shared" si="30"/>
        <v>11960.25</v>
      </c>
      <c r="X460" t="str">
        <f t="shared" si="31"/>
        <v>Senior</v>
      </c>
    </row>
    <row r="461" spans="1:24">
      <c r="A461" t="s">
        <v>1278</v>
      </c>
      <c r="B461" t="s">
        <v>280</v>
      </c>
      <c r="C461" t="s">
        <v>133</v>
      </c>
      <c r="D461" s="5">
        <v>30332</v>
      </c>
      <c r="E461" s="5">
        <v>45907</v>
      </c>
      <c r="F461" s="5">
        <v>45911</v>
      </c>
      <c r="G461" t="s">
        <v>152</v>
      </c>
      <c r="H461" t="s">
        <v>124</v>
      </c>
      <c r="I461" t="s">
        <v>79</v>
      </c>
      <c r="J461" t="s">
        <v>97</v>
      </c>
      <c r="K461" t="s">
        <v>55</v>
      </c>
      <c r="L461" s="6">
        <v>23192.99</v>
      </c>
      <c r="M461">
        <v>18569.099999999999</v>
      </c>
      <c r="N461" t="s">
        <v>192</v>
      </c>
      <c r="O461">
        <v>4</v>
      </c>
      <c r="P461">
        <v>66</v>
      </c>
      <c r="Q461">
        <v>4</v>
      </c>
      <c r="R461">
        <v>168</v>
      </c>
      <c r="S461">
        <v>140.5</v>
      </c>
      <c r="T461" t="s">
        <v>4237</v>
      </c>
      <c r="U461" s="7">
        <f t="shared" si="28"/>
        <v>42</v>
      </c>
      <c r="V461" s="7">
        <f t="shared" si="29"/>
        <v>4</v>
      </c>
      <c r="W461" s="6">
        <f t="shared" si="30"/>
        <v>4623.8900000000031</v>
      </c>
      <c r="X461" t="str">
        <f t="shared" si="31"/>
        <v>Middle Age</v>
      </c>
    </row>
    <row r="462" spans="1:24">
      <c r="A462" t="s">
        <v>1280</v>
      </c>
      <c r="B462" t="s">
        <v>843</v>
      </c>
      <c r="C462" t="s">
        <v>133</v>
      </c>
      <c r="D462" s="5">
        <v>39519</v>
      </c>
      <c r="E462" s="5">
        <v>45873</v>
      </c>
      <c r="F462" s="5">
        <v>45880</v>
      </c>
      <c r="G462" t="s">
        <v>152</v>
      </c>
      <c r="H462" t="s">
        <v>134</v>
      </c>
      <c r="I462" t="s">
        <v>79</v>
      </c>
      <c r="J462" t="s">
        <v>97</v>
      </c>
      <c r="K462" t="s">
        <v>55</v>
      </c>
      <c r="L462" s="6">
        <v>236838.27</v>
      </c>
      <c r="M462">
        <v>153278.25</v>
      </c>
      <c r="N462" t="s">
        <v>35</v>
      </c>
      <c r="O462">
        <v>7</v>
      </c>
      <c r="P462">
        <v>52</v>
      </c>
      <c r="Q462">
        <v>4</v>
      </c>
      <c r="R462">
        <v>132</v>
      </c>
      <c r="S462">
        <v>195</v>
      </c>
      <c r="T462" t="s">
        <v>37</v>
      </c>
      <c r="U462" s="7">
        <f t="shared" si="28"/>
        <v>17</v>
      </c>
      <c r="V462" s="7">
        <f t="shared" si="29"/>
        <v>7</v>
      </c>
      <c r="W462" s="6">
        <f t="shared" si="30"/>
        <v>83560.01999999999</v>
      </c>
      <c r="X462" t="str">
        <f t="shared" si="31"/>
        <v>Child</v>
      </c>
    </row>
    <row r="463" spans="1:24">
      <c r="A463" t="s">
        <v>1284</v>
      </c>
      <c r="B463" t="s">
        <v>88</v>
      </c>
      <c r="C463" t="s">
        <v>133</v>
      </c>
      <c r="D463" s="5">
        <v>35148</v>
      </c>
      <c r="E463" s="5">
        <v>45585</v>
      </c>
      <c r="F463" s="5" t="s">
        <v>4237</v>
      </c>
      <c r="G463" t="s">
        <v>161</v>
      </c>
      <c r="H463" t="s">
        <v>113</v>
      </c>
      <c r="I463" t="s">
        <v>45</v>
      </c>
      <c r="J463" t="s">
        <v>179</v>
      </c>
      <c r="K463" t="s">
        <v>55</v>
      </c>
      <c r="L463" s="6">
        <v>96850.31</v>
      </c>
      <c r="M463">
        <v>62543.29</v>
      </c>
      <c r="N463" t="s">
        <v>73</v>
      </c>
      <c r="O463">
        <v>12</v>
      </c>
      <c r="P463">
        <v>104</v>
      </c>
      <c r="Q463">
        <v>2</v>
      </c>
      <c r="R463">
        <v>118</v>
      </c>
      <c r="S463">
        <v>214.8</v>
      </c>
      <c r="T463" t="s">
        <v>37</v>
      </c>
      <c r="U463" s="7">
        <f t="shared" si="28"/>
        <v>28</v>
      </c>
      <c r="V463" s="7" t="s">
        <v>4237</v>
      </c>
      <c r="W463" s="6">
        <f t="shared" si="30"/>
        <v>34307.019999999997</v>
      </c>
      <c r="X463" t="str">
        <f t="shared" si="31"/>
        <v>Adult</v>
      </c>
    </row>
    <row r="464" spans="1:24">
      <c r="A464" t="s">
        <v>1286</v>
      </c>
      <c r="B464" t="s">
        <v>150</v>
      </c>
      <c r="C464" t="s">
        <v>40</v>
      </c>
      <c r="D464" s="5">
        <v>33101</v>
      </c>
      <c r="E464" s="5">
        <v>45240</v>
      </c>
      <c r="F464" s="5">
        <v>45255</v>
      </c>
      <c r="G464" t="s">
        <v>105</v>
      </c>
      <c r="H464" t="s">
        <v>86</v>
      </c>
      <c r="I464" t="s">
        <v>53</v>
      </c>
      <c r="J464" t="s">
        <v>71</v>
      </c>
      <c r="K464" t="s">
        <v>161</v>
      </c>
      <c r="L464" s="6">
        <v>160180.57</v>
      </c>
      <c r="M464">
        <v>158404.47</v>
      </c>
      <c r="N464" t="s">
        <v>192</v>
      </c>
      <c r="O464">
        <v>15</v>
      </c>
      <c r="P464">
        <v>104</v>
      </c>
      <c r="Q464">
        <v>5</v>
      </c>
      <c r="R464">
        <v>110</v>
      </c>
      <c r="S464">
        <v>139.9</v>
      </c>
      <c r="T464" t="s">
        <v>37</v>
      </c>
      <c r="U464" s="7">
        <f t="shared" si="28"/>
        <v>33</v>
      </c>
      <c r="V464" s="7">
        <f t="shared" si="29"/>
        <v>15</v>
      </c>
      <c r="W464" s="6">
        <f t="shared" si="30"/>
        <v>1776.1000000000058</v>
      </c>
      <c r="X464" t="str">
        <f t="shared" si="31"/>
        <v>Adult</v>
      </c>
    </row>
    <row r="465" spans="1:24">
      <c r="A465" t="s">
        <v>1288</v>
      </c>
      <c r="B465" t="s">
        <v>852</v>
      </c>
      <c r="C465" t="s">
        <v>133</v>
      </c>
      <c r="D465" s="5">
        <v>29204</v>
      </c>
      <c r="E465" s="5">
        <v>45836</v>
      </c>
      <c r="F465" s="5">
        <v>45849</v>
      </c>
      <c r="G465" t="s">
        <v>105</v>
      </c>
      <c r="H465" t="s">
        <v>63</v>
      </c>
      <c r="I465" t="s">
        <v>79</v>
      </c>
      <c r="J465" t="s">
        <v>97</v>
      </c>
      <c r="K465" t="s">
        <v>55</v>
      </c>
      <c r="L465" s="6">
        <v>181518.66</v>
      </c>
      <c r="M465">
        <v>140459.53</v>
      </c>
      <c r="N465" t="s">
        <v>73</v>
      </c>
      <c r="O465">
        <v>13</v>
      </c>
      <c r="P465">
        <v>187</v>
      </c>
      <c r="Q465">
        <v>4</v>
      </c>
      <c r="R465">
        <v>162</v>
      </c>
      <c r="S465">
        <v>107</v>
      </c>
      <c r="T465" t="s">
        <v>4237</v>
      </c>
      <c r="U465" s="7">
        <f t="shared" si="28"/>
        <v>45</v>
      </c>
      <c r="V465" s="7">
        <f t="shared" si="29"/>
        <v>13</v>
      </c>
      <c r="W465" s="6">
        <f t="shared" si="30"/>
        <v>41059.130000000005</v>
      </c>
      <c r="X465" t="str">
        <f t="shared" si="31"/>
        <v>Middle Age</v>
      </c>
    </row>
    <row r="466" spans="1:24">
      <c r="A466" t="s">
        <v>4129</v>
      </c>
      <c r="B466" t="s">
        <v>1293</v>
      </c>
      <c r="C466" t="s">
        <v>133</v>
      </c>
      <c r="D466" s="5">
        <v>22747</v>
      </c>
      <c r="E466" s="5">
        <v>45247</v>
      </c>
      <c r="F466" s="5">
        <v>45260</v>
      </c>
      <c r="G466" t="s">
        <v>43</v>
      </c>
      <c r="H466" t="s">
        <v>124</v>
      </c>
      <c r="I466" t="s">
        <v>33</v>
      </c>
      <c r="J466" t="s">
        <v>179</v>
      </c>
      <c r="K466" t="s">
        <v>27</v>
      </c>
      <c r="L466" s="6">
        <v>174257.48</v>
      </c>
      <c r="M466">
        <v>144059.87</v>
      </c>
      <c r="N466" t="s">
        <v>192</v>
      </c>
      <c r="O466">
        <v>13</v>
      </c>
      <c r="P466">
        <v>49</v>
      </c>
      <c r="Q466">
        <v>5</v>
      </c>
      <c r="R466">
        <v>185</v>
      </c>
      <c r="S466">
        <v>199.3</v>
      </c>
      <c r="T466" t="s">
        <v>47</v>
      </c>
      <c r="U466" s="7">
        <f t="shared" si="28"/>
        <v>61</v>
      </c>
      <c r="V466" s="7">
        <f t="shared" si="29"/>
        <v>13</v>
      </c>
      <c r="W466" s="6">
        <f t="shared" si="30"/>
        <v>30197.610000000015</v>
      </c>
      <c r="X466" t="str">
        <f t="shared" si="31"/>
        <v>Senior</v>
      </c>
    </row>
    <row r="467" spans="1:24">
      <c r="A467" t="s">
        <v>1295</v>
      </c>
      <c r="B467" t="s">
        <v>801</v>
      </c>
      <c r="C467" t="s">
        <v>40</v>
      </c>
      <c r="D467" s="5">
        <v>36559</v>
      </c>
      <c r="E467" s="5">
        <v>44970</v>
      </c>
      <c r="F467" s="5">
        <v>44971</v>
      </c>
      <c r="G467" t="s">
        <v>117</v>
      </c>
      <c r="H467" t="s">
        <v>24</v>
      </c>
      <c r="I467" t="s">
        <v>119</v>
      </c>
      <c r="J467" t="s">
        <v>26</v>
      </c>
      <c r="K467" t="s">
        <v>55</v>
      </c>
      <c r="L467" s="6">
        <v>80040.240000000005</v>
      </c>
      <c r="M467">
        <v>60902.79</v>
      </c>
      <c r="N467" t="s">
        <v>73</v>
      </c>
      <c r="O467">
        <v>1</v>
      </c>
      <c r="P467">
        <v>43</v>
      </c>
      <c r="Q467">
        <v>4</v>
      </c>
      <c r="R467">
        <v>129</v>
      </c>
      <c r="S467">
        <v>229.7</v>
      </c>
      <c r="T467" t="s">
        <v>65</v>
      </c>
      <c r="U467" s="7">
        <f t="shared" si="28"/>
        <v>23</v>
      </c>
      <c r="V467" s="7">
        <f t="shared" si="29"/>
        <v>1</v>
      </c>
      <c r="W467" s="6">
        <f t="shared" si="30"/>
        <v>19137.450000000004</v>
      </c>
      <c r="X467" t="str">
        <f t="shared" si="31"/>
        <v>Adult</v>
      </c>
    </row>
    <row r="468" spans="1:24">
      <c r="A468" t="s">
        <v>4130</v>
      </c>
      <c r="B468" t="s">
        <v>1293</v>
      </c>
      <c r="C468" t="s">
        <v>133</v>
      </c>
      <c r="D468" s="5">
        <v>31311</v>
      </c>
      <c r="E468" s="5">
        <v>45888</v>
      </c>
      <c r="F468" s="5">
        <v>45897</v>
      </c>
      <c r="G468" t="s">
        <v>94</v>
      </c>
      <c r="H468" t="s">
        <v>52</v>
      </c>
      <c r="I468" t="s">
        <v>53</v>
      </c>
      <c r="J468" t="s">
        <v>34</v>
      </c>
      <c r="K468" t="s">
        <v>55</v>
      </c>
      <c r="L468" s="6">
        <v>26524.560000000001</v>
      </c>
      <c r="M468">
        <v>19646.2</v>
      </c>
      <c r="N468" t="s">
        <v>73</v>
      </c>
      <c r="O468">
        <v>9</v>
      </c>
      <c r="P468">
        <v>102</v>
      </c>
      <c r="Q468">
        <v>4</v>
      </c>
      <c r="R468">
        <v>138</v>
      </c>
      <c r="S468">
        <v>160.6</v>
      </c>
      <c r="T468" t="s">
        <v>37</v>
      </c>
      <c r="U468" s="7">
        <f t="shared" si="28"/>
        <v>39</v>
      </c>
      <c r="V468" s="7">
        <f t="shared" si="29"/>
        <v>9</v>
      </c>
      <c r="W468" s="6">
        <f t="shared" si="30"/>
        <v>6878.3600000000006</v>
      </c>
      <c r="X468" t="str">
        <f t="shared" si="31"/>
        <v>Adult</v>
      </c>
    </row>
    <row r="469" spans="1:24">
      <c r="A469" t="s">
        <v>1300</v>
      </c>
      <c r="B469" t="s">
        <v>1146</v>
      </c>
      <c r="C469" t="s">
        <v>133</v>
      </c>
      <c r="D469" s="5">
        <v>32650</v>
      </c>
      <c r="E469" s="5">
        <v>45733</v>
      </c>
      <c r="F469" s="5">
        <v>45738</v>
      </c>
      <c r="G469" t="s">
        <v>94</v>
      </c>
      <c r="H469" t="s">
        <v>113</v>
      </c>
      <c r="I469" t="s">
        <v>45</v>
      </c>
      <c r="J469" t="s">
        <v>46</v>
      </c>
      <c r="K469" t="s">
        <v>110</v>
      </c>
      <c r="L469" s="6">
        <v>74856.490000000005</v>
      </c>
      <c r="M469">
        <v>98646.34</v>
      </c>
      <c r="N469" t="s">
        <v>192</v>
      </c>
      <c r="O469">
        <v>5</v>
      </c>
      <c r="P469">
        <v>209</v>
      </c>
      <c r="Q469">
        <v>4</v>
      </c>
      <c r="R469">
        <v>92</v>
      </c>
      <c r="S469">
        <v>188.2</v>
      </c>
      <c r="T469" t="s">
        <v>37</v>
      </c>
      <c r="U469" s="7">
        <f t="shared" si="28"/>
        <v>35</v>
      </c>
      <c r="V469" s="7">
        <f t="shared" si="29"/>
        <v>5</v>
      </c>
      <c r="W469" s="6">
        <f t="shared" si="30"/>
        <v>-23789.849999999991</v>
      </c>
      <c r="X469" t="str">
        <f t="shared" si="31"/>
        <v>Adult</v>
      </c>
    </row>
    <row r="470" spans="1:24">
      <c r="A470" t="s">
        <v>1301</v>
      </c>
      <c r="B470" t="s">
        <v>1302</v>
      </c>
      <c r="C470" t="s">
        <v>133</v>
      </c>
      <c r="D470" s="5">
        <v>28278</v>
      </c>
      <c r="E470" s="5">
        <v>45485</v>
      </c>
      <c r="F470" s="5">
        <v>45500</v>
      </c>
      <c r="G470" t="s">
        <v>105</v>
      </c>
      <c r="H470" t="s">
        <v>95</v>
      </c>
      <c r="I470" t="s">
        <v>25</v>
      </c>
      <c r="J470" t="s">
        <v>97</v>
      </c>
      <c r="K470" t="s">
        <v>55</v>
      </c>
      <c r="L470" s="6">
        <v>218329.91</v>
      </c>
      <c r="M470">
        <v>138177.29</v>
      </c>
      <c r="N470" t="s">
        <v>192</v>
      </c>
      <c r="O470">
        <v>15</v>
      </c>
      <c r="P470">
        <v>151</v>
      </c>
      <c r="Q470">
        <v>1</v>
      </c>
      <c r="R470">
        <v>128</v>
      </c>
      <c r="S470">
        <v>142.30000000000001</v>
      </c>
      <c r="T470" t="s">
        <v>37</v>
      </c>
      <c r="U470" s="7">
        <f t="shared" si="28"/>
        <v>47</v>
      </c>
      <c r="V470" s="7">
        <f t="shared" si="29"/>
        <v>15</v>
      </c>
      <c r="W470" s="6">
        <f t="shared" si="30"/>
        <v>80152.62</v>
      </c>
      <c r="X470" t="str">
        <f t="shared" si="31"/>
        <v>Middle Age</v>
      </c>
    </row>
    <row r="471" spans="1:24">
      <c r="A471" t="s">
        <v>1304</v>
      </c>
      <c r="B471" t="s">
        <v>1305</v>
      </c>
      <c r="C471" t="s">
        <v>133</v>
      </c>
      <c r="D471" s="5">
        <v>31153</v>
      </c>
      <c r="E471" s="5">
        <v>45503</v>
      </c>
      <c r="F471" s="5">
        <v>45512</v>
      </c>
      <c r="G471" t="s">
        <v>77</v>
      </c>
      <c r="H471" t="s">
        <v>113</v>
      </c>
      <c r="I471" t="s">
        <v>33</v>
      </c>
      <c r="J471" t="s">
        <v>46</v>
      </c>
      <c r="K471" t="s">
        <v>110</v>
      </c>
      <c r="L471" s="6">
        <v>215716.09</v>
      </c>
      <c r="M471">
        <v>152490.19</v>
      </c>
      <c r="N471" t="s">
        <v>73</v>
      </c>
      <c r="O471">
        <v>9</v>
      </c>
      <c r="P471">
        <v>37</v>
      </c>
      <c r="Q471">
        <v>2</v>
      </c>
      <c r="R471">
        <v>121</v>
      </c>
      <c r="S471">
        <v>84.1</v>
      </c>
      <c r="T471" t="s">
        <v>65</v>
      </c>
      <c r="U471" s="7">
        <f t="shared" si="28"/>
        <v>39</v>
      </c>
      <c r="V471" s="7">
        <f t="shared" si="29"/>
        <v>9</v>
      </c>
      <c r="W471" s="6">
        <f t="shared" si="30"/>
        <v>63225.899999999994</v>
      </c>
      <c r="X471" t="str">
        <f t="shared" si="31"/>
        <v>Adult</v>
      </c>
    </row>
    <row r="472" spans="1:24">
      <c r="A472" t="s">
        <v>1308</v>
      </c>
      <c r="B472" t="s">
        <v>458</v>
      </c>
      <c r="C472" t="s">
        <v>40</v>
      </c>
      <c r="D472" s="5">
        <v>33050</v>
      </c>
      <c r="E472" s="5">
        <v>45143</v>
      </c>
      <c r="F472" s="5" t="s">
        <v>4237</v>
      </c>
      <c r="G472" t="s">
        <v>62</v>
      </c>
      <c r="H472" t="s">
        <v>86</v>
      </c>
      <c r="I472" t="s">
        <v>33</v>
      </c>
      <c r="J472" t="s">
        <v>97</v>
      </c>
      <c r="K472" t="s">
        <v>120</v>
      </c>
      <c r="L472" s="6">
        <v>25196.71</v>
      </c>
      <c r="M472">
        <v>17666.73</v>
      </c>
      <c r="N472" t="s">
        <v>192</v>
      </c>
      <c r="O472">
        <v>4</v>
      </c>
      <c r="P472">
        <v>207</v>
      </c>
      <c r="Q472">
        <v>4</v>
      </c>
      <c r="R472">
        <v>116</v>
      </c>
      <c r="S472">
        <v>79.5</v>
      </c>
      <c r="T472" t="s">
        <v>37</v>
      </c>
      <c r="U472" s="7">
        <f t="shared" si="28"/>
        <v>33</v>
      </c>
      <c r="V472" s="7" t="s">
        <v>4237</v>
      </c>
      <c r="W472" s="6">
        <f t="shared" si="30"/>
        <v>7529.98</v>
      </c>
      <c r="X472" t="str">
        <f t="shared" si="31"/>
        <v>Adult</v>
      </c>
    </row>
    <row r="473" spans="1:24">
      <c r="A473" t="s">
        <v>1309</v>
      </c>
      <c r="B473" t="s">
        <v>229</v>
      </c>
      <c r="C473" t="s">
        <v>133</v>
      </c>
      <c r="D473" s="5">
        <v>29954</v>
      </c>
      <c r="E473" s="5">
        <v>45287</v>
      </c>
      <c r="F473" s="5">
        <v>45294</v>
      </c>
      <c r="G473" t="s">
        <v>89</v>
      </c>
      <c r="H473" t="s">
        <v>118</v>
      </c>
      <c r="I473" t="s">
        <v>45</v>
      </c>
      <c r="J473" t="s">
        <v>26</v>
      </c>
      <c r="K473" t="s">
        <v>161</v>
      </c>
      <c r="L473" s="6">
        <v>176459.85</v>
      </c>
      <c r="M473">
        <v>133484.74</v>
      </c>
      <c r="N473" t="s">
        <v>192</v>
      </c>
      <c r="O473">
        <v>7</v>
      </c>
      <c r="P473">
        <v>222</v>
      </c>
      <c r="Q473">
        <v>5</v>
      </c>
      <c r="R473">
        <v>186</v>
      </c>
      <c r="S473">
        <v>258.5</v>
      </c>
      <c r="T473" t="s">
        <v>47</v>
      </c>
      <c r="U473" s="7">
        <f t="shared" si="28"/>
        <v>41</v>
      </c>
      <c r="V473" s="7">
        <f t="shared" si="29"/>
        <v>7</v>
      </c>
      <c r="W473" s="6">
        <f t="shared" si="30"/>
        <v>42975.110000000015</v>
      </c>
      <c r="X473" t="str">
        <f t="shared" si="31"/>
        <v>Middle Age</v>
      </c>
    </row>
    <row r="474" spans="1:24">
      <c r="A474" t="s">
        <v>1312</v>
      </c>
      <c r="B474" t="s">
        <v>1313</v>
      </c>
      <c r="C474" t="s">
        <v>133</v>
      </c>
      <c r="D474" s="5">
        <v>19727</v>
      </c>
      <c r="E474" s="5">
        <v>45938</v>
      </c>
      <c r="F474" s="5">
        <v>45950</v>
      </c>
      <c r="G474" t="s">
        <v>152</v>
      </c>
      <c r="H474" t="s">
        <v>118</v>
      </c>
      <c r="I474" t="s">
        <v>79</v>
      </c>
      <c r="J474" t="s">
        <v>26</v>
      </c>
      <c r="K474" t="s">
        <v>161</v>
      </c>
      <c r="L474" s="6">
        <v>169323.67</v>
      </c>
      <c r="M474">
        <v>120001.83</v>
      </c>
      <c r="N474" t="s">
        <v>73</v>
      </c>
      <c r="O474">
        <v>12</v>
      </c>
      <c r="P474">
        <v>195</v>
      </c>
      <c r="Q474">
        <v>2</v>
      </c>
      <c r="R474">
        <v>130</v>
      </c>
      <c r="S474">
        <v>181.7</v>
      </c>
      <c r="T474" t="s">
        <v>65</v>
      </c>
      <c r="U474" s="7">
        <f t="shared" si="28"/>
        <v>71</v>
      </c>
      <c r="V474" s="7">
        <f t="shared" si="29"/>
        <v>12</v>
      </c>
      <c r="W474" s="6">
        <f t="shared" si="30"/>
        <v>49321.840000000011</v>
      </c>
      <c r="X474" t="str">
        <f t="shared" si="31"/>
        <v>Senior</v>
      </c>
    </row>
    <row r="475" spans="1:24">
      <c r="A475" t="s">
        <v>1314</v>
      </c>
      <c r="B475" t="s">
        <v>244</v>
      </c>
      <c r="C475" t="s">
        <v>133</v>
      </c>
      <c r="D475" s="5">
        <v>19340</v>
      </c>
      <c r="E475" s="5">
        <v>45766</v>
      </c>
      <c r="F475" s="5">
        <v>45781</v>
      </c>
      <c r="G475" t="s">
        <v>105</v>
      </c>
      <c r="H475" t="s">
        <v>134</v>
      </c>
      <c r="I475" t="s">
        <v>79</v>
      </c>
      <c r="J475" t="s">
        <v>34</v>
      </c>
      <c r="K475" t="s">
        <v>55</v>
      </c>
      <c r="L475" s="6">
        <v>217498.88</v>
      </c>
      <c r="M475">
        <v>172665.9</v>
      </c>
      <c r="N475" t="s">
        <v>73</v>
      </c>
      <c r="O475">
        <v>15</v>
      </c>
      <c r="P475">
        <v>41</v>
      </c>
      <c r="Q475">
        <v>4</v>
      </c>
      <c r="R475">
        <v>143</v>
      </c>
      <c r="S475">
        <v>250.4</v>
      </c>
      <c r="T475" t="s">
        <v>47</v>
      </c>
      <c r="U475" s="7">
        <f t="shared" si="28"/>
        <v>72</v>
      </c>
      <c r="V475" s="7">
        <f t="shared" si="29"/>
        <v>15</v>
      </c>
      <c r="W475" s="6">
        <f t="shared" si="30"/>
        <v>44832.98000000001</v>
      </c>
      <c r="X475" t="str">
        <f t="shared" si="31"/>
        <v>Senior</v>
      </c>
    </row>
    <row r="476" spans="1:24">
      <c r="A476" t="s">
        <v>1315</v>
      </c>
      <c r="B476" t="s">
        <v>21</v>
      </c>
      <c r="C476" t="s">
        <v>133</v>
      </c>
      <c r="D476" s="5">
        <v>29289</v>
      </c>
      <c r="E476" s="5">
        <v>45617</v>
      </c>
      <c r="F476" s="5" t="s">
        <v>4237</v>
      </c>
      <c r="G476" t="s">
        <v>43</v>
      </c>
      <c r="H476" t="s">
        <v>124</v>
      </c>
      <c r="I476" t="s">
        <v>96</v>
      </c>
      <c r="J476" t="s">
        <v>64</v>
      </c>
      <c r="K476" t="s">
        <v>55</v>
      </c>
      <c r="L476" s="6">
        <v>71223.22</v>
      </c>
      <c r="M476">
        <v>60252.03</v>
      </c>
      <c r="N476" t="s">
        <v>4237</v>
      </c>
      <c r="O476">
        <v>7</v>
      </c>
      <c r="P476">
        <v>190</v>
      </c>
      <c r="Q476">
        <v>4</v>
      </c>
      <c r="R476">
        <v>145</v>
      </c>
      <c r="S476">
        <v>152.69999999999999</v>
      </c>
      <c r="T476" t="s">
        <v>47</v>
      </c>
      <c r="U476" s="7">
        <f t="shared" si="28"/>
        <v>44</v>
      </c>
      <c r="V476" s="7" t="s">
        <v>4237</v>
      </c>
      <c r="W476" s="6">
        <f t="shared" si="30"/>
        <v>10971.190000000002</v>
      </c>
      <c r="X476" t="str">
        <f t="shared" si="31"/>
        <v>Middle Age</v>
      </c>
    </row>
    <row r="477" spans="1:24">
      <c r="A477" t="s">
        <v>1318</v>
      </c>
      <c r="B477" t="s">
        <v>470</v>
      </c>
      <c r="C477" t="s">
        <v>133</v>
      </c>
      <c r="D477" s="5">
        <v>32943</v>
      </c>
      <c r="E477" s="5">
        <v>45563</v>
      </c>
      <c r="F477" s="5">
        <v>45577</v>
      </c>
      <c r="G477" t="s">
        <v>117</v>
      </c>
      <c r="H477" t="s">
        <v>124</v>
      </c>
      <c r="I477" t="s">
        <v>96</v>
      </c>
      <c r="J477" t="s">
        <v>46</v>
      </c>
      <c r="K477" t="s">
        <v>27</v>
      </c>
      <c r="L477" s="6">
        <v>181877.3</v>
      </c>
      <c r="M477">
        <v>148292.72</v>
      </c>
      <c r="N477" t="s">
        <v>192</v>
      </c>
      <c r="O477">
        <v>14</v>
      </c>
      <c r="P477">
        <v>99</v>
      </c>
      <c r="Q477">
        <v>4</v>
      </c>
      <c r="R477">
        <v>98</v>
      </c>
      <c r="S477">
        <v>73.400000000000006</v>
      </c>
      <c r="T477" t="s">
        <v>65</v>
      </c>
      <c r="U477" s="7">
        <f t="shared" si="28"/>
        <v>34</v>
      </c>
      <c r="V477" s="7">
        <f t="shared" si="29"/>
        <v>14</v>
      </c>
      <c r="W477" s="6">
        <f t="shared" si="30"/>
        <v>33584.579999999987</v>
      </c>
      <c r="X477" t="str">
        <f t="shared" si="31"/>
        <v>Adult</v>
      </c>
    </row>
    <row r="478" spans="1:24">
      <c r="A478" t="s">
        <v>1321</v>
      </c>
      <c r="B478" t="s">
        <v>224</v>
      </c>
      <c r="C478" t="s">
        <v>40</v>
      </c>
      <c r="D478" s="5">
        <v>34429</v>
      </c>
      <c r="E478" s="5">
        <v>45586</v>
      </c>
      <c r="F478" s="5">
        <v>45594</v>
      </c>
      <c r="G478" t="s">
        <v>117</v>
      </c>
      <c r="H478" t="s">
        <v>86</v>
      </c>
      <c r="I478" t="s">
        <v>45</v>
      </c>
      <c r="J478" t="s">
        <v>34</v>
      </c>
      <c r="K478" t="s">
        <v>120</v>
      </c>
      <c r="L478" s="6">
        <v>141916.26</v>
      </c>
      <c r="M478">
        <v>112686.91</v>
      </c>
      <c r="N478" t="s">
        <v>73</v>
      </c>
      <c r="O478">
        <v>8</v>
      </c>
      <c r="P478">
        <v>230</v>
      </c>
      <c r="Q478">
        <v>2</v>
      </c>
      <c r="R478">
        <v>139</v>
      </c>
      <c r="S478">
        <v>212.5</v>
      </c>
      <c r="T478" t="s">
        <v>37</v>
      </c>
      <c r="U478" s="7">
        <f t="shared" si="28"/>
        <v>30</v>
      </c>
      <c r="V478" s="7">
        <f t="shared" si="29"/>
        <v>8</v>
      </c>
      <c r="W478" s="6">
        <f t="shared" si="30"/>
        <v>29229.350000000006</v>
      </c>
      <c r="X478" t="str">
        <f t="shared" si="31"/>
        <v>Adult</v>
      </c>
    </row>
    <row r="479" spans="1:24">
      <c r="A479" t="s">
        <v>1324</v>
      </c>
      <c r="B479" t="s">
        <v>1256</v>
      </c>
      <c r="C479" t="s">
        <v>133</v>
      </c>
      <c r="D479" s="5">
        <v>29319</v>
      </c>
      <c r="E479" s="5">
        <v>44933</v>
      </c>
      <c r="F479" s="5">
        <v>44944</v>
      </c>
      <c r="G479" t="s">
        <v>117</v>
      </c>
      <c r="H479" t="s">
        <v>32</v>
      </c>
      <c r="I479" t="s">
        <v>53</v>
      </c>
      <c r="J479" t="s">
        <v>71</v>
      </c>
      <c r="K479" t="s">
        <v>120</v>
      </c>
      <c r="L479" s="6">
        <v>239275.24</v>
      </c>
      <c r="M479">
        <v>226307.98</v>
      </c>
      <c r="N479" t="s">
        <v>91</v>
      </c>
      <c r="O479">
        <v>11</v>
      </c>
      <c r="P479">
        <v>159</v>
      </c>
      <c r="Q479">
        <v>4</v>
      </c>
      <c r="R479">
        <v>115</v>
      </c>
      <c r="S479">
        <v>226.6</v>
      </c>
      <c r="T479" t="s">
        <v>4237</v>
      </c>
      <c r="U479" s="7">
        <f t="shared" si="28"/>
        <v>42</v>
      </c>
      <c r="V479" s="7">
        <f t="shared" si="29"/>
        <v>11</v>
      </c>
      <c r="W479" s="6">
        <f t="shared" si="30"/>
        <v>12967.25999999998</v>
      </c>
      <c r="X479" t="str">
        <f t="shared" si="31"/>
        <v>Middle Age</v>
      </c>
    </row>
    <row r="480" spans="1:24">
      <c r="A480" t="s">
        <v>1325</v>
      </c>
      <c r="B480" t="s">
        <v>1302</v>
      </c>
      <c r="C480" t="s">
        <v>40</v>
      </c>
      <c r="D480" s="5">
        <v>21671</v>
      </c>
      <c r="E480" s="5">
        <v>44986</v>
      </c>
      <c r="F480" s="5" t="s">
        <v>4237</v>
      </c>
      <c r="G480" t="s">
        <v>77</v>
      </c>
      <c r="H480" t="s">
        <v>78</v>
      </c>
      <c r="I480" t="s">
        <v>53</v>
      </c>
      <c r="J480" t="s">
        <v>34</v>
      </c>
      <c r="K480" t="s">
        <v>27</v>
      </c>
      <c r="L480" s="6">
        <v>157407.74</v>
      </c>
      <c r="M480">
        <v>105838.47</v>
      </c>
      <c r="N480" t="s">
        <v>56</v>
      </c>
      <c r="O480">
        <v>14</v>
      </c>
      <c r="P480">
        <v>118</v>
      </c>
      <c r="Q480">
        <v>5</v>
      </c>
      <c r="R480">
        <v>103</v>
      </c>
      <c r="S480">
        <v>248</v>
      </c>
      <c r="T480" t="s">
        <v>37</v>
      </c>
      <c r="U480" s="7">
        <f t="shared" si="28"/>
        <v>63</v>
      </c>
      <c r="V480" s="7" t="s">
        <v>4237</v>
      </c>
      <c r="W480" s="6">
        <f t="shared" si="30"/>
        <v>51569.26999999999</v>
      </c>
      <c r="X480" t="str">
        <f t="shared" si="31"/>
        <v>Senior</v>
      </c>
    </row>
    <row r="481" spans="1:24">
      <c r="A481" t="s">
        <v>1326</v>
      </c>
      <c r="B481" t="s">
        <v>843</v>
      </c>
      <c r="C481" t="s">
        <v>133</v>
      </c>
      <c r="D481" s="5">
        <v>31068</v>
      </c>
      <c r="E481" s="5">
        <v>45816</v>
      </c>
      <c r="F481" s="5">
        <v>45827</v>
      </c>
      <c r="G481" t="s">
        <v>105</v>
      </c>
      <c r="H481" t="s">
        <v>118</v>
      </c>
      <c r="I481" t="s">
        <v>25</v>
      </c>
      <c r="J481" t="s">
        <v>71</v>
      </c>
      <c r="K481" t="s">
        <v>120</v>
      </c>
      <c r="L481" s="6">
        <v>82693.5</v>
      </c>
      <c r="M481">
        <v>52976.18</v>
      </c>
      <c r="N481" t="s">
        <v>35</v>
      </c>
      <c r="O481">
        <v>11</v>
      </c>
      <c r="P481">
        <v>135</v>
      </c>
      <c r="Q481">
        <v>1</v>
      </c>
      <c r="R481">
        <v>182</v>
      </c>
      <c r="S481">
        <v>206.3</v>
      </c>
      <c r="T481" t="s">
        <v>47</v>
      </c>
      <c r="U481" s="7">
        <f t="shared" si="28"/>
        <v>40</v>
      </c>
      <c r="V481" s="7">
        <f t="shared" si="29"/>
        <v>11</v>
      </c>
      <c r="W481" s="6">
        <f t="shared" si="30"/>
        <v>29717.32</v>
      </c>
      <c r="X481" t="str">
        <f t="shared" si="31"/>
        <v>Middle Age</v>
      </c>
    </row>
    <row r="482" spans="1:24">
      <c r="A482" t="s">
        <v>1328</v>
      </c>
      <c r="B482" t="s">
        <v>1182</v>
      </c>
      <c r="C482" t="s">
        <v>40</v>
      </c>
      <c r="D482" s="5">
        <v>29785</v>
      </c>
      <c r="E482" s="5">
        <v>45054</v>
      </c>
      <c r="F482" s="5">
        <v>45071</v>
      </c>
      <c r="G482" t="s">
        <v>94</v>
      </c>
      <c r="H482" t="s">
        <v>134</v>
      </c>
      <c r="I482" t="s">
        <v>53</v>
      </c>
      <c r="J482" t="s">
        <v>64</v>
      </c>
      <c r="K482" t="s">
        <v>55</v>
      </c>
      <c r="L482" s="6">
        <v>206154.37</v>
      </c>
      <c r="M482">
        <v>172046.01</v>
      </c>
      <c r="N482" t="s">
        <v>35</v>
      </c>
      <c r="O482">
        <v>17</v>
      </c>
      <c r="P482">
        <v>34</v>
      </c>
      <c r="Q482">
        <v>5</v>
      </c>
      <c r="R482">
        <v>119</v>
      </c>
      <c r="S482">
        <v>115.5</v>
      </c>
      <c r="T482" t="s">
        <v>4237</v>
      </c>
      <c r="U482" s="7">
        <f t="shared" si="28"/>
        <v>41</v>
      </c>
      <c r="V482" s="7">
        <f t="shared" si="29"/>
        <v>17</v>
      </c>
      <c r="W482" s="6">
        <f t="shared" si="30"/>
        <v>34108.359999999986</v>
      </c>
      <c r="X482" t="str">
        <f t="shared" si="31"/>
        <v>Middle Age</v>
      </c>
    </row>
    <row r="483" spans="1:24">
      <c r="A483" t="s">
        <v>1330</v>
      </c>
      <c r="B483" t="s">
        <v>560</v>
      </c>
      <c r="C483" t="s">
        <v>133</v>
      </c>
      <c r="D483" s="5">
        <v>18896</v>
      </c>
      <c r="E483" s="5">
        <v>45520</v>
      </c>
      <c r="F483" s="5" t="s">
        <v>4237</v>
      </c>
      <c r="G483" t="s">
        <v>161</v>
      </c>
      <c r="H483" t="s">
        <v>153</v>
      </c>
      <c r="I483" t="s">
        <v>79</v>
      </c>
      <c r="J483" t="s">
        <v>64</v>
      </c>
      <c r="K483" t="s">
        <v>120</v>
      </c>
      <c r="L483" s="6">
        <v>123663.9</v>
      </c>
      <c r="M483">
        <v>16942.14</v>
      </c>
      <c r="N483" t="s">
        <v>73</v>
      </c>
      <c r="O483">
        <v>16</v>
      </c>
      <c r="P483">
        <v>58</v>
      </c>
      <c r="Q483">
        <v>4</v>
      </c>
      <c r="R483">
        <v>164</v>
      </c>
      <c r="S483">
        <v>163.4</v>
      </c>
      <c r="T483" t="s">
        <v>65</v>
      </c>
      <c r="U483" s="7">
        <f t="shared" si="28"/>
        <v>72</v>
      </c>
      <c r="V483" s="7" t="s">
        <v>4237</v>
      </c>
      <c r="W483" s="6">
        <f t="shared" si="30"/>
        <v>106721.76</v>
      </c>
      <c r="X483" t="str">
        <f t="shared" si="31"/>
        <v>Senior</v>
      </c>
    </row>
    <row r="484" spans="1:24">
      <c r="A484" t="s">
        <v>1334</v>
      </c>
      <c r="B484" t="s">
        <v>274</v>
      </c>
      <c r="C484" t="s">
        <v>40</v>
      </c>
      <c r="D484" s="5">
        <v>36077</v>
      </c>
      <c r="E484" s="5">
        <v>45612</v>
      </c>
      <c r="F484" s="5">
        <v>45619</v>
      </c>
      <c r="G484" t="s">
        <v>109</v>
      </c>
      <c r="H484" t="s">
        <v>134</v>
      </c>
      <c r="I484" t="s">
        <v>33</v>
      </c>
      <c r="J484" t="s">
        <v>71</v>
      </c>
      <c r="K484" t="s">
        <v>55</v>
      </c>
      <c r="L484" s="6">
        <v>114283.32</v>
      </c>
      <c r="M484">
        <v>95650.55</v>
      </c>
      <c r="N484" t="s">
        <v>73</v>
      </c>
      <c r="O484">
        <v>7</v>
      </c>
      <c r="P484">
        <v>171</v>
      </c>
      <c r="Q484">
        <v>4</v>
      </c>
      <c r="R484">
        <v>188</v>
      </c>
      <c r="S484">
        <v>147.1</v>
      </c>
      <c r="T484" t="s">
        <v>47</v>
      </c>
      <c r="U484" s="7">
        <f t="shared" si="28"/>
        <v>26</v>
      </c>
      <c r="V484" s="7">
        <f t="shared" si="29"/>
        <v>7</v>
      </c>
      <c r="W484" s="6">
        <f t="shared" si="30"/>
        <v>18632.770000000004</v>
      </c>
      <c r="X484" t="str">
        <f t="shared" si="31"/>
        <v>Adult</v>
      </c>
    </row>
    <row r="485" spans="1:24">
      <c r="A485" t="s">
        <v>1336</v>
      </c>
      <c r="B485" t="s">
        <v>829</v>
      </c>
      <c r="C485" t="s">
        <v>133</v>
      </c>
      <c r="D485" s="5">
        <v>26878</v>
      </c>
      <c r="E485" s="5">
        <v>45397</v>
      </c>
      <c r="F485" s="5">
        <v>45406</v>
      </c>
      <c r="G485" t="s">
        <v>152</v>
      </c>
      <c r="H485" t="s">
        <v>44</v>
      </c>
      <c r="I485" t="s">
        <v>25</v>
      </c>
      <c r="J485" t="s">
        <v>80</v>
      </c>
      <c r="K485" t="s">
        <v>55</v>
      </c>
      <c r="L485" s="6">
        <v>207822.83</v>
      </c>
      <c r="M485">
        <v>158341.42000000001</v>
      </c>
      <c r="N485" t="s">
        <v>192</v>
      </c>
      <c r="O485">
        <v>9</v>
      </c>
      <c r="P485">
        <v>189</v>
      </c>
      <c r="Q485">
        <v>4</v>
      </c>
      <c r="R485">
        <v>182</v>
      </c>
      <c r="S485">
        <v>163.5</v>
      </c>
      <c r="T485" t="s">
        <v>37</v>
      </c>
      <c r="U485" s="7">
        <f t="shared" si="28"/>
        <v>50</v>
      </c>
      <c r="V485" s="7">
        <f t="shared" si="29"/>
        <v>9</v>
      </c>
      <c r="W485" s="6">
        <f t="shared" si="30"/>
        <v>49481.409999999974</v>
      </c>
      <c r="X485" t="str">
        <f t="shared" si="31"/>
        <v>Middle Age</v>
      </c>
    </row>
    <row r="486" spans="1:24">
      <c r="A486" t="s">
        <v>1338</v>
      </c>
      <c r="B486" t="s">
        <v>752</v>
      </c>
      <c r="C486" t="s">
        <v>133</v>
      </c>
      <c r="D486" s="5">
        <v>40299</v>
      </c>
      <c r="E486" s="5">
        <v>45548</v>
      </c>
      <c r="F486" s="5">
        <v>45563</v>
      </c>
      <c r="G486" t="s">
        <v>117</v>
      </c>
      <c r="H486" t="s">
        <v>124</v>
      </c>
      <c r="I486" t="s">
        <v>33</v>
      </c>
      <c r="J486" t="s">
        <v>179</v>
      </c>
      <c r="K486" t="s">
        <v>161</v>
      </c>
      <c r="L486" s="6">
        <v>93592.320000000007</v>
      </c>
      <c r="M486">
        <v>60240.72</v>
      </c>
      <c r="N486" t="s">
        <v>35</v>
      </c>
      <c r="O486">
        <v>15</v>
      </c>
      <c r="P486">
        <v>113</v>
      </c>
      <c r="Q486">
        <v>5</v>
      </c>
      <c r="R486">
        <v>99</v>
      </c>
      <c r="S486">
        <v>123.2</v>
      </c>
      <c r="T486" t="s">
        <v>4237</v>
      </c>
      <c r="U486" s="7">
        <f t="shared" si="28"/>
        <v>14</v>
      </c>
      <c r="V486" s="7">
        <f t="shared" si="29"/>
        <v>15</v>
      </c>
      <c r="W486" s="6">
        <f t="shared" si="30"/>
        <v>33351.600000000006</v>
      </c>
      <c r="X486" t="str">
        <f t="shared" si="31"/>
        <v>Child</v>
      </c>
    </row>
    <row r="487" spans="1:24">
      <c r="A487" t="s">
        <v>1341</v>
      </c>
      <c r="B487" t="s">
        <v>1342</v>
      </c>
      <c r="C487" t="s">
        <v>133</v>
      </c>
      <c r="D487" s="5">
        <v>22285</v>
      </c>
      <c r="E487" s="5">
        <v>45103</v>
      </c>
      <c r="F487" s="5">
        <v>45111</v>
      </c>
      <c r="G487" t="s">
        <v>117</v>
      </c>
      <c r="H487" t="s">
        <v>153</v>
      </c>
      <c r="I487" t="s">
        <v>96</v>
      </c>
      <c r="J487" t="s">
        <v>71</v>
      </c>
      <c r="K487" t="s">
        <v>55</v>
      </c>
      <c r="L487" s="6">
        <v>123663.9</v>
      </c>
      <c r="M487">
        <v>6139.5</v>
      </c>
      <c r="N487" t="s">
        <v>192</v>
      </c>
      <c r="O487">
        <v>8</v>
      </c>
      <c r="P487">
        <v>192</v>
      </c>
      <c r="Q487">
        <v>3</v>
      </c>
      <c r="R487">
        <v>117</v>
      </c>
      <c r="S487">
        <v>82.4</v>
      </c>
      <c r="T487" t="s">
        <v>4237</v>
      </c>
      <c r="U487" s="7">
        <f t="shared" si="28"/>
        <v>62</v>
      </c>
      <c r="V487" s="7">
        <f t="shared" si="29"/>
        <v>8</v>
      </c>
      <c r="W487" s="6">
        <f t="shared" si="30"/>
        <v>117524.4</v>
      </c>
      <c r="X487" t="str">
        <f t="shared" si="31"/>
        <v>Senior</v>
      </c>
    </row>
    <row r="488" spans="1:24">
      <c r="A488" t="s">
        <v>1343</v>
      </c>
      <c r="B488" t="s">
        <v>436</v>
      </c>
      <c r="C488" t="s">
        <v>40</v>
      </c>
      <c r="D488" s="5">
        <v>22767</v>
      </c>
      <c r="E488" s="5">
        <v>45483</v>
      </c>
      <c r="F488" s="5">
        <v>45490</v>
      </c>
      <c r="G488" t="s">
        <v>77</v>
      </c>
      <c r="H488" t="s">
        <v>78</v>
      </c>
      <c r="I488" t="s">
        <v>25</v>
      </c>
      <c r="J488" t="s">
        <v>179</v>
      </c>
      <c r="K488" t="s">
        <v>161</v>
      </c>
      <c r="L488" s="6">
        <v>218696.42</v>
      </c>
      <c r="M488">
        <v>180271.27</v>
      </c>
      <c r="N488" t="s">
        <v>35</v>
      </c>
      <c r="O488">
        <v>7</v>
      </c>
      <c r="P488">
        <v>184</v>
      </c>
      <c r="Q488">
        <v>4</v>
      </c>
      <c r="R488">
        <v>119</v>
      </c>
      <c r="S488">
        <v>206</v>
      </c>
      <c r="T488" t="s">
        <v>4237</v>
      </c>
      <c r="U488" s="7">
        <f t="shared" si="28"/>
        <v>62</v>
      </c>
      <c r="V488" s="7">
        <f t="shared" si="29"/>
        <v>7</v>
      </c>
      <c r="W488" s="6">
        <f t="shared" si="30"/>
        <v>38425.150000000023</v>
      </c>
      <c r="X488" t="str">
        <f t="shared" si="31"/>
        <v>Senior</v>
      </c>
    </row>
    <row r="489" spans="1:24">
      <c r="A489" t="s">
        <v>1344</v>
      </c>
      <c r="B489" t="s">
        <v>909</v>
      </c>
      <c r="C489" t="s">
        <v>133</v>
      </c>
      <c r="D489" s="5">
        <v>31970</v>
      </c>
      <c r="E489" s="5">
        <v>45884</v>
      </c>
      <c r="F489" s="5">
        <v>45896</v>
      </c>
      <c r="G489" t="s">
        <v>62</v>
      </c>
      <c r="H489" t="s">
        <v>4236</v>
      </c>
      <c r="I489" t="s">
        <v>33</v>
      </c>
      <c r="J489" t="s">
        <v>64</v>
      </c>
      <c r="K489" t="s">
        <v>55</v>
      </c>
      <c r="L489" s="6">
        <v>103436.88</v>
      </c>
      <c r="M489">
        <v>71333.899999999994</v>
      </c>
      <c r="N489" t="s">
        <v>4237</v>
      </c>
      <c r="O489">
        <v>12</v>
      </c>
      <c r="P489">
        <v>69</v>
      </c>
      <c r="Q489">
        <v>3</v>
      </c>
      <c r="R489">
        <v>132</v>
      </c>
      <c r="S489">
        <v>245.7</v>
      </c>
      <c r="T489" t="s">
        <v>4237</v>
      </c>
      <c r="U489" s="7">
        <f t="shared" si="28"/>
        <v>38</v>
      </c>
      <c r="V489" s="7">
        <f t="shared" si="29"/>
        <v>12</v>
      </c>
      <c r="W489" s="6">
        <f t="shared" si="30"/>
        <v>32102.98000000001</v>
      </c>
      <c r="X489" t="str">
        <f t="shared" si="31"/>
        <v>Adult</v>
      </c>
    </row>
    <row r="490" spans="1:24">
      <c r="A490" t="s">
        <v>1346</v>
      </c>
      <c r="B490" t="s">
        <v>895</v>
      </c>
      <c r="C490" t="s">
        <v>133</v>
      </c>
      <c r="D490" s="5">
        <v>21302</v>
      </c>
      <c r="E490" s="5">
        <v>45738</v>
      </c>
      <c r="F490" s="5">
        <v>45741</v>
      </c>
      <c r="G490" t="s">
        <v>161</v>
      </c>
      <c r="H490" t="s">
        <v>95</v>
      </c>
      <c r="I490" t="s">
        <v>25</v>
      </c>
      <c r="J490" t="s">
        <v>64</v>
      </c>
      <c r="K490" t="s">
        <v>55</v>
      </c>
      <c r="L490" s="6">
        <v>28194.29</v>
      </c>
      <c r="M490">
        <v>21890.47</v>
      </c>
      <c r="N490" t="s">
        <v>73</v>
      </c>
      <c r="O490">
        <v>3</v>
      </c>
      <c r="P490">
        <v>145</v>
      </c>
      <c r="Q490">
        <v>3</v>
      </c>
      <c r="R490">
        <v>184</v>
      </c>
      <c r="S490">
        <v>113.1</v>
      </c>
      <c r="T490" t="s">
        <v>4237</v>
      </c>
      <c r="U490" s="7">
        <f t="shared" si="28"/>
        <v>66</v>
      </c>
      <c r="V490" s="7">
        <f t="shared" si="29"/>
        <v>3</v>
      </c>
      <c r="W490" s="6">
        <f t="shared" si="30"/>
        <v>6303.82</v>
      </c>
      <c r="X490" t="str">
        <f t="shared" si="31"/>
        <v>Senior</v>
      </c>
    </row>
    <row r="491" spans="1:24">
      <c r="A491" t="s">
        <v>1349</v>
      </c>
      <c r="B491" t="s">
        <v>1350</v>
      </c>
      <c r="C491" t="s">
        <v>133</v>
      </c>
      <c r="D491" s="5">
        <v>21909</v>
      </c>
      <c r="E491" s="5">
        <v>45312</v>
      </c>
      <c r="F491" s="5">
        <v>45313</v>
      </c>
      <c r="G491" t="s">
        <v>89</v>
      </c>
      <c r="H491" t="s">
        <v>78</v>
      </c>
      <c r="I491" t="s">
        <v>33</v>
      </c>
      <c r="J491" t="s">
        <v>34</v>
      </c>
      <c r="K491" t="s">
        <v>27</v>
      </c>
      <c r="L491" s="6">
        <v>38228</v>
      </c>
      <c r="M491">
        <v>34729.42</v>
      </c>
      <c r="N491" t="s">
        <v>73</v>
      </c>
      <c r="O491">
        <v>1</v>
      </c>
      <c r="P491">
        <v>83</v>
      </c>
      <c r="Q491">
        <v>4</v>
      </c>
      <c r="R491">
        <v>186</v>
      </c>
      <c r="S491">
        <v>147.19999999999999</v>
      </c>
      <c r="T491" t="s">
        <v>47</v>
      </c>
      <c r="U491" s="7">
        <f t="shared" si="28"/>
        <v>64</v>
      </c>
      <c r="V491" s="7">
        <f t="shared" si="29"/>
        <v>1</v>
      </c>
      <c r="W491" s="6">
        <f t="shared" si="30"/>
        <v>3498.5800000000017</v>
      </c>
      <c r="X491" t="str">
        <f t="shared" si="31"/>
        <v>Senior</v>
      </c>
    </row>
    <row r="492" spans="1:24">
      <c r="A492" t="s">
        <v>1351</v>
      </c>
      <c r="B492" t="s">
        <v>1131</v>
      </c>
      <c r="C492" t="s">
        <v>133</v>
      </c>
      <c r="D492" s="5">
        <v>18617</v>
      </c>
      <c r="E492" s="5">
        <v>45541</v>
      </c>
      <c r="F492" s="5">
        <v>45552</v>
      </c>
      <c r="G492" t="s">
        <v>94</v>
      </c>
      <c r="H492" t="s">
        <v>44</v>
      </c>
      <c r="I492" t="s">
        <v>79</v>
      </c>
      <c r="J492" t="s">
        <v>64</v>
      </c>
      <c r="K492" t="s">
        <v>120</v>
      </c>
      <c r="L492" s="6">
        <v>148448.47</v>
      </c>
      <c r="M492">
        <v>125592.99</v>
      </c>
      <c r="N492" t="s">
        <v>4237</v>
      </c>
      <c r="O492">
        <v>11</v>
      </c>
      <c r="P492">
        <v>156</v>
      </c>
      <c r="Q492">
        <v>1</v>
      </c>
      <c r="R492">
        <v>176</v>
      </c>
      <c r="S492">
        <v>163.4</v>
      </c>
      <c r="T492" t="s">
        <v>37</v>
      </c>
      <c r="U492" s="7">
        <f t="shared" si="28"/>
        <v>73</v>
      </c>
      <c r="V492" s="7">
        <f t="shared" si="29"/>
        <v>11</v>
      </c>
      <c r="W492" s="6">
        <f t="shared" si="30"/>
        <v>22855.479999999996</v>
      </c>
      <c r="X492" t="str">
        <f t="shared" si="31"/>
        <v>Senior</v>
      </c>
    </row>
    <row r="493" spans="1:24">
      <c r="A493" t="s">
        <v>1352</v>
      </c>
      <c r="B493" t="s">
        <v>470</v>
      </c>
      <c r="C493" t="s">
        <v>133</v>
      </c>
      <c r="D493" s="5">
        <v>19231</v>
      </c>
      <c r="E493" s="5">
        <v>45104</v>
      </c>
      <c r="F493" s="5">
        <v>45120</v>
      </c>
      <c r="G493" t="s">
        <v>161</v>
      </c>
      <c r="H493" t="s">
        <v>52</v>
      </c>
      <c r="I493" t="s">
        <v>45</v>
      </c>
      <c r="J493" t="s">
        <v>26</v>
      </c>
      <c r="K493" t="s">
        <v>27</v>
      </c>
      <c r="L493" s="6">
        <v>115034.83</v>
      </c>
      <c r="M493">
        <v>78342.47</v>
      </c>
      <c r="N493" t="s">
        <v>35</v>
      </c>
      <c r="O493">
        <v>16</v>
      </c>
      <c r="P493">
        <v>159</v>
      </c>
      <c r="Q493">
        <v>4</v>
      </c>
      <c r="R493">
        <v>94</v>
      </c>
      <c r="S493">
        <v>131.30000000000001</v>
      </c>
      <c r="T493" t="s">
        <v>37</v>
      </c>
      <c r="U493" s="7">
        <f t="shared" si="28"/>
        <v>70</v>
      </c>
      <c r="V493" s="7">
        <f t="shared" si="29"/>
        <v>16</v>
      </c>
      <c r="W493" s="6">
        <f t="shared" si="30"/>
        <v>36692.36</v>
      </c>
      <c r="X493" t="str">
        <f t="shared" si="31"/>
        <v>Senior</v>
      </c>
    </row>
    <row r="494" spans="1:24">
      <c r="A494" t="s">
        <v>1353</v>
      </c>
      <c r="B494" t="s">
        <v>39</v>
      </c>
      <c r="C494" t="s">
        <v>40</v>
      </c>
      <c r="D494" s="5">
        <v>27293</v>
      </c>
      <c r="E494" s="5">
        <v>45026</v>
      </c>
      <c r="F494" s="5">
        <v>45035</v>
      </c>
      <c r="G494" t="s">
        <v>161</v>
      </c>
      <c r="H494" t="s">
        <v>95</v>
      </c>
      <c r="I494" t="s">
        <v>33</v>
      </c>
      <c r="J494" t="s">
        <v>64</v>
      </c>
      <c r="K494" t="s">
        <v>120</v>
      </c>
      <c r="L494" s="6">
        <v>225809.78</v>
      </c>
      <c r="M494">
        <v>215889.17</v>
      </c>
      <c r="N494" t="s">
        <v>192</v>
      </c>
      <c r="O494">
        <v>9</v>
      </c>
      <c r="P494">
        <v>15</v>
      </c>
      <c r="Q494">
        <v>5</v>
      </c>
      <c r="R494">
        <v>166</v>
      </c>
      <c r="S494">
        <v>133</v>
      </c>
      <c r="T494" t="s">
        <v>37</v>
      </c>
      <c r="U494" s="7">
        <f t="shared" si="28"/>
        <v>48</v>
      </c>
      <c r="V494" s="7">
        <f t="shared" si="29"/>
        <v>9</v>
      </c>
      <c r="W494" s="6">
        <f t="shared" si="30"/>
        <v>9920.609999999986</v>
      </c>
      <c r="X494" t="str">
        <f t="shared" si="31"/>
        <v>Middle Age</v>
      </c>
    </row>
    <row r="495" spans="1:24">
      <c r="A495" t="s">
        <v>1355</v>
      </c>
      <c r="B495" t="s">
        <v>843</v>
      </c>
      <c r="C495" t="s">
        <v>40</v>
      </c>
      <c r="D495" s="5">
        <v>38207</v>
      </c>
      <c r="E495" s="5" t="s">
        <v>4237</v>
      </c>
      <c r="F495" s="5">
        <v>45841</v>
      </c>
      <c r="G495" t="s">
        <v>62</v>
      </c>
      <c r="H495" t="s">
        <v>124</v>
      </c>
      <c r="I495" t="s">
        <v>25</v>
      </c>
      <c r="J495" t="s">
        <v>34</v>
      </c>
      <c r="K495" t="s">
        <v>55</v>
      </c>
      <c r="L495" s="6">
        <v>125296.05</v>
      </c>
      <c r="M495">
        <v>88289.01</v>
      </c>
      <c r="N495" t="s">
        <v>73</v>
      </c>
      <c r="O495">
        <v>4</v>
      </c>
      <c r="P495">
        <v>186</v>
      </c>
      <c r="Q495">
        <v>4</v>
      </c>
      <c r="R495">
        <v>178</v>
      </c>
      <c r="S495">
        <v>140</v>
      </c>
      <c r="T495" t="s">
        <v>37</v>
      </c>
      <c r="U495" s="7" t="s">
        <v>4237</v>
      </c>
      <c r="V495" s="7" t="s">
        <v>4237</v>
      </c>
      <c r="W495" s="6">
        <f t="shared" si="30"/>
        <v>37007.040000000008</v>
      </c>
      <c r="X495" t="s">
        <v>4237</v>
      </c>
    </row>
    <row r="496" spans="1:24">
      <c r="A496" t="s">
        <v>1358</v>
      </c>
      <c r="B496" t="s">
        <v>485</v>
      </c>
      <c r="C496" t="s">
        <v>133</v>
      </c>
      <c r="D496" s="5">
        <v>20826</v>
      </c>
      <c r="E496" s="5">
        <v>45103</v>
      </c>
      <c r="F496" s="5">
        <v>45109</v>
      </c>
      <c r="G496" t="s">
        <v>77</v>
      </c>
      <c r="H496" t="s">
        <v>113</v>
      </c>
      <c r="I496" t="s">
        <v>119</v>
      </c>
      <c r="J496" t="s">
        <v>64</v>
      </c>
      <c r="K496" t="s">
        <v>27</v>
      </c>
      <c r="L496" s="6">
        <v>67594.149999999994</v>
      </c>
      <c r="M496">
        <v>67003.350000000006</v>
      </c>
      <c r="N496" t="s">
        <v>35</v>
      </c>
      <c r="O496">
        <v>6</v>
      </c>
      <c r="P496">
        <v>121</v>
      </c>
      <c r="Q496">
        <v>3</v>
      </c>
      <c r="R496">
        <v>164</v>
      </c>
      <c r="S496">
        <v>148.5</v>
      </c>
      <c r="T496" t="s">
        <v>37</v>
      </c>
      <c r="U496" s="7">
        <f t="shared" si="28"/>
        <v>66</v>
      </c>
      <c r="V496" s="7">
        <f t="shared" si="29"/>
        <v>6</v>
      </c>
      <c r="W496" s="6">
        <f t="shared" si="30"/>
        <v>590.79999999998836</v>
      </c>
      <c r="X496" t="str">
        <f t="shared" si="31"/>
        <v>Senior</v>
      </c>
    </row>
    <row r="497" spans="1:24">
      <c r="A497" t="s">
        <v>1360</v>
      </c>
      <c r="B497" t="s">
        <v>587</v>
      </c>
      <c r="C497" t="s">
        <v>133</v>
      </c>
      <c r="D497" s="5">
        <v>38787</v>
      </c>
      <c r="E497" s="5">
        <v>45426</v>
      </c>
      <c r="F497" s="5">
        <v>45442</v>
      </c>
      <c r="G497" t="s">
        <v>94</v>
      </c>
      <c r="H497" t="s">
        <v>113</v>
      </c>
      <c r="I497" t="s">
        <v>33</v>
      </c>
      <c r="J497" t="s">
        <v>34</v>
      </c>
      <c r="K497" t="s">
        <v>120</v>
      </c>
      <c r="L497" s="6">
        <v>120986.75</v>
      </c>
      <c r="M497">
        <v>90948.81</v>
      </c>
      <c r="N497" t="s">
        <v>192</v>
      </c>
      <c r="O497">
        <v>16</v>
      </c>
      <c r="P497">
        <v>146</v>
      </c>
      <c r="Q497">
        <v>4</v>
      </c>
      <c r="R497">
        <v>99</v>
      </c>
      <c r="S497">
        <v>97.8</v>
      </c>
      <c r="T497" t="s">
        <v>47</v>
      </c>
      <c r="U497" s="7">
        <f t="shared" si="28"/>
        <v>18</v>
      </c>
      <c r="V497" s="7">
        <f t="shared" si="29"/>
        <v>16</v>
      </c>
      <c r="W497" s="6">
        <f t="shared" si="30"/>
        <v>30037.940000000002</v>
      </c>
      <c r="X497" t="str">
        <f t="shared" si="31"/>
        <v>Adult</v>
      </c>
    </row>
    <row r="498" spans="1:24">
      <c r="A498" t="s">
        <v>1361</v>
      </c>
      <c r="B498" t="s">
        <v>1362</v>
      </c>
      <c r="C498" t="s">
        <v>133</v>
      </c>
      <c r="D498" s="5">
        <v>19170</v>
      </c>
      <c r="E498" s="5">
        <v>45735</v>
      </c>
      <c r="F498" s="5">
        <v>45736</v>
      </c>
      <c r="G498" t="s">
        <v>161</v>
      </c>
      <c r="H498" t="s">
        <v>63</v>
      </c>
      <c r="I498" t="s">
        <v>79</v>
      </c>
      <c r="J498" t="s">
        <v>34</v>
      </c>
      <c r="K498" t="s">
        <v>110</v>
      </c>
      <c r="L498" s="6">
        <v>152593.04</v>
      </c>
      <c r="M498">
        <v>141084.85999999999</v>
      </c>
      <c r="N498" t="s">
        <v>192</v>
      </c>
      <c r="O498">
        <v>1</v>
      </c>
      <c r="P498">
        <v>37</v>
      </c>
      <c r="Q498">
        <v>4</v>
      </c>
      <c r="R498">
        <v>168</v>
      </c>
      <c r="S498">
        <v>250.4</v>
      </c>
      <c r="T498" t="s">
        <v>37</v>
      </c>
      <c r="U498" s="7">
        <f t="shared" si="28"/>
        <v>72</v>
      </c>
      <c r="V498" s="7">
        <f t="shared" si="29"/>
        <v>1</v>
      </c>
      <c r="W498" s="6">
        <f t="shared" si="30"/>
        <v>11508.180000000022</v>
      </c>
      <c r="X498" t="str">
        <f t="shared" si="31"/>
        <v>Senior</v>
      </c>
    </row>
    <row r="499" spans="1:24">
      <c r="A499" t="s">
        <v>1363</v>
      </c>
      <c r="B499" t="s">
        <v>1364</v>
      </c>
      <c r="C499" t="s">
        <v>133</v>
      </c>
      <c r="D499" s="5">
        <v>27529</v>
      </c>
      <c r="E499" s="5">
        <v>45626</v>
      </c>
      <c r="F499" s="5">
        <v>45636</v>
      </c>
      <c r="G499" t="s">
        <v>117</v>
      </c>
      <c r="H499" t="s">
        <v>63</v>
      </c>
      <c r="I499" t="s">
        <v>96</v>
      </c>
      <c r="J499" t="s">
        <v>34</v>
      </c>
      <c r="K499" t="s">
        <v>55</v>
      </c>
      <c r="L499" s="6">
        <v>129081.39</v>
      </c>
      <c r="M499">
        <v>113703.16</v>
      </c>
      <c r="N499" t="s">
        <v>192</v>
      </c>
      <c r="O499">
        <v>10</v>
      </c>
      <c r="P499">
        <v>219</v>
      </c>
      <c r="Q499">
        <v>4</v>
      </c>
      <c r="R499">
        <v>177</v>
      </c>
      <c r="S499">
        <v>185</v>
      </c>
      <c r="T499" t="s">
        <v>4237</v>
      </c>
      <c r="U499" s="7">
        <f t="shared" si="28"/>
        <v>49</v>
      </c>
      <c r="V499" s="7">
        <f t="shared" si="29"/>
        <v>10</v>
      </c>
      <c r="W499" s="6">
        <f t="shared" si="30"/>
        <v>15378.229999999996</v>
      </c>
      <c r="X499" t="str">
        <f t="shared" si="31"/>
        <v>Middle Age</v>
      </c>
    </row>
    <row r="500" spans="1:24">
      <c r="A500" t="s">
        <v>1366</v>
      </c>
      <c r="B500" t="s">
        <v>515</v>
      </c>
      <c r="C500" t="s">
        <v>40</v>
      </c>
      <c r="D500" s="5">
        <v>25727</v>
      </c>
      <c r="E500" s="5">
        <v>45318</v>
      </c>
      <c r="F500" s="5">
        <v>45330</v>
      </c>
      <c r="G500" t="s">
        <v>94</v>
      </c>
      <c r="H500" t="s">
        <v>113</v>
      </c>
      <c r="I500" t="s">
        <v>119</v>
      </c>
      <c r="J500" t="s">
        <v>64</v>
      </c>
      <c r="K500" t="s">
        <v>27</v>
      </c>
      <c r="L500" s="6">
        <v>169834.78</v>
      </c>
      <c r="M500">
        <v>132330.68</v>
      </c>
      <c r="N500" t="s">
        <v>56</v>
      </c>
      <c r="O500">
        <v>12</v>
      </c>
      <c r="P500">
        <v>113</v>
      </c>
      <c r="Q500">
        <v>4</v>
      </c>
      <c r="R500">
        <v>188</v>
      </c>
      <c r="S500">
        <v>186.5</v>
      </c>
      <c r="T500" t="s">
        <v>47</v>
      </c>
      <c r="U500" s="7">
        <f t="shared" si="28"/>
        <v>53</v>
      </c>
      <c r="V500" s="7">
        <f t="shared" si="29"/>
        <v>12</v>
      </c>
      <c r="W500" s="6">
        <f t="shared" si="30"/>
        <v>37504.100000000006</v>
      </c>
      <c r="X500" t="str">
        <f t="shared" si="31"/>
        <v>Middle Age</v>
      </c>
    </row>
    <row r="501" spans="1:24">
      <c r="A501" t="s">
        <v>1371</v>
      </c>
      <c r="B501" t="s">
        <v>877</v>
      </c>
      <c r="C501" t="s">
        <v>40</v>
      </c>
      <c r="D501" s="5">
        <v>36857</v>
      </c>
      <c r="E501" s="5">
        <v>45617</v>
      </c>
      <c r="F501" s="5">
        <v>45623</v>
      </c>
      <c r="G501" t="s">
        <v>94</v>
      </c>
      <c r="H501" t="s">
        <v>32</v>
      </c>
      <c r="I501" t="s">
        <v>119</v>
      </c>
      <c r="J501" t="s">
        <v>80</v>
      </c>
      <c r="K501" t="s">
        <v>161</v>
      </c>
      <c r="L501" s="6">
        <v>99428.479999999996</v>
      </c>
      <c r="M501">
        <v>66024.37</v>
      </c>
      <c r="N501" t="s">
        <v>73</v>
      </c>
      <c r="O501">
        <v>6</v>
      </c>
      <c r="P501">
        <v>150</v>
      </c>
      <c r="Q501">
        <v>4</v>
      </c>
      <c r="R501">
        <v>158</v>
      </c>
      <c r="S501">
        <v>134.9</v>
      </c>
      <c r="T501" t="s">
        <v>65</v>
      </c>
      <c r="U501" s="7">
        <f t="shared" si="28"/>
        <v>23</v>
      </c>
      <c r="V501" s="7">
        <f t="shared" si="29"/>
        <v>6</v>
      </c>
      <c r="W501" s="6">
        <f t="shared" si="30"/>
        <v>33404.11</v>
      </c>
      <c r="X501" t="str">
        <f t="shared" si="31"/>
        <v>Adult</v>
      </c>
    </row>
    <row r="502" spans="1:24">
      <c r="A502" t="s">
        <v>1374</v>
      </c>
      <c r="B502" t="s">
        <v>1119</v>
      </c>
      <c r="C502" t="s">
        <v>133</v>
      </c>
      <c r="D502" s="5">
        <v>30238</v>
      </c>
      <c r="E502" s="5">
        <v>45334</v>
      </c>
      <c r="F502" s="5" t="s">
        <v>4237</v>
      </c>
      <c r="G502" t="s">
        <v>43</v>
      </c>
      <c r="H502" t="s">
        <v>113</v>
      </c>
      <c r="I502" t="s">
        <v>33</v>
      </c>
      <c r="J502" t="s">
        <v>64</v>
      </c>
      <c r="K502" t="s">
        <v>120</v>
      </c>
      <c r="L502" s="6">
        <v>29249.599999999999</v>
      </c>
      <c r="M502">
        <v>22676.11</v>
      </c>
      <c r="N502" t="s">
        <v>35</v>
      </c>
      <c r="O502">
        <v>9</v>
      </c>
      <c r="P502">
        <v>35</v>
      </c>
      <c r="Q502">
        <v>3</v>
      </c>
      <c r="R502">
        <v>113</v>
      </c>
      <c r="S502">
        <v>93.4</v>
      </c>
      <c r="T502" t="s">
        <v>37</v>
      </c>
      <c r="U502" s="7">
        <f t="shared" si="28"/>
        <v>41</v>
      </c>
      <c r="V502" s="7" t="s">
        <v>4237</v>
      </c>
      <c r="W502" s="6">
        <f t="shared" si="30"/>
        <v>6573.489999999998</v>
      </c>
      <c r="X502" t="str">
        <f t="shared" si="31"/>
        <v>Middle Age</v>
      </c>
    </row>
    <row r="503" spans="1:24">
      <c r="A503" t="s">
        <v>1376</v>
      </c>
      <c r="B503" t="s">
        <v>147</v>
      </c>
      <c r="C503" t="s">
        <v>40</v>
      </c>
      <c r="D503" s="5">
        <v>32851</v>
      </c>
      <c r="E503" s="5">
        <v>45509</v>
      </c>
      <c r="F503" s="5">
        <v>45523</v>
      </c>
      <c r="G503" t="s">
        <v>94</v>
      </c>
      <c r="H503" t="s">
        <v>118</v>
      </c>
      <c r="I503" t="s">
        <v>96</v>
      </c>
      <c r="J503" t="s">
        <v>64</v>
      </c>
      <c r="K503" t="s">
        <v>55</v>
      </c>
      <c r="L503" s="6">
        <v>90003.98</v>
      </c>
      <c r="M503">
        <v>67098.95</v>
      </c>
      <c r="N503" t="s">
        <v>91</v>
      </c>
      <c r="O503">
        <v>14</v>
      </c>
      <c r="P503">
        <v>146</v>
      </c>
      <c r="Q503">
        <v>5</v>
      </c>
      <c r="R503">
        <v>187</v>
      </c>
      <c r="S503">
        <v>111.8</v>
      </c>
      <c r="T503" t="s">
        <v>37</v>
      </c>
      <c r="U503" s="7">
        <f t="shared" si="28"/>
        <v>34</v>
      </c>
      <c r="V503" s="7">
        <f t="shared" si="29"/>
        <v>14</v>
      </c>
      <c r="W503" s="6">
        <f t="shared" si="30"/>
        <v>22905.03</v>
      </c>
      <c r="X503" t="str">
        <f t="shared" si="31"/>
        <v>Adult</v>
      </c>
    </row>
    <row r="504" spans="1:24">
      <c r="A504" t="s">
        <v>1378</v>
      </c>
      <c r="B504" t="s">
        <v>234</v>
      </c>
      <c r="C504" t="s">
        <v>133</v>
      </c>
      <c r="D504" s="5">
        <v>39149</v>
      </c>
      <c r="E504" s="5">
        <v>45499</v>
      </c>
      <c r="F504" s="5" t="s">
        <v>4237</v>
      </c>
      <c r="G504" t="s">
        <v>152</v>
      </c>
      <c r="H504" t="s">
        <v>44</v>
      </c>
      <c r="I504" t="s">
        <v>79</v>
      </c>
      <c r="J504" t="s">
        <v>64</v>
      </c>
      <c r="K504" t="s">
        <v>110</v>
      </c>
      <c r="L504" s="6">
        <v>215571.57</v>
      </c>
      <c r="M504">
        <v>170766.55</v>
      </c>
      <c r="N504" t="s">
        <v>4237</v>
      </c>
      <c r="O504">
        <v>4</v>
      </c>
      <c r="P504">
        <v>64</v>
      </c>
      <c r="Q504">
        <v>2</v>
      </c>
      <c r="R504">
        <v>100</v>
      </c>
      <c r="S504">
        <v>147.6</v>
      </c>
      <c r="T504" t="s">
        <v>37</v>
      </c>
      <c r="U504" s="7">
        <f t="shared" si="28"/>
        <v>17</v>
      </c>
      <c r="V504" s="7" t="s">
        <v>4237</v>
      </c>
      <c r="W504" s="6">
        <f t="shared" si="30"/>
        <v>44805.020000000019</v>
      </c>
      <c r="X504" t="str">
        <f t="shared" si="31"/>
        <v>Child</v>
      </c>
    </row>
    <row r="505" spans="1:24">
      <c r="A505" t="s">
        <v>1379</v>
      </c>
      <c r="B505" t="s">
        <v>658</v>
      </c>
      <c r="C505" t="s">
        <v>40</v>
      </c>
      <c r="D505" s="5">
        <v>18857</v>
      </c>
      <c r="E505" s="5">
        <v>45721</v>
      </c>
      <c r="F505" s="5">
        <v>45736</v>
      </c>
      <c r="G505" t="s">
        <v>105</v>
      </c>
      <c r="H505" t="s">
        <v>124</v>
      </c>
      <c r="I505" t="s">
        <v>33</v>
      </c>
      <c r="J505" t="s">
        <v>64</v>
      </c>
      <c r="K505" t="s">
        <v>161</v>
      </c>
      <c r="L505" s="6">
        <v>209642.59</v>
      </c>
      <c r="M505">
        <v>98646.34</v>
      </c>
      <c r="N505" t="s">
        <v>192</v>
      </c>
      <c r="O505">
        <v>15</v>
      </c>
      <c r="P505">
        <v>206</v>
      </c>
      <c r="Q505">
        <v>4</v>
      </c>
      <c r="R505">
        <v>116</v>
      </c>
      <c r="S505">
        <v>111.4</v>
      </c>
      <c r="T505" t="s">
        <v>65</v>
      </c>
      <c r="U505" s="7">
        <f t="shared" si="28"/>
        <v>73</v>
      </c>
      <c r="V505" s="7">
        <f t="shared" si="29"/>
        <v>15</v>
      </c>
      <c r="W505" s="6">
        <f t="shared" si="30"/>
        <v>110996.25</v>
      </c>
      <c r="X505" t="str">
        <f t="shared" si="31"/>
        <v>Senior</v>
      </c>
    </row>
    <row r="506" spans="1:24">
      <c r="A506" t="s">
        <v>1380</v>
      </c>
      <c r="B506" t="s">
        <v>247</v>
      </c>
      <c r="C506" t="s">
        <v>133</v>
      </c>
      <c r="D506" s="5">
        <v>27314</v>
      </c>
      <c r="E506" s="5">
        <v>45663</v>
      </c>
      <c r="F506" s="5" t="s">
        <v>4237</v>
      </c>
      <c r="G506" t="s">
        <v>43</v>
      </c>
      <c r="H506" t="s">
        <v>153</v>
      </c>
      <c r="I506" t="s">
        <v>33</v>
      </c>
      <c r="J506" t="s">
        <v>34</v>
      </c>
      <c r="K506" t="s">
        <v>27</v>
      </c>
      <c r="L506" s="6">
        <v>24641.57</v>
      </c>
      <c r="M506">
        <v>19823.38</v>
      </c>
      <c r="N506" t="s">
        <v>91</v>
      </c>
      <c r="O506">
        <v>13</v>
      </c>
      <c r="P506">
        <v>73</v>
      </c>
      <c r="Q506">
        <v>5</v>
      </c>
      <c r="R506">
        <v>123</v>
      </c>
      <c r="S506">
        <v>160.9</v>
      </c>
      <c r="T506" t="s">
        <v>47</v>
      </c>
      <c r="U506" s="7">
        <f t="shared" si="28"/>
        <v>50</v>
      </c>
      <c r="V506" s="7" t="s">
        <v>4237</v>
      </c>
      <c r="W506" s="6">
        <f t="shared" si="30"/>
        <v>4818.1899999999987</v>
      </c>
      <c r="X506" t="str">
        <f t="shared" si="31"/>
        <v>Middle Age</v>
      </c>
    </row>
    <row r="507" spans="1:24">
      <c r="A507" t="s">
        <v>1382</v>
      </c>
      <c r="B507" t="s">
        <v>332</v>
      </c>
      <c r="C507" t="s">
        <v>133</v>
      </c>
      <c r="D507" s="5">
        <v>28559</v>
      </c>
      <c r="E507" s="5">
        <v>45217</v>
      </c>
      <c r="F507" s="5">
        <v>44937</v>
      </c>
      <c r="G507" t="s">
        <v>62</v>
      </c>
      <c r="H507" t="s">
        <v>86</v>
      </c>
      <c r="I507" t="s">
        <v>79</v>
      </c>
      <c r="J507" t="s">
        <v>71</v>
      </c>
      <c r="K507" t="s">
        <v>161</v>
      </c>
      <c r="L507" s="6">
        <v>43740.63</v>
      </c>
      <c r="M507">
        <v>33660.370000000003</v>
      </c>
      <c r="N507" t="s">
        <v>192</v>
      </c>
      <c r="O507">
        <v>14</v>
      </c>
      <c r="P507">
        <v>28</v>
      </c>
      <c r="Q507">
        <v>1</v>
      </c>
      <c r="R507">
        <v>163</v>
      </c>
      <c r="S507">
        <v>194.4</v>
      </c>
      <c r="T507" t="s">
        <v>4237</v>
      </c>
      <c r="U507" s="7">
        <f t="shared" si="28"/>
        <v>45</v>
      </c>
      <c r="V507" s="7">
        <f t="shared" si="29"/>
        <v>-280</v>
      </c>
      <c r="W507" s="6">
        <f t="shared" si="30"/>
        <v>10080.259999999995</v>
      </c>
      <c r="X507" t="str">
        <f t="shared" si="31"/>
        <v>Middle Age</v>
      </c>
    </row>
    <row r="508" spans="1:24">
      <c r="A508" t="s">
        <v>1386</v>
      </c>
      <c r="B508" t="s">
        <v>986</v>
      </c>
      <c r="C508" t="s">
        <v>40</v>
      </c>
      <c r="D508" s="5">
        <v>36390</v>
      </c>
      <c r="E508" s="5">
        <v>45682</v>
      </c>
      <c r="F508" s="5">
        <v>45688</v>
      </c>
      <c r="G508" t="s">
        <v>62</v>
      </c>
      <c r="H508" t="s">
        <v>86</v>
      </c>
      <c r="I508" t="s">
        <v>25</v>
      </c>
      <c r="J508" t="s">
        <v>46</v>
      </c>
      <c r="K508" t="s">
        <v>110</v>
      </c>
      <c r="L508" s="6">
        <v>214213.31</v>
      </c>
      <c r="M508">
        <v>182932.55</v>
      </c>
      <c r="N508" t="s">
        <v>192</v>
      </c>
      <c r="O508">
        <v>6</v>
      </c>
      <c r="P508">
        <v>10</v>
      </c>
      <c r="Q508">
        <v>4</v>
      </c>
      <c r="R508">
        <v>154</v>
      </c>
      <c r="S508">
        <v>240</v>
      </c>
      <c r="T508" t="s">
        <v>37</v>
      </c>
      <c r="U508" s="7">
        <f t="shared" si="28"/>
        <v>25</v>
      </c>
      <c r="V508" s="7">
        <f t="shared" si="29"/>
        <v>6</v>
      </c>
      <c r="W508" s="6">
        <f t="shared" si="30"/>
        <v>31280.760000000009</v>
      </c>
      <c r="X508" t="str">
        <f t="shared" si="31"/>
        <v>Adult</v>
      </c>
    </row>
    <row r="509" spans="1:24">
      <c r="A509" t="s">
        <v>1388</v>
      </c>
      <c r="B509" t="s">
        <v>1200</v>
      </c>
      <c r="C509" t="s">
        <v>40</v>
      </c>
      <c r="D509" s="5">
        <v>22240</v>
      </c>
      <c r="E509" s="5" t="s">
        <v>4237</v>
      </c>
      <c r="F509" s="5">
        <v>45016</v>
      </c>
      <c r="G509" t="s">
        <v>62</v>
      </c>
      <c r="H509" t="s">
        <v>24</v>
      </c>
      <c r="I509" t="s">
        <v>96</v>
      </c>
      <c r="J509" t="s">
        <v>34</v>
      </c>
      <c r="K509" t="s">
        <v>120</v>
      </c>
      <c r="L509" s="6">
        <v>133401.03</v>
      </c>
      <c r="M509">
        <v>114470.72</v>
      </c>
      <c r="N509" t="s">
        <v>4237</v>
      </c>
      <c r="O509">
        <v>3</v>
      </c>
      <c r="P509">
        <v>106</v>
      </c>
      <c r="Q509">
        <v>4</v>
      </c>
      <c r="R509">
        <v>159</v>
      </c>
      <c r="S509">
        <v>208</v>
      </c>
      <c r="T509" t="s">
        <v>37</v>
      </c>
      <c r="U509" s="7" t="s">
        <v>4237</v>
      </c>
      <c r="V509" s="7" t="s">
        <v>4237</v>
      </c>
      <c r="W509" s="6">
        <f t="shared" si="30"/>
        <v>18930.309999999998</v>
      </c>
      <c r="X509" t="s">
        <v>4237</v>
      </c>
    </row>
    <row r="510" spans="1:24">
      <c r="A510" t="s">
        <v>1390</v>
      </c>
      <c r="B510" t="s">
        <v>1391</v>
      </c>
      <c r="C510" t="s">
        <v>40</v>
      </c>
      <c r="D510" s="5">
        <v>32321</v>
      </c>
      <c r="E510" s="5">
        <v>45538</v>
      </c>
      <c r="F510" s="5">
        <v>45542</v>
      </c>
      <c r="G510" t="s">
        <v>43</v>
      </c>
      <c r="H510" t="s">
        <v>134</v>
      </c>
      <c r="I510" t="s">
        <v>79</v>
      </c>
      <c r="J510" t="s">
        <v>71</v>
      </c>
      <c r="K510" t="s">
        <v>55</v>
      </c>
      <c r="L510" s="6">
        <v>94971.8</v>
      </c>
      <c r="M510">
        <v>80361.95</v>
      </c>
      <c r="N510" t="s">
        <v>192</v>
      </c>
      <c r="O510">
        <v>4</v>
      </c>
      <c r="P510">
        <v>121</v>
      </c>
      <c r="Q510">
        <v>1</v>
      </c>
      <c r="R510">
        <v>117</v>
      </c>
      <c r="S510">
        <v>152.80000000000001</v>
      </c>
      <c r="T510" t="s">
        <v>4237</v>
      </c>
      <c r="U510" s="7">
        <f t="shared" si="28"/>
        <v>36</v>
      </c>
      <c r="V510" s="7">
        <f t="shared" si="29"/>
        <v>4</v>
      </c>
      <c r="W510" s="6">
        <f t="shared" si="30"/>
        <v>14609.850000000006</v>
      </c>
      <c r="X510" t="str">
        <f t="shared" si="31"/>
        <v>Adult</v>
      </c>
    </row>
    <row r="511" spans="1:24">
      <c r="A511" t="s">
        <v>1392</v>
      </c>
      <c r="B511" t="s">
        <v>1393</v>
      </c>
      <c r="C511" t="s">
        <v>40</v>
      </c>
      <c r="D511" s="5">
        <v>34923</v>
      </c>
      <c r="E511" s="5">
        <v>45346</v>
      </c>
      <c r="F511" s="5">
        <v>45361</v>
      </c>
      <c r="G511" t="s">
        <v>152</v>
      </c>
      <c r="H511" t="s">
        <v>86</v>
      </c>
      <c r="I511" t="s">
        <v>53</v>
      </c>
      <c r="J511" t="s">
        <v>26</v>
      </c>
      <c r="K511" t="s">
        <v>120</v>
      </c>
      <c r="L511" s="6">
        <v>75615.98</v>
      </c>
      <c r="M511">
        <v>60883.46</v>
      </c>
      <c r="N511" t="s">
        <v>56</v>
      </c>
      <c r="O511">
        <v>15</v>
      </c>
      <c r="P511">
        <v>237</v>
      </c>
      <c r="Q511">
        <v>4</v>
      </c>
      <c r="R511">
        <v>173</v>
      </c>
      <c r="S511">
        <v>235.7</v>
      </c>
      <c r="T511" t="s">
        <v>37</v>
      </c>
      <c r="U511" s="7">
        <f t="shared" si="28"/>
        <v>28</v>
      </c>
      <c r="V511" s="7">
        <f t="shared" si="29"/>
        <v>15</v>
      </c>
      <c r="W511" s="6">
        <f t="shared" si="30"/>
        <v>14732.519999999997</v>
      </c>
      <c r="X511" t="str">
        <f t="shared" si="31"/>
        <v>Adult</v>
      </c>
    </row>
    <row r="512" spans="1:24">
      <c r="A512" t="s">
        <v>1395</v>
      </c>
      <c r="B512" t="s">
        <v>147</v>
      </c>
      <c r="C512" t="s">
        <v>133</v>
      </c>
      <c r="D512" s="5">
        <v>35782</v>
      </c>
      <c r="E512" s="5">
        <v>45479</v>
      </c>
      <c r="F512" s="5" t="s">
        <v>4237</v>
      </c>
      <c r="G512" t="s">
        <v>94</v>
      </c>
      <c r="H512" t="s">
        <v>113</v>
      </c>
      <c r="I512" t="s">
        <v>119</v>
      </c>
      <c r="J512" t="s">
        <v>179</v>
      </c>
      <c r="K512" t="s">
        <v>120</v>
      </c>
      <c r="L512" s="6">
        <v>113468.77</v>
      </c>
      <c r="M512">
        <v>106609.96</v>
      </c>
      <c r="N512" t="s">
        <v>35</v>
      </c>
      <c r="O512">
        <v>2</v>
      </c>
      <c r="P512">
        <v>122</v>
      </c>
      <c r="Q512">
        <v>5</v>
      </c>
      <c r="R512">
        <v>169</v>
      </c>
      <c r="S512">
        <v>132</v>
      </c>
      <c r="T512" t="s">
        <v>65</v>
      </c>
      <c r="U512" s="7">
        <f t="shared" si="28"/>
        <v>26</v>
      </c>
      <c r="V512" s="7" t="s">
        <v>4237</v>
      </c>
      <c r="W512" s="6">
        <f t="shared" si="30"/>
        <v>6858.8099999999977</v>
      </c>
      <c r="X512" t="str">
        <f t="shared" si="31"/>
        <v>Adult</v>
      </c>
    </row>
    <row r="513" spans="1:24">
      <c r="A513" t="s">
        <v>1396</v>
      </c>
      <c r="B513" t="s">
        <v>199</v>
      </c>
      <c r="C513" t="s">
        <v>133</v>
      </c>
      <c r="D513" s="5">
        <v>26260</v>
      </c>
      <c r="E513" s="5">
        <v>45827</v>
      </c>
      <c r="F513" s="5">
        <v>45836</v>
      </c>
      <c r="G513" t="s">
        <v>94</v>
      </c>
      <c r="H513" t="s">
        <v>86</v>
      </c>
      <c r="I513" t="s">
        <v>33</v>
      </c>
      <c r="J513" t="s">
        <v>64</v>
      </c>
      <c r="K513" t="s">
        <v>27</v>
      </c>
      <c r="L513" s="6">
        <v>97512.66</v>
      </c>
      <c r="M513">
        <v>70966.559999999998</v>
      </c>
      <c r="N513" t="s">
        <v>192</v>
      </c>
      <c r="O513">
        <v>9</v>
      </c>
      <c r="P513">
        <v>121</v>
      </c>
      <c r="Q513">
        <v>5</v>
      </c>
      <c r="R513">
        <v>91</v>
      </c>
      <c r="S513">
        <v>251.2</v>
      </c>
      <c r="T513" t="s">
        <v>47</v>
      </c>
      <c r="U513" s="7">
        <f t="shared" si="28"/>
        <v>53</v>
      </c>
      <c r="V513" s="7">
        <f t="shared" si="29"/>
        <v>9</v>
      </c>
      <c r="W513" s="6">
        <f t="shared" si="30"/>
        <v>26546.100000000006</v>
      </c>
      <c r="X513" t="str">
        <f t="shared" si="31"/>
        <v>Middle Age</v>
      </c>
    </row>
    <row r="514" spans="1:24">
      <c r="A514" t="s">
        <v>1397</v>
      </c>
      <c r="B514" t="s">
        <v>39</v>
      </c>
      <c r="C514" t="s">
        <v>40</v>
      </c>
      <c r="D514" s="5">
        <v>36564</v>
      </c>
      <c r="E514" s="5">
        <v>45886</v>
      </c>
      <c r="F514" s="5">
        <v>45892</v>
      </c>
      <c r="G514" t="s">
        <v>77</v>
      </c>
      <c r="H514" t="s">
        <v>52</v>
      </c>
      <c r="I514" t="s">
        <v>33</v>
      </c>
      <c r="J514" t="s">
        <v>34</v>
      </c>
      <c r="K514" t="s">
        <v>120</v>
      </c>
      <c r="L514" s="6">
        <v>203393.22</v>
      </c>
      <c r="M514">
        <v>180011.04</v>
      </c>
      <c r="N514" t="s">
        <v>73</v>
      </c>
      <c r="O514">
        <v>6</v>
      </c>
      <c r="P514">
        <v>100</v>
      </c>
      <c r="Q514">
        <v>4</v>
      </c>
      <c r="R514">
        <v>123</v>
      </c>
      <c r="S514">
        <v>179.6</v>
      </c>
      <c r="T514" t="s">
        <v>37</v>
      </c>
      <c r="U514" s="7">
        <f t="shared" ref="U514:U577" si="32">DATEDIF(D514,E514,"Y")</f>
        <v>25</v>
      </c>
      <c r="V514" s="7">
        <f t="shared" ref="V514:V577" si="33">IF(OR(E514=" ",F514=" ",E514="Unknown",F514="Unknown")," ",F514-E514)</f>
        <v>6</v>
      </c>
      <c r="W514" s="6">
        <f t="shared" ref="W514:W577" si="34">L514-M514</f>
        <v>23382.179999999993</v>
      </c>
      <c r="X514" t="str">
        <f t="shared" ref="X514:X577" si="35">IF(OR(U514="",U514="Unknown"),"",IF(U514&lt;18,"Child",IF(U514&lt;40,"Adult",IF(U514&lt;60,"Middle Age","Senior"))))</f>
        <v>Adult</v>
      </c>
    </row>
    <row r="515" spans="1:24">
      <c r="A515" t="s">
        <v>1402</v>
      </c>
      <c r="B515" t="s">
        <v>451</v>
      </c>
      <c r="C515" t="s">
        <v>133</v>
      </c>
      <c r="D515" s="5">
        <v>26186</v>
      </c>
      <c r="E515" s="5">
        <v>45948</v>
      </c>
      <c r="F515" s="5" t="s">
        <v>4237</v>
      </c>
      <c r="G515" t="s">
        <v>117</v>
      </c>
      <c r="H515" t="s">
        <v>44</v>
      </c>
      <c r="I515" t="s">
        <v>96</v>
      </c>
      <c r="J515" t="s">
        <v>26</v>
      </c>
      <c r="K515" t="s">
        <v>120</v>
      </c>
      <c r="L515" s="6">
        <v>206457.08</v>
      </c>
      <c r="M515">
        <v>142533.59</v>
      </c>
      <c r="N515" t="s">
        <v>73</v>
      </c>
      <c r="O515">
        <v>13</v>
      </c>
      <c r="P515">
        <v>205</v>
      </c>
      <c r="Q515">
        <v>4</v>
      </c>
      <c r="R515">
        <v>121</v>
      </c>
      <c r="S515">
        <v>158.19999999999999</v>
      </c>
      <c r="T515" t="s">
        <v>47</v>
      </c>
      <c r="U515" s="7">
        <f t="shared" si="32"/>
        <v>54</v>
      </c>
      <c r="V515" s="7" t="s">
        <v>4237</v>
      </c>
      <c r="W515" s="6">
        <f t="shared" si="34"/>
        <v>63923.489999999991</v>
      </c>
      <c r="X515" t="str">
        <f t="shared" si="35"/>
        <v>Middle Age</v>
      </c>
    </row>
    <row r="516" spans="1:24">
      <c r="A516" t="s">
        <v>1404</v>
      </c>
      <c r="B516" t="s">
        <v>765</v>
      </c>
      <c r="C516" t="s">
        <v>133</v>
      </c>
      <c r="D516" s="5">
        <v>37383</v>
      </c>
      <c r="E516" s="5">
        <v>45775</v>
      </c>
      <c r="F516" s="5">
        <v>45791</v>
      </c>
      <c r="G516" t="s">
        <v>105</v>
      </c>
      <c r="H516" t="s">
        <v>63</v>
      </c>
      <c r="I516" t="s">
        <v>33</v>
      </c>
      <c r="J516" t="s">
        <v>71</v>
      </c>
      <c r="K516" t="s">
        <v>27</v>
      </c>
      <c r="L516" s="6">
        <v>60831.37</v>
      </c>
      <c r="M516">
        <v>56538.69</v>
      </c>
      <c r="N516" t="s">
        <v>56</v>
      </c>
      <c r="O516">
        <v>16</v>
      </c>
      <c r="P516">
        <v>106</v>
      </c>
      <c r="Q516">
        <v>4</v>
      </c>
      <c r="R516">
        <v>141</v>
      </c>
      <c r="S516">
        <v>151.69999999999999</v>
      </c>
      <c r="T516" t="s">
        <v>47</v>
      </c>
      <c r="U516" s="7">
        <f t="shared" si="32"/>
        <v>22</v>
      </c>
      <c r="V516" s="7">
        <f t="shared" si="33"/>
        <v>16</v>
      </c>
      <c r="W516" s="6">
        <f t="shared" si="34"/>
        <v>4292.68</v>
      </c>
      <c r="X516" t="str">
        <f t="shared" si="35"/>
        <v>Adult</v>
      </c>
    </row>
    <row r="517" spans="1:24">
      <c r="A517" t="s">
        <v>1407</v>
      </c>
      <c r="B517" t="s">
        <v>1408</v>
      </c>
      <c r="C517" t="s">
        <v>40</v>
      </c>
      <c r="D517" s="5">
        <v>39139</v>
      </c>
      <c r="E517" s="5">
        <v>45238</v>
      </c>
      <c r="F517" s="5" t="s">
        <v>4237</v>
      </c>
      <c r="G517" t="s">
        <v>62</v>
      </c>
      <c r="H517" t="s">
        <v>24</v>
      </c>
      <c r="I517" t="s">
        <v>53</v>
      </c>
      <c r="J517" t="s">
        <v>71</v>
      </c>
      <c r="K517" t="s">
        <v>161</v>
      </c>
      <c r="L517" s="6">
        <v>245966.01</v>
      </c>
      <c r="M517">
        <v>222260.28</v>
      </c>
      <c r="N517" t="s">
        <v>192</v>
      </c>
      <c r="O517">
        <v>2</v>
      </c>
      <c r="P517">
        <v>240</v>
      </c>
      <c r="Q517">
        <v>5</v>
      </c>
      <c r="R517">
        <v>175</v>
      </c>
      <c r="S517">
        <v>178.7</v>
      </c>
      <c r="T517" t="s">
        <v>37</v>
      </c>
      <c r="U517" s="7">
        <f t="shared" si="32"/>
        <v>16</v>
      </c>
      <c r="V517" s="7" t="s">
        <v>4237</v>
      </c>
      <c r="W517" s="6">
        <f t="shared" si="34"/>
        <v>23705.73000000001</v>
      </c>
      <c r="X517" t="str">
        <f t="shared" si="35"/>
        <v>Child</v>
      </c>
    </row>
    <row r="518" spans="1:24">
      <c r="A518" t="s">
        <v>1409</v>
      </c>
      <c r="B518" t="s">
        <v>171</v>
      </c>
      <c r="C518" t="s">
        <v>133</v>
      </c>
      <c r="D518" s="5">
        <v>31917</v>
      </c>
      <c r="E518" s="5">
        <v>46004</v>
      </c>
      <c r="F518" s="5">
        <v>46007</v>
      </c>
      <c r="G518" t="s">
        <v>109</v>
      </c>
      <c r="H518" t="s">
        <v>124</v>
      </c>
      <c r="I518" t="s">
        <v>33</v>
      </c>
      <c r="J518" t="s">
        <v>34</v>
      </c>
      <c r="K518" t="s">
        <v>55</v>
      </c>
      <c r="L518" s="6">
        <v>152526.51</v>
      </c>
      <c r="M518">
        <v>113970.59</v>
      </c>
      <c r="N518" t="s">
        <v>56</v>
      </c>
      <c r="O518">
        <v>3</v>
      </c>
      <c r="P518">
        <v>203</v>
      </c>
      <c r="Q518">
        <v>4</v>
      </c>
      <c r="R518">
        <v>102</v>
      </c>
      <c r="S518">
        <v>164.3</v>
      </c>
      <c r="T518" t="s">
        <v>47</v>
      </c>
      <c r="U518" s="7">
        <f t="shared" si="32"/>
        <v>38</v>
      </c>
      <c r="V518" s="7">
        <f t="shared" si="33"/>
        <v>3</v>
      </c>
      <c r="W518" s="6">
        <f t="shared" si="34"/>
        <v>38555.920000000013</v>
      </c>
      <c r="X518" t="str">
        <f t="shared" si="35"/>
        <v>Adult</v>
      </c>
    </row>
    <row r="519" spans="1:24">
      <c r="A519" t="s">
        <v>1410</v>
      </c>
      <c r="B519" t="s">
        <v>768</v>
      </c>
      <c r="C519" t="s">
        <v>40</v>
      </c>
      <c r="D519" s="5">
        <v>36668</v>
      </c>
      <c r="E519" s="5">
        <v>45595</v>
      </c>
      <c r="F519" s="5">
        <v>45602</v>
      </c>
      <c r="G519" t="s">
        <v>62</v>
      </c>
      <c r="H519" t="s">
        <v>153</v>
      </c>
      <c r="I519" t="s">
        <v>53</v>
      </c>
      <c r="J519" t="s">
        <v>179</v>
      </c>
      <c r="K519" t="s">
        <v>161</v>
      </c>
      <c r="L519" s="6">
        <v>22164.65</v>
      </c>
      <c r="M519">
        <v>19200.98</v>
      </c>
      <c r="N519" t="s">
        <v>73</v>
      </c>
      <c r="O519">
        <v>7</v>
      </c>
      <c r="P519">
        <v>42</v>
      </c>
      <c r="Q519">
        <v>2</v>
      </c>
      <c r="R519">
        <v>147</v>
      </c>
      <c r="S519">
        <v>94</v>
      </c>
      <c r="T519" t="s">
        <v>4237</v>
      </c>
      <c r="U519" s="7">
        <f t="shared" si="32"/>
        <v>24</v>
      </c>
      <c r="V519" s="7">
        <f t="shared" si="33"/>
        <v>7</v>
      </c>
      <c r="W519" s="6">
        <f t="shared" si="34"/>
        <v>2963.6700000000019</v>
      </c>
      <c r="X519" t="str">
        <f t="shared" si="35"/>
        <v>Adult</v>
      </c>
    </row>
    <row r="520" spans="1:24">
      <c r="A520" t="s">
        <v>1411</v>
      </c>
      <c r="B520" t="s">
        <v>116</v>
      </c>
      <c r="C520" t="s">
        <v>40</v>
      </c>
      <c r="D520" s="5" t="s">
        <v>4237</v>
      </c>
      <c r="E520" s="5">
        <v>44996</v>
      </c>
      <c r="F520" s="5">
        <v>45008</v>
      </c>
      <c r="G520" t="s">
        <v>94</v>
      </c>
      <c r="H520" t="s">
        <v>63</v>
      </c>
      <c r="I520" t="s">
        <v>33</v>
      </c>
      <c r="J520" t="s">
        <v>179</v>
      </c>
      <c r="K520" t="s">
        <v>55</v>
      </c>
      <c r="L520" s="6">
        <v>10266.43</v>
      </c>
      <c r="M520">
        <v>8386.32</v>
      </c>
      <c r="N520" t="s">
        <v>73</v>
      </c>
      <c r="O520">
        <v>12</v>
      </c>
      <c r="P520">
        <v>213</v>
      </c>
      <c r="Q520">
        <v>4</v>
      </c>
      <c r="R520">
        <v>141</v>
      </c>
      <c r="S520">
        <v>195.1</v>
      </c>
      <c r="T520" t="s">
        <v>37</v>
      </c>
      <c r="U520" s="7" t="s">
        <v>4237</v>
      </c>
      <c r="V520" s="7">
        <f t="shared" si="33"/>
        <v>12</v>
      </c>
      <c r="W520" s="6">
        <f t="shared" si="34"/>
        <v>1880.1100000000006</v>
      </c>
      <c r="X520" t="s">
        <v>4237</v>
      </c>
    </row>
    <row r="521" spans="1:24">
      <c r="A521" t="s">
        <v>1413</v>
      </c>
      <c r="B521" t="s">
        <v>661</v>
      </c>
      <c r="C521" t="s">
        <v>133</v>
      </c>
      <c r="D521" s="5">
        <v>20312</v>
      </c>
      <c r="E521" s="5">
        <v>45230</v>
      </c>
      <c r="F521" s="5">
        <v>45232</v>
      </c>
      <c r="G521" t="s">
        <v>94</v>
      </c>
      <c r="H521" t="s">
        <v>95</v>
      </c>
      <c r="I521" t="s">
        <v>33</v>
      </c>
      <c r="J521" t="s">
        <v>71</v>
      </c>
      <c r="K521" t="s">
        <v>120</v>
      </c>
      <c r="L521" s="6">
        <v>227058.46</v>
      </c>
      <c r="M521">
        <v>145551.47</v>
      </c>
      <c r="N521" t="s">
        <v>73</v>
      </c>
      <c r="O521">
        <v>2</v>
      </c>
      <c r="P521">
        <v>14</v>
      </c>
      <c r="Q521">
        <v>1</v>
      </c>
      <c r="R521">
        <v>170</v>
      </c>
      <c r="S521">
        <v>138.5</v>
      </c>
      <c r="T521" t="s">
        <v>65</v>
      </c>
      <c r="U521" s="7">
        <f t="shared" si="32"/>
        <v>68</v>
      </c>
      <c r="V521" s="7">
        <f t="shared" si="33"/>
        <v>2</v>
      </c>
      <c r="W521" s="6">
        <f t="shared" si="34"/>
        <v>81506.989999999991</v>
      </c>
      <c r="X521" t="str">
        <f t="shared" si="35"/>
        <v>Senior</v>
      </c>
    </row>
    <row r="522" spans="1:24">
      <c r="A522" t="s">
        <v>1414</v>
      </c>
      <c r="B522" t="s">
        <v>394</v>
      </c>
      <c r="C522" t="s">
        <v>40</v>
      </c>
      <c r="D522" s="5">
        <v>32070</v>
      </c>
      <c r="E522" s="5">
        <v>45329</v>
      </c>
      <c r="F522" s="5">
        <v>45343</v>
      </c>
      <c r="G522" t="s">
        <v>161</v>
      </c>
      <c r="H522" t="s">
        <v>78</v>
      </c>
      <c r="I522" t="s">
        <v>25</v>
      </c>
      <c r="J522" t="s">
        <v>34</v>
      </c>
      <c r="K522" t="s">
        <v>120</v>
      </c>
      <c r="L522" s="6">
        <v>241125.27</v>
      </c>
      <c r="M522">
        <v>187528.73</v>
      </c>
      <c r="N522" t="s">
        <v>192</v>
      </c>
      <c r="O522">
        <v>14</v>
      </c>
      <c r="P522">
        <v>142</v>
      </c>
      <c r="Q522">
        <v>4</v>
      </c>
      <c r="R522">
        <v>95</v>
      </c>
      <c r="S522">
        <v>124.1</v>
      </c>
      <c r="T522" t="s">
        <v>37</v>
      </c>
      <c r="U522" s="7">
        <f t="shared" si="32"/>
        <v>36</v>
      </c>
      <c r="V522" s="7">
        <f t="shared" si="33"/>
        <v>14</v>
      </c>
      <c r="W522" s="6">
        <f t="shared" si="34"/>
        <v>53596.539999999979</v>
      </c>
      <c r="X522" t="str">
        <f t="shared" si="35"/>
        <v>Adult</v>
      </c>
    </row>
    <row r="523" spans="1:24">
      <c r="A523" t="s">
        <v>1417</v>
      </c>
      <c r="B523" t="s">
        <v>1108</v>
      </c>
      <c r="C523" t="s">
        <v>133</v>
      </c>
      <c r="D523" s="5">
        <v>37368</v>
      </c>
      <c r="E523" s="5">
        <v>45447</v>
      </c>
      <c r="F523" s="5" t="s">
        <v>4237</v>
      </c>
      <c r="G523" t="s">
        <v>89</v>
      </c>
      <c r="H523" t="s">
        <v>86</v>
      </c>
      <c r="I523" t="s">
        <v>25</v>
      </c>
      <c r="J523" t="s">
        <v>80</v>
      </c>
      <c r="K523" t="s">
        <v>55</v>
      </c>
      <c r="L523" s="6">
        <v>238122.13</v>
      </c>
      <c r="M523">
        <v>174569.55</v>
      </c>
      <c r="N523" t="s">
        <v>192</v>
      </c>
      <c r="O523">
        <v>13</v>
      </c>
      <c r="P523">
        <v>5</v>
      </c>
      <c r="Q523">
        <v>4</v>
      </c>
      <c r="R523">
        <v>96</v>
      </c>
      <c r="S523">
        <v>252.1</v>
      </c>
      <c r="T523" t="s">
        <v>65</v>
      </c>
      <c r="U523" s="7">
        <f t="shared" si="32"/>
        <v>22</v>
      </c>
      <c r="V523" s="7" t="s">
        <v>4237</v>
      </c>
      <c r="W523" s="6">
        <f t="shared" si="34"/>
        <v>63552.580000000016</v>
      </c>
      <c r="X523" t="str">
        <f t="shared" si="35"/>
        <v>Adult</v>
      </c>
    </row>
    <row r="524" spans="1:24">
      <c r="A524" t="s">
        <v>1419</v>
      </c>
      <c r="B524" t="s">
        <v>1088</v>
      </c>
      <c r="C524" t="s">
        <v>40</v>
      </c>
      <c r="D524" s="5">
        <v>38090</v>
      </c>
      <c r="E524" s="5">
        <v>45599</v>
      </c>
      <c r="F524" s="5">
        <v>45605</v>
      </c>
      <c r="G524" t="s">
        <v>94</v>
      </c>
      <c r="H524" t="s">
        <v>24</v>
      </c>
      <c r="I524" t="s">
        <v>79</v>
      </c>
      <c r="J524" t="s">
        <v>26</v>
      </c>
      <c r="K524" t="s">
        <v>110</v>
      </c>
      <c r="L524" s="6">
        <v>83871.77</v>
      </c>
      <c r="M524">
        <v>82527.600000000006</v>
      </c>
      <c r="N524" t="s">
        <v>56</v>
      </c>
      <c r="O524">
        <v>6</v>
      </c>
      <c r="P524">
        <v>10</v>
      </c>
      <c r="Q524">
        <v>2</v>
      </c>
      <c r="R524">
        <v>106</v>
      </c>
      <c r="S524">
        <v>246.9</v>
      </c>
      <c r="T524" t="s">
        <v>4237</v>
      </c>
      <c r="U524" s="7">
        <f t="shared" si="32"/>
        <v>20</v>
      </c>
      <c r="V524" s="7">
        <f t="shared" si="33"/>
        <v>6</v>
      </c>
      <c r="W524" s="6">
        <f t="shared" si="34"/>
        <v>1344.1699999999983</v>
      </c>
      <c r="X524" t="str">
        <f t="shared" si="35"/>
        <v>Adult</v>
      </c>
    </row>
    <row r="525" spans="1:24">
      <c r="A525" t="s">
        <v>1420</v>
      </c>
      <c r="B525" t="s">
        <v>541</v>
      </c>
      <c r="C525" t="s">
        <v>133</v>
      </c>
      <c r="D525" s="5">
        <v>32907</v>
      </c>
      <c r="E525" s="5">
        <v>45245</v>
      </c>
      <c r="F525" s="5">
        <v>45249</v>
      </c>
      <c r="G525" t="s">
        <v>152</v>
      </c>
      <c r="H525" t="s">
        <v>86</v>
      </c>
      <c r="I525" t="s">
        <v>33</v>
      </c>
      <c r="J525" t="s">
        <v>71</v>
      </c>
      <c r="K525" t="s">
        <v>120</v>
      </c>
      <c r="L525" s="6">
        <v>241373.06</v>
      </c>
      <c r="M525">
        <v>224349.04</v>
      </c>
      <c r="N525" t="s">
        <v>35</v>
      </c>
      <c r="O525">
        <v>4</v>
      </c>
      <c r="P525">
        <v>91</v>
      </c>
      <c r="Q525">
        <v>2</v>
      </c>
      <c r="R525">
        <v>154</v>
      </c>
      <c r="S525">
        <v>215.5</v>
      </c>
      <c r="T525" t="s">
        <v>37</v>
      </c>
      <c r="U525" s="7">
        <f t="shared" si="32"/>
        <v>33</v>
      </c>
      <c r="V525" s="7">
        <f t="shared" si="33"/>
        <v>4</v>
      </c>
      <c r="W525" s="6">
        <f t="shared" si="34"/>
        <v>17024.01999999999</v>
      </c>
      <c r="X525" t="str">
        <f t="shared" si="35"/>
        <v>Adult</v>
      </c>
    </row>
    <row r="526" spans="1:24">
      <c r="A526" t="s">
        <v>1421</v>
      </c>
      <c r="B526" t="s">
        <v>1342</v>
      </c>
      <c r="C526" t="s">
        <v>133</v>
      </c>
      <c r="D526" s="5">
        <v>36925</v>
      </c>
      <c r="E526" s="5">
        <v>45259</v>
      </c>
      <c r="F526" s="5">
        <v>45264</v>
      </c>
      <c r="G526" t="s">
        <v>89</v>
      </c>
      <c r="H526" t="s">
        <v>52</v>
      </c>
      <c r="I526" t="s">
        <v>45</v>
      </c>
      <c r="J526" t="s">
        <v>34</v>
      </c>
      <c r="K526" t="s">
        <v>27</v>
      </c>
      <c r="L526" s="6">
        <v>247800.6</v>
      </c>
      <c r="M526">
        <v>169644.92</v>
      </c>
      <c r="N526" t="s">
        <v>192</v>
      </c>
      <c r="O526">
        <v>5</v>
      </c>
      <c r="P526">
        <v>92</v>
      </c>
      <c r="Q526">
        <v>4</v>
      </c>
      <c r="R526">
        <v>186</v>
      </c>
      <c r="S526">
        <v>152.19999999999999</v>
      </c>
      <c r="T526" t="s">
        <v>37</v>
      </c>
      <c r="U526" s="7">
        <f t="shared" si="32"/>
        <v>22</v>
      </c>
      <c r="V526" s="7">
        <f t="shared" si="33"/>
        <v>5</v>
      </c>
      <c r="W526" s="6">
        <f t="shared" si="34"/>
        <v>78155.679999999993</v>
      </c>
      <c r="X526" t="str">
        <f t="shared" si="35"/>
        <v>Adult</v>
      </c>
    </row>
    <row r="527" spans="1:24">
      <c r="A527" t="s">
        <v>1423</v>
      </c>
      <c r="B527" t="s">
        <v>67</v>
      </c>
      <c r="C527" t="s">
        <v>40</v>
      </c>
      <c r="D527" s="5">
        <v>27201</v>
      </c>
      <c r="E527" s="5">
        <v>45682</v>
      </c>
      <c r="F527" s="5">
        <v>45689</v>
      </c>
      <c r="G527" t="s">
        <v>152</v>
      </c>
      <c r="H527" t="s">
        <v>32</v>
      </c>
      <c r="I527" t="s">
        <v>45</v>
      </c>
      <c r="J527" t="s">
        <v>179</v>
      </c>
      <c r="K527" t="s">
        <v>55</v>
      </c>
      <c r="L527" s="6">
        <v>143807.48000000001</v>
      </c>
      <c r="M527">
        <v>143275.21</v>
      </c>
      <c r="N527" t="s">
        <v>73</v>
      </c>
      <c r="O527">
        <v>7</v>
      </c>
      <c r="P527">
        <v>100</v>
      </c>
      <c r="Q527">
        <v>5</v>
      </c>
      <c r="R527">
        <v>143</v>
      </c>
      <c r="S527">
        <v>212.4</v>
      </c>
      <c r="T527" t="s">
        <v>37</v>
      </c>
      <c r="U527" s="7">
        <f t="shared" si="32"/>
        <v>50</v>
      </c>
      <c r="V527" s="7">
        <f t="shared" si="33"/>
        <v>7</v>
      </c>
      <c r="W527" s="6">
        <f t="shared" si="34"/>
        <v>532.27000000001863</v>
      </c>
      <c r="X527" t="str">
        <f t="shared" si="35"/>
        <v>Middle Age</v>
      </c>
    </row>
    <row r="528" spans="1:24">
      <c r="A528" t="s">
        <v>1425</v>
      </c>
      <c r="B528" t="s">
        <v>1426</v>
      </c>
      <c r="C528" t="s">
        <v>40</v>
      </c>
      <c r="D528" s="5">
        <v>36917</v>
      </c>
      <c r="E528" s="5">
        <v>45576</v>
      </c>
      <c r="F528" s="5">
        <v>45584</v>
      </c>
      <c r="G528" t="s">
        <v>109</v>
      </c>
      <c r="H528" t="s">
        <v>134</v>
      </c>
      <c r="I528" t="s">
        <v>96</v>
      </c>
      <c r="J528" t="s">
        <v>179</v>
      </c>
      <c r="K528" t="s">
        <v>161</v>
      </c>
      <c r="L528" s="6">
        <v>215017.59</v>
      </c>
      <c r="M528">
        <v>211085.9</v>
      </c>
      <c r="N528" t="s">
        <v>192</v>
      </c>
      <c r="O528">
        <v>8</v>
      </c>
      <c r="P528">
        <v>175</v>
      </c>
      <c r="Q528">
        <v>3</v>
      </c>
      <c r="R528">
        <v>179</v>
      </c>
      <c r="S528">
        <v>163.5</v>
      </c>
      <c r="T528" t="s">
        <v>37</v>
      </c>
      <c r="U528" s="7">
        <f t="shared" si="32"/>
        <v>23</v>
      </c>
      <c r="V528" s="7">
        <f t="shared" si="33"/>
        <v>8</v>
      </c>
      <c r="W528" s="6">
        <f t="shared" si="34"/>
        <v>3931.6900000000023</v>
      </c>
      <c r="X528" t="str">
        <f t="shared" si="35"/>
        <v>Adult</v>
      </c>
    </row>
    <row r="529" spans="1:24">
      <c r="A529" t="s">
        <v>1427</v>
      </c>
      <c r="B529" t="s">
        <v>887</v>
      </c>
      <c r="C529" t="s">
        <v>40</v>
      </c>
      <c r="D529" s="5">
        <v>38428</v>
      </c>
      <c r="E529" s="5">
        <v>45132</v>
      </c>
      <c r="F529" s="5">
        <v>45144</v>
      </c>
      <c r="G529" t="s">
        <v>109</v>
      </c>
      <c r="H529" t="s">
        <v>78</v>
      </c>
      <c r="I529" t="s">
        <v>119</v>
      </c>
      <c r="J529" t="s">
        <v>46</v>
      </c>
      <c r="K529" t="s">
        <v>161</v>
      </c>
      <c r="L529" s="6">
        <v>222381.08</v>
      </c>
      <c r="M529">
        <v>194121.65</v>
      </c>
      <c r="N529" t="s">
        <v>73</v>
      </c>
      <c r="O529">
        <v>12</v>
      </c>
      <c r="P529">
        <v>154</v>
      </c>
      <c r="Q529">
        <v>2</v>
      </c>
      <c r="R529">
        <v>119</v>
      </c>
      <c r="S529">
        <v>79.3</v>
      </c>
      <c r="T529" t="s">
        <v>65</v>
      </c>
      <c r="U529" s="7">
        <f t="shared" si="32"/>
        <v>18</v>
      </c>
      <c r="V529" s="7">
        <f t="shared" si="33"/>
        <v>12</v>
      </c>
      <c r="W529" s="6">
        <f t="shared" si="34"/>
        <v>28259.429999999993</v>
      </c>
      <c r="X529" t="str">
        <f t="shared" si="35"/>
        <v>Adult</v>
      </c>
    </row>
    <row r="530" spans="1:24">
      <c r="A530" t="s">
        <v>4131</v>
      </c>
      <c r="B530" t="s">
        <v>926</v>
      </c>
      <c r="C530" t="s">
        <v>40</v>
      </c>
      <c r="D530" s="5">
        <v>20729</v>
      </c>
      <c r="E530" s="5">
        <v>45145</v>
      </c>
      <c r="F530" s="5" t="s">
        <v>4237</v>
      </c>
      <c r="G530" t="s">
        <v>94</v>
      </c>
      <c r="H530" t="s">
        <v>63</v>
      </c>
      <c r="I530" t="s">
        <v>79</v>
      </c>
      <c r="J530" t="s">
        <v>64</v>
      </c>
      <c r="K530" t="s">
        <v>55</v>
      </c>
      <c r="L530" s="6">
        <v>28955.51</v>
      </c>
      <c r="M530">
        <v>25401.4</v>
      </c>
      <c r="N530" t="s">
        <v>73</v>
      </c>
      <c r="O530">
        <v>16</v>
      </c>
      <c r="P530">
        <v>148</v>
      </c>
      <c r="Q530">
        <v>4</v>
      </c>
      <c r="R530">
        <v>100</v>
      </c>
      <c r="S530">
        <v>133.5</v>
      </c>
      <c r="T530" t="s">
        <v>47</v>
      </c>
      <c r="U530" s="7">
        <f t="shared" si="32"/>
        <v>66</v>
      </c>
      <c r="V530" s="7" t="s">
        <v>4237</v>
      </c>
      <c r="W530" s="6">
        <f t="shared" si="34"/>
        <v>3554.1099999999969</v>
      </c>
      <c r="X530" t="str">
        <f t="shared" si="35"/>
        <v>Senior</v>
      </c>
    </row>
    <row r="531" spans="1:24">
      <c r="A531" t="s">
        <v>1429</v>
      </c>
      <c r="B531" t="s">
        <v>277</v>
      </c>
      <c r="C531" t="s">
        <v>40</v>
      </c>
      <c r="D531" s="5">
        <v>29837</v>
      </c>
      <c r="E531" s="5">
        <v>45048</v>
      </c>
      <c r="F531" s="5">
        <v>45062</v>
      </c>
      <c r="G531" t="s">
        <v>152</v>
      </c>
      <c r="H531" t="s">
        <v>134</v>
      </c>
      <c r="I531" t="s">
        <v>45</v>
      </c>
      <c r="J531" t="s">
        <v>64</v>
      </c>
      <c r="K531" t="s">
        <v>55</v>
      </c>
      <c r="L531" s="6">
        <v>74944.81</v>
      </c>
      <c r="M531">
        <v>61556.38</v>
      </c>
      <c r="N531" t="s">
        <v>73</v>
      </c>
      <c r="O531">
        <v>14</v>
      </c>
      <c r="P531">
        <v>156</v>
      </c>
      <c r="Q531">
        <v>4</v>
      </c>
      <c r="R531">
        <v>164</v>
      </c>
      <c r="S531">
        <v>124.7</v>
      </c>
      <c r="T531" t="s">
        <v>47</v>
      </c>
      <c r="U531" s="7">
        <f t="shared" si="32"/>
        <v>41</v>
      </c>
      <c r="V531" s="7">
        <f t="shared" si="33"/>
        <v>14</v>
      </c>
      <c r="W531" s="6">
        <f t="shared" si="34"/>
        <v>13388.43</v>
      </c>
      <c r="X531" t="str">
        <f t="shared" si="35"/>
        <v>Middle Age</v>
      </c>
    </row>
    <row r="532" spans="1:24">
      <c r="A532" t="s">
        <v>1430</v>
      </c>
      <c r="B532" t="s">
        <v>967</v>
      </c>
      <c r="C532" t="s">
        <v>40</v>
      </c>
      <c r="D532" s="5">
        <v>21521</v>
      </c>
      <c r="E532" s="5">
        <v>45399</v>
      </c>
      <c r="F532" s="5">
        <v>45407</v>
      </c>
      <c r="G532" t="s">
        <v>161</v>
      </c>
      <c r="H532" t="s">
        <v>52</v>
      </c>
      <c r="I532" t="s">
        <v>79</v>
      </c>
      <c r="J532" t="s">
        <v>97</v>
      </c>
      <c r="K532" t="s">
        <v>55</v>
      </c>
      <c r="L532" s="6">
        <v>241391.92</v>
      </c>
      <c r="M532">
        <v>238451.75</v>
      </c>
      <c r="N532" t="s">
        <v>35</v>
      </c>
      <c r="O532">
        <v>8</v>
      </c>
      <c r="P532">
        <v>152</v>
      </c>
      <c r="Q532">
        <v>1</v>
      </c>
      <c r="R532">
        <v>173</v>
      </c>
      <c r="S532">
        <v>109.9</v>
      </c>
      <c r="T532" t="s">
        <v>37</v>
      </c>
      <c r="U532" s="7">
        <f t="shared" si="32"/>
        <v>65</v>
      </c>
      <c r="V532" s="7">
        <f t="shared" si="33"/>
        <v>8</v>
      </c>
      <c r="W532" s="6">
        <f t="shared" si="34"/>
        <v>2940.1700000000128</v>
      </c>
      <c r="X532" t="str">
        <f t="shared" si="35"/>
        <v>Senior</v>
      </c>
    </row>
    <row r="533" spans="1:24">
      <c r="A533" t="s">
        <v>4132</v>
      </c>
      <c r="B533" t="s">
        <v>992</v>
      </c>
      <c r="C533" t="s">
        <v>40</v>
      </c>
      <c r="D533" s="5">
        <v>38118</v>
      </c>
      <c r="E533" s="5">
        <v>45350</v>
      </c>
      <c r="F533" s="5">
        <v>45363</v>
      </c>
      <c r="G533" t="s">
        <v>94</v>
      </c>
      <c r="H533" t="s">
        <v>113</v>
      </c>
      <c r="I533" t="s">
        <v>45</v>
      </c>
      <c r="J533" t="s">
        <v>34</v>
      </c>
      <c r="K533" t="s">
        <v>55</v>
      </c>
      <c r="L533" s="6">
        <v>123506.09</v>
      </c>
      <c r="M533">
        <v>102662.62</v>
      </c>
      <c r="N533" t="s">
        <v>35</v>
      </c>
      <c r="O533">
        <v>13</v>
      </c>
      <c r="P533">
        <v>69</v>
      </c>
      <c r="Q533">
        <v>1</v>
      </c>
      <c r="R533">
        <v>145</v>
      </c>
      <c r="S533">
        <v>158.1</v>
      </c>
      <c r="T533" t="s">
        <v>37</v>
      </c>
      <c r="U533" s="7">
        <f t="shared" si="32"/>
        <v>19</v>
      </c>
      <c r="V533" s="7">
        <f t="shared" si="33"/>
        <v>13</v>
      </c>
      <c r="W533" s="6">
        <f t="shared" si="34"/>
        <v>20843.47</v>
      </c>
      <c r="X533" t="str">
        <f t="shared" si="35"/>
        <v>Adult</v>
      </c>
    </row>
    <row r="534" spans="1:24">
      <c r="A534" t="s">
        <v>1436</v>
      </c>
      <c r="B534" t="s">
        <v>155</v>
      </c>
      <c r="C534" t="s">
        <v>40</v>
      </c>
      <c r="D534" s="5">
        <v>26440</v>
      </c>
      <c r="E534" s="5">
        <v>45386</v>
      </c>
      <c r="F534" s="5">
        <v>45401</v>
      </c>
      <c r="G534" t="s">
        <v>117</v>
      </c>
      <c r="H534" t="s">
        <v>44</v>
      </c>
      <c r="I534" t="s">
        <v>33</v>
      </c>
      <c r="J534" t="s">
        <v>34</v>
      </c>
      <c r="K534" t="s">
        <v>55</v>
      </c>
      <c r="L534" s="6">
        <v>69235.77</v>
      </c>
      <c r="M534">
        <v>50394.03</v>
      </c>
      <c r="N534" t="s">
        <v>4237</v>
      </c>
      <c r="O534">
        <v>15</v>
      </c>
      <c r="P534">
        <v>236</v>
      </c>
      <c r="Q534">
        <v>3</v>
      </c>
      <c r="R534">
        <v>92</v>
      </c>
      <c r="S534">
        <v>218.4</v>
      </c>
      <c r="T534" t="s">
        <v>4237</v>
      </c>
      <c r="U534" s="7">
        <f t="shared" si="32"/>
        <v>51</v>
      </c>
      <c r="V534" s="7">
        <f t="shared" si="33"/>
        <v>15</v>
      </c>
      <c r="W534" s="6">
        <f t="shared" si="34"/>
        <v>18841.740000000005</v>
      </c>
      <c r="X534" t="str">
        <f t="shared" si="35"/>
        <v>Middle Age</v>
      </c>
    </row>
    <row r="535" spans="1:24">
      <c r="A535" t="s">
        <v>1437</v>
      </c>
      <c r="B535" t="s">
        <v>1438</v>
      </c>
      <c r="C535" t="s">
        <v>133</v>
      </c>
      <c r="D535" s="5">
        <v>35612</v>
      </c>
      <c r="E535" s="5">
        <v>45174</v>
      </c>
      <c r="F535" s="5">
        <v>45059</v>
      </c>
      <c r="G535" t="s">
        <v>109</v>
      </c>
      <c r="H535" t="s">
        <v>44</v>
      </c>
      <c r="I535" t="s">
        <v>45</v>
      </c>
      <c r="J535" t="s">
        <v>64</v>
      </c>
      <c r="K535" t="s">
        <v>110</v>
      </c>
      <c r="L535" s="6">
        <v>214322.91</v>
      </c>
      <c r="M535">
        <v>98646.34</v>
      </c>
      <c r="N535" t="s">
        <v>35</v>
      </c>
      <c r="O535">
        <v>4</v>
      </c>
      <c r="P535">
        <v>140</v>
      </c>
      <c r="Q535">
        <v>3</v>
      </c>
      <c r="R535">
        <v>170</v>
      </c>
      <c r="S535">
        <v>164.4</v>
      </c>
      <c r="T535" t="s">
        <v>37</v>
      </c>
      <c r="U535" s="7">
        <f t="shared" si="32"/>
        <v>26</v>
      </c>
      <c r="V535" s="7">
        <f t="shared" si="33"/>
        <v>-115</v>
      </c>
      <c r="W535" s="6">
        <f t="shared" si="34"/>
        <v>115676.57</v>
      </c>
      <c r="X535" t="str">
        <f t="shared" si="35"/>
        <v>Adult</v>
      </c>
    </row>
    <row r="536" spans="1:24">
      <c r="A536" t="s">
        <v>1440</v>
      </c>
      <c r="B536" t="s">
        <v>251</v>
      </c>
      <c r="C536" t="s">
        <v>133</v>
      </c>
      <c r="D536" s="5">
        <v>31888</v>
      </c>
      <c r="E536" s="5">
        <v>45750</v>
      </c>
      <c r="F536" s="5">
        <v>45762</v>
      </c>
      <c r="G536" t="s">
        <v>77</v>
      </c>
      <c r="H536" t="s">
        <v>118</v>
      </c>
      <c r="I536" t="s">
        <v>45</v>
      </c>
      <c r="J536" t="s">
        <v>80</v>
      </c>
      <c r="K536" t="s">
        <v>55</v>
      </c>
      <c r="L536" s="6">
        <v>82866.98</v>
      </c>
      <c r="M536">
        <v>66878.97</v>
      </c>
      <c r="N536" t="s">
        <v>192</v>
      </c>
      <c r="O536">
        <v>12</v>
      </c>
      <c r="P536">
        <v>199</v>
      </c>
      <c r="Q536">
        <v>4</v>
      </c>
      <c r="R536">
        <v>158</v>
      </c>
      <c r="S536">
        <v>133.4</v>
      </c>
      <c r="T536" t="s">
        <v>47</v>
      </c>
      <c r="U536" s="7">
        <f t="shared" si="32"/>
        <v>37</v>
      </c>
      <c r="V536" s="7">
        <f t="shared" si="33"/>
        <v>12</v>
      </c>
      <c r="W536" s="6">
        <f t="shared" si="34"/>
        <v>15988.009999999995</v>
      </c>
      <c r="X536" t="str">
        <f t="shared" si="35"/>
        <v>Adult</v>
      </c>
    </row>
    <row r="537" spans="1:24">
      <c r="A537" t="s">
        <v>1443</v>
      </c>
      <c r="B537" t="s">
        <v>298</v>
      </c>
      <c r="C537" t="s">
        <v>133</v>
      </c>
      <c r="D537" s="5">
        <v>23718</v>
      </c>
      <c r="E537" s="5">
        <v>45374</v>
      </c>
      <c r="F537" s="5">
        <v>45386</v>
      </c>
      <c r="G537" t="s">
        <v>109</v>
      </c>
      <c r="H537" t="s">
        <v>24</v>
      </c>
      <c r="I537" t="s">
        <v>79</v>
      </c>
      <c r="J537" t="s">
        <v>26</v>
      </c>
      <c r="K537" t="s">
        <v>120</v>
      </c>
      <c r="L537" s="6">
        <v>247850.61</v>
      </c>
      <c r="M537">
        <v>184673.41</v>
      </c>
      <c r="N537" t="s">
        <v>73</v>
      </c>
      <c r="O537">
        <v>12</v>
      </c>
      <c r="P537">
        <v>120</v>
      </c>
      <c r="Q537">
        <v>4</v>
      </c>
      <c r="R537">
        <v>101</v>
      </c>
      <c r="S537">
        <v>134.80000000000001</v>
      </c>
      <c r="T537" t="s">
        <v>47</v>
      </c>
      <c r="U537" s="7">
        <f t="shared" si="32"/>
        <v>59</v>
      </c>
      <c r="V537" s="7">
        <f t="shared" si="33"/>
        <v>12</v>
      </c>
      <c r="W537" s="6">
        <f t="shared" si="34"/>
        <v>63177.199999999983</v>
      </c>
      <c r="X537" t="str">
        <f t="shared" si="35"/>
        <v>Middle Age</v>
      </c>
    </row>
    <row r="538" spans="1:24">
      <c r="A538" t="s">
        <v>1444</v>
      </c>
      <c r="B538" t="s">
        <v>1342</v>
      </c>
      <c r="C538" t="s">
        <v>40</v>
      </c>
      <c r="D538" s="5">
        <v>37372</v>
      </c>
      <c r="E538" s="5">
        <v>45770</v>
      </c>
      <c r="F538" s="5">
        <v>45781</v>
      </c>
      <c r="G538" t="s">
        <v>89</v>
      </c>
      <c r="H538" t="s">
        <v>118</v>
      </c>
      <c r="I538" t="s">
        <v>45</v>
      </c>
      <c r="J538" t="s">
        <v>64</v>
      </c>
      <c r="K538" t="s">
        <v>55</v>
      </c>
      <c r="L538" s="6">
        <v>71223.31</v>
      </c>
      <c r="M538">
        <v>61499.05</v>
      </c>
      <c r="N538" t="s">
        <v>73</v>
      </c>
      <c r="O538">
        <v>11</v>
      </c>
      <c r="P538">
        <v>96</v>
      </c>
      <c r="Q538">
        <v>4</v>
      </c>
      <c r="R538">
        <v>161</v>
      </c>
      <c r="S538">
        <v>202.2</v>
      </c>
      <c r="T538" t="s">
        <v>37</v>
      </c>
      <c r="U538" s="7">
        <f t="shared" si="32"/>
        <v>22</v>
      </c>
      <c r="V538" s="7">
        <f t="shared" si="33"/>
        <v>11</v>
      </c>
      <c r="W538" s="6">
        <f t="shared" si="34"/>
        <v>9724.2599999999948</v>
      </c>
      <c r="X538" t="str">
        <f t="shared" si="35"/>
        <v>Adult</v>
      </c>
    </row>
    <row r="539" spans="1:24">
      <c r="A539" t="s">
        <v>1445</v>
      </c>
      <c r="B539" t="s">
        <v>801</v>
      </c>
      <c r="C539" t="s">
        <v>40</v>
      </c>
      <c r="D539" s="5">
        <v>23655</v>
      </c>
      <c r="E539" s="5">
        <v>44991</v>
      </c>
      <c r="F539" s="5">
        <v>44995</v>
      </c>
      <c r="G539" t="s">
        <v>161</v>
      </c>
      <c r="H539" t="s">
        <v>86</v>
      </c>
      <c r="I539" t="s">
        <v>119</v>
      </c>
      <c r="J539" t="s">
        <v>71</v>
      </c>
      <c r="K539" t="s">
        <v>55</v>
      </c>
      <c r="L539" s="6">
        <v>209099.73</v>
      </c>
      <c r="M539">
        <v>148224.5</v>
      </c>
      <c r="N539" t="s">
        <v>73</v>
      </c>
      <c r="O539">
        <v>4</v>
      </c>
      <c r="P539">
        <v>21</v>
      </c>
      <c r="Q539">
        <v>3</v>
      </c>
      <c r="R539">
        <v>150</v>
      </c>
      <c r="S539">
        <v>141.80000000000001</v>
      </c>
      <c r="T539" t="s">
        <v>47</v>
      </c>
      <c r="U539" s="7">
        <f t="shared" si="32"/>
        <v>58</v>
      </c>
      <c r="V539" s="7">
        <f t="shared" si="33"/>
        <v>4</v>
      </c>
      <c r="W539" s="6">
        <f t="shared" si="34"/>
        <v>60875.23000000001</v>
      </c>
      <c r="X539" t="str">
        <f t="shared" si="35"/>
        <v>Middle Age</v>
      </c>
    </row>
    <row r="540" spans="1:24">
      <c r="A540" t="s">
        <v>1447</v>
      </c>
      <c r="B540" t="s">
        <v>661</v>
      </c>
      <c r="C540" t="s">
        <v>133</v>
      </c>
      <c r="D540" s="5">
        <v>34964</v>
      </c>
      <c r="E540" s="5">
        <v>46014</v>
      </c>
      <c r="F540" s="5">
        <v>46025</v>
      </c>
      <c r="G540" t="s">
        <v>62</v>
      </c>
      <c r="H540" t="s">
        <v>52</v>
      </c>
      <c r="I540" t="s">
        <v>45</v>
      </c>
      <c r="J540" t="s">
        <v>34</v>
      </c>
      <c r="K540" t="s">
        <v>27</v>
      </c>
      <c r="L540" s="6">
        <v>107659.36</v>
      </c>
      <c r="M540">
        <v>92146.33</v>
      </c>
      <c r="N540" t="s">
        <v>35</v>
      </c>
      <c r="O540">
        <v>11</v>
      </c>
      <c r="P540">
        <v>118</v>
      </c>
      <c r="Q540">
        <v>5</v>
      </c>
      <c r="R540">
        <v>130</v>
      </c>
      <c r="S540">
        <v>119.4</v>
      </c>
      <c r="T540" t="s">
        <v>47</v>
      </c>
      <c r="U540" s="7">
        <f t="shared" si="32"/>
        <v>30</v>
      </c>
      <c r="V540" s="7">
        <f t="shared" si="33"/>
        <v>11</v>
      </c>
      <c r="W540" s="6">
        <f t="shared" si="34"/>
        <v>15513.029999999999</v>
      </c>
      <c r="X540" t="str">
        <f t="shared" si="35"/>
        <v>Adult</v>
      </c>
    </row>
    <row r="541" spans="1:24">
      <c r="A541" t="s">
        <v>1448</v>
      </c>
      <c r="B541" t="s">
        <v>472</v>
      </c>
      <c r="C541" t="s">
        <v>40</v>
      </c>
      <c r="D541" s="5">
        <v>31272</v>
      </c>
      <c r="E541" s="5">
        <v>45203</v>
      </c>
      <c r="F541" s="5">
        <v>45087</v>
      </c>
      <c r="G541" t="s">
        <v>89</v>
      </c>
      <c r="H541" t="s">
        <v>86</v>
      </c>
      <c r="I541" t="s">
        <v>53</v>
      </c>
      <c r="J541" t="s">
        <v>80</v>
      </c>
      <c r="K541" t="s">
        <v>120</v>
      </c>
      <c r="L541" s="6">
        <v>227230.31</v>
      </c>
      <c r="M541">
        <v>195813.87</v>
      </c>
      <c r="N541" t="s">
        <v>73</v>
      </c>
      <c r="O541">
        <v>2</v>
      </c>
      <c r="P541">
        <v>144</v>
      </c>
      <c r="Q541">
        <v>2</v>
      </c>
      <c r="R541">
        <v>120</v>
      </c>
      <c r="S541">
        <v>172.4</v>
      </c>
      <c r="T541" t="s">
        <v>37</v>
      </c>
      <c r="U541" s="7">
        <f t="shared" si="32"/>
        <v>38</v>
      </c>
      <c r="V541" s="7">
        <f t="shared" si="33"/>
        <v>-116</v>
      </c>
      <c r="W541" s="6">
        <f t="shared" si="34"/>
        <v>31416.440000000002</v>
      </c>
      <c r="X541" t="str">
        <f t="shared" si="35"/>
        <v>Adult</v>
      </c>
    </row>
    <row r="542" spans="1:24">
      <c r="A542" t="s">
        <v>1450</v>
      </c>
      <c r="B542" t="s">
        <v>332</v>
      </c>
      <c r="C542" t="s">
        <v>133</v>
      </c>
      <c r="D542" s="5">
        <v>32723</v>
      </c>
      <c r="E542" s="5">
        <v>45791</v>
      </c>
      <c r="F542" s="5">
        <v>45809</v>
      </c>
      <c r="G542" t="s">
        <v>94</v>
      </c>
      <c r="H542" t="s">
        <v>63</v>
      </c>
      <c r="I542" t="s">
        <v>33</v>
      </c>
      <c r="J542" t="s">
        <v>97</v>
      </c>
      <c r="K542" t="s">
        <v>55</v>
      </c>
      <c r="L542" s="6">
        <v>171131.39</v>
      </c>
      <c r="M542">
        <v>121330.11</v>
      </c>
      <c r="N542" t="s">
        <v>35</v>
      </c>
      <c r="O542">
        <v>18</v>
      </c>
      <c r="P542">
        <v>200</v>
      </c>
      <c r="Q542">
        <v>1</v>
      </c>
      <c r="R542">
        <v>189</v>
      </c>
      <c r="S542">
        <v>75.2</v>
      </c>
      <c r="T542" t="s">
        <v>4237</v>
      </c>
      <c r="U542" s="7">
        <f t="shared" si="32"/>
        <v>35</v>
      </c>
      <c r="V542" s="7">
        <f t="shared" si="33"/>
        <v>18</v>
      </c>
      <c r="W542" s="6">
        <f t="shared" si="34"/>
        <v>49801.280000000013</v>
      </c>
      <c r="X542" t="str">
        <f t="shared" si="35"/>
        <v>Adult</v>
      </c>
    </row>
    <row r="543" spans="1:24">
      <c r="A543" t="s">
        <v>1451</v>
      </c>
      <c r="B543" t="s">
        <v>1452</v>
      </c>
      <c r="C543" t="s">
        <v>40</v>
      </c>
      <c r="D543" s="5">
        <v>19687</v>
      </c>
      <c r="E543" s="5">
        <v>44979</v>
      </c>
      <c r="F543" s="5">
        <v>44984</v>
      </c>
      <c r="G543" t="s">
        <v>105</v>
      </c>
      <c r="H543" t="s">
        <v>134</v>
      </c>
      <c r="I543" t="s">
        <v>33</v>
      </c>
      <c r="J543" t="s">
        <v>64</v>
      </c>
      <c r="K543" t="s">
        <v>161</v>
      </c>
      <c r="L543" s="6">
        <v>162287.74</v>
      </c>
      <c r="M543">
        <v>126299.01</v>
      </c>
      <c r="N543" t="s">
        <v>4237</v>
      </c>
      <c r="O543">
        <v>5</v>
      </c>
      <c r="P543">
        <v>26</v>
      </c>
      <c r="Q543">
        <v>4</v>
      </c>
      <c r="R543">
        <v>108</v>
      </c>
      <c r="S543">
        <v>184.1</v>
      </c>
      <c r="T543" t="s">
        <v>37</v>
      </c>
      <c r="U543" s="7">
        <f t="shared" si="32"/>
        <v>69</v>
      </c>
      <c r="V543" s="7">
        <f t="shared" si="33"/>
        <v>5</v>
      </c>
      <c r="W543" s="6">
        <f t="shared" si="34"/>
        <v>35988.729999999996</v>
      </c>
      <c r="X543" t="str">
        <f t="shared" si="35"/>
        <v>Senior</v>
      </c>
    </row>
    <row r="544" spans="1:24">
      <c r="A544" t="s">
        <v>1453</v>
      </c>
      <c r="B544" t="s">
        <v>394</v>
      </c>
      <c r="C544" t="s">
        <v>40</v>
      </c>
      <c r="D544" s="5">
        <v>18648</v>
      </c>
      <c r="E544" s="5">
        <v>45027</v>
      </c>
      <c r="F544" s="5">
        <v>45028</v>
      </c>
      <c r="G544" t="s">
        <v>94</v>
      </c>
      <c r="H544" t="s">
        <v>134</v>
      </c>
      <c r="I544" t="s">
        <v>119</v>
      </c>
      <c r="J544" t="s">
        <v>46</v>
      </c>
      <c r="K544" t="s">
        <v>55</v>
      </c>
      <c r="L544" s="6">
        <v>24450.42</v>
      </c>
      <c r="M544">
        <v>17764.5</v>
      </c>
      <c r="N544" t="s">
        <v>91</v>
      </c>
      <c r="O544">
        <v>1</v>
      </c>
      <c r="P544">
        <v>140</v>
      </c>
      <c r="Q544">
        <v>3</v>
      </c>
      <c r="R544">
        <v>141</v>
      </c>
      <c r="S544">
        <v>141.80000000000001</v>
      </c>
      <c r="T544" t="s">
        <v>37</v>
      </c>
      <c r="U544" s="7">
        <f t="shared" si="32"/>
        <v>72</v>
      </c>
      <c r="V544" s="7">
        <f t="shared" si="33"/>
        <v>1</v>
      </c>
      <c r="W544" s="6">
        <f t="shared" si="34"/>
        <v>6685.9199999999983</v>
      </c>
      <c r="X544" t="str">
        <f t="shared" si="35"/>
        <v>Senior</v>
      </c>
    </row>
    <row r="545" spans="1:24">
      <c r="A545" t="s">
        <v>1455</v>
      </c>
      <c r="B545" t="s">
        <v>390</v>
      </c>
      <c r="C545" t="s">
        <v>133</v>
      </c>
      <c r="D545" s="5">
        <v>33087</v>
      </c>
      <c r="E545" s="5">
        <v>45759</v>
      </c>
      <c r="F545" s="5">
        <v>45766</v>
      </c>
      <c r="G545" t="s">
        <v>117</v>
      </c>
      <c r="H545" t="s">
        <v>4236</v>
      </c>
      <c r="I545" t="s">
        <v>33</v>
      </c>
      <c r="J545" t="s">
        <v>64</v>
      </c>
      <c r="K545" t="s">
        <v>55</v>
      </c>
      <c r="L545" s="6">
        <v>90381.58</v>
      </c>
      <c r="M545">
        <v>84209.42</v>
      </c>
      <c r="N545" t="s">
        <v>56</v>
      </c>
      <c r="O545">
        <v>7</v>
      </c>
      <c r="P545">
        <v>204</v>
      </c>
      <c r="Q545">
        <v>4</v>
      </c>
      <c r="R545">
        <v>113</v>
      </c>
      <c r="S545">
        <v>93.9</v>
      </c>
      <c r="T545" t="s">
        <v>37</v>
      </c>
      <c r="U545" s="7">
        <f t="shared" si="32"/>
        <v>34</v>
      </c>
      <c r="V545" s="7">
        <f t="shared" si="33"/>
        <v>7</v>
      </c>
      <c r="W545" s="6">
        <f t="shared" si="34"/>
        <v>6172.1600000000035</v>
      </c>
      <c r="X545" t="str">
        <f t="shared" si="35"/>
        <v>Adult</v>
      </c>
    </row>
    <row r="546" spans="1:24">
      <c r="A546" t="s">
        <v>1457</v>
      </c>
      <c r="B546" t="s">
        <v>986</v>
      </c>
      <c r="C546" t="s">
        <v>40</v>
      </c>
      <c r="D546" s="5">
        <v>29693</v>
      </c>
      <c r="E546" s="5">
        <v>45324</v>
      </c>
      <c r="F546" s="5">
        <v>45337</v>
      </c>
      <c r="G546" t="s">
        <v>94</v>
      </c>
      <c r="H546" t="s">
        <v>95</v>
      </c>
      <c r="I546" t="s">
        <v>33</v>
      </c>
      <c r="J546" t="s">
        <v>34</v>
      </c>
      <c r="K546" t="s">
        <v>161</v>
      </c>
      <c r="L546" s="6">
        <v>68780.36</v>
      </c>
      <c r="M546">
        <v>62033</v>
      </c>
      <c r="N546" t="s">
        <v>192</v>
      </c>
      <c r="O546">
        <v>13</v>
      </c>
      <c r="P546">
        <v>41</v>
      </c>
      <c r="Q546">
        <v>4</v>
      </c>
      <c r="R546">
        <v>169</v>
      </c>
      <c r="S546">
        <v>198.8</v>
      </c>
      <c r="T546" t="s">
        <v>4237</v>
      </c>
      <c r="U546" s="7">
        <f t="shared" si="32"/>
        <v>42</v>
      </c>
      <c r="V546" s="7">
        <f t="shared" si="33"/>
        <v>13</v>
      </c>
      <c r="W546" s="6">
        <f t="shared" si="34"/>
        <v>6747.3600000000006</v>
      </c>
      <c r="X546" t="str">
        <f t="shared" si="35"/>
        <v>Middle Age</v>
      </c>
    </row>
    <row r="547" spans="1:24">
      <c r="A547" t="s">
        <v>1459</v>
      </c>
      <c r="B547" t="s">
        <v>1460</v>
      </c>
      <c r="C547" t="s">
        <v>133</v>
      </c>
      <c r="D547" s="5" t="s">
        <v>4237</v>
      </c>
      <c r="E547" s="5">
        <v>45010</v>
      </c>
      <c r="F547" s="5">
        <v>45023</v>
      </c>
      <c r="G547" t="s">
        <v>152</v>
      </c>
      <c r="H547" t="s">
        <v>134</v>
      </c>
      <c r="I547" t="s">
        <v>53</v>
      </c>
      <c r="J547" t="s">
        <v>46</v>
      </c>
      <c r="K547" t="s">
        <v>120</v>
      </c>
      <c r="L547" s="6">
        <v>236670.07999999999</v>
      </c>
      <c r="M547">
        <v>219463.55</v>
      </c>
      <c r="N547" t="s">
        <v>73</v>
      </c>
      <c r="O547">
        <v>13</v>
      </c>
      <c r="P547">
        <v>226</v>
      </c>
      <c r="Q547">
        <v>1</v>
      </c>
      <c r="R547">
        <v>113</v>
      </c>
      <c r="S547">
        <v>146.6</v>
      </c>
      <c r="T547" t="s">
        <v>47</v>
      </c>
      <c r="U547" s="7" t="s">
        <v>4237</v>
      </c>
      <c r="V547" s="7">
        <f t="shared" si="33"/>
        <v>13</v>
      </c>
      <c r="W547" s="6">
        <f t="shared" si="34"/>
        <v>17206.53</v>
      </c>
      <c r="X547" t="s">
        <v>4237</v>
      </c>
    </row>
    <row r="548" spans="1:24">
      <c r="A548" t="s">
        <v>1463</v>
      </c>
      <c r="B548" t="s">
        <v>1464</v>
      </c>
      <c r="C548" t="s">
        <v>133</v>
      </c>
      <c r="D548" s="5">
        <v>37516</v>
      </c>
      <c r="E548" s="5">
        <v>44973</v>
      </c>
      <c r="F548" s="5">
        <v>44981</v>
      </c>
      <c r="G548" t="s">
        <v>105</v>
      </c>
      <c r="H548" t="s">
        <v>86</v>
      </c>
      <c r="I548" t="s">
        <v>53</v>
      </c>
      <c r="J548" t="s">
        <v>71</v>
      </c>
      <c r="K548" t="s">
        <v>55</v>
      </c>
      <c r="L548" s="6">
        <v>84558.93</v>
      </c>
      <c r="M548">
        <v>71004.539999999994</v>
      </c>
      <c r="N548" t="s">
        <v>56</v>
      </c>
      <c r="O548">
        <v>8</v>
      </c>
      <c r="P548">
        <v>217</v>
      </c>
      <c r="Q548">
        <v>1</v>
      </c>
      <c r="R548">
        <v>176</v>
      </c>
      <c r="S548">
        <v>200.8</v>
      </c>
      <c r="T548" t="s">
        <v>37</v>
      </c>
      <c r="U548" s="7">
        <f t="shared" si="32"/>
        <v>20</v>
      </c>
      <c r="V548" s="7">
        <f t="shared" si="33"/>
        <v>8</v>
      </c>
      <c r="W548" s="6">
        <f t="shared" si="34"/>
        <v>13554.39</v>
      </c>
      <c r="X548" t="str">
        <f t="shared" si="35"/>
        <v>Adult</v>
      </c>
    </row>
    <row r="549" spans="1:24">
      <c r="A549" t="s">
        <v>1465</v>
      </c>
      <c r="B549" t="s">
        <v>613</v>
      </c>
      <c r="C549" t="s">
        <v>40</v>
      </c>
      <c r="D549" s="5">
        <v>36976</v>
      </c>
      <c r="E549" s="5">
        <v>45136</v>
      </c>
      <c r="F549" s="5">
        <v>45139</v>
      </c>
      <c r="G549" t="s">
        <v>117</v>
      </c>
      <c r="H549" t="s">
        <v>32</v>
      </c>
      <c r="I549" t="s">
        <v>33</v>
      </c>
      <c r="J549" t="s">
        <v>26</v>
      </c>
      <c r="K549" t="s">
        <v>110</v>
      </c>
      <c r="L549" s="6">
        <v>137233.53</v>
      </c>
      <c r="M549">
        <v>122605.72</v>
      </c>
      <c r="N549" t="s">
        <v>91</v>
      </c>
      <c r="O549">
        <v>3</v>
      </c>
      <c r="P549">
        <v>66</v>
      </c>
      <c r="Q549">
        <v>2</v>
      </c>
      <c r="R549">
        <v>170</v>
      </c>
      <c r="S549">
        <v>199</v>
      </c>
      <c r="T549" t="s">
        <v>37</v>
      </c>
      <c r="U549" s="7">
        <f t="shared" si="32"/>
        <v>22</v>
      </c>
      <c r="V549" s="7">
        <f t="shared" si="33"/>
        <v>3</v>
      </c>
      <c r="W549" s="6">
        <f t="shared" si="34"/>
        <v>14627.809999999998</v>
      </c>
      <c r="X549" t="str">
        <f t="shared" si="35"/>
        <v>Adult</v>
      </c>
    </row>
    <row r="550" spans="1:24">
      <c r="A550" t="s">
        <v>1467</v>
      </c>
      <c r="B550" t="s">
        <v>288</v>
      </c>
      <c r="C550" t="s">
        <v>40</v>
      </c>
      <c r="D550" s="5">
        <v>27075</v>
      </c>
      <c r="E550" s="5">
        <v>45952</v>
      </c>
      <c r="F550" s="5">
        <v>45966</v>
      </c>
      <c r="G550" t="s">
        <v>161</v>
      </c>
      <c r="H550" t="s">
        <v>95</v>
      </c>
      <c r="I550" t="s">
        <v>25</v>
      </c>
      <c r="J550" t="s">
        <v>64</v>
      </c>
      <c r="K550" t="s">
        <v>110</v>
      </c>
      <c r="L550" s="6">
        <v>228098.95</v>
      </c>
      <c r="M550">
        <v>215805.48</v>
      </c>
      <c r="N550" t="s">
        <v>73</v>
      </c>
      <c r="O550">
        <v>14</v>
      </c>
      <c r="P550">
        <v>212</v>
      </c>
      <c r="Q550">
        <v>1</v>
      </c>
      <c r="R550">
        <v>165</v>
      </c>
      <c r="S550">
        <v>90.3</v>
      </c>
      <c r="T550" t="s">
        <v>37</v>
      </c>
      <c r="U550" s="7">
        <f t="shared" si="32"/>
        <v>51</v>
      </c>
      <c r="V550" s="7">
        <f t="shared" si="33"/>
        <v>14</v>
      </c>
      <c r="W550" s="6">
        <f t="shared" si="34"/>
        <v>12293.470000000001</v>
      </c>
      <c r="X550" t="str">
        <f t="shared" si="35"/>
        <v>Middle Age</v>
      </c>
    </row>
    <row r="551" spans="1:24">
      <c r="A551" t="s">
        <v>1469</v>
      </c>
      <c r="B551" t="s">
        <v>1061</v>
      </c>
      <c r="C551" t="s">
        <v>133</v>
      </c>
      <c r="D551" s="5">
        <v>39467</v>
      </c>
      <c r="E551" s="5">
        <v>45364</v>
      </c>
      <c r="F551" s="5">
        <v>45377</v>
      </c>
      <c r="G551" t="s">
        <v>94</v>
      </c>
      <c r="H551" t="s">
        <v>63</v>
      </c>
      <c r="I551" t="s">
        <v>53</v>
      </c>
      <c r="J551" t="s">
        <v>179</v>
      </c>
      <c r="K551" t="s">
        <v>161</v>
      </c>
      <c r="L551" s="6">
        <v>21372.36</v>
      </c>
      <c r="M551">
        <v>13873.79</v>
      </c>
      <c r="N551" t="s">
        <v>73</v>
      </c>
      <c r="O551">
        <v>13</v>
      </c>
      <c r="P551">
        <v>36</v>
      </c>
      <c r="Q551">
        <v>4</v>
      </c>
      <c r="R551">
        <v>171</v>
      </c>
      <c r="S551">
        <v>216.7</v>
      </c>
      <c r="T551" t="s">
        <v>65</v>
      </c>
      <c r="U551" s="7">
        <f t="shared" si="32"/>
        <v>16</v>
      </c>
      <c r="V551" s="7">
        <f t="shared" si="33"/>
        <v>13</v>
      </c>
      <c r="W551" s="6">
        <f t="shared" si="34"/>
        <v>7498.57</v>
      </c>
      <c r="X551" t="str">
        <f t="shared" si="35"/>
        <v>Child</v>
      </c>
    </row>
    <row r="552" spans="1:24">
      <c r="A552" t="s">
        <v>1470</v>
      </c>
      <c r="B552" t="s">
        <v>1471</v>
      </c>
      <c r="C552" t="s">
        <v>40</v>
      </c>
      <c r="D552" s="5">
        <v>30013</v>
      </c>
      <c r="E552" s="5">
        <v>45418</v>
      </c>
      <c r="F552" s="5">
        <v>45433</v>
      </c>
      <c r="G552" t="s">
        <v>105</v>
      </c>
      <c r="H552" t="s">
        <v>134</v>
      </c>
      <c r="I552" t="s">
        <v>33</v>
      </c>
      <c r="J552" t="s">
        <v>26</v>
      </c>
      <c r="K552" t="s">
        <v>120</v>
      </c>
      <c r="L552" s="6">
        <v>65648.960000000006</v>
      </c>
      <c r="M552">
        <v>59650.29</v>
      </c>
      <c r="N552" t="s">
        <v>35</v>
      </c>
      <c r="O552">
        <v>15</v>
      </c>
      <c r="P552">
        <v>224</v>
      </c>
      <c r="Q552">
        <v>5</v>
      </c>
      <c r="R552">
        <v>106</v>
      </c>
      <c r="S552">
        <v>168.7</v>
      </c>
      <c r="T552" t="s">
        <v>37</v>
      </c>
      <c r="U552" s="7">
        <f t="shared" si="32"/>
        <v>42</v>
      </c>
      <c r="V552" s="7">
        <f t="shared" si="33"/>
        <v>15</v>
      </c>
      <c r="W552" s="6">
        <f t="shared" si="34"/>
        <v>5998.6700000000055</v>
      </c>
      <c r="X552" t="str">
        <f t="shared" si="35"/>
        <v>Middle Age</v>
      </c>
    </row>
    <row r="553" spans="1:24">
      <c r="A553" t="s">
        <v>1472</v>
      </c>
      <c r="B553" t="s">
        <v>1200</v>
      </c>
      <c r="C553" t="s">
        <v>133</v>
      </c>
      <c r="D553" s="5">
        <v>28127</v>
      </c>
      <c r="E553" s="5">
        <v>45322</v>
      </c>
      <c r="F553" s="5">
        <v>45324</v>
      </c>
      <c r="G553" t="s">
        <v>94</v>
      </c>
      <c r="H553" t="s">
        <v>63</v>
      </c>
      <c r="I553" t="s">
        <v>79</v>
      </c>
      <c r="J553" t="s">
        <v>34</v>
      </c>
      <c r="K553" t="s">
        <v>120</v>
      </c>
      <c r="L553" s="6">
        <v>221423.55</v>
      </c>
      <c r="M553">
        <v>209345.27</v>
      </c>
      <c r="N553" t="s">
        <v>73</v>
      </c>
      <c r="O553">
        <v>2</v>
      </c>
      <c r="P553">
        <v>200</v>
      </c>
      <c r="Q553">
        <v>1</v>
      </c>
      <c r="R553">
        <v>139</v>
      </c>
      <c r="S553">
        <v>99.3</v>
      </c>
      <c r="T553" t="s">
        <v>37</v>
      </c>
      <c r="U553" s="7">
        <f t="shared" si="32"/>
        <v>47</v>
      </c>
      <c r="V553" s="7">
        <f t="shared" si="33"/>
        <v>2</v>
      </c>
      <c r="W553" s="6">
        <f t="shared" si="34"/>
        <v>12078.279999999999</v>
      </c>
      <c r="X553" t="str">
        <f t="shared" si="35"/>
        <v>Middle Age</v>
      </c>
    </row>
    <row r="554" spans="1:24">
      <c r="A554" t="s">
        <v>1473</v>
      </c>
      <c r="B554" t="s">
        <v>513</v>
      </c>
      <c r="C554" t="s">
        <v>40</v>
      </c>
      <c r="D554" s="5">
        <v>29918</v>
      </c>
      <c r="E554" s="5">
        <v>45920</v>
      </c>
      <c r="F554" s="5">
        <v>45934</v>
      </c>
      <c r="G554" t="s">
        <v>152</v>
      </c>
      <c r="H554" t="s">
        <v>124</v>
      </c>
      <c r="I554" t="s">
        <v>45</v>
      </c>
      <c r="J554" t="s">
        <v>64</v>
      </c>
      <c r="K554" t="s">
        <v>55</v>
      </c>
      <c r="L554" s="6">
        <v>208269.41</v>
      </c>
      <c r="M554">
        <v>192628.17</v>
      </c>
      <c r="N554" t="s">
        <v>35</v>
      </c>
      <c r="O554">
        <v>14</v>
      </c>
      <c r="P554">
        <v>15</v>
      </c>
      <c r="Q554">
        <v>2</v>
      </c>
      <c r="R554">
        <v>120</v>
      </c>
      <c r="S554">
        <v>127.8</v>
      </c>
      <c r="T554" t="s">
        <v>37</v>
      </c>
      <c r="U554" s="7">
        <f t="shared" si="32"/>
        <v>43</v>
      </c>
      <c r="V554" s="7">
        <f t="shared" si="33"/>
        <v>14</v>
      </c>
      <c r="W554" s="6">
        <f t="shared" si="34"/>
        <v>15641.239999999991</v>
      </c>
      <c r="X554" t="str">
        <f t="shared" si="35"/>
        <v>Middle Age</v>
      </c>
    </row>
    <row r="555" spans="1:24">
      <c r="A555" t="s">
        <v>1474</v>
      </c>
      <c r="B555" t="s">
        <v>392</v>
      </c>
      <c r="C555" t="s">
        <v>40</v>
      </c>
      <c r="D555" s="5">
        <v>19412</v>
      </c>
      <c r="E555" s="5">
        <v>45685</v>
      </c>
      <c r="F555" s="5">
        <v>45700</v>
      </c>
      <c r="G555" t="s">
        <v>152</v>
      </c>
      <c r="H555" t="s">
        <v>118</v>
      </c>
      <c r="I555" t="s">
        <v>25</v>
      </c>
      <c r="J555" t="s">
        <v>64</v>
      </c>
      <c r="K555" t="s">
        <v>161</v>
      </c>
      <c r="L555" s="6">
        <v>93640.1</v>
      </c>
      <c r="M555">
        <v>73678.63</v>
      </c>
      <c r="N555" t="s">
        <v>4237</v>
      </c>
      <c r="O555">
        <v>15</v>
      </c>
      <c r="P555">
        <v>21</v>
      </c>
      <c r="Q555">
        <v>5</v>
      </c>
      <c r="R555">
        <v>126</v>
      </c>
      <c r="S555">
        <v>179.1</v>
      </c>
      <c r="T555" t="s">
        <v>37</v>
      </c>
      <c r="U555" s="7">
        <f t="shared" si="32"/>
        <v>71</v>
      </c>
      <c r="V555" s="7">
        <f t="shared" si="33"/>
        <v>15</v>
      </c>
      <c r="W555" s="6">
        <f t="shared" si="34"/>
        <v>19961.47</v>
      </c>
      <c r="X555" t="str">
        <f t="shared" si="35"/>
        <v>Senior</v>
      </c>
    </row>
    <row r="556" spans="1:24">
      <c r="A556" t="s">
        <v>1477</v>
      </c>
      <c r="B556" t="s">
        <v>139</v>
      </c>
      <c r="C556" t="s">
        <v>133</v>
      </c>
      <c r="D556" s="5">
        <v>33536</v>
      </c>
      <c r="E556" s="5" t="s">
        <v>4237</v>
      </c>
      <c r="F556" s="5">
        <v>45864</v>
      </c>
      <c r="G556" t="s">
        <v>109</v>
      </c>
      <c r="H556" t="s">
        <v>124</v>
      </c>
      <c r="I556" t="s">
        <v>119</v>
      </c>
      <c r="J556" t="s">
        <v>64</v>
      </c>
      <c r="K556" t="s">
        <v>27</v>
      </c>
      <c r="L556" s="6">
        <v>97564.46</v>
      </c>
      <c r="M556">
        <v>68003.820000000007</v>
      </c>
      <c r="N556" t="s">
        <v>56</v>
      </c>
      <c r="O556">
        <v>3</v>
      </c>
      <c r="P556">
        <v>89</v>
      </c>
      <c r="Q556">
        <v>2</v>
      </c>
      <c r="R556">
        <v>127</v>
      </c>
      <c r="S556">
        <v>74</v>
      </c>
      <c r="T556" t="s">
        <v>37</v>
      </c>
      <c r="U556" s="7" t="s">
        <v>4237</v>
      </c>
      <c r="V556" s="7" t="s">
        <v>4237</v>
      </c>
      <c r="W556" s="6">
        <f t="shared" si="34"/>
        <v>29560.639999999999</v>
      </c>
      <c r="X556" t="s">
        <v>4237</v>
      </c>
    </row>
    <row r="557" spans="1:24">
      <c r="A557" t="s">
        <v>1479</v>
      </c>
      <c r="B557" t="s">
        <v>1480</v>
      </c>
      <c r="C557" t="s">
        <v>133</v>
      </c>
      <c r="D557" s="5">
        <v>28056</v>
      </c>
      <c r="E557" s="5">
        <v>44974</v>
      </c>
      <c r="F557" s="5">
        <v>44992</v>
      </c>
      <c r="G557" t="s">
        <v>43</v>
      </c>
      <c r="H557" t="s">
        <v>113</v>
      </c>
      <c r="I557" t="s">
        <v>33</v>
      </c>
      <c r="J557" t="s">
        <v>34</v>
      </c>
      <c r="K557" t="s">
        <v>27</v>
      </c>
      <c r="L557" s="6">
        <v>191538.43</v>
      </c>
      <c r="M557">
        <v>170963.52</v>
      </c>
      <c r="N557" t="s">
        <v>91</v>
      </c>
      <c r="O557">
        <v>18</v>
      </c>
      <c r="P557">
        <v>49</v>
      </c>
      <c r="Q557">
        <v>4</v>
      </c>
      <c r="R557">
        <v>141</v>
      </c>
      <c r="S557">
        <v>176.7</v>
      </c>
      <c r="T557" t="s">
        <v>4237</v>
      </c>
      <c r="U557" s="7">
        <f t="shared" si="32"/>
        <v>46</v>
      </c>
      <c r="V557" s="7">
        <f t="shared" si="33"/>
        <v>18</v>
      </c>
      <c r="W557" s="6">
        <f t="shared" si="34"/>
        <v>20574.910000000003</v>
      </c>
      <c r="X557" t="str">
        <f t="shared" si="35"/>
        <v>Middle Age</v>
      </c>
    </row>
    <row r="558" spans="1:24">
      <c r="A558" t="s">
        <v>1482</v>
      </c>
      <c r="B558" t="s">
        <v>139</v>
      </c>
      <c r="C558" t="s">
        <v>133</v>
      </c>
      <c r="D558" s="5">
        <v>39247</v>
      </c>
      <c r="E558" s="5" t="s">
        <v>4237</v>
      </c>
      <c r="F558" s="5">
        <v>45173</v>
      </c>
      <c r="G558" t="s">
        <v>117</v>
      </c>
      <c r="H558" t="s">
        <v>118</v>
      </c>
      <c r="I558" t="s">
        <v>79</v>
      </c>
      <c r="J558" t="s">
        <v>46</v>
      </c>
      <c r="K558" t="s">
        <v>120</v>
      </c>
      <c r="L558" s="6">
        <v>9910.1200000000008</v>
      </c>
      <c r="M558">
        <v>8144.82</v>
      </c>
      <c r="N558" t="s">
        <v>56</v>
      </c>
      <c r="O558">
        <v>5</v>
      </c>
      <c r="P558">
        <v>121</v>
      </c>
      <c r="Q558">
        <v>5</v>
      </c>
      <c r="R558">
        <v>159</v>
      </c>
      <c r="S558">
        <v>198.5</v>
      </c>
      <c r="T558" t="s">
        <v>37</v>
      </c>
      <c r="U558" s="7" t="s">
        <v>4237</v>
      </c>
      <c r="V558" s="7" t="s">
        <v>4237</v>
      </c>
      <c r="W558" s="6">
        <f t="shared" si="34"/>
        <v>1765.3000000000011</v>
      </c>
      <c r="X558" t="s">
        <v>4237</v>
      </c>
    </row>
    <row r="559" spans="1:24">
      <c r="A559" t="s">
        <v>1486</v>
      </c>
      <c r="B559" t="s">
        <v>241</v>
      </c>
      <c r="C559" t="s">
        <v>40</v>
      </c>
      <c r="D559" s="5">
        <v>37145</v>
      </c>
      <c r="E559" s="5">
        <v>45616</v>
      </c>
      <c r="F559" s="5">
        <v>45620</v>
      </c>
      <c r="G559" t="s">
        <v>94</v>
      </c>
      <c r="H559" t="s">
        <v>78</v>
      </c>
      <c r="I559" t="s">
        <v>96</v>
      </c>
      <c r="J559" t="s">
        <v>64</v>
      </c>
      <c r="K559" t="s">
        <v>110</v>
      </c>
      <c r="L559" s="6">
        <v>136513.35</v>
      </c>
      <c r="M559">
        <v>119624.38</v>
      </c>
      <c r="N559" t="s">
        <v>35</v>
      </c>
      <c r="O559">
        <v>4</v>
      </c>
      <c r="P559">
        <v>202</v>
      </c>
      <c r="Q559">
        <v>5</v>
      </c>
      <c r="R559">
        <v>155</v>
      </c>
      <c r="S559">
        <v>121.7</v>
      </c>
      <c r="T559" t="s">
        <v>37</v>
      </c>
      <c r="U559" s="7">
        <f t="shared" si="32"/>
        <v>23</v>
      </c>
      <c r="V559" s="7">
        <f t="shared" si="33"/>
        <v>4</v>
      </c>
      <c r="W559" s="6">
        <f t="shared" si="34"/>
        <v>16888.97</v>
      </c>
      <c r="X559" t="str">
        <f t="shared" si="35"/>
        <v>Adult</v>
      </c>
    </row>
    <row r="560" spans="1:24">
      <c r="A560" t="s">
        <v>1488</v>
      </c>
      <c r="B560" t="s">
        <v>442</v>
      </c>
      <c r="C560" t="s">
        <v>40</v>
      </c>
      <c r="D560" s="5">
        <v>19777</v>
      </c>
      <c r="E560" s="5">
        <v>45322</v>
      </c>
      <c r="F560" s="5">
        <v>45333</v>
      </c>
      <c r="G560" t="s">
        <v>43</v>
      </c>
      <c r="H560" t="s">
        <v>153</v>
      </c>
      <c r="I560" t="s">
        <v>25</v>
      </c>
      <c r="J560" t="s">
        <v>179</v>
      </c>
      <c r="K560" t="s">
        <v>120</v>
      </c>
      <c r="L560" s="6">
        <v>236472.52</v>
      </c>
      <c r="M560">
        <v>192825.97</v>
      </c>
      <c r="N560" t="s">
        <v>73</v>
      </c>
      <c r="O560">
        <v>11</v>
      </c>
      <c r="P560">
        <v>161</v>
      </c>
      <c r="Q560">
        <v>5</v>
      </c>
      <c r="R560">
        <v>100</v>
      </c>
      <c r="S560">
        <v>125.7</v>
      </c>
      <c r="T560" t="s">
        <v>37</v>
      </c>
      <c r="U560" s="7">
        <f t="shared" si="32"/>
        <v>69</v>
      </c>
      <c r="V560" s="7">
        <f t="shared" si="33"/>
        <v>11</v>
      </c>
      <c r="W560" s="6">
        <f t="shared" si="34"/>
        <v>43646.549999999988</v>
      </c>
      <c r="X560" t="str">
        <f t="shared" si="35"/>
        <v>Senior</v>
      </c>
    </row>
    <row r="561" spans="1:24">
      <c r="A561" t="s">
        <v>1489</v>
      </c>
      <c r="B561" t="s">
        <v>403</v>
      </c>
      <c r="C561" t="s">
        <v>133</v>
      </c>
      <c r="D561" s="5">
        <v>24488</v>
      </c>
      <c r="E561" s="5">
        <v>45829</v>
      </c>
      <c r="F561" s="5">
        <v>45844</v>
      </c>
      <c r="G561" t="s">
        <v>43</v>
      </c>
      <c r="H561" t="s">
        <v>124</v>
      </c>
      <c r="I561" t="s">
        <v>25</v>
      </c>
      <c r="J561" t="s">
        <v>34</v>
      </c>
      <c r="K561" t="s">
        <v>55</v>
      </c>
      <c r="L561" s="6">
        <v>221645.29</v>
      </c>
      <c r="M561">
        <v>154668.72</v>
      </c>
      <c r="N561" t="s">
        <v>73</v>
      </c>
      <c r="O561">
        <v>15</v>
      </c>
      <c r="P561">
        <v>225</v>
      </c>
      <c r="Q561">
        <v>4</v>
      </c>
      <c r="R561">
        <v>175</v>
      </c>
      <c r="S561">
        <v>94.7</v>
      </c>
      <c r="T561" t="s">
        <v>47</v>
      </c>
      <c r="U561" s="7">
        <f t="shared" si="32"/>
        <v>58</v>
      </c>
      <c r="V561" s="7">
        <f t="shared" si="33"/>
        <v>15</v>
      </c>
      <c r="W561" s="6">
        <f t="shared" si="34"/>
        <v>66976.570000000007</v>
      </c>
      <c r="X561" t="str">
        <f t="shared" si="35"/>
        <v>Middle Age</v>
      </c>
    </row>
    <row r="562" spans="1:24">
      <c r="A562" t="s">
        <v>1491</v>
      </c>
      <c r="B562" t="s">
        <v>1061</v>
      </c>
      <c r="C562" t="s">
        <v>133</v>
      </c>
      <c r="D562" s="5">
        <v>18826</v>
      </c>
      <c r="E562" s="5">
        <v>46019</v>
      </c>
      <c r="F562" s="5" t="s">
        <v>4237</v>
      </c>
      <c r="G562" t="s">
        <v>94</v>
      </c>
      <c r="H562" t="s">
        <v>52</v>
      </c>
      <c r="I562" t="s">
        <v>45</v>
      </c>
      <c r="J562" t="s">
        <v>34</v>
      </c>
      <c r="K562" t="s">
        <v>55</v>
      </c>
      <c r="L562" s="6">
        <v>59947.99</v>
      </c>
      <c r="M562">
        <v>59124.18</v>
      </c>
      <c r="N562" t="s">
        <v>73</v>
      </c>
      <c r="O562">
        <v>9</v>
      </c>
      <c r="P562">
        <v>85</v>
      </c>
      <c r="Q562">
        <v>5</v>
      </c>
      <c r="R562">
        <v>181</v>
      </c>
      <c r="S562">
        <v>246.8</v>
      </c>
      <c r="T562" t="s">
        <v>47</v>
      </c>
      <c r="U562" s="7">
        <f t="shared" si="32"/>
        <v>74</v>
      </c>
      <c r="V562" s="7" t="s">
        <v>4237</v>
      </c>
      <c r="W562" s="6">
        <f t="shared" si="34"/>
        <v>823.80999999999767</v>
      </c>
      <c r="X562" t="str">
        <f t="shared" si="35"/>
        <v>Senior</v>
      </c>
    </row>
    <row r="563" spans="1:24">
      <c r="A563" t="s">
        <v>1493</v>
      </c>
      <c r="B563" t="s">
        <v>833</v>
      </c>
      <c r="C563" t="s">
        <v>40</v>
      </c>
      <c r="D563" s="5">
        <v>23566</v>
      </c>
      <c r="E563" s="5">
        <v>45978</v>
      </c>
      <c r="F563" s="5" t="s">
        <v>4237</v>
      </c>
      <c r="G563" t="s">
        <v>77</v>
      </c>
      <c r="H563" t="s">
        <v>95</v>
      </c>
      <c r="I563" t="s">
        <v>119</v>
      </c>
      <c r="J563" t="s">
        <v>34</v>
      </c>
      <c r="K563" t="s">
        <v>110</v>
      </c>
      <c r="L563" s="6">
        <v>32512.89</v>
      </c>
      <c r="M563">
        <v>27123.77</v>
      </c>
      <c r="N563" t="s">
        <v>35</v>
      </c>
      <c r="O563">
        <v>11</v>
      </c>
      <c r="P563">
        <v>233</v>
      </c>
      <c r="Q563">
        <v>4</v>
      </c>
      <c r="R563">
        <v>127</v>
      </c>
      <c r="S563">
        <v>128.30000000000001</v>
      </c>
      <c r="T563" t="s">
        <v>37</v>
      </c>
      <c r="U563" s="7">
        <f t="shared" si="32"/>
        <v>61</v>
      </c>
      <c r="V563" s="7" t="s">
        <v>4237</v>
      </c>
      <c r="W563" s="6">
        <f t="shared" si="34"/>
        <v>5389.119999999999</v>
      </c>
      <c r="X563" t="str">
        <f t="shared" si="35"/>
        <v>Senior</v>
      </c>
    </row>
    <row r="564" spans="1:24">
      <c r="A564" t="s">
        <v>1496</v>
      </c>
      <c r="B564" t="s">
        <v>652</v>
      </c>
      <c r="C564" t="s">
        <v>40</v>
      </c>
      <c r="D564" s="5">
        <v>34116</v>
      </c>
      <c r="E564" s="5">
        <v>45135</v>
      </c>
      <c r="F564" s="5">
        <v>45148</v>
      </c>
      <c r="G564" t="s">
        <v>161</v>
      </c>
      <c r="H564" t="s">
        <v>124</v>
      </c>
      <c r="I564" t="s">
        <v>33</v>
      </c>
      <c r="J564" t="s">
        <v>34</v>
      </c>
      <c r="K564" t="s">
        <v>120</v>
      </c>
      <c r="L564" s="6">
        <v>167650.9</v>
      </c>
      <c r="M564">
        <v>163384.38</v>
      </c>
      <c r="N564" t="s">
        <v>192</v>
      </c>
      <c r="O564">
        <v>13</v>
      </c>
      <c r="P564">
        <v>24</v>
      </c>
      <c r="Q564">
        <v>1</v>
      </c>
      <c r="R564">
        <v>110</v>
      </c>
      <c r="S564">
        <v>191.4</v>
      </c>
      <c r="T564" t="s">
        <v>37</v>
      </c>
      <c r="U564" s="7">
        <f t="shared" si="32"/>
        <v>30</v>
      </c>
      <c r="V564" s="7">
        <f t="shared" si="33"/>
        <v>13</v>
      </c>
      <c r="W564" s="6">
        <f t="shared" si="34"/>
        <v>4266.5199999999895</v>
      </c>
      <c r="X564" t="str">
        <f t="shared" si="35"/>
        <v>Adult</v>
      </c>
    </row>
    <row r="565" spans="1:24">
      <c r="A565" t="s">
        <v>1498</v>
      </c>
      <c r="B565" t="s">
        <v>845</v>
      </c>
      <c r="C565" t="s">
        <v>133</v>
      </c>
      <c r="D565" s="5">
        <v>38470</v>
      </c>
      <c r="E565" s="5">
        <v>45424</v>
      </c>
      <c r="F565" s="5">
        <v>45428</v>
      </c>
      <c r="G565" t="s">
        <v>62</v>
      </c>
      <c r="H565" t="s">
        <v>95</v>
      </c>
      <c r="I565" t="s">
        <v>119</v>
      </c>
      <c r="J565" t="s">
        <v>34</v>
      </c>
      <c r="K565" t="s">
        <v>55</v>
      </c>
      <c r="L565" s="6">
        <v>9716.35</v>
      </c>
      <c r="M565">
        <v>8470.01</v>
      </c>
      <c r="N565" t="s">
        <v>192</v>
      </c>
      <c r="O565">
        <v>4</v>
      </c>
      <c r="P565">
        <v>120</v>
      </c>
      <c r="Q565">
        <v>1</v>
      </c>
      <c r="R565">
        <v>153</v>
      </c>
      <c r="S565">
        <v>219.3</v>
      </c>
      <c r="T565" t="s">
        <v>37</v>
      </c>
      <c r="U565" s="7">
        <f t="shared" si="32"/>
        <v>19</v>
      </c>
      <c r="V565" s="7">
        <f t="shared" si="33"/>
        <v>4</v>
      </c>
      <c r="W565" s="6">
        <f t="shared" si="34"/>
        <v>1246.3400000000001</v>
      </c>
      <c r="X565" t="str">
        <f t="shared" si="35"/>
        <v>Adult</v>
      </c>
    </row>
    <row r="566" spans="1:24">
      <c r="A566" t="s">
        <v>1501</v>
      </c>
      <c r="B566" t="s">
        <v>762</v>
      </c>
      <c r="C566" t="s">
        <v>133</v>
      </c>
      <c r="D566" s="5">
        <v>26677</v>
      </c>
      <c r="E566" s="5">
        <v>45221</v>
      </c>
      <c r="F566" s="5">
        <v>45224</v>
      </c>
      <c r="G566" t="s">
        <v>62</v>
      </c>
      <c r="H566" t="s">
        <v>124</v>
      </c>
      <c r="I566" t="s">
        <v>45</v>
      </c>
      <c r="J566" t="s">
        <v>46</v>
      </c>
      <c r="K566" t="s">
        <v>120</v>
      </c>
      <c r="L566" s="6">
        <v>83652.92</v>
      </c>
      <c r="M566">
        <v>60720.04</v>
      </c>
      <c r="N566" t="s">
        <v>35</v>
      </c>
      <c r="O566">
        <v>3</v>
      </c>
      <c r="P566">
        <v>105</v>
      </c>
      <c r="Q566">
        <v>5</v>
      </c>
      <c r="R566">
        <v>91</v>
      </c>
      <c r="S566">
        <v>217.7</v>
      </c>
      <c r="T566" t="s">
        <v>37</v>
      </c>
      <c r="U566" s="7">
        <f t="shared" si="32"/>
        <v>50</v>
      </c>
      <c r="V566" s="7">
        <f t="shared" si="33"/>
        <v>3</v>
      </c>
      <c r="W566" s="6">
        <f t="shared" si="34"/>
        <v>22932.879999999997</v>
      </c>
      <c r="X566" t="str">
        <f t="shared" si="35"/>
        <v>Middle Age</v>
      </c>
    </row>
    <row r="567" spans="1:24">
      <c r="A567" t="s">
        <v>1503</v>
      </c>
      <c r="B567" t="s">
        <v>1153</v>
      </c>
      <c r="C567" t="s">
        <v>40</v>
      </c>
      <c r="D567" s="5">
        <v>19256</v>
      </c>
      <c r="E567" s="5">
        <v>46021</v>
      </c>
      <c r="F567" s="5">
        <v>46030</v>
      </c>
      <c r="G567" t="s">
        <v>117</v>
      </c>
      <c r="H567" t="s">
        <v>118</v>
      </c>
      <c r="I567" t="s">
        <v>96</v>
      </c>
      <c r="J567" t="s">
        <v>64</v>
      </c>
      <c r="K567" t="s">
        <v>55</v>
      </c>
      <c r="L567" s="6">
        <v>217349.22</v>
      </c>
      <c r="M567">
        <v>160417.25</v>
      </c>
      <c r="N567" t="s">
        <v>91</v>
      </c>
      <c r="O567">
        <v>9</v>
      </c>
      <c r="P567">
        <v>240</v>
      </c>
      <c r="Q567">
        <v>1</v>
      </c>
      <c r="R567">
        <v>132</v>
      </c>
      <c r="S567">
        <v>221.7</v>
      </c>
      <c r="T567" t="s">
        <v>37</v>
      </c>
      <c r="U567" s="7">
        <f t="shared" si="32"/>
        <v>73</v>
      </c>
      <c r="V567" s="7">
        <f t="shared" si="33"/>
        <v>9</v>
      </c>
      <c r="W567" s="6">
        <f t="shared" si="34"/>
        <v>56931.97</v>
      </c>
      <c r="X567" t="str">
        <f t="shared" si="35"/>
        <v>Senior</v>
      </c>
    </row>
    <row r="568" spans="1:24">
      <c r="A568" t="s">
        <v>1504</v>
      </c>
      <c r="B568" t="s">
        <v>1505</v>
      </c>
      <c r="C568" t="s">
        <v>40</v>
      </c>
      <c r="D568" s="5">
        <v>33279</v>
      </c>
      <c r="E568" s="5">
        <v>45637</v>
      </c>
      <c r="F568" s="5">
        <v>45652</v>
      </c>
      <c r="G568" t="s">
        <v>89</v>
      </c>
      <c r="H568" t="s">
        <v>32</v>
      </c>
      <c r="I568" t="s">
        <v>25</v>
      </c>
      <c r="J568" t="s">
        <v>34</v>
      </c>
      <c r="K568" t="s">
        <v>55</v>
      </c>
      <c r="L568" s="6">
        <v>25187.26</v>
      </c>
      <c r="M568">
        <v>19408.91</v>
      </c>
      <c r="N568" t="s">
        <v>192</v>
      </c>
      <c r="O568">
        <v>15</v>
      </c>
      <c r="P568">
        <v>144</v>
      </c>
      <c r="Q568">
        <v>4</v>
      </c>
      <c r="R568">
        <v>147</v>
      </c>
      <c r="S568">
        <v>144.19999999999999</v>
      </c>
      <c r="T568" t="s">
        <v>47</v>
      </c>
      <c r="U568" s="7">
        <f t="shared" si="32"/>
        <v>33</v>
      </c>
      <c r="V568" s="7">
        <f t="shared" si="33"/>
        <v>15</v>
      </c>
      <c r="W568" s="6">
        <f t="shared" si="34"/>
        <v>5778.3499999999985</v>
      </c>
      <c r="X568" t="str">
        <f t="shared" si="35"/>
        <v>Adult</v>
      </c>
    </row>
    <row r="569" spans="1:24">
      <c r="A569" t="s">
        <v>1506</v>
      </c>
      <c r="B569" t="s">
        <v>1393</v>
      </c>
      <c r="C569" t="s">
        <v>133</v>
      </c>
      <c r="D569" s="5">
        <v>21842</v>
      </c>
      <c r="E569" s="5">
        <v>45820</v>
      </c>
      <c r="F569" s="5">
        <v>45837</v>
      </c>
      <c r="G569" t="s">
        <v>94</v>
      </c>
      <c r="H569" t="s">
        <v>124</v>
      </c>
      <c r="I569" t="s">
        <v>53</v>
      </c>
      <c r="J569" t="s">
        <v>46</v>
      </c>
      <c r="K569" t="s">
        <v>55</v>
      </c>
      <c r="L569" s="6">
        <v>130238.92</v>
      </c>
      <c r="M569">
        <v>110465.02</v>
      </c>
      <c r="N569" t="s">
        <v>35</v>
      </c>
      <c r="O569">
        <v>17</v>
      </c>
      <c r="P569">
        <v>196</v>
      </c>
      <c r="Q569">
        <v>1</v>
      </c>
      <c r="R569">
        <v>172</v>
      </c>
      <c r="S569">
        <v>171.1</v>
      </c>
      <c r="T569" t="s">
        <v>4237</v>
      </c>
      <c r="U569" s="7">
        <f t="shared" si="32"/>
        <v>65</v>
      </c>
      <c r="V569" s="7">
        <f t="shared" si="33"/>
        <v>17</v>
      </c>
      <c r="W569" s="6">
        <f t="shared" si="34"/>
        <v>19773.899999999994</v>
      </c>
      <c r="X569" t="str">
        <f t="shared" si="35"/>
        <v>Senior</v>
      </c>
    </row>
    <row r="570" spans="1:24">
      <c r="A570" t="s">
        <v>1507</v>
      </c>
      <c r="B570" t="s">
        <v>857</v>
      </c>
      <c r="C570" t="s">
        <v>40</v>
      </c>
      <c r="D570" s="5">
        <v>26252</v>
      </c>
      <c r="E570" s="5">
        <v>45005</v>
      </c>
      <c r="F570" s="5">
        <v>45006</v>
      </c>
      <c r="G570" t="s">
        <v>62</v>
      </c>
      <c r="H570" t="s">
        <v>44</v>
      </c>
      <c r="I570" t="s">
        <v>53</v>
      </c>
      <c r="J570" t="s">
        <v>46</v>
      </c>
      <c r="K570" t="s">
        <v>120</v>
      </c>
      <c r="L570" s="6">
        <v>213489.2</v>
      </c>
      <c r="M570">
        <v>165531.35</v>
      </c>
      <c r="N570" t="s">
        <v>192</v>
      </c>
      <c r="O570">
        <v>1</v>
      </c>
      <c r="P570">
        <v>139</v>
      </c>
      <c r="Q570">
        <v>4</v>
      </c>
      <c r="R570">
        <v>148</v>
      </c>
      <c r="S570">
        <v>182.8</v>
      </c>
      <c r="T570" t="s">
        <v>47</v>
      </c>
      <c r="U570" s="7">
        <f t="shared" si="32"/>
        <v>51</v>
      </c>
      <c r="V570" s="7">
        <f t="shared" si="33"/>
        <v>1</v>
      </c>
      <c r="W570" s="6">
        <f t="shared" si="34"/>
        <v>47957.850000000006</v>
      </c>
      <c r="X570" t="str">
        <f t="shared" si="35"/>
        <v>Middle Age</v>
      </c>
    </row>
    <row r="571" spans="1:24">
      <c r="A571" t="s">
        <v>1508</v>
      </c>
      <c r="B571" t="s">
        <v>1509</v>
      </c>
      <c r="C571" t="s">
        <v>40</v>
      </c>
      <c r="D571" s="5">
        <v>30959</v>
      </c>
      <c r="E571" s="5">
        <v>45623</v>
      </c>
      <c r="F571" s="5">
        <v>45636</v>
      </c>
      <c r="G571" t="s">
        <v>161</v>
      </c>
      <c r="H571" t="s">
        <v>113</v>
      </c>
      <c r="I571" t="s">
        <v>119</v>
      </c>
      <c r="J571" t="s">
        <v>97</v>
      </c>
      <c r="K571" t="s">
        <v>55</v>
      </c>
      <c r="L571" s="6">
        <v>134427.46</v>
      </c>
      <c r="M571">
        <v>123233.18</v>
      </c>
      <c r="N571" t="s">
        <v>192</v>
      </c>
      <c r="O571">
        <v>13</v>
      </c>
      <c r="P571">
        <v>128</v>
      </c>
      <c r="Q571">
        <v>3</v>
      </c>
      <c r="R571">
        <v>133</v>
      </c>
      <c r="S571">
        <v>143.9</v>
      </c>
      <c r="T571" t="s">
        <v>37</v>
      </c>
      <c r="U571" s="7">
        <f t="shared" si="32"/>
        <v>40</v>
      </c>
      <c r="V571" s="7">
        <f t="shared" si="33"/>
        <v>13</v>
      </c>
      <c r="W571" s="6">
        <f t="shared" si="34"/>
        <v>11194.279999999999</v>
      </c>
      <c r="X571" t="str">
        <f t="shared" si="35"/>
        <v>Middle Age</v>
      </c>
    </row>
    <row r="572" spans="1:24">
      <c r="A572" t="s">
        <v>1511</v>
      </c>
      <c r="B572" t="s">
        <v>324</v>
      </c>
      <c r="C572" t="s">
        <v>133</v>
      </c>
      <c r="D572" s="5">
        <v>26816</v>
      </c>
      <c r="E572" s="5" t="s">
        <v>4237</v>
      </c>
      <c r="F572" s="5">
        <v>45946</v>
      </c>
      <c r="G572" t="s">
        <v>43</v>
      </c>
      <c r="H572" t="s">
        <v>153</v>
      </c>
      <c r="I572" t="s">
        <v>119</v>
      </c>
      <c r="J572" t="s">
        <v>179</v>
      </c>
      <c r="K572" t="s">
        <v>120</v>
      </c>
      <c r="L572" s="6">
        <v>153446.25</v>
      </c>
      <c r="M572">
        <v>135846.87</v>
      </c>
      <c r="N572" t="s">
        <v>73</v>
      </c>
      <c r="O572">
        <v>17</v>
      </c>
      <c r="P572">
        <v>78</v>
      </c>
      <c r="Q572">
        <v>5</v>
      </c>
      <c r="R572">
        <v>118</v>
      </c>
      <c r="S572">
        <v>71.400000000000006</v>
      </c>
      <c r="T572" t="s">
        <v>65</v>
      </c>
      <c r="U572" s="7" t="s">
        <v>4237</v>
      </c>
      <c r="V572" s="7" t="s">
        <v>4237</v>
      </c>
      <c r="W572" s="6">
        <f t="shared" si="34"/>
        <v>17599.380000000005</v>
      </c>
      <c r="X572" t="s">
        <v>4237</v>
      </c>
    </row>
    <row r="573" spans="1:24">
      <c r="A573" t="s">
        <v>1514</v>
      </c>
      <c r="B573" t="s">
        <v>1167</v>
      </c>
      <c r="C573" t="s">
        <v>40</v>
      </c>
      <c r="D573" s="5">
        <v>23202</v>
      </c>
      <c r="E573" s="5">
        <v>45107</v>
      </c>
      <c r="F573" s="5">
        <v>45237</v>
      </c>
      <c r="G573" t="s">
        <v>161</v>
      </c>
      <c r="H573" t="s">
        <v>113</v>
      </c>
      <c r="I573" t="s">
        <v>119</v>
      </c>
      <c r="J573" t="s">
        <v>80</v>
      </c>
      <c r="K573" t="s">
        <v>27</v>
      </c>
      <c r="L573" s="6">
        <v>29037.5</v>
      </c>
      <c r="M573">
        <v>18562.080000000002</v>
      </c>
      <c r="N573" t="s">
        <v>73</v>
      </c>
      <c r="O573">
        <v>11</v>
      </c>
      <c r="P573">
        <v>163</v>
      </c>
      <c r="Q573">
        <v>4</v>
      </c>
      <c r="R573">
        <v>143</v>
      </c>
      <c r="S573">
        <v>160.4</v>
      </c>
      <c r="T573" t="s">
        <v>37</v>
      </c>
      <c r="U573" s="7">
        <f t="shared" si="32"/>
        <v>59</v>
      </c>
      <c r="V573" s="7">
        <f t="shared" si="33"/>
        <v>130</v>
      </c>
      <c r="W573" s="6">
        <f t="shared" si="34"/>
        <v>10475.419999999998</v>
      </c>
      <c r="X573" t="str">
        <f t="shared" si="35"/>
        <v>Middle Age</v>
      </c>
    </row>
    <row r="574" spans="1:24">
      <c r="A574" t="s">
        <v>1517</v>
      </c>
      <c r="B574" t="s">
        <v>1460</v>
      </c>
      <c r="C574" t="s">
        <v>40</v>
      </c>
      <c r="D574" s="5">
        <v>19151</v>
      </c>
      <c r="E574" s="5">
        <v>45862</v>
      </c>
      <c r="F574" s="5">
        <v>45875</v>
      </c>
      <c r="G574" t="s">
        <v>161</v>
      </c>
      <c r="H574" t="s">
        <v>153</v>
      </c>
      <c r="I574" t="s">
        <v>33</v>
      </c>
      <c r="J574" t="s">
        <v>64</v>
      </c>
      <c r="K574" t="s">
        <v>120</v>
      </c>
      <c r="L574" s="6">
        <v>17385.23</v>
      </c>
      <c r="M574">
        <v>14045.57</v>
      </c>
      <c r="N574" t="s">
        <v>91</v>
      </c>
      <c r="O574">
        <v>13</v>
      </c>
      <c r="P574">
        <v>198</v>
      </c>
      <c r="Q574">
        <v>4</v>
      </c>
      <c r="R574">
        <v>90</v>
      </c>
      <c r="S574">
        <v>121.6</v>
      </c>
      <c r="T574" t="s">
        <v>47</v>
      </c>
      <c r="U574" s="7">
        <f t="shared" si="32"/>
        <v>73</v>
      </c>
      <c r="V574" s="7">
        <f t="shared" si="33"/>
        <v>13</v>
      </c>
      <c r="W574" s="6">
        <f t="shared" si="34"/>
        <v>3339.66</v>
      </c>
      <c r="X574" t="str">
        <f t="shared" si="35"/>
        <v>Senior</v>
      </c>
    </row>
    <row r="575" spans="1:24">
      <c r="A575" t="s">
        <v>4133</v>
      </c>
      <c r="B575" t="s">
        <v>1480</v>
      </c>
      <c r="C575" t="s">
        <v>133</v>
      </c>
      <c r="D575" s="5">
        <v>36756</v>
      </c>
      <c r="E575" s="5">
        <v>45832</v>
      </c>
      <c r="F575" s="5">
        <v>45841</v>
      </c>
      <c r="G575" t="s">
        <v>62</v>
      </c>
      <c r="H575" t="s">
        <v>124</v>
      </c>
      <c r="I575" t="s">
        <v>33</v>
      </c>
      <c r="J575" t="s">
        <v>46</v>
      </c>
      <c r="K575" t="s">
        <v>120</v>
      </c>
      <c r="L575" s="6">
        <v>128776.57</v>
      </c>
      <c r="M575">
        <v>105952.03</v>
      </c>
      <c r="N575" t="s">
        <v>192</v>
      </c>
      <c r="O575">
        <v>9</v>
      </c>
      <c r="P575">
        <v>76</v>
      </c>
      <c r="Q575">
        <v>4</v>
      </c>
      <c r="R575">
        <v>170</v>
      </c>
      <c r="S575">
        <v>134.5</v>
      </c>
      <c r="T575" t="s">
        <v>37</v>
      </c>
      <c r="U575" s="7">
        <f t="shared" si="32"/>
        <v>24</v>
      </c>
      <c r="V575" s="7">
        <f t="shared" si="33"/>
        <v>9</v>
      </c>
      <c r="W575" s="6">
        <f t="shared" si="34"/>
        <v>22824.540000000008</v>
      </c>
      <c r="X575" t="str">
        <f t="shared" si="35"/>
        <v>Adult</v>
      </c>
    </row>
    <row r="576" spans="1:24">
      <c r="A576" t="s">
        <v>1521</v>
      </c>
      <c r="B576" t="s">
        <v>1101</v>
      </c>
      <c r="C576" t="s">
        <v>133</v>
      </c>
      <c r="D576" s="5">
        <v>21187</v>
      </c>
      <c r="E576" s="5">
        <v>45014</v>
      </c>
      <c r="F576" s="5">
        <v>45019</v>
      </c>
      <c r="G576" t="s">
        <v>105</v>
      </c>
      <c r="H576" t="s">
        <v>113</v>
      </c>
      <c r="I576" t="s">
        <v>33</v>
      </c>
      <c r="J576" t="s">
        <v>64</v>
      </c>
      <c r="K576" t="s">
        <v>120</v>
      </c>
      <c r="L576" s="6">
        <v>162716.66</v>
      </c>
      <c r="M576">
        <v>117452.86</v>
      </c>
      <c r="N576" t="s">
        <v>73</v>
      </c>
      <c r="O576">
        <v>5</v>
      </c>
      <c r="P576">
        <v>65</v>
      </c>
      <c r="Q576">
        <v>3</v>
      </c>
      <c r="R576">
        <v>172</v>
      </c>
      <c r="S576">
        <v>236.7</v>
      </c>
      <c r="T576" t="s">
        <v>37</v>
      </c>
      <c r="U576" s="7">
        <f t="shared" si="32"/>
        <v>65</v>
      </c>
      <c r="V576" s="7">
        <f t="shared" si="33"/>
        <v>5</v>
      </c>
      <c r="W576" s="6">
        <f t="shared" si="34"/>
        <v>45263.8</v>
      </c>
      <c r="X576" t="str">
        <f t="shared" si="35"/>
        <v>Senior</v>
      </c>
    </row>
    <row r="577" spans="1:24">
      <c r="A577" t="s">
        <v>1522</v>
      </c>
      <c r="B577" t="s">
        <v>1302</v>
      </c>
      <c r="C577" t="s">
        <v>133</v>
      </c>
      <c r="D577" s="5">
        <v>30602</v>
      </c>
      <c r="E577" s="5">
        <v>45717</v>
      </c>
      <c r="F577" s="5">
        <v>45733</v>
      </c>
      <c r="G577" t="s">
        <v>94</v>
      </c>
      <c r="H577" t="s">
        <v>153</v>
      </c>
      <c r="I577" t="s">
        <v>45</v>
      </c>
      <c r="J577" t="s">
        <v>34</v>
      </c>
      <c r="K577" t="s">
        <v>110</v>
      </c>
      <c r="L577" s="6">
        <v>113628.58</v>
      </c>
      <c r="M577">
        <v>90465.51</v>
      </c>
      <c r="N577" t="s">
        <v>35</v>
      </c>
      <c r="O577">
        <v>16</v>
      </c>
      <c r="P577">
        <v>189</v>
      </c>
      <c r="Q577">
        <v>5</v>
      </c>
      <c r="R577">
        <v>172</v>
      </c>
      <c r="S577">
        <v>148.5</v>
      </c>
      <c r="T577" t="s">
        <v>4237</v>
      </c>
      <c r="U577" s="7">
        <f t="shared" si="32"/>
        <v>41</v>
      </c>
      <c r="V577" s="7">
        <f t="shared" si="33"/>
        <v>16</v>
      </c>
      <c r="W577" s="6">
        <f t="shared" si="34"/>
        <v>23163.070000000007</v>
      </c>
      <c r="X577" t="str">
        <f t="shared" si="35"/>
        <v>Middle Age</v>
      </c>
    </row>
    <row r="578" spans="1:24">
      <c r="A578" t="s">
        <v>1524</v>
      </c>
      <c r="B578" t="s">
        <v>531</v>
      </c>
      <c r="C578" t="s">
        <v>133</v>
      </c>
      <c r="D578" s="5">
        <v>36946</v>
      </c>
      <c r="E578" s="5">
        <v>45200</v>
      </c>
      <c r="F578" s="5">
        <v>45207</v>
      </c>
      <c r="G578" t="s">
        <v>62</v>
      </c>
      <c r="H578" t="s">
        <v>153</v>
      </c>
      <c r="I578" t="s">
        <v>53</v>
      </c>
      <c r="J578" t="s">
        <v>179</v>
      </c>
      <c r="K578" t="s">
        <v>55</v>
      </c>
      <c r="L578" s="6">
        <v>157660.71</v>
      </c>
      <c r="M578">
        <v>103268.25</v>
      </c>
      <c r="N578" t="s">
        <v>56</v>
      </c>
      <c r="O578">
        <v>7</v>
      </c>
      <c r="P578">
        <v>101</v>
      </c>
      <c r="Q578">
        <v>1</v>
      </c>
      <c r="R578">
        <v>101</v>
      </c>
      <c r="S578">
        <v>168.7</v>
      </c>
      <c r="T578" t="s">
        <v>37</v>
      </c>
      <c r="U578" s="7">
        <f t="shared" ref="U578:U641" si="36">DATEDIF(D578,E578,"Y")</f>
        <v>22</v>
      </c>
      <c r="V578" s="7">
        <f t="shared" ref="V578:V641" si="37">IF(OR(E578=" ",F578=" ",E578="Unknown",F578="Unknown")," ",F578-E578)</f>
        <v>7</v>
      </c>
      <c r="W578" s="6">
        <f t="shared" ref="W578:W641" si="38">L578-M578</f>
        <v>54392.459999999992</v>
      </c>
      <c r="X578" t="str">
        <f t="shared" ref="X578:X641" si="39">IF(OR(U578="",U578="Unknown"),"",IF(U578&lt;18,"Child",IF(U578&lt;40,"Adult",IF(U578&lt;60,"Middle Age","Senior"))))</f>
        <v>Adult</v>
      </c>
    </row>
    <row r="579" spans="1:24">
      <c r="A579" t="s">
        <v>1525</v>
      </c>
      <c r="B579" t="s">
        <v>1526</v>
      </c>
      <c r="C579" t="s">
        <v>40</v>
      </c>
      <c r="D579" s="5">
        <v>29444</v>
      </c>
      <c r="E579" s="5">
        <v>45460</v>
      </c>
      <c r="F579" s="5" t="s">
        <v>4237</v>
      </c>
      <c r="G579" t="s">
        <v>109</v>
      </c>
      <c r="H579" t="s">
        <v>32</v>
      </c>
      <c r="I579" t="s">
        <v>53</v>
      </c>
      <c r="J579" t="s">
        <v>34</v>
      </c>
      <c r="K579" t="s">
        <v>55</v>
      </c>
      <c r="L579" s="6">
        <v>40801.85</v>
      </c>
      <c r="M579">
        <v>36084.230000000003</v>
      </c>
      <c r="N579" t="s">
        <v>4237</v>
      </c>
      <c r="O579">
        <v>12</v>
      </c>
      <c r="P579">
        <v>88</v>
      </c>
      <c r="Q579">
        <v>3</v>
      </c>
      <c r="R579">
        <v>169</v>
      </c>
      <c r="S579">
        <v>87.1</v>
      </c>
      <c r="T579" t="s">
        <v>4237</v>
      </c>
      <c r="U579" s="7">
        <f t="shared" si="36"/>
        <v>43</v>
      </c>
      <c r="V579" s="7" t="s">
        <v>4237</v>
      </c>
      <c r="W579" s="6">
        <f t="shared" si="38"/>
        <v>4717.6199999999953</v>
      </c>
      <c r="X579" t="str">
        <f t="shared" si="39"/>
        <v>Middle Age</v>
      </c>
    </row>
    <row r="580" spans="1:24">
      <c r="A580" t="s">
        <v>1528</v>
      </c>
      <c r="B580" t="s">
        <v>83</v>
      </c>
      <c r="C580" t="s">
        <v>40</v>
      </c>
      <c r="D580" s="5">
        <v>22884</v>
      </c>
      <c r="E580" s="5">
        <v>45371</v>
      </c>
      <c r="F580" s="5">
        <v>45377</v>
      </c>
      <c r="G580" t="s">
        <v>152</v>
      </c>
      <c r="H580" t="s">
        <v>63</v>
      </c>
      <c r="I580" t="s">
        <v>53</v>
      </c>
      <c r="J580" t="s">
        <v>97</v>
      </c>
      <c r="K580" t="s">
        <v>120</v>
      </c>
      <c r="L580" s="6">
        <v>40909.93</v>
      </c>
      <c r="M580">
        <v>35820.870000000003</v>
      </c>
      <c r="N580" t="s">
        <v>192</v>
      </c>
      <c r="O580">
        <v>6</v>
      </c>
      <c r="P580">
        <v>59</v>
      </c>
      <c r="Q580">
        <v>4</v>
      </c>
      <c r="R580">
        <v>111</v>
      </c>
      <c r="S580">
        <v>251.5</v>
      </c>
      <c r="T580" t="s">
        <v>4237</v>
      </c>
      <c r="U580" s="7">
        <f t="shared" si="36"/>
        <v>61</v>
      </c>
      <c r="V580" s="7">
        <f t="shared" si="37"/>
        <v>6</v>
      </c>
      <c r="W580" s="6">
        <f t="shared" si="38"/>
        <v>5089.0599999999977</v>
      </c>
      <c r="X580" t="str">
        <f t="shared" si="39"/>
        <v>Senior</v>
      </c>
    </row>
    <row r="581" spans="1:24">
      <c r="A581" t="s">
        <v>1529</v>
      </c>
      <c r="B581" t="s">
        <v>527</v>
      </c>
      <c r="C581" t="s">
        <v>40</v>
      </c>
      <c r="D581" s="5">
        <v>38237</v>
      </c>
      <c r="E581" s="5">
        <v>45582</v>
      </c>
      <c r="F581" s="5">
        <v>45600</v>
      </c>
      <c r="G581" t="s">
        <v>109</v>
      </c>
      <c r="H581" t="s">
        <v>134</v>
      </c>
      <c r="I581" t="s">
        <v>33</v>
      </c>
      <c r="J581" t="s">
        <v>34</v>
      </c>
      <c r="K581" t="s">
        <v>27</v>
      </c>
      <c r="L581" s="6">
        <v>181884.55</v>
      </c>
      <c r="M581">
        <v>159163.12</v>
      </c>
      <c r="N581" t="s">
        <v>56</v>
      </c>
      <c r="O581">
        <v>18</v>
      </c>
      <c r="P581">
        <v>230</v>
      </c>
      <c r="Q581">
        <v>4</v>
      </c>
      <c r="R581">
        <v>118</v>
      </c>
      <c r="S581">
        <v>100.7</v>
      </c>
      <c r="T581" t="s">
        <v>37</v>
      </c>
      <c r="U581" s="7">
        <f t="shared" si="36"/>
        <v>20</v>
      </c>
      <c r="V581" s="7">
        <f t="shared" si="37"/>
        <v>18</v>
      </c>
      <c r="W581" s="6">
        <f t="shared" si="38"/>
        <v>22721.429999999993</v>
      </c>
      <c r="X581" t="str">
        <f t="shared" si="39"/>
        <v>Adult</v>
      </c>
    </row>
    <row r="582" spans="1:24">
      <c r="A582" t="s">
        <v>1530</v>
      </c>
      <c r="B582" t="s">
        <v>234</v>
      </c>
      <c r="C582" t="s">
        <v>40</v>
      </c>
      <c r="D582" s="5">
        <v>28496</v>
      </c>
      <c r="E582" s="5">
        <v>45284</v>
      </c>
      <c r="F582" s="5" t="s">
        <v>4237</v>
      </c>
      <c r="G582" t="s">
        <v>152</v>
      </c>
      <c r="H582" t="s">
        <v>63</v>
      </c>
      <c r="I582" t="s">
        <v>33</v>
      </c>
      <c r="J582" t="s">
        <v>64</v>
      </c>
      <c r="K582" t="s">
        <v>27</v>
      </c>
      <c r="L582" s="6">
        <v>118456.48</v>
      </c>
      <c r="M582">
        <v>103753.56</v>
      </c>
      <c r="N582" t="s">
        <v>192</v>
      </c>
      <c r="O582">
        <v>15</v>
      </c>
      <c r="P582">
        <v>189</v>
      </c>
      <c r="Q582">
        <v>2</v>
      </c>
      <c r="R582">
        <v>117</v>
      </c>
      <c r="S582">
        <v>163.19999999999999</v>
      </c>
      <c r="T582" t="s">
        <v>65</v>
      </c>
      <c r="U582" s="7">
        <f t="shared" si="36"/>
        <v>45</v>
      </c>
      <c r="V582" s="7" t="s">
        <v>4237</v>
      </c>
      <c r="W582" s="6">
        <f t="shared" si="38"/>
        <v>14702.919999999998</v>
      </c>
      <c r="X582" t="str">
        <f t="shared" si="39"/>
        <v>Middle Age</v>
      </c>
    </row>
    <row r="583" spans="1:24">
      <c r="A583" t="s">
        <v>1532</v>
      </c>
      <c r="B583" t="s">
        <v>438</v>
      </c>
      <c r="C583" t="s">
        <v>133</v>
      </c>
      <c r="D583" s="5">
        <v>38726</v>
      </c>
      <c r="E583" s="5">
        <v>45928</v>
      </c>
      <c r="F583" s="5">
        <v>45943</v>
      </c>
      <c r="G583" t="s">
        <v>89</v>
      </c>
      <c r="H583" t="s">
        <v>4236</v>
      </c>
      <c r="I583" t="s">
        <v>33</v>
      </c>
      <c r="J583" t="s">
        <v>46</v>
      </c>
      <c r="K583" t="s">
        <v>55</v>
      </c>
      <c r="L583" s="6">
        <v>171690.33</v>
      </c>
      <c r="M583">
        <v>134552.89000000001</v>
      </c>
      <c r="N583" t="s">
        <v>91</v>
      </c>
      <c r="O583">
        <v>15</v>
      </c>
      <c r="P583">
        <v>121</v>
      </c>
      <c r="Q583">
        <v>5</v>
      </c>
      <c r="R583">
        <v>175</v>
      </c>
      <c r="S583">
        <v>167.7</v>
      </c>
      <c r="T583" t="s">
        <v>47</v>
      </c>
      <c r="U583" s="7">
        <f t="shared" si="36"/>
        <v>19</v>
      </c>
      <c r="V583" s="7">
        <f t="shared" si="37"/>
        <v>15</v>
      </c>
      <c r="W583" s="6">
        <f t="shared" si="38"/>
        <v>37137.439999999973</v>
      </c>
      <c r="X583" t="str">
        <f t="shared" si="39"/>
        <v>Adult</v>
      </c>
    </row>
    <row r="584" spans="1:24">
      <c r="A584" t="s">
        <v>1533</v>
      </c>
      <c r="B584" t="s">
        <v>655</v>
      </c>
      <c r="C584" t="s">
        <v>40</v>
      </c>
      <c r="D584" s="5">
        <v>37557</v>
      </c>
      <c r="E584" s="5">
        <v>45583</v>
      </c>
      <c r="F584" s="5">
        <v>45587</v>
      </c>
      <c r="G584" t="s">
        <v>105</v>
      </c>
      <c r="H584" t="s">
        <v>153</v>
      </c>
      <c r="I584" t="s">
        <v>53</v>
      </c>
      <c r="J584" t="s">
        <v>80</v>
      </c>
      <c r="K584" t="s">
        <v>120</v>
      </c>
      <c r="L584" s="6">
        <v>218321.64</v>
      </c>
      <c r="M584">
        <v>190508.71</v>
      </c>
      <c r="N584" t="s">
        <v>192</v>
      </c>
      <c r="O584">
        <v>4</v>
      </c>
      <c r="P584">
        <v>227</v>
      </c>
      <c r="Q584">
        <v>2</v>
      </c>
      <c r="R584">
        <v>92</v>
      </c>
      <c r="S584">
        <v>218</v>
      </c>
      <c r="T584" t="s">
        <v>4237</v>
      </c>
      <c r="U584" s="7">
        <f t="shared" si="36"/>
        <v>21</v>
      </c>
      <c r="V584" s="7">
        <f t="shared" si="37"/>
        <v>4</v>
      </c>
      <c r="W584" s="6">
        <f t="shared" si="38"/>
        <v>27812.930000000022</v>
      </c>
      <c r="X584" t="str">
        <f t="shared" si="39"/>
        <v>Adult</v>
      </c>
    </row>
    <row r="585" spans="1:24">
      <c r="A585" t="s">
        <v>1535</v>
      </c>
      <c r="B585" t="s">
        <v>49</v>
      </c>
      <c r="C585" t="s">
        <v>40</v>
      </c>
      <c r="D585" s="5">
        <v>20201</v>
      </c>
      <c r="E585" s="5">
        <v>45950</v>
      </c>
      <c r="F585" s="5">
        <v>45953</v>
      </c>
      <c r="G585" t="s">
        <v>161</v>
      </c>
      <c r="H585" t="s">
        <v>124</v>
      </c>
      <c r="I585" t="s">
        <v>79</v>
      </c>
      <c r="J585" t="s">
        <v>179</v>
      </c>
      <c r="K585" t="s">
        <v>55</v>
      </c>
      <c r="L585" s="6">
        <v>159239.44</v>
      </c>
      <c r="M585">
        <v>100910.95</v>
      </c>
      <c r="N585" t="s">
        <v>35</v>
      </c>
      <c r="O585">
        <v>3</v>
      </c>
      <c r="P585">
        <v>58</v>
      </c>
      <c r="Q585">
        <v>3</v>
      </c>
      <c r="R585">
        <v>105</v>
      </c>
      <c r="S585">
        <v>234.7</v>
      </c>
      <c r="T585" t="s">
        <v>4237</v>
      </c>
      <c r="U585" s="7">
        <f t="shared" si="36"/>
        <v>70</v>
      </c>
      <c r="V585" s="7">
        <f t="shared" si="37"/>
        <v>3</v>
      </c>
      <c r="W585" s="6">
        <f t="shared" si="38"/>
        <v>58328.490000000005</v>
      </c>
      <c r="X585" t="str">
        <f t="shared" si="39"/>
        <v>Senior</v>
      </c>
    </row>
    <row r="586" spans="1:24">
      <c r="A586" t="s">
        <v>1536</v>
      </c>
      <c r="B586" t="s">
        <v>1537</v>
      </c>
      <c r="C586" t="s">
        <v>40</v>
      </c>
      <c r="D586" s="5">
        <v>32844</v>
      </c>
      <c r="E586" s="5">
        <v>45841</v>
      </c>
      <c r="F586" s="5">
        <v>45846</v>
      </c>
      <c r="G586" t="s">
        <v>152</v>
      </c>
      <c r="H586" t="s">
        <v>153</v>
      </c>
      <c r="I586" t="s">
        <v>33</v>
      </c>
      <c r="J586" t="s">
        <v>80</v>
      </c>
      <c r="K586" t="s">
        <v>120</v>
      </c>
      <c r="L586" s="6">
        <v>51492.95</v>
      </c>
      <c r="M586">
        <v>42823.02</v>
      </c>
      <c r="N586" t="s">
        <v>192</v>
      </c>
      <c r="O586">
        <v>5</v>
      </c>
      <c r="P586">
        <v>59</v>
      </c>
      <c r="Q586">
        <v>1</v>
      </c>
      <c r="R586">
        <v>127</v>
      </c>
      <c r="S586">
        <v>178.7</v>
      </c>
      <c r="T586" t="s">
        <v>37</v>
      </c>
      <c r="U586" s="7">
        <f t="shared" si="36"/>
        <v>35</v>
      </c>
      <c r="V586" s="7">
        <f t="shared" si="37"/>
        <v>5</v>
      </c>
      <c r="W586" s="6">
        <f t="shared" si="38"/>
        <v>8669.93</v>
      </c>
      <c r="X586" t="str">
        <f t="shared" si="39"/>
        <v>Adult</v>
      </c>
    </row>
    <row r="587" spans="1:24">
      <c r="A587" t="s">
        <v>1540</v>
      </c>
      <c r="B587" t="s">
        <v>1106</v>
      </c>
      <c r="C587" t="s">
        <v>40</v>
      </c>
      <c r="D587" s="5">
        <v>24863</v>
      </c>
      <c r="E587" s="5">
        <v>45735</v>
      </c>
      <c r="F587" s="5">
        <v>45752</v>
      </c>
      <c r="G587" t="s">
        <v>105</v>
      </c>
      <c r="H587" t="s">
        <v>32</v>
      </c>
      <c r="I587" t="s">
        <v>25</v>
      </c>
      <c r="J587" t="s">
        <v>64</v>
      </c>
      <c r="K587" t="s">
        <v>120</v>
      </c>
      <c r="L587" s="6">
        <v>167068.56</v>
      </c>
      <c r="M587">
        <v>124472.5</v>
      </c>
      <c r="N587" t="s">
        <v>91</v>
      </c>
      <c r="O587">
        <v>17</v>
      </c>
      <c r="P587">
        <v>121</v>
      </c>
      <c r="Q587">
        <v>4</v>
      </c>
      <c r="R587">
        <v>106</v>
      </c>
      <c r="S587">
        <v>73.3</v>
      </c>
      <c r="T587" t="s">
        <v>37</v>
      </c>
      <c r="U587" s="7">
        <f t="shared" si="36"/>
        <v>57</v>
      </c>
      <c r="V587" s="7">
        <f t="shared" si="37"/>
        <v>17</v>
      </c>
      <c r="W587" s="6">
        <f t="shared" si="38"/>
        <v>42596.06</v>
      </c>
      <c r="X587" t="str">
        <f t="shared" si="39"/>
        <v>Middle Age</v>
      </c>
    </row>
    <row r="588" spans="1:24">
      <c r="A588" t="s">
        <v>1542</v>
      </c>
      <c r="B588" t="s">
        <v>132</v>
      </c>
      <c r="C588" t="s">
        <v>40</v>
      </c>
      <c r="D588" s="5">
        <v>21538</v>
      </c>
      <c r="E588" s="5">
        <v>45943</v>
      </c>
      <c r="F588" s="5">
        <v>45944</v>
      </c>
      <c r="G588" t="s">
        <v>94</v>
      </c>
      <c r="H588" t="s">
        <v>32</v>
      </c>
      <c r="I588" t="s">
        <v>33</v>
      </c>
      <c r="J588" t="s">
        <v>97</v>
      </c>
      <c r="K588" t="s">
        <v>27</v>
      </c>
      <c r="L588" s="6">
        <v>70676.83</v>
      </c>
      <c r="M588">
        <v>65837.100000000006</v>
      </c>
      <c r="N588" t="s">
        <v>192</v>
      </c>
      <c r="O588">
        <v>1</v>
      </c>
      <c r="P588">
        <v>145</v>
      </c>
      <c r="Q588">
        <v>5</v>
      </c>
      <c r="R588">
        <v>159</v>
      </c>
      <c r="S588">
        <v>139.69999999999999</v>
      </c>
      <c r="T588" t="s">
        <v>65</v>
      </c>
      <c r="U588" s="7">
        <f t="shared" si="36"/>
        <v>66</v>
      </c>
      <c r="V588" s="7">
        <f t="shared" si="37"/>
        <v>1</v>
      </c>
      <c r="W588" s="6">
        <f t="shared" si="38"/>
        <v>4839.7299999999959</v>
      </c>
      <c r="X588" t="str">
        <f t="shared" si="39"/>
        <v>Senior</v>
      </c>
    </row>
    <row r="589" spans="1:24">
      <c r="A589" t="s">
        <v>1544</v>
      </c>
      <c r="B589" t="s">
        <v>338</v>
      </c>
      <c r="C589" t="s">
        <v>40</v>
      </c>
      <c r="D589" s="5">
        <v>23636</v>
      </c>
      <c r="E589" s="5">
        <v>45496</v>
      </c>
      <c r="F589" s="5">
        <v>45498</v>
      </c>
      <c r="G589" t="s">
        <v>117</v>
      </c>
      <c r="H589" t="s">
        <v>24</v>
      </c>
      <c r="I589" t="s">
        <v>33</v>
      </c>
      <c r="J589" t="s">
        <v>26</v>
      </c>
      <c r="K589" t="s">
        <v>120</v>
      </c>
      <c r="L589" s="6">
        <v>109227.42</v>
      </c>
      <c r="M589">
        <v>98646.34</v>
      </c>
      <c r="N589" t="s">
        <v>73</v>
      </c>
      <c r="O589">
        <v>2</v>
      </c>
      <c r="P589">
        <v>63</v>
      </c>
      <c r="Q589">
        <v>3</v>
      </c>
      <c r="R589">
        <v>106</v>
      </c>
      <c r="S589">
        <v>233.4</v>
      </c>
      <c r="T589" t="s">
        <v>37</v>
      </c>
      <c r="U589" s="7">
        <f t="shared" si="36"/>
        <v>59</v>
      </c>
      <c r="V589" s="7">
        <f t="shared" si="37"/>
        <v>2</v>
      </c>
      <c r="W589" s="6">
        <f t="shared" si="38"/>
        <v>10581.080000000002</v>
      </c>
      <c r="X589" t="str">
        <f t="shared" si="39"/>
        <v>Middle Age</v>
      </c>
    </row>
    <row r="590" spans="1:24">
      <c r="A590" t="s">
        <v>4134</v>
      </c>
      <c r="B590" t="s">
        <v>1167</v>
      </c>
      <c r="C590" t="s">
        <v>133</v>
      </c>
      <c r="D590" s="5">
        <v>32672</v>
      </c>
      <c r="E590" s="5">
        <v>45943</v>
      </c>
      <c r="F590" s="5">
        <v>45958</v>
      </c>
      <c r="G590" t="s">
        <v>94</v>
      </c>
      <c r="H590" t="s">
        <v>44</v>
      </c>
      <c r="I590" t="s">
        <v>33</v>
      </c>
      <c r="J590" t="s">
        <v>46</v>
      </c>
      <c r="K590" t="s">
        <v>161</v>
      </c>
      <c r="L590" s="6">
        <v>112096.04</v>
      </c>
      <c r="M590">
        <v>88946.75</v>
      </c>
      <c r="N590" t="s">
        <v>91</v>
      </c>
      <c r="O590">
        <v>15</v>
      </c>
      <c r="P590">
        <v>94</v>
      </c>
      <c r="Q590">
        <v>5</v>
      </c>
      <c r="R590">
        <v>126</v>
      </c>
      <c r="S590">
        <v>150.80000000000001</v>
      </c>
      <c r="T590" t="s">
        <v>47</v>
      </c>
      <c r="U590" s="7">
        <f t="shared" si="36"/>
        <v>36</v>
      </c>
      <c r="V590" s="7">
        <f t="shared" si="37"/>
        <v>15</v>
      </c>
      <c r="W590" s="6">
        <f t="shared" si="38"/>
        <v>23149.289999999994</v>
      </c>
      <c r="X590" t="str">
        <f t="shared" si="39"/>
        <v>Adult</v>
      </c>
    </row>
    <row r="591" spans="1:24">
      <c r="A591" t="s">
        <v>1547</v>
      </c>
      <c r="B591" t="s">
        <v>1135</v>
      </c>
      <c r="C591" t="s">
        <v>133</v>
      </c>
      <c r="D591" s="5">
        <v>23037</v>
      </c>
      <c r="E591" s="5">
        <v>45771</v>
      </c>
      <c r="F591" s="5">
        <v>45789</v>
      </c>
      <c r="G591" t="s">
        <v>77</v>
      </c>
      <c r="H591" t="s">
        <v>134</v>
      </c>
      <c r="I591" t="s">
        <v>96</v>
      </c>
      <c r="J591" t="s">
        <v>26</v>
      </c>
      <c r="K591" t="s">
        <v>55</v>
      </c>
      <c r="L591" s="6">
        <v>123523.59</v>
      </c>
      <c r="M591">
        <v>100318.42</v>
      </c>
      <c r="N591" t="s">
        <v>73</v>
      </c>
      <c r="O591">
        <v>18</v>
      </c>
      <c r="P591">
        <v>144</v>
      </c>
      <c r="Q591">
        <v>1</v>
      </c>
      <c r="R591">
        <v>156</v>
      </c>
      <c r="S591">
        <v>88.5</v>
      </c>
      <c r="T591" t="s">
        <v>4237</v>
      </c>
      <c r="U591" s="7">
        <f t="shared" si="36"/>
        <v>62</v>
      </c>
      <c r="V591" s="7">
        <f t="shared" si="37"/>
        <v>18</v>
      </c>
      <c r="W591" s="6">
        <f t="shared" si="38"/>
        <v>23205.17</v>
      </c>
      <c r="X591" t="str">
        <f t="shared" si="39"/>
        <v>Senior</v>
      </c>
    </row>
    <row r="592" spans="1:24">
      <c r="A592" t="s">
        <v>1550</v>
      </c>
      <c r="B592" t="s">
        <v>1350</v>
      </c>
      <c r="C592" t="s">
        <v>133</v>
      </c>
      <c r="D592" s="5">
        <v>29197</v>
      </c>
      <c r="E592" s="5">
        <v>45607</v>
      </c>
      <c r="F592" s="5">
        <v>45610</v>
      </c>
      <c r="G592" t="s">
        <v>109</v>
      </c>
      <c r="H592" t="s">
        <v>24</v>
      </c>
      <c r="I592" t="s">
        <v>96</v>
      </c>
      <c r="J592" t="s">
        <v>46</v>
      </c>
      <c r="K592" t="s">
        <v>55</v>
      </c>
      <c r="L592" s="6">
        <v>242567.39</v>
      </c>
      <c r="M592">
        <v>205602.53</v>
      </c>
      <c r="N592" t="s">
        <v>35</v>
      </c>
      <c r="O592">
        <v>3</v>
      </c>
      <c r="P592">
        <v>56</v>
      </c>
      <c r="Q592">
        <v>4</v>
      </c>
      <c r="R592">
        <v>112</v>
      </c>
      <c r="S592">
        <v>91.7</v>
      </c>
      <c r="T592" t="s">
        <v>47</v>
      </c>
      <c r="U592" s="7">
        <f t="shared" si="36"/>
        <v>44</v>
      </c>
      <c r="V592" s="7">
        <f t="shared" si="37"/>
        <v>3</v>
      </c>
      <c r="W592" s="6">
        <f t="shared" si="38"/>
        <v>36964.860000000015</v>
      </c>
      <c r="X592" t="str">
        <f t="shared" si="39"/>
        <v>Middle Age</v>
      </c>
    </row>
    <row r="593" spans="1:24">
      <c r="A593" t="s">
        <v>1553</v>
      </c>
      <c r="B593" t="s">
        <v>324</v>
      </c>
      <c r="C593" t="s">
        <v>133</v>
      </c>
      <c r="D593" s="5">
        <v>26045</v>
      </c>
      <c r="E593" s="5">
        <v>45337</v>
      </c>
      <c r="F593" s="5">
        <v>45350</v>
      </c>
      <c r="G593" t="s">
        <v>94</v>
      </c>
      <c r="H593" t="s">
        <v>32</v>
      </c>
      <c r="I593" t="s">
        <v>96</v>
      </c>
      <c r="J593" t="s">
        <v>34</v>
      </c>
      <c r="K593" t="s">
        <v>55</v>
      </c>
      <c r="L593" s="6">
        <v>222685.03</v>
      </c>
      <c r="M593">
        <v>200329.69</v>
      </c>
      <c r="N593" t="s">
        <v>192</v>
      </c>
      <c r="O593">
        <v>13</v>
      </c>
      <c r="P593">
        <v>25</v>
      </c>
      <c r="Q593">
        <v>5</v>
      </c>
      <c r="R593">
        <v>164</v>
      </c>
      <c r="S593">
        <v>163.5</v>
      </c>
      <c r="T593" t="s">
        <v>47</v>
      </c>
      <c r="U593" s="7">
        <f t="shared" si="36"/>
        <v>52</v>
      </c>
      <c r="V593" s="7">
        <f t="shared" si="37"/>
        <v>13</v>
      </c>
      <c r="W593" s="6">
        <f t="shared" si="38"/>
        <v>22355.339999999997</v>
      </c>
      <c r="X593" t="str">
        <f t="shared" si="39"/>
        <v>Middle Age</v>
      </c>
    </row>
    <row r="594" spans="1:24">
      <c r="A594" t="s">
        <v>1555</v>
      </c>
      <c r="B594" t="s">
        <v>21</v>
      </c>
      <c r="C594" t="s">
        <v>40</v>
      </c>
      <c r="D594" s="5" t="s">
        <v>4237</v>
      </c>
      <c r="E594" s="5">
        <v>45884</v>
      </c>
      <c r="F594" s="5">
        <v>45888</v>
      </c>
      <c r="G594" t="s">
        <v>152</v>
      </c>
      <c r="H594" t="s">
        <v>24</v>
      </c>
      <c r="I594" t="s">
        <v>96</v>
      </c>
      <c r="J594" t="s">
        <v>64</v>
      </c>
      <c r="K594" t="s">
        <v>120</v>
      </c>
      <c r="L594" s="6">
        <v>60898.11</v>
      </c>
      <c r="M594">
        <v>39482.99</v>
      </c>
      <c r="N594" t="s">
        <v>73</v>
      </c>
      <c r="O594">
        <v>4</v>
      </c>
      <c r="P594">
        <v>188</v>
      </c>
      <c r="Q594">
        <v>5</v>
      </c>
      <c r="R594">
        <v>163</v>
      </c>
      <c r="S594">
        <v>70.599999999999994</v>
      </c>
      <c r="T594" t="s">
        <v>47</v>
      </c>
      <c r="U594" s="7" t="s">
        <v>4237</v>
      </c>
      <c r="V594" s="7">
        <f t="shared" si="37"/>
        <v>4</v>
      </c>
      <c r="W594" s="6">
        <f t="shared" si="38"/>
        <v>21415.120000000003</v>
      </c>
      <c r="X594" t="s">
        <v>4237</v>
      </c>
    </row>
    <row r="595" spans="1:24">
      <c r="A595" t="s">
        <v>1558</v>
      </c>
      <c r="B595" t="s">
        <v>560</v>
      </c>
      <c r="C595" t="s">
        <v>40</v>
      </c>
      <c r="D595" s="5">
        <v>30549</v>
      </c>
      <c r="E595" s="5">
        <v>45385</v>
      </c>
      <c r="F595" s="5">
        <v>45388</v>
      </c>
      <c r="G595" t="s">
        <v>117</v>
      </c>
      <c r="H595" t="s">
        <v>32</v>
      </c>
      <c r="I595" t="s">
        <v>33</v>
      </c>
      <c r="J595" t="s">
        <v>34</v>
      </c>
      <c r="K595" t="s">
        <v>55</v>
      </c>
      <c r="L595" s="6">
        <v>97099.76</v>
      </c>
      <c r="M595">
        <v>80833.11</v>
      </c>
      <c r="N595" t="s">
        <v>91</v>
      </c>
      <c r="O595">
        <v>3</v>
      </c>
      <c r="P595">
        <v>31</v>
      </c>
      <c r="Q595">
        <v>4</v>
      </c>
      <c r="R595">
        <v>138</v>
      </c>
      <c r="S595">
        <v>251.5</v>
      </c>
      <c r="T595" t="s">
        <v>47</v>
      </c>
      <c r="U595" s="7">
        <f t="shared" si="36"/>
        <v>40</v>
      </c>
      <c r="V595" s="7">
        <f t="shared" si="37"/>
        <v>3</v>
      </c>
      <c r="W595" s="6">
        <f t="shared" si="38"/>
        <v>16266.649999999994</v>
      </c>
      <c r="X595" t="str">
        <f t="shared" si="39"/>
        <v>Middle Age</v>
      </c>
    </row>
    <row r="596" spans="1:24">
      <c r="A596" t="s">
        <v>1559</v>
      </c>
      <c r="B596" t="s">
        <v>1050</v>
      </c>
      <c r="C596" t="s">
        <v>40</v>
      </c>
      <c r="D596" s="5">
        <v>32282</v>
      </c>
      <c r="E596" s="5">
        <v>45160</v>
      </c>
      <c r="F596" s="5">
        <v>45175</v>
      </c>
      <c r="G596" t="s">
        <v>161</v>
      </c>
      <c r="H596" t="s">
        <v>153</v>
      </c>
      <c r="I596" t="s">
        <v>96</v>
      </c>
      <c r="J596" t="s">
        <v>97</v>
      </c>
      <c r="K596" t="s">
        <v>120</v>
      </c>
      <c r="L596" s="6">
        <v>221147.69</v>
      </c>
      <c r="M596">
        <v>139453.41</v>
      </c>
      <c r="N596" t="s">
        <v>192</v>
      </c>
      <c r="O596">
        <v>15</v>
      </c>
      <c r="P596">
        <v>59</v>
      </c>
      <c r="Q596">
        <v>4</v>
      </c>
      <c r="R596">
        <v>96</v>
      </c>
      <c r="S596">
        <v>168</v>
      </c>
      <c r="T596" t="s">
        <v>37</v>
      </c>
      <c r="U596" s="7">
        <f t="shared" si="36"/>
        <v>35</v>
      </c>
      <c r="V596" s="7">
        <f t="shared" si="37"/>
        <v>15</v>
      </c>
      <c r="W596" s="6">
        <f t="shared" si="38"/>
        <v>81694.28</v>
      </c>
      <c r="X596" t="str">
        <f t="shared" si="39"/>
        <v>Adult</v>
      </c>
    </row>
    <row r="597" spans="1:24">
      <c r="A597" t="s">
        <v>1561</v>
      </c>
      <c r="B597" t="s">
        <v>1140</v>
      </c>
      <c r="C597" t="s">
        <v>40</v>
      </c>
      <c r="D597" s="5">
        <v>23915</v>
      </c>
      <c r="E597" s="5">
        <v>45977</v>
      </c>
      <c r="F597" s="5">
        <v>45994</v>
      </c>
      <c r="G597" t="s">
        <v>94</v>
      </c>
      <c r="H597" t="s">
        <v>118</v>
      </c>
      <c r="I597" t="s">
        <v>33</v>
      </c>
      <c r="J597" t="s">
        <v>97</v>
      </c>
      <c r="K597" t="s">
        <v>120</v>
      </c>
      <c r="L597" s="6">
        <v>224618.09</v>
      </c>
      <c r="M597">
        <v>223001.60000000001</v>
      </c>
      <c r="N597" t="s">
        <v>35</v>
      </c>
      <c r="O597">
        <v>17</v>
      </c>
      <c r="P597">
        <v>10</v>
      </c>
      <c r="Q597">
        <v>4</v>
      </c>
      <c r="R597">
        <v>154</v>
      </c>
      <c r="S597">
        <v>188.9</v>
      </c>
      <c r="T597" t="s">
        <v>65</v>
      </c>
      <c r="U597" s="7">
        <f t="shared" si="36"/>
        <v>60</v>
      </c>
      <c r="V597" s="7">
        <f t="shared" si="37"/>
        <v>17</v>
      </c>
      <c r="W597" s="6">
        <f t="shared" si="38"/>
        <v>1616.4899999999907</v>
      </c>
      <c r="X597" t="str">
        <f t="shared" si="39"/>
        <v>Senior</v>
      </c>
    </row>
    <row r="598" spans="1:24">
      <c r="A598" t="s">
        <v>1562</v>
      </c>
      <c r="B598" t="s">
        <v>1563</v>
      </c>
      <c r="C598" t="s">
        <v>40</v>
      </c>
      <c r="D598" s="5">
        <v>31641</v>
      </c>
      <c r="E598" s="5">
        <v>45692</v>
      </c>
      <c r="F598" s="5">
        <v>45707</v>
      </c>
      <c r="G598" t="s">
        <v>89</v>
      </c>
      <c r="H598" t="s">
        <v>124</v>
      </c>
      <c r="I598" t="s">
        <v>25</v>
      </c>
      <c r="J598" t="s">
        <v>179</v>
      </c>
      <c r="K598" t="s">
        <v>55</v>
      </c>
      <c r="L598" s="6">
        <v>66726.42</v>
      </c>
      <c r="M598">
        <v>55091.75</v>
      </c>
      <c r="N598" t="s">
        <v>91</v>
      </c>
      <c r="O598">
        <v>15</v>
      </c>
      <c r="P598">
        <v>86</v>
      </c>
      <c r="Q598">
        <v>4</v>
      </c>
      <c r="R598">
        <v>175</v>
      </c>
      <c r="S598">
        <v>87.8</v>
      </c>
      <c r="T598" t="s">
        <v>47</v>
      </c>
      <c r="U598" s="7">
        <f t="shared" si="36"/>
        <v>38</v>
      </c>
      <c r="V598" s="7">
        <f t="shared" si="37"/>
        <v>15</v>
      </c>
      <c r="W598" s="6">
        <f t="shared" si="38"/>
        <v>11634.669999999998</v>
      </c>
      <c r="X598" t="str">
        <f t="shared" si="39"/>
        <v>Adult</v>
      </c>
    </row>
    <row r="599" spans="1:24">
      <c r="A599" t="s">
        <v>1566</v>
      </c>
      <c r="B599" t="s">
        <v>173</v>
      </c>
      <c r="C599" t="s">
        <v>133</v>
      </c>
      <c r="D599" s="5">
        <v>32461</v>
      </c>
      <c r="E599" s="5">
        <v>45960</v>
      </c>
      <c r="F599" s="5">
        <v>45965</v>
      </c>
      <c r="G599" t="s">
        <v>94</v>
      </c>
      <c r="H599" t="s">
        <v>134</v>
      </c>
      <c r="I599" t="s">
        <v>33</v>
      </c>
      <c r="J599" t="s">
        <v>179</v>
      </c>
      <c r="K599" t="s">
        <v>120</v>
      </c>
      <c r="L599" s="6">
        <v>68615.78</v>
      </c>
      <c r="M599">
        <v>49798.12</v>
      </c>
      <c r="N599" t="s">
        <v>192</v>
      </c>
      <c r="O599">
        <v>5</v>
      </c>
      <c r="P599">
        <v>187</v>
      </c>
      <c r="Q599">
        <v>2</v>
      </c>
      <c r="R599">
        <v>123</v>
      </c>
      <c r="S599">
        <v>241.9</v>
      </c>
      <c r="T599" t="s">
        <v>37</v>
      </c>
      <c r="U599" s="7">
        <f t="shared" si="36"/>
        <v>36</v>
      </c>
      <c r="V599" s="7">
        <f t="shared" si="37"/>
        <v>5</v>
      </c>
      <c r="W599" s="6">
        <f t="shared" si="38"/>
        <v>18817.659999999996</v>
      </c>
      <c r="X599" t="str">
        <f t="shared" si="39"/>
        <v>Adult</v>
      </c>
    </row>
    <row r="600" spans="1:24">
      <c r="A600" t="s">
        <v>1568</v>
      </c>
      <c r="B600" t="s">
        <v>622</v>
      </c>
      <c r="C600" t="s">
        <v>133</v>
      </c>
      <c r="D600" s="5" t="s">
        <v>4237</v>
      </c>
      <c r="E600" s="5">
        <v>45869</v>
      </c>
      <c r="F600" s="5">
        <v>45882</v>
      </c>
      <c r="G600" t="s">
        <v>152</v>
      </c>
      <c r="H600" t="s">
        <v>24</v>
      </c>
      <c r="I600" t="s">
        <v>79</v>
      </c>
      <c r="J600" t="s">
        <v>71</v>
      </c>
      <c r="K600" t="s">
        <v>161</v>
      </c>
      <c r="L600" s="6">
        <v>209183.93</v>
      </c>
      <c r="M600">
        <v>161984.35</v>
      </c>
      <c r="N600" t="s">
        <v>35</v>
      </c>
      <c r="O600">
        <v>13</v>
      </c>
      <c r="P600">
        <v>68</v>
      </c>
      <c r="Q600">
        <v>5</v>
      </c>
      <c r="R600">
        <v>168</v>
      </c>
      <c r="S600">
        <v>151.6</v>
      </c>
      <c r="T600" t="s">
        <v>65</v>
      </c>
      <c r="U600" s="7" t="s">
        <v>4237</v>
      </c>
      <c r="V600" s="7">
        <f t="shared" si="37"/>
        <v>13</v>
      </c>
      <c r="W600" s="6">
        <f t="shared" si="38"/>
        <v>47199.579999999987</v>
      </c>
      <c r="X600" t="s">
        <v>4237</v>
      </c>
    </row>
    <row r="601" spans="1:24">
      <c r="A601" t="s">
        <v>1570</v>
      </c>
      <c r="B601" t="s">
        <v>251</v>
      </c>
      <c r="C601" t="s">
        <v>133</v>
      </c>
      <c r="D601" s="5">
        <v>30742</v>
      </c>
      <c r="E601" s="5">
        <v>45956</v>
      </c>
      <c r="F601" s="5">
        <v>45964</v>
      </c>
      <c r="G601" t="s">
        <v>43</v>
      </c>
      <c r="H601" t="s">
        <v>95</v>
      </c>
      <c r="I601" t="s">
        <v>45</v>
      </c>
      <c r="J601" t="s">
        <v>64</v>
      </c>
      <c r="K601" t="s">
        <v>120</v>
      </c>
      <c r="L601" s="6">
        <v>12669.27</v>
      </c>
      <c r="M601">
        <v>8921.39</v>
      </c>
      <c r="N601" t="s">
        <v>4237</v>
      </c>
      <c r="O601">
        <v>8</v>
      </c>
      <c r="P601">
        <v>71</v>
      </c>
      <c r="Q601">
        <v>4</v>
      </c>
      <c r="R601">
        <v>151</v>
      </c>
      <c r="S601">
        <v>98.8</v>
      </c>
      <c r="T601" t="s">
        <v>37</v>
      </c>
      <c r="U601" s="7">
        <f t="shared" si="36"/>
        <v>41</v>
      </c>
      <c r="V601" s="7">
        <f t="shared" si="37"/>
        <v>8</v>
      </c>
      <c r="W601" s="6">
        <f t="shared" si="38"/>
        <v>3747.880000000001</v>
      </c>
      <c r="X601" t="str">
        <f t="shared" si="39"/>
        <v>Middle Age</v>
      </c>
    </row>
    <row r="602" spans="1:24">
      <c r="A602" t="s">
        <v>1571</v>
      </c>
      <c r="B602" t="s">
        <v>1131</v>
      </c>
      <c r="C602" t="s">
        <v>133</v>
      </c>
      <c r="D602" s="5">
        <v>32959</v>
      </c>
      <c r="E602" s="5">
        <v>45345</v>
      </c>
      <c r="F602" s="5">
        <v>45359</v>
      </c>
      <c r="G602" t="s">
        <v>94</v>
      </c>
      <c r="H602" t="s">
        <v>32</v>
      </c>
      <c r="I602" t="s">
        <v>79</v>
      </c>
      <c r="J602" t="s">
        <v>179</v>
      </c>
      <c r="K602" t="s">
        <v>55</v>
      </c>
      <c r="L602" s="6">
        <v>87077.93</v>
      </c>
      <c r="M602">
        <v>62098.52</v>
      </c>
      <c r="N602" t="s">
        <v>73</v>
      </c>
      <c r="O602">
        <v>14</v>
      </c>
      <c r="P602">
        <v>70</v>
      </c>
      <c r="Q602">
        <v>5</v>
      </c>
      <c r="R602">
        <v>161</v>
      </c>
      <c r="S602">
        <v>167.1</v>
      </c>
      <c r="T602" t="s">
        <v>37</v>
      </c>
      <c r="U602" s="7">
        <f t="shared" si="36"/>
        <v>33</v>
      </c>
      <c r="V602" s="7">
        <f t="shared" si="37"/>
        <v>14</v>
      </c>
      <c r="W602" s="6">
        <f t="shared" si="38"/>
        <v>24979.409999999996</v>
      </c>
      <c r="X602" t="str">
        <f t="shared" si="39"/>
        <v>Adult</v>
      </c>
    </row>
    <row r="603" spans="1:24">
      <c r="A603" t="s">
        <v>4135</v>
      </c>
      <c r="B603" t="s">
        <v>932</v>
      </c>
      <c r="C603" t="s">
        <v>133</v>
      </c>
      <c r="D603" s="5">
        <v>24498</v>
      </c>
      <c r="E603" s="5">
        <v>45779</v>
      </c>
      <c r="F603" s="5">
        <v>45792</v>
      </c>
      <c r="G603" t="s">
        <v>77</v>
      </c>
      <c r="H603" t="s">
        <v>78</v>
      </c>
      <c r="I603" t="s">
        <v>33</v>
      </c>
      <c r="J603" t="s">
        <v>26</v>
      </c>
      <c r="K603" t="s">
        <v>55</v>
      </c>
      <c r="L603" s="6">
        <v>193668.97</v>
      </c>
      <c r="M603">
        <v>176250.07</v>
      </c>
      <c r="N603" t="s">
        <v>35</v>
      </c>
      <c r="O603">
        <v>13</v>
      </c>
      <c r="P603">
        <v>157</v>
      </c>
      <c r="Q603">
        <v>4</v>
      </c>
      <c r="R603">
        <v>163</v>
      </c>
      <c r="S603">
        <v>213.1</v>
      </c>
      <c r="T603" t="s">
        <v>4237</v>
      </c>
      <c r="U603" s="7">
        <f t="shared" si="36"/>
        <v>58</v>
      </c>
      <c r="V603" s="7">
        <f t="shared" si="37"/>
        <v>13</v>
      </c>
      <c r="W603" s="6">
        <f t="shared" si="38"/>
        <v>17418.899999999994</v>
      </c>
      <c r="X603" t="str">
        <f t="shared" si="39"/>
        <v>Middle Age</v>
      </c>
    </row>
    <row r="604" spans="1:24">
      <c r="A604" t="s">
        <v>1578</v>
      </c>
      <c r="B604" t="s">
        <v>406</v>
      </c>
      <c r="C604" t="s">
        <v>133</v>
      </c>
      <c r="D604" s="5">
        <v>39650</v>
      </c>
      <c r="E604" s="5">
        <v>45698</v>
      </c>
      <c r="F604" s="5">
        <v>45707</v>
      </c>
      <c r="G604" t="s">
        <v>117</v>
      </c>
      <c r="H604" t="s">
        <v>113</v>
      </c>
      <c r="I604" t="s">
        <v>45</v>
      </c>
      <c r="J604" t="s">
        <v>64</v>
      </c>
      <c r="K604" t="s">
        <v>120</v>
      </c>
      <c r="L604" s="6">
        <v>100467.32</v>
      </c>
      <c r="M604">
        <v>78201.66</v>
      </c>
      <c r="N604" t="s">
        <v>73</v>
      </c>
      <c r="O604">
        <v>9</v>
      </c>
      <c r="P604">
        <v>84</v>
      </c>
      <c r="Q604">
        <v>4</v>
      </c>
      <c r="R604">
        <v>138</v>
      </c>
      <c r="S604">
        <v>177.8</v>
      </c>
      <c r="T604" t="s">
        <v>4237</v>
      </c>
      <c r="U604" s="7">
        <f t="shared" si="36"/>
        <v>16</v>
      </c>
      <c r="V604" s="7">
        <f t="shared" si="37"/>
        <v>9</v>
      </c>
      <c r="W604" s="6">
        <f t="shared" si="38"/>
        <v>22265.660000000003</v>
      </c>
      <c r="X604" t="str">
        <f t="shared" si="39"/>
        <v>Child</v>
      </c>
    </row>
    <row r="605" spans="1:24">
      <c r="A605" t="s">
        <v>1579</v>
      </c>
      <c r="B605" t="s">
        <v>1580</v>
      </c>
      <c r="C605" t="s">
        <v>40</v>
      </c>
      <c r="D605" s="5">
        <v>34538</v>
      </c>
      <c r="E605" s="5">
        <v>45018</v>
      </c>
      <c r="F605" s="5">
        <v>45030</v>
      </c>
      <c r="G605" t="s">
        <v>77</v>
      </c>
      <c r="H605" t="s">
        <v>52</v>
      </c>
      <c r="I605" t="s">
        <v>79</v>
      </c>
      <c r="J605" t="s">
        <v>179</v>
      </c>
      <c r="K605" t="s">
        <v>55</v>
      </c>
      <c r="L605" s="6">
        <v>58699.63</v>
      </c>
      <c r="M605">
        <v>45504.58</v>
      </c>
      <c r="N605" t="s">
        <v>91</v>
      </c>
      <c r="O605">
        <v>12</v>
      </c>
      <c r="P605">
        <v>202</v>
      </c>
      <c r="Q605">
        <v>4</v>
      </c>
      <c r="R605">
        <v>141</v>
      </c>
      <c r="S605">
        <v>163.5</v>
      </c>
      <c r="T605" t="s">
        <v>65</v>
      </c>
      <c r="U605" s="7">
        <f t="shared" si="36"/>
        <v>28</v>
      </c>
      <c r="V605" s="7">
        <f t="shared" si="37"/>
        <v>12</v>
      </c>
      <c r="W605" s="6">
        <f t="shared" si="38"/>
        <v>13195.049999999996</v>
      </c>
      <c r="X605" t="str">
        <f t="shared" si="39"/>
        <v>Adult</v>
      </c>
    </row>
    <row r="606" spans="1:24">
      <c r="A606" t="s">
        <v>1581</v>
      </c>
      <c r="B606" t="s">
        <v>116</v>
      </c>
      <c r="C606" t="s">
        <v>133</v>
      </c>
      <c r="D606" s="5">
        <v>25465</v>
      </c>
      <c r="E606" s="5">
        <v>45439</v>
      </c>
      <c r="F606" s="5" t="s">
        <v>4237</v>
      </c>
      <c r="G606" t="s">
        <v>43</v>
      </c>
      <c r="H606" t="s">
        <v>134</v>
      </c>
      <c r="I606" t="s">
        <v>96</v>
      </c>
      <c r="J606" t="s">
        <v>64</v>
      </c>
      <c r="K606" t="s">
        <v>120</v>
      </c>
      <c r="L606" s="6">
        <v>154314.14000000001</v>
      </c>
      <c r="M606">
        <v>124498.87</v>
      </c>
      <c r="N606" t="s">
        <v>56</v>
      </c>
      <c r="O606">
        <v>6</v>
      </c>
      <c r="P606">
        <v>17</v>
      </c>
      <c r="Q606">
        <v>5</v>
      </c>
      <c r="R606">
        <v>145</v>
      </c>
      <c r="S606">
        <v>119.8</v>
      </c>
      <c r="T606" t="s">
        <v>37</v>
      </c>
      <c r="U606" s="7">
        <f t="shared" si="36"/>
        <v>54</v>
      </c>
      <c r="V606" s="7" t="s">
        <v>4237</v>
      </c>
      <c r="W606" s="6">
        <f t="shared" si="38"/>
        <v>29815.270000000019</v>
      </c>
      <c r="X606" t="str">
        <f t="shared" si="39"/>
        <v>Middle Age</v>
      </c>
    </row>
    <row r="607" spans="1:24">
      <c r="A607" t="s">
        <v>1582</v>
      </c>
      <c r="B607" t="s">
        <v>877</v>
      </c>
      <c r="C607" t="s">
        <v>40</v>
      </c>
      <c r="D607" s="5">
        <v>37165</v>
      </c>
      <c r="E607" s="5">
        <v>45797</v>
      </c>
      <c r="F607" s="5">
        <v>45802</v>
      </c>
      <c r="G607" t="s">
        <v>94</v>
      </c>
      <c r="H607" t="s">
        <v>63</v>
      </c>
      <c r="I607" t="s">
        <v>96</v>
      </c>
      <c r="J607" t="s">
        <v>34</v>
      </c>
      <c r="K607" t="s">
        <v>55</v>
      </c>
      <c r="L607" s="6">
        <v>123663.9</v>
      </c>
      <c r="M607">
        <v>209696.12</v>
      </c>
      <c r="N607" t="s">
        <v>73</v>
      </c>
      <c r="O607">
        <v>5</v>
      </c>
      <c r="P607">
        <v>52</v>
      </c>
      <c r="Q607">
        <v>4</v>
      </c>
      <c r="R607">
        <v>133</v>
      </c>
      <c r="S607">
        <v>203.1</v>
      </c>
      <c r="T607" t="s">
        <v>37</v>
      </c>
      <c r="U607" s="7">
        <f t="shared" si="36"/>
        <v>23</v>
      </c>
      <c r="V607" s="7">
        <f t="shared" si="37"/>
        <v>5</v>
      </c>
      <c r="W607" s="6">
        <f t="shared" si="38"/>
        <v>-86032.22</v>
      </c>
      <c r="X607" t="str">
        <f t="shared" si="39"/>
        <v>Adult</v>
      </c>
    </row>
    <row r="608" spans="1:24">
      <c r="A608" t="s">
        <v>1583</v>
      </c>
      <c r="B608" t="s">
        <v>563</v>
      </c>
      <c r="C608" t="s">
        <v>133</v>
      </c>
      <c r="D608" s="5">
        <v>36021</v>
      </c>
      <c r="E608" s="5">
        <v>45906</v>
      </c>
      <c r="F608" s="5">
        <v>45922</v>
      </c>
      <c r="G608" t="s">
        <v>62</v>
      </c>
      <c r="H608" t="s">
        <v>78</v>
      </c>
      <c r="I608" t="s">
        <v>119</v>
      </c>
      <c r="J608" t="s">
        <v>64</v>
      </c>
      <c r="K608" t="s">
        <v>161</v>
      </c>
      <c r="L608" s="6">
        <v>19164.740000000002</v>
      </c>
      <c r="M608">
        <v>14011.28</v>
      </c>
      <c r="N608" t="s">
        <v>73</v>
      </c>
      <c r="O608">
        <v>16</v>
      </c>
      <c r="P608">
        <v>121</v>
      </c>
      <c r="Q608">
        <v>5</v>
      </c>
      <c r="R608">
        <v>180</v>
      </c>
      <c r="S608">
        <v>256.89999999999998</v>
      </c>
      <c r="T608" t="s">
        <v>37</v>
      </c>
      <c r="U608" s="7">
        <f t="shared" si="36"/>
        <v>27</v>
      </c>
      <c r="V608" s="7">
        <f t="shared" si="37"/>
        <v>16</v>
      </c>
      <c r="W608" s="6">
        <f t="shared" si="38"/>
        <v>5153.4600000000009</v>
      </c>
      <c r="X608" t="str">
        <f t="shared" si="39"/>
        <v>Adult</v>
      </c>
    </row>
    <row r="609" spans="1:24">
      <c r="A609" t="s">
        <v>1584</v>
      </c>
      <c r="B609" t="s">
        <v>1153</v>
      </c>
      <c r="C609" t="s">
        <v>40</v>
      </c>
      <c r="D609" s="5">
        <v>31113</v>
      </c>
      <c r="E609" s="5">
        <v>45089</v>
      </c>
      <c r="F609" s="5">
        <v>45095</v>
      </c>
      <c r="G609" t="s">
        <v>105</v>
      </c>
      <c r="H609" t="s">
        <v>32</v>
      </c>
      <c r="I609" t="s">
        <v>25</v>
      </c>
      <c r="J609" t="s">
        <v>71</v>
      </c>
      <c r="K609" t="s">
        <v>120</v>
      </c>
      <c r="L609" s="6">
        <v>112913.55</v>
      </c>
      <c r="M609">
        <v>78946.89</v>
      </c>
      <c r="N609" t="s">
        <v>192</v>
      </c>
      <c r="O609">
        <v>6</v>
      </c>
      <c r="P609">
        <v>72</v>
      </c>
      <c r="Q609">
        <v>3</v>
      </c>
      <c r="R609">
        <v>171</v>
      </c>
      <c r="S609">
        <v>224.3</v>
      </c>
      <c r="T609" t="s">
        <v>37</v>
      </c>
      <c r="U609" s="7">
        <f t="shared" si="36"/>
        <v>38</v>
      </c>
      <c r="V609" s="7">
        <f t="shared" si="37"/>
        <v>6</v>
      </c>
      <c r="W609" s="6">
        <f t="shared" si="38"/>
        <v>33966.660000000003</v>
      </c>
      <c r="X609" t="str">
        <f t="shared" si="39"/>
        <v>Adult</v>
      </c>
    </row>
    <row r="610" spans="1:24">
      <c r="A610" t="s">
        <v>1586</v>
      </c>
      <c r="B610" t="s">
        <v>1587</v>
      </c>
      <c r="C610" t="s">
        <v>40</v>
      </c>
      <c r="D610" s="5">
        <v>19589</v>
      </c>
      <c r="E610" s="5">
        <v>45644</v>
      </c>
      <c r="F610" s="5">
        <v>45650</v>
      </c>
      <c r="G610" t="s">
        <v>109</v>
      </c>
      <c r="H610" t="s">
        <v>95</v>
      </c>
      <c r="I610" t="s">
        <v>53</v>
      </c>
      <c r="J610" t="s">
        <v>71</v>
      </c>
      <c r="K610" t="s">
        <v>161</v>
      </c>
      <c r="L610" s="6">
        <v>34159.379999999997</v>
      </c>
      <c r="M610">
        <v>25180.94</v>
      </c>
      <c r="N610" t="s">
        <v>73</v>
      </c>
      <c r="O610">
        <v>6</v>
      </c>
      <c r="P610">
        <v>197</v>
      </c>
      <c r="Q610">
        <v>4</v>
      </c>
      <c r="R610">
        <v>154</v>
      </c>
      <c r="S610">
        <v>131.6</v>
      </c>
      <c r="T610" t="s">
        <v>65</v>
      </c>
      <c r="U610" s="7">
        <f t="shared" si="36"/>
        <v>71</v>
      </c>
      <c r="V610" s="7">
        <f t="shared" si="37"/>
        <v>6</v>
      </c>
      <c r="W610" s="6">
        <f t="shared" si="38"/>
        <v>8978.4399999999987</v>
      </c>
      <c r="X610" t="str">
        <f t="shared" si="39"/>
        <v>Senior</v>
      </c>
    </row>
    <row r="611" spans="1:24">
      <c r="A611" t="s">
        <v>1589</v>
      </c>
      <c r="B611" t="s">
        <v>1590</v>
      </c>
      <c r="C611" t="s">
        <v>133</v>
      </c>
      <c r="D611" s="5">
        <v>40273</v>
      </c>
      <c r="E611" s="5">
        <v>45843</v>
      </c>
      <c r="F611" s="5">
        <v>45853</v>
      </c>
      <c r="G611" t="s">
        <v>117</v>
      </c>
      <c r="H611" t="s">
        <v>78</v>
      </c>
      <c r="I611" t="s">
        <v>33</v>
      </c>
      <c r="J611" t="s">
        <v>64</v>
      </c>
      <c r="K611" t="s">
        <v>110</v>
      </c>
      <c r="L611" s="6">
        <v>184026.36</v>
      </c>
      <c r="M611">
        <v>153703.42000000001</v>
      </c>
      <c r="N611" t="s">
        <v>56</v>
      </c>
      <c r="O611">
        <v>10</v>
      </c>
      <c r="P611">
        <v>235</v>
      </c>
      <c r="Q611">
        <v>4</v>
      </c>
      <c r="R611">
        <v>187</v>
      </c>
      <c r="S611">
        <v>109.2</v>
      </c>
      <c r="T611" t="s">
        <v>4237</v>
      </c>
      <c r="U611" s="7">
        <f t="shared" si="36"/>
        <v>15</v>
      </c>
      <c r="V611" s="7">
        <f t="shared" si="37"/>
        <v>10</v>
      </c>
      <c r="W611" s="6">
        <f t="shared" si="38"/>
        <v>30322.939999999973</v>
      </c>
      <c r="X611" t="str">
        <f t="shared" si="39"/>
        <v>Child</v>
      </c>
    </row>
    <row r="612" spans="1:24">
      <c r="A612" t="s">
        <v>1591</v>
      </c>
      <c r="B612" t="s">
        <v>88</v>
      </c>
      <c r="C612" t="s">
        <v>40</v>
      </c>
      <c r="D612" s="5">
        <v>32332</v>
      </c>
      <c r="E612" s="5">
        <v>45012</v>
      </c>
      <c r="F612" s="5">
        <v>45021</v>
      </c>
      <c r="G612" t="s">
        <v>152</v>
      </c>
      <c r="H612" t="s">
        <v>86</v>
      </c>
      <c r="I612" t="s">
        <v>33</v>
      </c>
      <c r="J612" t="s">
        <v>34</v>
      </c>
      <c r="K612" t="s">
        <v>27</v>
      </c>
      <c r="L612" s="6">
        <v>153198</v>
      </c>
      <c r="M612">
        <v>122175.39</v>
      </c>
      <c r="N612" t="s">
        <v>73</v>
      </c>
      <c r="O612">
        <v>9</v>
      </c>
      <c r="P612">
        <v>144</v>
      </c>
      <c r="Q612">
        <v>4</v>
      </c>
      <c r="R612">
        <v>108</v>
      </c>
      <c r="S612">
        <v>120.7</v>
      </c>
      <c r="T612" t="s">
        <v>47</v>
      </c>
      <c r="U612" s="7">
        <f t="shared" si="36"/>
        <v>34</v>
      </c>
      <c r="V612" s="7">
        <f t="shared" si="37"/>
        <v>9</v>
      </c>
      <c r="W612" s="6">
        <f t="shared" si="38"/>
        <v>31022.61</v>
      </c>
      <c r="X612" t="str">
        <f t="shared" si="39"/>
        <v>Adult</v>
      </c>
    </row>
    <row r="613" spans="1:24">
      <c r="A613" t="s">
        <v>1594</v>
      </c>
      <c r="B613" t="s">
        <v>67</v>
      </c>
      <c r="C613" t="s">
        <v>133</v>
      </c>
      <c r="D613" s="5">
        <v>30009</v>
      </c>
      <c r="E613" s="5">
        <v>45797</v>
      </c>
      <c r="F613" s="5">
        <v>45809</v>
      </c>
      <c r="G613" t="s">
        <v>109</v>
      </c>
      <c r="H613" t="s">
        <v>44</v>
      </c>
      <c r="I613" t="s">
        <v>96</v>
      </c>
      <c r="J613" t="s">
        <v>46</v>
      </c>
      <c r="K613" t="s">
        <v>55</v>
      </c>
      <c r="L613" s="6">
        <v>123663.9</v>
      </c>
      <c r="M613">
        <v>45752.56</v>
      </c>
      <c r="N613" t="s">
        <v>73</v>
      </c>
      <c r="O613">
        <v>12</v>
      </c>
      <c r="P613">
        <v>141</v>
      </c>
      <c r="Q613">
        <v>4</v>
      </c>
      <c r="R613">
        <v>158</v>
      </c>
      <c r="S613">
        <v>237</v>
      </c>
      <c r="T613" t="s">
        <v>4237</v>
      </c>
      <c r="U613" s="7">
        <f t="shared" si="36"/>
        <v>43</v>
      </c>
      <c r="V613" s="7">
        <f t="shared" si="37"/>
        <v>12</v>
      </c>
      <c r="W613" s="6">
        <f t="shared" si="38"/>
        <v>77911.34</v>
      </c>
      <c r="X613" t="str">
        <f t="shared" si="39"/>
        <v>Middle Age</v>
      </c>
    </row>
    <row r="614" spans="1:24">
      <c r="A614" t="s">
        <v>1597</v>
      </c>
      <c r="B614" t="s">
        <v>1598</v>
      </c>
      <c r="C614" t="s">
        <v>40</v>
      </c>
      <c r="D614" s="5">
        <v>20897</v>
      </c>
      <c r="E614" s="5">
        <v>45861</v>
      </c>
      <c r="F614" s="5">
        <v>45878</v>
      </c>
      <c r="G614" t="s">
        <v>109</v>
      </c>
      <c r="H614" t="s">
        <v>134</v>
      </c>
      <c r="I614" t="s">
        <v>79</v>
      </c>
      <c r="J614" t="s">
        <v>64</v>
      </c>
      <c r="K614" t="s">
        <v>161</v>
      </c>
      <c r="L614" s="6">
        <v>143054.89000000001</v>
      </c>
      <c r="M614">
        <v>135419.91</v>
      </c>
      <c r="N614" t="s">
        <v>35</v>
      </c>
      <c r="O614">
        <v>17</v>
      </c>
      <c r="P614">
        <v>140</v>
      </c>
      <c r="Q614">
        <v>4</v>
      </c>
      <c r="R614">
        <v>189</v>
      </c>
      <c r="S614">
        <v>99.5</v>
      </c>
      <c r="T614" t="s">
        <v>4237</v>
      </c>
      <c r="U614" s="7">
        <f t="shared" si="36"/>
        <v>68</v>
      </c>
      <c r="V614" s="7">
        <f t="shared" si="37"/>
        <v>17</v>
      </c>
      <c r="W614" s="6">
        <f t="shared" si="38"/>
        <v>7634.9800000000105</v>
      </c>
      <c r="X614" t="str">
        <f t="shared" si="39"/>
        <v>Senior</v>
      </c>
    </row>
    <row r="615" spans="1:24">
      <c r="A615" t="s">
        <v>4136</v>
      </c>
      <c r="B615" t="s">
        <v>321</v>
      </c>
      <c r="C615" t="s">
        <v>40</v>
      </c>
      <c r="D615" s="5">
        <v>38706</v>
      </c>
      <c r="E615" s="5">
        <v>45707</v>
      </c>
      <c r="F615" s="5">
        <v>45716</v>
      </c>
      <c r="G615" t="s">
        <v>62</v>
      </c>
      <c r="H615" t="s">
        <v>86</v>
      </c>
      <c r="I615" t="s">
        <v>45</v>
      </c>
      <c r="J615" t="s">
        <v>64</v>
      </c>
      <c r="K615" t="s">
        <v>55</v>
      </c>
      <c r="L615" s="6">
        <v>113758.79</v>
      </c>
      <c r="M615">
        <v>78900.34</v>
      </c>
      <c r="N615" t="s">
        <v>4237</v>
      </c>
      <c r="O615">
        <v>9</v>
      </c>
      <c r="P615">
        <v>150</v>
      </c>
      <c r="Q615">
        <v>2</v>
      </c>
      <c r="R615">
        <v>109</v>
      </c>
      <c r="S615">
        <v>255.4</v>
      </c>
      <c r="T615" t="s">
        <v>4237</v>
      </c>
      <c r="U615" s="7">
        <f t="shared" si="36"/>
        <v>19</v>
      </c>
      <c r="V615" s="7">
        <f t="shared" si="37"/>
        <v>9</v>
      </c>
      <c r="W615" s="6">
        <f t="shared" si="38"/>
        <v>34858.449999999997</v>
      </c>
      <c r="X615" t="str">
        <f t="shared" si="39"/>
        <v>Adult</v>
      </c>
    </row>
    <row r="616" spans="1:24">
      <c r="A616" t="s">
        <v>1600</v>
      </c>
      <c r="B616" t="s">
        <v>438</v>
      </c>
      <c r="C616" t="s">
        <v>133</v>
      </c>
      <c r="D616" s="5">
        <v>20847</v>
      </c>
      <c r="E616" s="5">
        <v>45166</v>
      </c>
      <c r="F616" s="5">
        <v>45167</v>
      </c>
      <c r="G616" t="s">
        <v>62</v>
      </c>
      <c r="H616" t="s">
        <v>24</v>
      </c>
      <c r="I616" t="s">
        <v>25</v>
      </c>
      <c r="J616" t="s">
        <v>26</v>
      </c>
      <c r="K616" t="s">
        <v>55</v>
      </c>
      <c r="L616" s="6">
        <v>173687.08</v>
      </c>
      <c r="M616">
        <v>138337.09</v>
      </c>
      <c r="N616" t="s">
        <v>35</v>
      </c>
      <c r="O616">
        <v>1</v>
      </c>
      <c r="P616">
        <v>102</v>
      </c>
      <c r="Q616">
        <v>2</v>
      </c>
      <c r="R616">
        <v>95</v>
      </c>
      <c r="S616">
        <v>242.9</v>
      </c>
      <c r="T616" t="s">
        <v>37</v>
      </c>
      <c r="U616" s="7">
        <f t="shared" si="36"/>
        <v>66</v>
      </c>
      <c r="V616" s="7">
        <f t="shared" si="37"/>
        <v>1</v>
      </c>
      <c r="W616" s="6">
        <f t="shared" si="38"/>
        <v>35349.989999999991</v>
      </c>
      <c r="X616" t="str">
        <f t="shared" si="39"/>
        <v>Senior</v>
      </c>
    </row>
    <row r="617" spans="1:24">
      <c r="A617" t="s">
        <v>1601</v>
      </c>
      <c r="B617" t="s">
        <v>1108</v>
      </c>
      <c r="C617" t="s">
        <v>133</v>
      </c>
      <c r="D617" s="5">
        <v>33349</v>
      </c>
      <c r="E617" s="5">
        <v>45101</v>
      </c>
      <c r="F617" s="5">
        <v>45118</v>
      </c>
      <c r="G617" t="s">
        <v>94</v>
      </c>
      <c r="H617" t="s">
        <v>24</v>
      </c>
      <c r="I617" t="s">
        <v>96</v>
      </c>
      <c r="J617" t="s">
        <v>34</v>
      </c>
      <c r="K617" t="s">
        <v>120</v>
      </c>
      <c r="L617" s="6">
        <v>196302</v>
      </c>
      <c r="M617">
        <v>157671.51999999999</v>
      </c>
      <c r="N617" t="s">
        <v>73</v>
      </c>
      <c r="O617">
        <v>17</v>
      </c>
      <c r="P617">
        <v>54</v>
      </c>
      <c r="Q617">
        <v>5</v>
      </c>
      <c r="R617">
        <v>129</v>
      </c>
      <c r="S617">
        <v>147.6</v>
      </c>
      <c r="T617" t="s">
        <v>37</v>
      </c>
      <c r="U617" s="7">
        <f t="shared" si="36"/>
        <v>32</v>
      </c>
      <c r="V617" s="7">
        <f t="shared" si="37"/>
        <v>17</v>
      </c>
      <c r="W617" s="6">
        <f t="shared" si="38"/>
        <v>38630.48000000001</v>
      </c>
      <c r="X617" t="str">
        <f t="shared" si="39"/>
        <v>Adult</v>
      </c>
    </row>
    <row r="618" spans="1:24">
      <c r="A618" t="s">
        <v>1603</v>
      </c>
      <c r="B618" t="s">
        <v>622</v>
      </c>
      <c r="C618" t="s">
        <v>40</v>
      </c>
      <c r="D618" s="5">
        <v>27268</v>
      </c>
      <c r="E618" s="5">
        <v>45079</v>
      </c>
      <c r="F618" s="5" t="s">
        <v>4237</v>
      </c>
      <c r="G618" t="s">
        <v>161</v>
      </c>
      <c r="H618" t="s">
        <v>24</v>
      </c>
      <c r="I618" t="s">
        <v>79</v>
      </c>
      <c r="J618" t="s">
        <v>34</v>
      </c>
      <c r="K618" t="s">
        <v>120</v>
      </c>
      <c r="L618" s="6">
        <v>243179.92</v>
      </c>
      <c r="M618">
        <v>168872.21</v>
      </c>
      <c r="N618" t="s">
        <v>192</v>
      </c>
      <c r="O618">
        <v>11</v>
      </c>
      <c r="P618">
        <v>73</v>
      </c>
      <c r="Q618">
        <v>2</v>
      </c>
      <c r="R618">
        <v>99</v>
      </c>
      <c r="S618">
        <v>72.5</v>
      </c>
      <c r="T618" t="s">
        <v>4237</v>
      </c>
      <c r="U618" s="7">
        <f t="shared" si="36"/>
        <v>48</v>
      </c>
      <c r="V618" s="7" t="s">
        <v>4237</v>
      </c>
      <c r="W618" s="6">
        <f t="shared" si="38"/>
        <v>74307.710000000021</v>
      </c>
      <c r="X618" t="str">
        <f t="shared" si="39"/>
        <v>Middle Age</v>
      </c>
    </row>
    <row r="619" spans="1:24">
      <c r="A619" t="s">
        <v>1605</v>
      </c>
      <c r="B619" t="s">
        <v>613</v>
      </c>
      <c r="C619" t="s">
        <v>133</v>
      </c>
      <c r="D619" s="5">
        <v>37509</v>
      </c>
      <c r="E619" s="5">
        <v>45888</v>
      </c>
      <c r="F619" s="5">
        <v>45890</v>
      </c>
      <c r="G619" t="s">
        <v>152</v>
      </c>
      <c r="H619" t="s">
        <v>63</v>
      </c>
      <c r="I619" t="s">
        <v>45</v>
      </c>
      <c r="J619" t="s">
        <v>64</v>
      </c>
      <c r="K619" t="s">
        <v>110</v>
      </c>
      <c r="L619" s="6">
        <v>106373.38</v>
      </c>
      <c r="M619">
        <v>83849.919999999998</v>
      </c>
      <c r="N619" t="s">
        <v>192</v>
      </c>
      <c r="O619">
        <v>2</v>
      </c>
      <c r="P619">
        <v>41</v>
      </c>
      <c r="Q619">
        <v>4</v>
      </c>
      <c r="R619">
        <v>158</v>
      </c>
      <c r="S619">
        <v>207.9</v>
      </c>
      <c r="T619" t="s">
        <v>37</v>
      </c>
      <c r="U619" s="7">
        <f t="shared" si="36"/>
        <v>22</v>
      </c>
      <c r="V619" s="7">
        <f t="shared" si="37"/>
        <v>2</v>
      </c>
      <c r="W619" s="6">
        <f t="shared" si="38"/>
        <v>22523.460000000006</v>
      </c>
      <c r="X619" t="str">
        <f t="shared" si="39"/>
        <v>Adult</v>
      </c>
    </row>
    <row r="620" spans="1:24">
      <c r="A620" t="s">
        <v>1607</v>
      </c>
      <c r="B620" t="s">
        <v>825</v>
      </c>
      <c r="C620" t="s">
        <v>133</v>
      </c>
      <c r="D620" s="5">
        <v>19876</v>
      </c>
      <c r="E620" s="5">
        <v>45686</v>
      </c>
      <c r="F620" s="5">
        <v>45700</v>
      </c>
      <c r="G620" t="s">
        <v>77</v>
      </c>
      <c r="H620" t="s">
        <v>78</v>
      </c>
      <c r="I620" t="s">
        <v>33</v>
      </c>
      <c r="J620" t="s">
        <v>64</v>
      </c>
      <c r="K620" t="s">
        <v>55</v>
      </c>
      <c r="L620" s="6">
        <v>114981.49</v>
      </c>
      <c r="M620">
        <v>77228.639999999999</v>
      </c>
      <c r="N620" t="s">
        <v>192</v>
      </c>
      <c r="O620">
        <v>14</v>
      </c>
      <c r="P620">
        <v>157</v>
      </c>
      <c r="Q620">
        <v>4</v>
      </c>
      <c r="R620">
        <v>141</v>
      </c>
      <c r="S620">
        <v>74.2</v>
      </c>
      <c r="T620" t="s">
        <v>37</v>
      </c>
      <c r="U620" s="7">
        <f t="shared" si="36"/>
        <v>70</v>
      </c>
      <c r="V620" s="7">
        <f t="shared" si="37"/>
        <v>14</v>
      </c>
      <c r="W620" s="6">
        <f t="shared" si="38"/>
        <v>37752.850000000006</v>
      </c>
      <c r="X620" t="str">
        <f t="shared" si="39"/>
        <v>Senior</v>
      </c>
    </row>
    <row r="621" spans="1:24">
      <c r="A621" t="s">
        <v>1610</v>
      </c>
      <c r="B621" t="s">
        <v>332</v>
      </c>
      <c r="C621" t="s">
        <v>133</v>
      </c>
      <c r="D621" s="5">
        <v>36080</v>
      </c>
      <c r="E621" s="5" t="s">
        <v>4237</v>
      </c>
      <c r="F621" s="5">
        <v>45215</v>
      </c>
      <c r="G621" t="s">
        <v>105</v>
      </c>
      <c r="H621" t="s">
        <v>63</v>
      </c>
      <c r="I621" t="s">
        <v>119</v>
      </c>
      <c r="J621" t="s">
        <v>26</v>
      </c>
      <c r="K621" t="s">
        <v>120</v>
      </c>
      <c r="L621" s="6">
        <v>116491.23</v>
      </c>
      <c r="M621">
        <v>87120.81</v>
      </c>
      <c r="N621" t="s">
        <v>192</v>
      </c>
      <c r="O621">
        <v>3</v>
      </c>
      <c r="P621">
        <v>28</v>
      </c>
      <c r="Q621">
        <v>3</v>
      </c>
      <c r="R621">
        <v>152</v>
      </c>
      <c r="S621">
        <v>126.4</v>
      </c>
      <c r="T621" t="s">
        <v>37</v>
      </c>
      <c r="U621" s="7" t="s">
        <v>4237</v>
      </c>
      <c r="V621" s="7" t="s">
        <v>4237</v>
      </c>
      <c r="W621" s="6">
        <f t="shared" si="38"/>
        <v>29370.42</v>
      </c>
      <c r="X621" t="s">
        <v>4237</v>
      </c>
    </row>
    <row r="622" spans="1:24">
      <c r="A622" t="s">
        <v>1612</v>
      </c>
      <c r="B622" t="s">
        <v>871</v>
      </c>
      <c r="C622" t="s">
        <v>133</v>
      </c>
      <c r="D622" s="5">
        <v>32366</v>
      </c>
      <c r="E622" s="5">
        <v>45976</v>
      </c>
      <c r="F622" s="5">
        <v>45979</v>
      </c>
      <c r="G622" t="s">
        <v>94</v>
      </c>
      <c r="H622" t="s">
        <v>153</v>
      </c>
      <c r="I622" t="s">
        <v>96</v>
      </c>
      <c r="J622" t="s">
        <v>64</v>
      </c>
      <c r="K622" t="s">
        <v>120</v>
      </c>
      <c r="L622" s="6">
        <v>68434.259999999995</v>
      </c>
      <c r="M622">
        <v>50064.5</v>
      </c>
      <c r="N622" t="s">
        <v>35</v>
      </c>
      <c r="O622">
        <v>3</v>
      </c>
      <c r="P622">
        <v>146</v>
      </c>
      <c r="Q622">
        <v>5</v>
      </c>
      <c r="R622">
        <v>177</v>
      </c>
      <c r="S622">
        <v>163.5</v>
      </c>
      <c r="T622" t="s">
        <v>37</v>
      </c>
      <c r="U622" s="7">
        <f t="shared" si="36"/>
        <v>37</v>
      </c>
      <c r="V622" s="7">
        <f t="shared" si="37"/>
        <v>3</v>
      </c>
      <c r="W622" s="6">
        <f t="shared" si="38"/>
        <v>18369.759999999995</v>
      </c>
      <c r="X622" t="str">
        <f t="shared" si="39"/>
        <v>Adult</v>
      </c>
    </row>
    <row r="623" spans="1:24">
      <c r="A623" t="s">
        <v>1615</v>
      </c>
      <c r="B623" t="s">
        <v>1167</v>
      </c>
      <c r="C623" t="s">
        <v>133</v>
      </c>
      <c r="D623" s="5">
        <v>23722</v>
      </c>
      <c r="E623" s="5">
        <v>45766</v>
      </c>
      <c r="F623" s="5">
        <v>45775</v>
      </c>
      <c r="G623" t="s">
        <v>77</v>
      </c>
      <c r="H623" t="s">
        <v>124</v>
      </c>
      <c r="I623" t="s">
        <v>45</v>
      </c>
      <c r="J623" t="s">
        <v>97</v>
      </c>
      <c r="K623" t="s">
        <v>55</v>
      </c>
      <c r="L623" s="6">
        <v>71415.42</v>
      </c>
      <c r="M623">
        <v>67679.37</v>
      </c>
      <c r="N623" t="s">
        <v>56</v>
      </c>
      <c r="O623">
        <v>9</v>
      </c>
      <c r="P623">
        <v>133</v>
      </c>
      <c r="Q623">
        <v>3</v>
      </c>
      <c r="R623">
        <v>161</v>
      </c>
      <c r="S623">
        <v>186.1</v>
      </c>
      <c r="T623" t="s">
        <v>4237</v>
      </c>
      <c r="U623" s="7">
        <f t="shared" si="36"/>
        <v>60</v>
      </c>
      <c r="V623" s="7">
        <f t="shared" si="37"/>
        <v>9</v>
      </c>
      <c r="W623" s="6">
        <f t="shared" si="38"/>
        <v>3736.0500000000029</v>
      </c>
      <c r="X623" t="str">
        <f t="shared" si="39"/>
        <v>Senior</v>
      </c>
    </row>
    <row r="624" spans="1:24">
      <c r="A624" t="s">
        <v>1616</v>
      </c>
      <c r="B624" t="s">
        <v>363</v>
      </c>
      <c r="C624" t="s">
        <v>133</v>
      </c>
      <c r="D624" s="5">
        <v>40447</v>
      </c>
      <c r="E624" s="5">
        <v>45691</v>
      </c>
      <c r="F624" s="5">
        <v>45692</v>
      </c>
      <c r="G624" t="s">
        <v>152</v>
      </c>
      <c r="H624" t="s">
        <v>78</v>
      </c>
      <c r="I624" t="s">
        <v>119</v>
      </c>
      <c r="J624" t="s">
        <v>64</v>
      </c>
      <c r="K624" t="s">
        <v>120</v>
      </c>
      <c r="L624" s="6">
        <v>161266.4</v>
      </c>
      <c r="M624">
        <v>117311.64</v>
      </c>
      <c r="N624" t="s">
        <v>73</v>
      </c>
      <c r="O624">
        <v>1</v>
      </c>
      <c r="P624">
        <v>152</v>
      </c>
      <c r="Q624">
        <v>5</v>
      </c>
      <c r="R624">
        <v>90</v>
      </c>
      <c r="S624">
        <v>186</v>
      </c>
      <c r="T624" t="s">
        <v>37</v>
      </c>
      <c r="U624" s="7">
        <f t="shared" si="36"/>
        <v>14</v>
      </c>
      <c r="V624" s="7">
        <f t="shared" si="37"/>
        <v>1</v>
      </c>
      <c r="W624" s="6">
        <f t="shared" si="38"/>
        <v>43954.759999999995</v>
      </c>
      <c r="X624" t="str">
        <f t="shared" si="39"/>
        <v>Child</v>
      </c>
    </row>
    <row r="625" spans="1:24">
      <c r="A625" t="s">
        <v>1618</v>
      </c>
      <c r="B625" t="s">
        <v>624</v>
      </c>
      <c r="C625" t="s">
        <v>133</v>
      </c>
      <c r="D625" s="5">
        <v>19209</v>
      </c>
      <c r="E625" s="5">
        <v>45808</v>
      </c>
      <c r="F625" s="5">
        <v>45819</v>
      </c>
      <c r="G625" t="s">
        <v>152</v>
      </c>
      <c r="H625" t="s">
        <v>32</v>
      </c>
      <c r="I625" t="s">
        <v>96</v>
      </c>
      <c r="J625" t="s">
        <v>26</v>
      </c>
      <c r="K625" t="s">
        <v>55</v>
      </c>
      <c r="L625" s="6">
        <v>219621</v>
      </c>
      <c r="M625">
        <v>184922.21</v>
      </c>
      <c r="N625" t="s">
        <v>192</v>
      </c>
      <c r="O625">
        <v>11</v>
      </c>
      <c r="P625">
        <v>148</v>
      </c>
      <c r="Q625">
        <v>5</v>
      </c>
      <c r="R625">
        <v>179</v>
      </c>
      <c r="S625">
        <v>125.7</v>
      </c>
      <c r="T625" t="s">
        <v>4237</v>
      </c>
      <c r="U625" s="7">
        <f t="shared" si="36"/>
        <v>72</v>
      </c>
      <c r="V625" s="7">
        <f t="shared" si="37"/>
        <v>11</v>
      </c>
      <c r="W625" s="6">
        <f t="shared" si="38"/>
        <v>34698.790000000008</v>
      </c>
      <c r="X625" t="str">
        <f t="shared" si="39"/>
        <v>Senior</v>
      </c>
    </row>
    <row r="626" spans="1:24">
      <c r="A626" t="s">
        <v>1620</v>
      </c>
      <c r="B626" t="s">
        <v>155</v>
      </c>
      <c r="C626" t="s">
        <v>40</v>
      </c>
      <c r="D626" s="5">
        <v>39888</v>
      </c>
      <c r="E626" s="5">
        <v>45341</v>
      </c>
      <c r="F626" s="5">
        <v>45351</v>
      </c>
      <c r="G626" t="s">
        <v>161</v>
      </c>
      <c r="H626" t="s">
        <v>86</v>
      </c>
      <c r="I626" t="s">
        <v>33</v>
      </c>
      <c r="J626" t="s">
        <v>179</v>
      </c>
      <c r="K626" t="s">
        <v>120</v>
      </c>
      <c r="L626" s="6">
        <v>66309.69</v>
      </c>
      <c r="M626">
        <v>49474.9</v>
      </c>
      <c r="N626" t="s">
        <v>192</v>
      </c>
      <c r="O626">
        <v>10</v>
      </c>
      <c r="P626">
        <v>203</v>
      </c>
      <c r="Q626">
        <v>4</v>
      </c>
      <c r="R626">
        <v>174</v>
      </c>
      <c r="S626">
        <v>186</v>
      </c>
      <c r="T626" t="s">
        <v>47</v>
      </c>
      <c r="U626" s="7">
        <f t="shared" si="36"/>
        <v>14</v>
      </c>
      <c r="V626" s="7">
        <f t="shared" si="37"/>
        <v>10</v>
      </c>
      <c r="W626" s="6">
        <f t="shared" si="38"/>
        <v>16834.79</v>
      </c>
      <c r="X626" t="str">
        <f t="shared" si="39"/>
        <v>Child</v>
      </c>
    </row>
    <row r="627" spans="1:24">
      <c r="A627" t="s">
        <v>1621</v>
      </c>
      <c r="B627" t="s">
        <v>1622</v>
      </c>
      <c r="C627" t="s">
        <v>40</v>
      </c>
      <c r="D627" s="5">
        <v>19568</v>
      </c>
      <c r="E627" s="5">
        <v>45486</v>
      </c>
      <c r="F627" s="5">
        <v>45504</v>
      </c>
      <c r="G627" t="s">
        <v>161</v>
      </c>
      <c r="H627" t="s">
        <v>134</v>
      </c>
      <c r="I627" t="s">
        <v>33</v>
      </c>
      <c r="J627" t="s">
        <v>80</v>
      </c>
      <c r="K627" t="s">
        <v>110</v>
      </c>
      <c r="L627" s="6">
        <v>148100.79</v>
      </c>
      <c r="M627">
        <v>147644.32999999999</v>
      </c>
      <c r="N627" t="s">
        <v>56</v>
      </c>
      <c r="O627">
        <v>18</v>
      </c>
      <c r="P627">
        <v>69</v>
      </c>
      <c r="Q627">
        <v>5</v>
      </c>
      <c r="R627">
        <v>159</v>
      </c>
      <c r="S627">
        <v>165.6</v>
      </c>
      <c r="T627" t="s">
        <v>37</v>
      </c>
      <c r="U627" s="7">
        <f t="shared" si="36"/>
        <v>70</v>
      </c>
      <c r="V627" s="7">
        <f t="shared" si="37"/>
        <v>18</v>
      </c>
      <c r="W627" s="6">
        <f t="shared" si="38"/>
        <v>456.46000000002095</v>
      </c>
      <c r="X627" t="str">
        <f t="shared" si="39"/>
        <v>Senior</v>
      </c>
    </row>
    <row r="628" spans="1:24">
      <c r="A628" t="s">
        <v>1625</v>
      </c>
      <c r="B628" t="s">
        <v>1001</v>
      </c>
      <c r="C628" t="s">
        <v>40</v>
      </c>
      <c r="D628" s="5">
        <v>37477</v>
      </c>
      <c r="E628" s="5">
        <v>45029</v>
      </c>
      <c r="F628" s="5">
        <v>45042</v>
      </c>
      <c r="G628" t="s">
        <v>117</v>
      </c>
      <c r="H628" t="s">
        <v>63</v>
      </c>
      <c r="I628" t="s">
        <v>119</v>
      </c>
      <c r="J628" t="s">
        <v>26</v>
      </c>
      <c r="K628" t="s">
        <v>120</v>
      </c>
      <c r="L628" s="6">
        <v>92644.96</v>
      </c>
      <c r="M628">
        <v>65819.14</v>
      </c>
      <c r="N628" t="s">
        <v>35</v>
      </c>
      <c r="O628">
        <v>13</v>
      </c>
      <c r="P628">
        <v>149</v>
      </c>
      <c r="Q628">
        <v>3</v>
      </c>
      <c r="R628">
        <v>183</v>
      </c>
      <c r="S628">
        <v>226.7</v>
      </c>
      <c r="T628" t="s">
        <v>37</v>
      </c>
      <c r="U628" s="7">
        <f t="shared" si="36"/>
        <v>20</v>
      </c>
      <c r="V628" s="7">
        <f t="shared" si="37"/>
        <v>13</v>
      </c>
      <c r="W628" s="6">
        <f t="shared" si="38"/>
        <v>26825.820000000007</v>
      </c>
      <c r="X628" t="str">
        <f t="shared" si="39"/>
        <v>Adult</v>
      </c>
    </row>
    <row r="629" spans="1:24">
      <c r="A629" t="s">
        <v>1626</v>
      </c>
      <c r="B629" t="s">
        <v>1590</v>
      </c>
      <c r="C629" t="s">
        <v>40</v>
      </c>
      <c r="D629" s="5">
        <v>36416</v>
      </c>
      <c r="E629" s="5">
        <v>45121</v>
      </c>
      <c r="F629" s="5">
        <v>45122</v>
      </c>
      <c r="G629" t="s">
        <v>94</v>
      </c>
      <c r="H629" t="s">
        <v>44</v>
      </c>
      <c r="I629" t="s">
        <v>33</v>
      </c>
      <c r="J629" t="s">
        <v>34</v>
      </c>
      <c r="K629" t="s">
        <v>120</v>
      </c>
      <c r="L629" s="6">
        <v>15860.89</v>
      </c>
      <c r="M629">
        <v>98646.34</v>
      </c>
      <c r="N629" t="s">
        <v>91</v>
      </c>
      <c r="O629">
        <v>1</v>
      </c>
      <c r="P629">
        <v>167</v>
      </c>
      <c r="Q629">
        <v>1</v>
      </c>
      <c r="R629">
        <v>141</v>
      </c>
      <c r="S629">
        <v>206.2</v>
      </c>
      <c r="T629" t="s">
        <v>65</v>
      </c>
      <c r="U629" s="7">
        <f t="shared" si="36"/>
        <v>23</v>
      </c>
      <c r="V629" s="7">
        <f t="shared" si="37"/>
        <v>1</v>
      </c>
      <c r="W629" s="6">
        <f t="shared" si="38"/>
        <v>-82785.45</v>
      </c>
      <c r="X629" t="str">
        <f t="shared" si="39"/>
        <v>Adult</v>
      </c>
    </row>
    <row r="630" spans="1:24">
      <c r="A630" t="s">
        <v>1628</v>
      </c>
      <c r="B630" t="s">
        <v>1182</v>
      </c>
      <c r="C630" t="s">
        <v>40</v>
      </c>
      <c r="D630" s="5">
        <v>26299</v>
      </c>
      <c r="E630" s="5">
        <v>45250</v>
      </c>
      <c r="F630" s="5">
        <v>45264</v>
      </c>
      <c r="G630" t="s">
        <v>161</v>
      </c>
      <c r="H630" t="s">
        <v>24</v>
      </c>
      <c r="I630" t="s">
        <v>33</v>
      </c>
      <c r="J630" t="s">
        <v>64</v>
      </c>
      <c r="K630" t="s">
        <v>55</v>
      </c>
      <c r="L630" s="6">
        <v>29970.959999999999</v>
      </c>
      <c r="M630">
        <v>28737.57</v>
      </c>
      <c r="N630" t="s">
        <v>56</v>
      </c>
      <c r="O630">
        <v>14</v>
      </c>
      <c r="P630">
        <v>51</v>
      </c>
      <c r="Q630">
        <v>5</v>
      </c>
      <c r="R630">
        <v>173</v>
      </c>
      <c r="S630">
        <v>200.4</v>
      </c>
      <c r="T630" t="s">
        <v>37</v>
      </c>
      <c r="U630" s="7">
        <f t="shared" si="36"/>
        <v>51</v>
      </c>
      <c r="V630" s="7">
        <f t="shared" si="37"/>
        <v>14</v>
      </c>
      <c r="W630" s="6">
        <f t="shared" si="38"/>
        <v>1233.3899999999994</v>
      </c>
      <c r="X630" t="str">
        <f t="shared" si="39"/>
        <v>Middle Age</v>
      </c>
    </row>
    <row r="631" spans="1:24">
      <c r="A631" t="s">
        <v>1631</v>
      </c>
      <c r="B631" t="s">
        <v>234</v>
      </c>
      <c r="C631" t="s">
        <v>40</v>
      </c>
      <c r="D631" s="5">
        <v>19533</v>
      </c>
      <c r="E631" s="5">
        <v>45676</v>
      </c>
      <c r="F631" s="5">
        <v>45677</v>
      </c>
      <c r="G631" t="s">
        <v>152</v>
      </c>
      <c r="H631" t="s">
        <v>78</v>
      </c>
      <c r="I631" t="s">
        <v>33</v>
      </c>
      <c r="J631" t="s">
        <v>179</v>
      </c>
      <c r="K631" t="s">
        <v>120</v>
      </c>
      <c r="L631" s="6">
        <v>4906.38</v>
      </c>
      <c r="M631">
        <v>3665.24</v>
      </c>
      <c r="N631" t="s">
        <v>91</v>
      </c>
      <c r="O631">
        <v>1</v>
      </c>
      <c r="P631">
        <v>178</v>
      </c>
      <c r="Q631">
        <v>4</v>
      </c>
      <c r="R631">
        <v>128</v>
      </c>
      <c r="S631">
        <v>216.8</v>
      </c>
      <c r="T631" t="s">
        <v>37</v>
      </c>
      <c r="U631" s="7">
        <f t="shared" si="36"/>
        <v>71</v>
      </c>
      <c r="V631" s="7">
        <f t="shared" si="37"/>
        <v>1</v>
      </c>
      <c r="W631" s="6">
        <f t="shared" si="38"/>
        <v>1241.1400000000003</v>
      </c>
      <c r="X631" t="str">
        <f t="shared" si="39"/>
        <v>Senior</v>
      </c>
    </row>
    <row r="632" spans="1:24">
      <c r="A632" t="s">
        <v>1632</v>
      </c>
      <c r="B632" t="s">
        <v>1088</v>
      </c>
      <c r="C632" t="s">
        <v>133</v>
      </c>
      <c r="D632" s="5">
        <v>39486</v>
      </c>
      <c r="E632" s="5">
        <v>45616</v>
      </c>
      <c r="F632" s="5">
        <v>45622</v>
      </c>
      <c r="G632" t="s">
        <v>105</v>
      </c>
      <c r="H632" t="s">
        <v>63</v>
      </c>
      <c r="I632" t="s">
        <v>45</v>
      </c>
      <c r="J632" t="s">
        <v>46</v>
      </c>
      <c r="K632" t="s">
        <v>55</v>
      </c>
      <c r="L632" s="6">
        <v>172291.11</v>
      </c>
      <c r="M632">
        <v>128176.38</v>
      </c>
      <c r="N632" t="s">
        <v>35</v>
      </c>
      <c r="O632">
        <v>6</v>
      </c>
      <c r="P632">
        <v>97</v>
      </c>
      <c r="Q632">
        <v>4</v>
      </c>
      <c r="R632">
        <v>99</v>
      </c>
      <c r="S632">
        <v>76.3</v>
      </c>
      <c r="T632" t="s">
        <v>37</v>
      </c>
      <c r="U632" s="7">
        <f t="shared" si="36"/>
        <v>16</v>
      </c>
      <c r="V632" s="7">
        <f t="shared" si="37"/>
        <v>6</v>
      </c>
      <c r="W632" s="6">
        <f t="shared" si="38"/>
        <v>44114.729999999981</v>
      </c>
      <c r="X632" t="str">
        <f t="shared" si="39"/>
        <v>Child</v>
      </c>
    </row>
    <row r="633" spans="1:24">
      <c r="A633" t="s">
        <v>4137</v>
      </c>
      <c r="B633" t="s">
        <v>321</v>
      </c>
      <c r="C633" t="s">
        <v>40</v>
      </c>
      <c r="D633" s="5">
        <v>29473</v>
      </c>
      <c r="E633" s="5">
        <v>45183</v>
      </c>
      <c r="F633" s="5">
        <v>45190</v>
      </c>
      <c r="G633" t="s">
        <v>117</v>
      </c>
      <c r="H633" t="s">
        <v>24</v>
      </c>
      <c r="I633" t="s">
        <v>96</v>
      </c>
      <c r="J633" t="s">
        <v>71</v>
      </c>
      <c r="K633" t="s">
        <v>120</v>
      </c>
      <c r="L633" s="6">
        <v>146310.66</v>
      </c>
      <c r="M633">
        <v>140248.48000000001</v>
      </c>
      <c r="N633" t="s">
        <v>192</v>
      </c>
      <c r="O633">
        <v>7</v>
      </c>
      <c r="P633">
        <v>10</v>
      </c>
      <c r="Q633">
        <v>1</v>
      </c>
      <c r="R633">
        <v>140</v>
      </c>
      <c r="S633">
        <v>163.19999999999999</v>
      </c>
      <c r="T633" t="s">
        <v>37</v>
      </c>
      <c r="U633" s="7">
        <f t="shared" si="36"/>
        <v>43</v>
      </c>
      <c r="V633" s="7">
        <f t="shared" si="37"/>
        <v>7</v>
      </c>
      <c r="W633" s="6">
        <f t="shared" si="38"/>
        <v>6062.179999999993</v>
      </c>
      <c r="X633" t="str">
        <f t="shared" si="39"/>
        <v>Middle Age</v>
      </c>
    </row>
    <row r="634" spans="1:24">
      <c r="A634" t="s">
        <v>1637</v>
      </c>
      <c r="B634" t="s">
        <v>661</v>
      </c>
      <c r="C634" t="s">
        <v>40</v>
      </c>
      <c r="D634" s="5">
        <v>29107</v>
      </c>
      <c r="E634" s="5">
        <v>45303</v>
      </c>
      <c r="F634" s="5">
        <v>45305</v>
      </c>
      <c r="G634" t="s">
        <v>152</v>
      </c>
      <c r="H634" t="s">
        <v>118</v>
      </c>
      <c r="I634" t="s">
        <v>53</v>
      </c>
      <c r="J634" t="s">
        <v>80</v>
      </c>
      <c r="K634" t="s">
        <v>55</v>
      </c>
      <c r="L634" s="6">
        <v>197846.01</v>
      </c>
      <c r="M634">
        <v>158140.1</v>
      </c>
      <c r="N634" t="s">
        <v>35</v>
      </c>
      <c r="O634">
        <v>2</v>
      </c>
      <c r="P634">
        <v>29</v>
      </c>
      <c r="Q634">
        <v>2</v>
      </c>
      <c r="R634">
        <v>141</v>
      </c>
      <c r="S634">
        <v>210.1</v>
      </c>
      <c r="T634" t="s">
        <v>37</v>
      </c>
      <c r="U634" s="7">
        <f t="shared" si="36"/>
        <v>44</v>
      </c>
      <c r="V634" s="7">
        <f t="shared" si="37"/>
        <v>2</v>
      </c>
      <c r="W634" s="6">
        <f t="shared" si="38"/>
        <v>39705.910000000003</v>
      </c>
      <c r="X634" t="str">
        <f t="shared" si="39"/>
        <v>Middle Age</v>
      </c>
    </row>
    <row r="635" spans="1:24">
      <c r="A635" t="s">
        <v>4138</v>
      </c>
      <c r="B635" t="s">
        <v>29</v>
      </c>
      <c r="C635" t="s">
        <v>133</v>
      </c>
      <c r="D635" s="5">
        <v>27614</v>
      </c>
      <c r="E635" s="5">
        <v>45205</v>
      </c>
      <c r="F635" s="5">
        <v>45206</v>
      </c>
      <c r="G635" t="s">
        <v>152</v>
      </c>
      <c r="H635" t="s">
        <v>63</v>
      </c>
      <c r="I635" t="s">
        <v>33</v>
      </c>
      <c r="J635" t="s">
        <v>46</v>
      </c>
      <c r="K635" t="s">
        <v>110</v>
      </c>
      <c r="L635" s="6">
        <v>189173.68</v>
      </c>
      <c r="M635">
        <v>147602.87</v>
      </c>
      <c r="N635" t="s">
        <v>73</v>
      </c>
      <c r="O635">
        <v>1</v>
      </c>
      <c r="P635">
        <v>144</v>
      </c>
      <c r="Q635">
        <v>4</v>
      </c>
      <c r="R635">
        <v>131</v>
      </c>
      <c r="S635">
        <v>232.9</v>
      </c>
      <c r="T635" t="s">
        <v>47</v>
      </c>
      <c r="U635" s="7">
        <f t="shared" si="36"/>
        <v>48</v>
      </c>
      <c r="V635" s="7">
        <f t="shared" si="37"/>
        <v>1</v>
      </c>
      <c r="W635" s="6">
        <f t="shared" si="38"/>
        <v>41570.81</v>
      </c>
      <c r="X635" t="str">
        <f t="shared" si="39"/>
        <v>Middle Age</v>
      </c>
    </row>
    <row r="636" spans="1:24">
      <c r="A636" t="s">
        <v>1641</v>
      </c>
      <c r="B636" t="s">
        <v>1342</v>
      </c>
      <c r="C636" t="s">
        <v>133</v>
      </c>
      <c r="D636" s="5">
        <v>29018</v>
      </c>
      <c r="E636" s="5">
        <v>45700</v>
      </c>
      <c r="F636" s="5" t="s">
        <v>4237</v>
      </c>
      <c r="G636" t="s">
        <v>77</v>
      </c>
      <c r="H636" t="s">
        <v>32</v>
      </c>
      <c r="I636" t="s">
        <v>25</v>
      </c>
      <c r="J636" t="s">
        <v>64</v>
      </c>
      <c r="K636" t="s">
        <v>110</v>
      </c>
      <c r="L636" s="6">
        <v>33705.379999999997</v>
      </c>
      <c r="M636">
        <v>23514.3</v>
      </c>
      <c r="N636" t="s">
        <v>35</v>
      </c>
      <c r="O636">
        <v>6</v>
      </c>
      <c r="P636">
        <v>210</v>
      </c>
      <c r="Q636">
        <v>5</v>
      </c>
      <c r="R636">
        <v>110</v>
      </c>
      <c r="S636">
        <v>112.9</v>
      </c>
      <c r="T636" t="s">
        <v>37</v>
      </c>
      <c r="U636" s="7">
        <f t="shared" si="36"/>
        <v>45</v>
      </c>
      <c r="V636" s="7" t="s">
        <v>4237</v>
      </c>
      <c r="W636" s="6">
        <f t="shared" si="38"/>
        <v>10191.079999999998</v>
      </c>
      <c r="X636" t="str">
        <f t="shared" si="39"/>
        <v>Middle Age</v>
      </c>
    </row>
    <row r="637" spans="1:24">
      <c r="A637" t="s">
        <v>1645</v>
      </c>
      <c r="B637" t="s">
        <v>324</v>
      </c>
      <c r="C637" t="s">
        <v>133</v>
      </c>
      <c r="D637" s="5">
        <v>39684</v>
      </c>
      <c r="E637" s="5">
        <v>45170</v>
      </c>
      <c r="F637" s="5">
        <v>44947</v>
      </c>
      <c r="G637" t="s">
        <v>43</v>
      </c>
      <c r="H637" t="s">
        <v>52</v>
      </c>
      <c r="I637" t="s">
        <v>33</v>
      </c>
      <c r="J637" t="s">
        <v>64</v>
      </c>
      <c r="K637" t="s">
        <v>55</v>
      </c>
      <c r="L637" s="6">
        <v>110541.29</v>
      </c>
      <c r="M637">
        <v>80726.720000000001</v>
      </c>
      <c r="N637" t="s">
        <v>4237</v>
      </c>
      <c r="O637">
        <v>12</v>
      </c>
      <c r="P637">
        <v>145</v>
      </c>
      <c r="Q637">
        <v>4</v>
      </c>
      <c r="R637">
        <v>100</v>
      </c>
      <c r="S637">
        <v>208.8</v>
      </c>
      <c r="T637" t="s">
        <v>65</v>
      </c>
      <c r="U637" s="7">
        <f t="shared" si="36"/>
        <v>15</v>
      </c>
      <c r="V637" s="7">
        <f t="shared" si="37"/>
        <v>-223</v>
      </c>
      <c r="W637" s="6">
        <f t="shared" si="38"/>
        <v>29814.569999999992</v>
      </c>
      <c r="X637" t="str">
        <f t="shared" si="39"/>
        <v>Child</v>
      </c>
    </row>
    <row r="638" spans="1:24">
      <c r="A638" t="s">
        <v>1648</v>
      </c>
      <c r="B638" t="s">
        <v>867</v>
      </c>
      <c r="C638" t="s">
        <v>133</v>
      </c>
      <c r="D638" s="5" t="s">
        <v>4237</v>
      </c>
      <c r="E638" s="5">
        <v>45243</v>
      </c>
      <c r="F638" s="5">
        <v>45260</v>
      </c>
      <c r="G638" t="s">
        <v>77</v>
      </c>
      <c r="H638" t="s">
        <v>124</v>
      </c>
      <c r="I638" t="s">
        <v>96</v>
      </c>
      <c r="J638" t="s">
        <v>46</v>
      </c>
      <c r="K638" t="s">
        <v>110</v>
      </c>
      <c r="L638" s="6">
        <v>240457.62</v>
      </c>
      <c r="M638">
        <v>230808.01</v>
      </c>
      <c r="N638" t="s">
        <v>35</v>
      </c>
      <c r="O638">
        <v>17</v>
      </c>
      <c r="P638">
        <v>173</v>
      </c>
      <c r="Q638">
        <v>2</v>
      </c>
      <c r="R638">
        <v>155</v>
      </c>
      <c r="S638">
        <v>96.2</v>
      </c>
      <c r="T638" t="s">
        <v>4237</v>
      </c>
      <c r="U638" s="7" t="s">
        <v>4237</v>
      </c>
      <c r="V638" s="7">
        <f t="shared" si="37"/>
        <v>17</v>
      </c>
      <c r="W638" s="6">
        <f t="shared" si="38"/>
        <v>9649.609999999986</v>
      </c>
      <c r="X638" t="s">
        <v>4237</v>
      </c>
    </row>
    <row r="639" spans="1:24">
      <c r="A639" t="s">
        <v>1650</v>
      </c>
      <c r="B639" t="s">
        <v>104</v>
      </c>
      <c r="C639" t="s">
        <v>133</v>
      </c>
      <c r="D639" s="5">
        <v>24608</v>
      </c>
      <c r="E639" s="5">
        <v>45497</v>
      </c>
      <c r="F639" s="5">
        <v>45504</v>
      </c>
      <c r="G639" t="s">
        <v>161</v>
      </c>
      <c r="H639" t="s">
        <v>44</v>
      </c>
      <c r="I639" t="s">
        <v>33</v>
      </c>
      <c r="J639" t="s">
        <v>26</v>
      </c>
      <c r="K639" t="s">
        <v>110</v>
      </c>
      <c r="L639" s="6">
        <v>106811.39</v>
      </c>
      <c r="M639">
        <v>93265.81</v>
      </c>
      <c r="N639" t="s">
        <v>35</v>
      </c>
      <c r="O639">
        <v>7</v>
      </c>
      <c r="P639">
        <v>186</v>
      </c>
      <c r="Q639">
        <v>4</v>
      </c>
      <c r="R639">
        <v>179</v>
      </c>
      <c r="S639">
        <v>71.900000000000006</v>
      </c>
      <c r="T639" t="s">
        <v>47</v>
      </c>
      <c r="U639" s="7">
        <f t="shared" si="36"/>
        <v>57</v>
      </c>
      <c r="V639" s="7">
        <f t="shared" si="37"/>
        <v>7</v>
      </c>
      <c r="W639" s="6">
        <f t="shared" si="38"/>
        <v>13545.580000000002</v>
      </c>
      <c r="X639" t="str">
        <f t="shared" si="39"/>
        <v>Middle Age</v>
      </c>
    </row>
    <row r="640" spans="1:24">
      <c r="A640" t="s">
        <v>1651</v>
      </c>
      <c r="B640" t="s">
        <v>334</v>
      </c>
      <c r="C640" t="s">
        <v>40</v>
      </c>
      <c r="D640" s="5">
        <v>23916</v>
      </c>
      <c r="E640" s="5">
        <v>45324</v>
      </c>
      <c r="F640" s="5">
        <v>45384</v>
      </c>
      <c r="G640" t="s">
        <v>94</v>
      </c>
      <c r="H640" t="s">
        <v>124</v>
      </c>
      <c r="I640" t="s">
        <v>33</v>
      </c>
      <c r="J640" t="s">
        <v>34</v>
      </c>
      <c r="K640" t="s">
        <v>27</v>
      </c>
      <c r="L640" s="6">
        <v>85527.62</v>
      </c>
      <c r="M640">
        <v>70316.31</v>
      </c>
      <c r="N640" t="s">
        <v>73</v>
      </c>
      <c r="O640">
        <v>2</v>
      </c>
      <c r="P640">
        <v>106</v>
      </c>
      <c r="Q640">
        <v>4</v>
      </c>
      <c r="R640">
        <v>90</v>
      </c>
      <c r="S640">
        <v>199.6</v>
      </c>
      <c r="T640" t="s">
        <v>37</v>
      </c>
      <c r="U640" s="7">
        <f t="shared" si="36"/>
        <v>58</v>
      </c>
      <c r="V640" s="7">
        <f t="shared" si="37"/>
        <v>60</v>
      </c>
      <c r="W640" s="6">
        <f t="shared" si="38"/>
        <v>15211.309999999998</v>
      </c>
      <c r="X640" t="str">
        <f t="shared" si="39"/>
        <v>Middle Age</v>
      </c>
    </row>
    <row r="641" spans="1:24">
      <c r="A641" t="s">
        <v>1653</v>
      </c>
      <c r="B641" t="s">
        <v>417</v>
      </c>
      <c r="C641" t="s">
        <v>40</v>
      </c>
      <c r="D641" s="5">
        <v>28091</v>
      </c>
      <c r="E641" s="5">
        <v>45078</v>
      </c>
      <c r="F641" s="5">
        <v>45094</v>
      </c>
      <c r="G641" t="s">
        <v>43</v>
      </c>
      <c r="H641" t="s">
        <v>118</v>
      </c>
      <c r="I641" t="s">
        <v>25</v>
      </c>
      <c r="J641" t="s">
        <v>97</v>
      </c>
      <c r="K641" t="s">
        <v>120</v>
      </c>
      <c r="L641" s="6">
        <v>146554.97</v>
      </c>
      <c r="M641">
        <v>100962.57</v>
      </c>
      <c r="N641" t="s">
        <v>56</v>
      </c>
      <c r="O641">
        <v>16</v>
      </c>
      <c r="P641">
        <v>206</v>
      </c>
      <c r="Q641">
        <v>1</v>
      </c>
      <c r="R641">
        <v>123</v>
      </c>
      <c r="S641">
        <v>163.5</v>
      </c>
      <c r="T641" t="s">
        <v>4237</v>
      </c>
      <c r="U641" s="7">
        <f t="shared" si="36"/>
        <v>46</v>
      </c>
      <c r="V641" s="7">
        <f t="shared" si="37"/>
        <v>16</v>
      </c>
      <c r="W641" s="6">
        <f t="shared" si="38"/>
        <v>45592.399999999994</v>
      </c>
      <c r="X641" t="str">
        <f t="shared" si="39"/>
        <v>Middle Age</v>
      </c>
    </row>
    <row r="642" spans="1:24">
      <c r="A642" t="s">
        <v>1655</v>
      </c>
      <c r="B642" t="s">
        <v>442</v>
      </c>
      <c r="C642" t="s">
        <v>40</v>
      </c>
      <c r="D642" s="5">
        <v>37829</v>
      </c>
      <c r="E642" s="5">
        <v>45732</v>
      </c>
      <c r="F642" s="5">
        <v>45747</v>
      </c>
      <c r="G642" t="s">
        <v>152</v>
      </c>
      <c r="H642" t="s">
        <v>134</v>
      </c>
      <c r="I642" t="s">
        <v>45</v>
      </c>
      <c r="J642" t="s">
        <v>34</v>
      </c>
      <c r="K642" t="s">
        <v>161</v>
      </c>
      <c r="L642" s="6">
        <v>232640.73</v>
      </c>
      <c r="M642">
        <v>202652.96</v>
      </c>
      <c r="N642" t="s">
        <v>56</v>
      </c>
      <c r="O642">
        <v>15</v>
      </c>
      <c r="P642">
        <v>210</v>
      </c>
      <c r="Q642">
        <v>4</v>
      </c>
      <c r="R642">
        <v>136</v>
      </c>
      <c r="S642">
        <v>138.69999999999999</v>
      </c>
      <c r="T642" t="s">
        <v>65</v>
      </c>
      <c r="U642" s="7">
        <f t="shared" ref="U642:U705" si="40">DATEDIF(D642,E642,"Y")</f>
        <v>21</v>
      </c>
      <c r="V642" s="7">
        <f t="shared" ref="V642:V705" si="41">IF(OR(E642=" ",F642=" ",E642="Unknown",F642="Unknown")," ",F642-E642)</f>
        <v>15</v>
      </c>
      <c r="W642" s="6">
        <f t="shared" ref="W642:W705" si="42">L642-M642</f>
        <v>29987.770000000019</v>
      </c>
      <c r="X642" t="str">
        <f t="shared" ref="X642:X705" si="43">IF(OR(U642="",U642="Unknown"),"",IF(U642&lt;18,"Child",IF(U642&lt;40,"Adult",IF(U642&lt;60,"Middle Age","Senior"))))</f>
        <v>Adult</v>
      </c>
    </row>
    <row r="643" spans="1:24">
      <c r="A643" t="s">
        <v>1657</v>
      </c>
      <c r="B643" t="s">
        <v>1658</v>
      </c>
      <c r="C643" t="s">
        <v>133</v>
      </c>
      <c r="D643" s="5">
        <v>33524</v>
      </c>
      <c r="E643" s="5">
        <v>45269</v>
      </c>
      <c r="F643" s="5">
        <v>45284</v>
      </c>
      <c r="G643" t="s">
        <v>161</v>
      </c>
      <c r="H643" t="s">
        <v>124</v>
      </c>
      <c r="I643" t="s">
        <v>79</v>
      </c>
      <c r="J643" t="s">
        <v>97</v>
      </c>
      <c r="K643" t="s">
        <v>120</v>
      </c>
      <c r="L643" s="6">
        <v>109875.37</v>
      </c>
      <c r="M643">
        <v>79828.62</v>
      </c>
      <c r="N643" t="s">
        <v>192</v>
      </c>
      <c r="O643">
        <v>15</v>
      </c>
      <c r="P643">
        <v>42</v>
      </c>
      <c r="Q643">
        <v>5</v>
      </c>
      <c r="R643">
        <v>117</v>
      </c>
      <c r="S643">
        <v>219.3</v>
      </c>
      <c r="T643" t="s">
        <v>4237</v>
      </c>
      <c r="U643" s="7">
        <f t="shared" si="40"/>
        <v>32</v>
      </c>
      <c r="V643" s="7">
        <f t="shared" si="41"/>
        <v>15</v>
      </c>
      <c r="W643" s="6">
        <f t="shared" si="42"/>
        <v>30046.75</v>
      </c>
      <c r="X643" t="str">
        <f t="shared" si="43"/>
        <v>Adult</v>
      </c>
    </row>
    <row r="644" spans="1:24">
      <c r="A644" t="s">
        <v>1660</v>
      </c>
      <c r="B644" t="s">
        <v>433</v>
      </c>
      <c r="C644" t="s">
        <v>133</v>
      </c>
      <c r="D644" s="5">
        <v>20809</v>
      </c>
      <c r="E644" s="5">
        <v>45761</v>
      </c>
      <c r="F644" s="5">
        <v>45766</v>
      </c>
      <c r="G644" t="s">
        <v>161</v>
      </c>
      <c r="H644" t="s">
        <v>44</v>
      </c>
      <c r="I644" t="s">
        <v>33</v>
      </c>
      <c r="J644" t="s">
        <v>64</v>
      </c>
      <c r="K644" t="s">
        <v>55</v>
      </c>
      <c r="L644" s="6">
        <v>143796.17000000001</v>
      </c>
      <c r="M644">
        <v>106430.14</v>
      </c>
      <c r="N644" t="s">
        <v>56</v>
      </c>
      <c r="O644">
        <v>5</v>
      </c>
      <c r="P644">
        <v>56</v>
      </c>
      <c r="Q644">
        <v>4</v>
      </c>
      <c r="R644">
        <v>133</v>
      </c>
      <c r="S644">
        <v>222.9</v>
      </c>
      <c r="T644" t="s">
        <v>47</v>
      </c>
      <c r="U644" s="7">
        <f t="shared" si="40"/>
        <v>68</v>
      </c>
      <c r="V644" s="7">
        <f t="shared" si="41"/>
        <v>5</v>
      </c>
      <c r="W644" s="6">
        <f t="shared" si="42"/>
        <v>37366.030000000013</v>
      </c>
      <c r="X644" t="str">
        <f t="shared" si="43"/>
        <v>Senior</v>
      </c>
    </row>
    <row r="645" spans="1:24">
      <c r="A645" t="s">
        <v>1662</v>
      </c>
      <c r="B645" t="s">
        <v>556</v>
      </c>
      <c r="C645" t="s">
        <v>40</v>
      </c>
      <c r="D645" s="5">
        <v>34878</v>
      </c>
      <c r="E645" s="5">
        <v>46010</v>
      </c>
      <c r="F645" s="5">
        <v>46026</v>
      </c>
      <c r="G645" t="s">
        <v>105</v>
      </c>
      <c r="H645" t="s">
        <v>153</v>
      </c>
      <c r="I645" t="s">
        <v>96</v>
      </c>
      <c r="J645" t="s">
        <v>46</v>
      </c>
      <c r="K645" t="s">
        <v>161</v>
      </c>
      <c r="L645" s="6">
        <v>216232.86</v>
      </c>
      <c r="M645">
        <v>150185.20000000001</v>
      </c>
      <c r="N645" t="s">
        <v>192</v>
      </c>
      <c r="O645">
        <v>16</v>
      </c>
      <c r="P645">
        <v>181</v>
      </c>
      <c r="Q645">
        <v>5</v>
      </c>
      <c r="R645">
        <v>153</v>
      </c>
      <c r="S645">
        <v>132.9</v>
      </c>
      <c r="T645" t="s">
        <v>37</v>
      </c>
      <c r="U645" s="7">
        <f t="shared" si="40"/>
        <v>30</v>
      </c>
      <c r="V645" s="7">
        <f t="shared" si="41"/>
        <v>16</v>
      </c>
      <c r="W645" s="6">
        <f t="shared" si="42"/>
        <v>66047.659999999974</v>
      </c>
      <c r="X645" t="str">
        <f t="shared" si="43"/>
        <v>Adult</v>
      </c>
    </row>
    <row r="646" spans="1:24">
      <c r="A646" t="s">
        <v>1663</v>
      </c>
      <c r="B646" t="s">
        <v>1263</v>
      </c>
      <c r="C646" t="s">
        <v>133</v>
      </c>
      <c r="D646" s="5">
        <v>40167</v>
      </c>
      <c r="E646" s="5">
        <v>45956</v>
      </c>
      <c r="F646" s="5">
        <v>45969</v>
      </c>
      <c r="G646" t="s">
        <v>161</v>
      </c>
      <c r="H646" t="s">
        <v>134</v>
      </c>
      <c r="I646" t="s">
        <v>45</v>
      </c>
      <c r="J646" t="s">
        <v>71</v>
      </c>
      <c r="K646" t="s">
        <v>161</v>
      </c>
      <c r="L646" s="6">
        <v>33802.11</v>
      </c>
      <c r="M646">
        <v>27142.33</v>
      </c>
      <c r="N646" t="s">
        <v>73</v>
      </c>
      <c r="O646">
        <v>13</v>
      </c>
      <c r="P646">
        <v>99</v>
      </c>
      <c r="Q646">
        <v>1</v>
      </c>
      <c r="R646">
        <v>158</v>
      </c>
      <c r="S646">
        <v>202.6</v>
      </c>
      <c r="T646" t="s">
        <v>37</v>
      </c>
      <c r="U646" s="7">
        <f t="shared" si="40"/>
        <v>15</v>
      </c>
      <c r="V646" s="7">
        <f t="shared" si="41"/>
        <v>13</v>
      </c>
      <c r="W646" s="6">
        <f t="shared" si="42"/>
        <v>6659.7799999999988</v>
      </c>
      <c r="X646" t="str">
        <f t="shared" si="43"/>
        <v>Child</v>
      </c>
    </row>
    <row r="647" spans="1:24">
      <c r="A647" t="s">
        <v>1666</v>
      </c>
      <c r="B647" t="s">
        <v>1667</v>
      </c>
      <c r="C647" t="s">
        <v>40</v>
      </c>
      <c r="D647" s="5">
        <v>38078</v>
      </c>
      <c r="E647" s="5">
        <v>45855</v>
      </c>
      <c r="F647" s="5">
        <v>45864</v>
      </c>
      <c r="G647" t="s">
        <v>105</v>
      </c>
      <c r="H647" t="s">
        <v>78</v>
      </c>
      <c r="I647" t="s">
        <v>33</v>
      </c>
      <c r="J647" t="s">
        <v>71</v>
      </c>
      <c r="K647" t="s">
        <v>27</v>
      </c>
      <c r="L647" s="6">
        <v>47444.18</v>
      </c>
      <c r="M647">
        <v>46492.33</v>
      </c>
      <c r="N647" t="s">
        <v>91</v>
      </c>
      <c r="O647">
        <v>9</v>
      </c>
      <c r="P647">
        <v>78</v>
      </c>
      <c r="Q647">
        <v>1</v>
      </c>
      <c r="R647">
        <v>175</v>
      </c>
      <c r="S647">
        <v>251.2</v>
      </c>
      <c r="T647" t="s">
        <v>4237</v>
      </c>
      <c r="U647" s="7">
        <f t="shared" si="40"/>
        <v>21</v>
      </c>
      <c r="V647" s="7">
        <f t="shared" si="41"/>
        <v>9</v>
      </c>
      <c r="W647" s="6">
        <f t="shared" si="42"/>
        <v>951.84999999999854</v>
      </c>
      <c r="X647" t="str">
        <f t="shared" si="43"/>
        <v>Adult</v>
      </c>
    </row>
    <row r="648" spans="1:24">
      <c r="A648" t="s">
        <v>1668</v>
      </c>
      <c r="B648" t="s">
        <v>756</v>
      </c>
      <c r="C648" t="s">
        <v>40</v>
      </c>
      <c r="D648" s="5">
        <v>23429</v>
      </c>
      <c r="E648" s="5">
        <v>44964</v>
      </c>
      <c r="F648" s="5">
        <v>44965</v>
      </c>
      <c r="G648" t="s">
        <v>152</v>
      </c>
      <c r="H648" t="s">
        <v>153</v>
      </c>
      <c r="I648" t="s">
        <v>33</v>
      </c>
      <c r="J648" t="s">
        <v>34</v>
      </c>
      <c r="K648" t="s">
        <v>120</v>
      </c>
      <c r="L648" s="6">
        <v>235186.3</v>
      </c>
      <c r="M648">
        <v>229524.37</v>
      </c>
      <c r="N648" t="s">
        <v>4237</v>
      </c>
      <c r="O648">
        <v>1</v>
      </c>
      <c r="P648">
        <v>41</v>
      </c>
      <c r="Q648">
        <v>2</v>
      </c>
      <c r="R648">
        <v>100</v>
      </c>
      <c r="S648">
        <v>140</v>
      </c>
      <c r="T648" t="s">
        <v>37</v>
      </c>
      <c r="U648" s="7">
        <f t="shared" si="40"/>
        <v>58</v>
      </c>
      <c r="V648" s="7">
        <f t="shared" si="41"/>
        <v>1</v>
      </c>
      <c r="W648" s="6">
        <f t="shared" si="42"/>
        <v>5661.929999999993</v>
      </c>
      <c r="X648" t="str">
        <f t="shared" si="43"/>
        <v>Middle Age</v>
      </c>
    </row>
    <row r="649" spans="1:24">
      <c r="A649" t="s">
        <v>1669</v>
      </c>
      <c r="B649" t="s">
        <v>1438</v>
      </c>
      <c r="C649" t="s">
        <v>40</v>
      </c>
      <c r="D649" s="5">
        <v>24255</v>
      </c>
      <c r="E649" s="5">
        <v>45947</v>
      </c>
      <c r="F649" s="5">
        <v>45949</v>
      </c>
      <c r="G649" t="s">
        <v>94</v>
      </c>
      <c r="H649" t="s">
        <v>113</v>
      </c>
      <c r="I649" t="s">
        <v>53</v>
      </c>
      <c r="J649" t="s">
        <v>179</v>
      </c>
      <c r="K649" t="s">
        <v>110</v>
      </c>
      <c r="L649" s="6">
        <v>173646.49</v>
      </c>
      <c r="M649">
        <v>154899.67000000001</v>
      </c>
      <c r="N649" t="s">
        <v>35</v>
      </c>
      <c r="O649">
        <v>2</v>
      </c>
      <c r="P649">
        <v>229</v>
      </c>
      <c r="Q649">
        <v>3</v>
      </c>
      <c r="R649">
        <v>118</v>
      </c>
      <c r="S649">
        <v>241.9</v>
      </c>
      <c r="T649" t="s">
        <v>37</v>
      </c>
      <c r="U649" s="7">
        <f t="shared" si="40"/>
        <v>59</v>
      </c>
      <c r="V649" s="7">
        <f t="shared" si="41"/>
        <v>2</v>
      </c>
      <c r="W649" s="6">
        <f t="shared" si="42"/>
        <v>18746.819999999978</v>
      </c>
      <c r="X649" t="str">
        <f t="shared" si="43"/>
        <v>Middle Age</v>
      </c>
    </row>
    <row r="650" spans="1:24">
      <c r="A650" t="s">
        <v>1670</v>
      </c>
      <c r="B650" t="s">
        <v>1026</v>
      </c>
      <c r="C650" t="s">
        <v>133</v>
      </c>
      <c r="D650" s="5">
        <v>37486</v>
      </c>
      <c r="E650" s="5">
        <v>45055</v>
      </c>
      <c r="F650" s="5">
        <v>45056</v>
      </c>
      <c r="G650" t="s">
        <v>105</v>
      </c>
      <c r="H650" t="s">
        <v>63</v>
      </c>
      <c r="I650" t="s">
        <v>25</v>
      </c>
      <c r="J650" t="s">
        <v>179</v>
      </c>
      <c r="K650" t="s">
        <v>120</v>
      </c>
      <c r="L650" s="6">
        <v>8766.02</v>
      </c>
      <c r="M650">
        <v>7408.63</v>
      </c>
      <c r="N650" t="s">
        <v>192</v>
      </c>
      <c r="O650">
        <v>1</v>
      </c>
      <c r="P650">
        <v>179</v>
      </c>
      <c r="Q650">
        <v>3</v>
      </c>
      <c r="R650">
        <v>183</v>
      </c>
      <c r="S650">
        <v>94.3</v>
      </c>
      <c r="T650" t="s">
        <v>65</v>
      </c>
      <c r="U650" s="7">
        <f t="shared" si="40"/>
        <v>20</v>
      </c>
      <c r="V650" s="7">
        <f t="shared" si="41"/>
        <v>1</v>
      </c>
      <c r="W650" s="6">
        <f t="shared" si="42"/>
        <v>1357.3900000000003</v>
      </c>
      <c r="X650" t="str">
        <f t="shared" si="43"/>
        <v>Adult</v>
      </c>
    </row>
    <row r="651" spans="1:24">
      <c r="A651" t="s">
        <v>1672</v>
      </c>
      <c r="B651" t="s">
        <v>295</v>
      </c>
      <c r="C651" t="s">
        <v>133</v>
      </c>
      <c r="D651" s="5">
        <v>30643</v>
      </c>
      <c r="E651" s="5">
        <v>45104</v>
      </c>
      <c r="F651" s="5">
        <v>45120</v>
      </c>
      <c r="G651" t="s">
        <v>152</v>
      </c>
      <c r="H651" t="s">
        <v>86</v>
      </c>
      <c r="I651" t="s">
        <v>33</v>
      </c>
      <c r="J651" t="s">
        <v>80</v>
      </c>
      <c r="K651" t="s">
        <v>110</v>
      </c>
      <c r="L651" s="6">
        <v>96075.66</v>
      </c>
      <c r="M651">
        <v>77371.59</v>
      </c>
      <c r="N651" t="s">
        <v>35</v>
      </c>
      <c r="O651">
        <v>16</v>
      </c>
      <c r="P651">
        <v>44</v>
      </c>
      <c r="Q651">
        <v>4</v>
      </c>
      <c r="R651">
        <v>189</v>
      </c>
      <c r="S651">
        <v>144.19999999999999</v>
      </c>
      <c r="T651" t="s">
        <v>4237</v>
      </c>
      <c r="U651" s="7">
        <f t="shared" si="40"/>
        <v>39</v>
      </c>
      <c r="V651" s="7">
        <f t="shared" si="41"/>
        <v>16</v>
      </c>
      <c r="W651" s="6">
        <f t="shared" si="42"/>
        <v>18704.070000000007</v>
      </c>
      <c r="X651" t="str">
        <f t="shared" si="43"/>
        <v>Adult</v>
      </c>
    </row>
    <row r="652" spans="1:24">
      <c r="A652" t="s">
        <v>1674</v>
      </c>
      <c r="B652" t="s">
        <v>2029</v>
      </c>
      <c r="C652" t="s">
        <v>40</v>
      </c>
      <c r="D652" s="5">
        <v>21614</v>
      </c>
      <c r="E652" s="5">
        <v>45833</v>
      </c>
      <c r="F652" s="5">
        <v>45841</v>
      </c>
      <c r="G652" t="s">
        <v>94</v>
      </c>
      <c r="H652" t="s">
        <v>95</v>
      </c>
      <c r="I652" t="s">
        <v>53</v>
      </c>
      <c r="J652" t="s">
        <v>179</v>
      </c>
      <c r="K652" t="s">
        <v>55</v>
      </c>
      <c r="L652" s="6">
        <v>73614.03</v>
      </c>
      <c r="M652">
        <v>63454.49</v>
      </c>
      <c r="N652" t="s">
        <v>91</v>
      </c>
      <c r="O652">
        <v>8</v>
      </c>
      <c r="P652">
        <v>217</v>
      </c>
      <c r="Q652">
        <v>4</v>
      </c>
      <c r="R652">
        <v>190</v>
      </c>
      <c r="S652">
        <v>137.30000000000001</v>
      </c>
      <c r="T652" t="s">
        <v>47</v>
      </c>
      <c r="U652" s="7">
        <f t="shared" si="40"/>
        <v>66</v>
      </c>
      <c r="V652" s="7">
        <f t="shared" si="41"/>
        <v>8</v>
      </c>
      <c r="W652" s="6">
        <f t="shared" si="42"/>
        <v>10159.540000000001</v>
      </c>
      <c r="X652" t="str">
        <f t="shared" si="43"/>
        <v>Senior</v>
      </c>
    </row>
    <row r="653" spans="1:24">
      <c r="A653" t="s">
        <v>1677</v>
      </c>
      <c r="B653" t="s">
        <v>1678</v>
      </c>
      <c r="C653" t="s">
        <v>40</v>
      </c>
      <c r="D653" s="5">
        <v>36064</v>
      </c>
      <c r="E653" s="5">
        <v>45251</v>
      </c>
      <c r="F653" s="5">
        <v>45258</v>
      </c>
      <c r="G653" t="s">
        <v>161</v>
      </c>
      <c r="H653" t="s">
        <v>24</v>
      </c>
      <c r="I653" t="s">
        <v>33</v>
      </c>
      <c r="J653" t="s">
        <v>26</v>
      </c>
      <c r="K653" t="s">
        <v>120</v>
      </c>
      <c r="L653" s="6">
        <v>41102.800000000003</v>
      </c>
      <c r="M653">
        <v>33139.800000000003</v>
      </c>
      <c r="N653" t="s">
        <v>192</v>
      </c>
      <c r="O653">
        <v>7</v>
      </c>
      <c r="P653">
        <v>221</v>
      </c>
      <c r="Q653">
        <v>4</v>
      </c>
      <c r="R653">
        <v>118</v>
      </c>
      <c r="S653">
        <v>239.7</v>
      </c>
      <c r="T653" t="s">
        <v>37</v>
      </c>
      <c r="U653" s="7">
        <f t="shared" si="40"/>
        <v>25</v>
      </c>
      <c r="V653" s="7">
        <f t="shared" si="41"/>
        <v>7</v>
      </c>
      <c r="W653" s="6">
        <f t="shared" si="42"/>
        <v>7963</v>
      </c>
      <c r="X653" t="str">
        <f t="shared" si="43"/>
        <v>Adult</v>
      </c>
    </row>
    <row r="654" spans="1:24">
      <c r="A654" t="s">
        <v>1680</v>
      </c>
      <c r="B654" t="s">
        <v>311</v>
      </c>
      <c r="C654" t="s">
        <v>40</v>
      </c>
      <c r="D654" s="5">
        <v>35920</v>
      </c>
      <c r="E654" s="5">
        <v>45224</v>
      </c>
      <c r="F654" s="5">
        <v>45231</v>
      </c>
      <c r="G654" t="s">
        <v>94</v>
      </c>
      <c r="H654" t="s">
        <v>153</v>
      </c>
      <c r="I654" t="s">
        <v>53</v>
      </c>
      <c r="J654" t="s">
        <v>97</v>
      </c>
      <c r="K654" t="s">
        <v>120</v>
      </c>
      <c r="L654" s="6">
        <v>238190.3</v>
      </c>
      <c r="M654">
        <v>172600.16</v>
      </c>
      <c r="N654" t="s">
        <v>192</v>
      </c>
      <c r="O654">
        <v>7</v>
      </c>
      <c r="P654">
        <v>167</v>
      </c>
      <c r="Q654">
        <v>2</v>
      </c>
      <c r="R654">
        <v>186</v>
      </c>
      <c r="S654">
        <v>185.4</v>
      </c>
      <c r="T654" t="s">
        <v>65</v>
      </c>
      <c r="U654" s="7">
        <f t="shared" si="40"/>
        <v>25</v>
      </c>
      <c r="V654" s="7">
        <f t="shared" si="41"/>
        <v>7</v>
      </c>
      <c r="W654" s="6">
        <f t="shared" si="42"/>
        <v>65590.139999999985</v>
      </c>
      <c r="X654" t="str">
        <f t="shared" si="43"/>
        <v>Adult</v>
      </c>
    </row>
    <row r="655" spans="1:24">
      <c r="A655" t="s">
        <v>1681</v>
      </c>
      <c r="B655" t="s">
        <v>909</v>
      </c>
      <c r="C655" t="s">
        <v>133</v>
      </c>
      <c r="D655" s="5">
        <v>27115</v>
      </c>
      <c r="E655" s="5">
        <v>45618</v>
      </c>
      <c r="F655" s="5">
        <v>45625</v>
      </c>
      <c r="G655" t="s">
        <v>152</v>
      </c>
      <c r="H655" t="s">
        <v>134</v>
      </c>
      <c r="I655" t="s">
        <v>45</v>
      </c>
      <c r="J655" t="s">
        <v>34</v>
      </c>
      <c r="K655" t="s">
        <v>161</v>
      </c>
      <c r="L655" s="6">
        <v>216462.07999999999</v>
      </c>
      <c r="M655">
        <v>155852.85999999999</v>
      </c>
      <c r="N655" t="s">
        <v>4237</v>
      </c>
      <c r="O655">
        <v>7</v>
      </c>
      <c r="P655">
        <v>170</v>
      </c>
      <c r="Q655">
        <v>2</v>
      </c>
      <c r="R655">
        <v>158</v>
      </c>
      <c r="S655">
        <v>80.5</v>
      </c>
      <c r="T655" t="s">
        <v>37</v>
      </c>
      <c r="U655" s="7">
        <f t="shared" si="40"/>
        <v>50</v>
      </c>
      <c r="V655" s="7">
        <f t="shared" si="41"/>
        <v>7</v>
      </c>
      <c r="W655" s="6">
        <f t="shared" si="42"/>
        <v>60609.22</v>
      </c>
      <c r="X655" t="str">
        <f t="shared" si="43"/>
        <v>Middle Age</v>
      </c>
    </row>
    <row r="656" spans="1:24">
      <c r="A656" t="s">
        <v>1683</v>
      </c>
      <c r="B656" t="s">
        <v>1342</v>
      </c>
      <c r="C656" t="s">
        <v>40</v>
      </c>
      <c r="D656" s="5">
        <v>23564</v>
      </c>
      <c r="E656" s="5">
        <v>45748</v>
      </c>
      <c r="F656" s="5">
        <v>45720</v>
      </c>
      <c r="G656" t="s">
        <v>109</v>
      </c>
      <c r="H656" t="s">
        <v>113</v>
      </c>
      <c r="I656" t="s">
        <v>79</v>
      </c>
      <c r="J656" t="s">
        <v>80</v>
      </c>
      <c r="K656" t="s">
        <v>55</v>
      </c>
      <c r="L656" s="6">
        <v>143800.37</v>
      </c>
      <c r="M656">
        <v>102925.01</v>
      </c>
      <c r="N656" t="s">
        <v>35</v>
      </c>
      <c r="O656">
        <v>2</v>
      </c>
      <c r="P656">
        <v>98</v>
      </c>
      <c r="Q656">
        <v>4</v>
      </c>
      <c r="R656">
        <v>98</v>
      </c>
      <c r="S656">
        <v>129.6</v>
      </c>
      <c r="T656" t="s">
        <v>65</v>
      </c>
      <c r="U656" s="7">
        <f t="shared" si="40"/>
        <v>60</v>
      </c>
      <c r="V656" s="7">
        <f t="shared" si="41"/>
        <v>-28</v>
      </c>
      <c r="W656" s="6">
        <f t="shared" si="42"/>
        <v>40875.360000000001</v>
      </c>
      <c r="X656" t="str">
        <f t="shared" si="43"/>
        <v>Senior</v>
      </c>
    </row>
    <row r="657" spans="1:24">
      <c r="A657" t="s">
        <v>1685</v>
      </c>
      <c r="B657" t="s">
        <v>155</v>
      </c>
      <c r="C657" t="s">
        <v>40</v>
      </c>
      <c r="D657" s="5">
        <v>26123</v>
      </c>
      <c r="E657" s="5">
        <v>44961</v>
      </c>
      <c r="F657" s="5">
        <v>44964</v>
      </c>
      <c r="G657" t="s">
        <v>43</v>
      </c>
      <c r="H657" t="s">
        <v>153</v>
      </c>
      <c r="I657" t="s">
        <v>45</v>
      </c>
      <c r="J657" t="s">
        <v>64</v>
      </c>
      <c r="K657" t="s">
        <v>55</v>
      </c>
      <c r="L657" s="6">
        <v>81957.539999999994</v>
      </c>
      <c r="M657">
        <v>62623.41</v>
      </c>
      <c r="N657" t="s">
        <v>192</v>
      </c>
      <c r="O657">
        <v>3</v>
      </c>
      <c r="P657">
        <v>211</v>
      </c>
      <c r="Q657">
        <v>3</v>
      </c>
      <c r="R657">
        <v>97</v>
      </c>
      <c r="S657">
        <v>160.69999999999999</v>
      </c>
      <c r="T657" t="s">
        <v>37</v>
      </c>
      <c r="U657" s="7">
        <f t="shared" si="40"/>
        <v>51</v>
      </c>
      <c r="V657" s="7">
        <f t="shared" si="41"/>
        <v>3</v>
      </c>
      <c r="W657" s="6">
        <f t="shared" si="42"/>
        <v>19334.12999999999</v>
      </c>
      <c r="X657" t="str">
        <f t="shared" si="43"/>
        <v>Middle Age</v>
      </c>
    </row>
    <row r="658" spans="1:24">
      <c r="A658" t="s">
        <v>1688</v>
      </c>
      <c r="B658" t="s">
        <v>806</v>
      </c>
      <c r="C658" t="s">
        <v>40</v>
      </c>
      <c r="D658" s="5">
        <v>31527</v>
      </c>
      <c r="E658" s="5">
        <v>45807</v>
      </c>
      <c r="F658" s="5">
        <v>45820</v>
      </c>
      <c r="G658" t="s">
        <v>117</v>
      </c>
      <c r="H658" t="s">
        <v>113</v>
      </c>
      <c r="I658" t="s">
        <v>33</v>
      </c>
      <c r="J658" t="s">
        <v>34</v>
      </c>
      <c r="K658" t="s">
        <v>120</v>
      </c>
      <c r="L658" s="6">
        <v>11493.08</v>
      </c>
      <c r="M658">
        <v>8713.2800000000007</v>
      </c>
      <c r="N658" t="s">
        <v>91</v>
      </c>
      <c r="O658">
        <v>13</v>
      </c>
      <c r="P658">
        <v>23</v>
      </c>
      <c r="Q658">
        <v>3</v>
      </c>
      <c r="R658">
        <v>144</v>
      </c>
      <c r="S658">
        <v>163.19999999999999</v>
      </c>
      <c r="T658" t="s">
        <v>37</v>
      </c>
      <c r="U658" s="7">
        <f t="shared" si="40"/>
        <v>39</v>
      </c>
      <c r="V658" s="7">
        <f t="shared" si="41"/>
        <v>13</v>
      </c>
      <c r="W658" s="6">
        <f t="shared" si="42"/>
        <v>2779.7999999999993</v>
      </c>
      <c r="X658" t="str">
        <f t="shared" si="43"/>
        <v>Adult</v>
      </c>
    </row>
    <row r="659" spans="1:24">
      <c r="A659" t="s">
        <v>1690</v>
      </c>
      <c r="B659" t="s">
        <v>1505</v>
      </c>
      <c r="C659" t="s">
        <v>40</v>
      </c>
      <c r="D659" s="5">
        <v>29543</v>
      </c>
      <c r="E659" s="5">
        <v>45787</v>
      </c>
      <c r="F659" s="5">
        <v>45799</v>
      </c>
      <c r="G659" t="s">
        <v>152</v>
      </c>
      <c r="H659" t="s">
        <v>86</v>
      </c>
      <c r="I659" t="s">
        <v>96</v>
      </c>
      <c r="J659" t="s">
        <v>80</v>
      </c>
      <c r="K659" t="s">
        <v>110</v>
      </c>
      <c r="L659" s="6">
        <v>31033.81</v>
      </c>
      <c r="M659">
        <v>98646.34</v>
      </c>
      <c r="N659" t="s">
        <v>73</v>
      </c>
      <c r="O659">
        <v>12</v>
      </c>
      <c r="P659">
        <v>102</v>
      </c>
      <c r="Q659">
        <v>5</v>
      </c>
      <c r="R659">
        <v>129</v>
      </c>
      <c r="S659">
        <v>105.8</v>
      </c>
      <c r="T659" t="s">
        <v>37</v>
      </c>
      <c r="U659" s="7">
        <f t="shared" si="40"/>
        <v>44</v>
      </c>
      <c r="V659" s="7">
        <f t="shared" si="41"/>
        <v>12</v>
      </c>
      <c r="W659" s="6">
        <f t="shared" si="42"/>
        <v>-67612.53</v>
      </c>
      <c r="X659" t="str">
        <f t="shared" si="43"/>
        <v>Middle Age</v>
      </c>
    </row>
    <row r="660" spans="1:24">
      <c r="A660" t="s">
        <v>1692</v>
      </c>
      <c r="B660" t="s">
        <v>99</v>
      </c>
      <c r="C660" t="s">
        <v>40</v>
      </c>
      <c r="D660" s="5">
        <v>37027</v>
      </c>
      <c r="E660" s="5">
        <v>44941</v>
      </c>
      <c r="F660" s="5" t="s">
        <v>4237</v>
      </c>
      <c r="G660" t="s">
        <v>43</v>
      </c>
      <c r="H660" t="s">
        <v>95</v>
      </c>
      <c r="I660" t="s">
        <v>33</v>
      </c>
      <c r="J660" t="s">
        <v>34</v>
      </c>
      <c r="K660" t="s">
        <v>161</v>
      </c>
      <c r="L660" s="6">
        <v>78277.16</v>
      </c>
      <c r="M660">
        <v>63377.33</v>
      </c>
      <c r="N660" t="s">
        <v>4237</v>
      </c>
      <c r="O660">
        <v>2</v>
      </c>
      <c r="P660">
        <v>121</v>
      </c>
      <c r="Q660">
        <v>4</v>
      </c>
      <c r="R660">
        <v>141</v>
      </c>
      <c r="S660">
        <v>126.6</v>
      </c>
      <c r="T660" t="s">
        <v>37</v>
      </c>
      <c r="U660" s="7">
        <f t="shared" si="40"/>
        <v>21</v>
      </c>
      <c r="V660" s="7" t="s">
        <v>4237</v>
      </c>
      <c r="W660" s="6">
        <f t="shared" si="42"/>
        <v>14899.830000000002</v>
      </c>
      <c r="X660" t="str">
        <f t="shared" si="43"/>
        <v>Adult</v>
      </c>
    </row>
    <row r="661" spans="1:24">
      <c r="A661" t="s">
        <v>1693</v>
      </c>
      <c r="B661" t="s">
        <v>756</v>
      </c>
      <c r="C661" t="s">
        <v>40</v>
      </c>
      <c r="D661" s="5">
        <v>25910</v>
      </c>
      <c r="E661" s="5">
        <v>45890</v>
      </c>
      <c r="F661" s="5" t="s">
        <v>4237</v>
      </c>
      <c r="G661" t="s">
        <v>161</v>
      </c>
      <c r="H661" t="s">
        <v>134</v>
      </c>
      <c r="I661" t="s">
        <v>96</v>
      </c>
      <c r="J661" t="s">
        <v>64</v>
      </c>
      <c r="K661" t="s">
        <v>110</v>
      </c>
      <c r="L661" s="6">
        <v>108089.60000000001</v>
      </c>
      <c r="M661">
        <v>106886.11</v>
      </c>
      <c r="N661" t="s">
        <v>73</v>
      </c>
      <c r="O661">
        <v>7</v>
      </c>
      <c r="P661">
        <v>121</v>
      </c>
      <c r="Q661">
        <v>2</v>
      </c>
      <c r="R661">
        <v>104</v>
      </c>
      <c r="S661">
        <v>237.7</v>
      </c>
      <c r="T661" t="s">
        <v>37</v>
      </c>
      <c r="U661" s="7">
        <f t="shared" si="40"/>
        <v>54</v>
      </c>
      <c r="V661" s="7" t="s">
        <v>4237</v>
      </c>
      <c r="W661" s="6">
        <f t="shared" si="42"/>
        <v>1203.4900000000052</v>
      </c>
      <c r="X661" t="str">
        <f t="shared" si="43"/>
        <v>Middle Age</v>
      </c>
    </row>
    <row r="662" spans="1:24">
      <c r="A662" t="s">
        <v>4139</v>
      </c>
      <c r="B662" t="s">
        <v>799</v>
      </c>
      <c r="C662" t="s">
        <v>40</v>
      </c>
      <c r="D662" s="5">
        <v>28071</v>
      </c>
      <c r="E662" s="5">
        <v>45800</v>
      </c>
      <c r="F662" s="5">
        <v>45810</v>
      </c>
      <c r="G662" t="s">
        <v>161</v>
      </c>
      <c r="H662" t="s">
        <v>113</v>
      </c>
      <c r="I662" t="s">
        <v>119</v>
      </c>
      <c r="J662" t="s">
        <v>64</v>
      </c>
      <c r="K662" t="s">
        <v>55</v>
      </c>
      <c r="L662" s="6">
        <v>74270.27</v>
      </c>
      <c r="M662">
        <v>59238.45</v>
      </c>
      <c r="N662" t="s">
        <v>192</v>
      </c>
      <c r="O662">
        <v>10</v>
      </c>
      <c r="P662">
        <v>148</v>
      </c>
      <c r="Q662">
        <v>5</v>
      </c>
      <c r="R662">
        <v>168</v>
      </c>
      <c r="S662">
        <v>144.80000000000001</v>
      </c>
      <c r="T662" t="s">
        <v>65</v>
      </c>
      <c r="U662" s="7">
        <f t="shared" si="40"/>
        <v>48</v>
      </c>
      <c r="V662" s="7">
        <f t="shared" si="41"/>
        <v>10</v>
      </c>
      <c r="W662" s="6">
        <f t="shared" si="42"/>
        <v>15031.820000000007</v>
      </c>
      <c r="X662" t="str">
        <f t="shared" si="43"/>
        <v>Middle Age</v>
      </c>
    </row>
    <row r="663" spans="1:24">
      <c r="A663" t="s">
        <v>1696</v>
      </c>
      <c r="B663" t="s">
        <v>99</v>
      </c>
      <c r="C663" t="s">
        <v>40</v>
      </c>
      <c r="D663" s="5">
        <v>27687</v>
      </c>
      <c r="E663" s="5">
        <v>45427</v>
      </c>
      <c r="F663" s="5">
        <v>45435</v>
      </c>
      <c r="G663" t="s">
        <v>109</v>
      </c>
      <c r="H663" t="s">
        <v>44</v>
      </c>
      <c r="I663" t="s">
        <v>96</v>
      </c>
      <c r="J663" t="s">
        <v>64</v>
      </c>
      <c r="K663" t="s">
        <v>110</v>
      </c>
      <c r="L663" s="6">
        <v>114095.37</v>
      </c>
      <c r="M663">
        <v>99545.47</v>
      </c>
      <c r="N663" t="s">
        <v>192</v>
      </c>
      <c r="O663">
        <v>8</v>
      </c>
      <c r="P663">
        <v>74</v>
      </c>
      <c r="Q663">
        <v>4</v>
      </c>
      <c r="R663">
        <v>123</v>
      </c>
      <c r="S663">
        <v>73.3</v>
      </c>
      <c r="T663" t="s">
        <v>4237</v>
      </c>
      <c r="U663" s="7">
        <f t="shared" si="40"/>
        <v>48</v>
      </c>
      <c r="V663" s="7">
        <f t="shared" si="41"/>
        <v>8</v>
      </c>
      <c r="W663" s="6">
        <f t="shared" si="42"/>
        <v>14549.899999999994</v>
      </c>
      <c r="X663" t="str">
        <f t="shared" si="43"/>
        <v>Middle Age</v>
      </c>
    </row>
    <row r="664" spans="1:24">
      <c r="A664" t="s">
        <v>1699</v>
      </c>
      <c r="B664" t="s">
        <v>1700</v>
      </c>
      <c r="C664" t="s">
        <v>133</v>
      </c>
      <c r="D664" s="5">
        <v>20551</v>
      </c>
      <c r="E664" s="5">
        <v>45139</v>
      </c>
      <c r="F664" s="5">
        <v>45140</v>
      </c>
      <c r="G664" t="s">
        <v>94</v>
      </c>
      <c r="H664" t="s">
        <v>118</v>
      </c>
      <c r="I664" t="s">
        <v>33</v>
      </c>
      <c r="J664" t="s">
        <v>97</v>
      </c>
      <c r="K664" t="s">
        <v>27</v>
      </c>
      <c r="L664" s="6">
        <v>17647.98</v>
      </c>
      <c r="M664">
        <v>12963.2</v>
      </c>
      <c r="N664" t="s">
        <v>73</v>
      </c>
      <c r="O664">
        <v>1</v>
      </c>
      <c r="P664">
        <v>127</v>
      </c>
      <c r="Q664">
        <v>1</v>
      </c>
      <c r="R664">
        <v>141</v>
      </c>
      <c r="S664">
        <v>163.5</v>
      </c>
      <c r="T664" t="s">
        <v>37</v>
      </c>
      <c r="U664" s="7">
        <f t="shared" si="40"/>
        <v>67</v>
      </c>
      <c r="V664" s="7">
        <f t="shared" si="41"/>
        <v>1</v>
      </c>
      <c r="W664" s="6">
        <f t="shared" si="42"/>
        <v>4684.7799999999988</v>
      </c>
      <c r="X664" t="str">
        <f t="shared" si="43"/>
        <v>Senior</v>
      </c>
    </row>
    <row r="665" spans="1:24">
      <c r="A665" t="s">
        <v>1704</v>
      </c>
      <c r="B665" t="s">
        <v>1302</v>
      </c>
      <c r="C665" t="s">
        <v>133</v>
      </c>
      <c r="D665" s="5">
        <v>28258</v>
      </c>
      <c r="E665" s="5">
        <v>45058</v>
      </c>
      <c r="F665" s="5">
        <v>45063</v>
      </c>
      <c r="G665" t="s">
        <v>94</v>
      </c>
      <c r="H665" t="s">
        <v>118</v>
      </c>
      <c r="I665" t="s">
        <v>25</v>
      </c>
      <c r="J665" t="s">
        <v>179</v>
      </c>
      <c r="K665" t="s">
        <v>120</v>
      </c>
      <c r="L665" s="6">
        <v>37505.199999999997</v>
      </c>
      <c r="M665">
        <v>30680.51</v>
      </c>
      <c r="N665" t="s">
        <v>35</v>
      </c>
      <c r="O665">
        <v>5</v>
      </c>
      <c r="P665">
        <v>32</v>
      </c>
      <c r="Q665">
        <v>3</v>
      </c>
      <c r="R665">
        <v>189</v>
      </c>
      <c r="S665">
        <v>91.8</v>
      </c>
      <c r="T665" t="s">
        <v>4237</v>
      </c>
      <c r="U665" s="7">
        <f t="shared" si="40"/>
        <v>45</v>
      </c>
      <c r="V665" s="7">
        <f t="shared" si="41"/>
        <v>5</v>
      </c>
      <c r="W665" s="6">
        <f t="shared" si="42"/>
        <v>6824.6899999999987</v>
      </c>
      <c r="X665" t="str">
        <f t="shared" si="43"/>
        <v>Middle Age</v>
      </c>
    </row>
    <row r="666" spans="1:24">
      <c r="A666" t="s">
        <v>1705</v>
      </c>
      <c r="B666" t="s">
        <v>1408</v>
      </c>
      <c r="C666" t="s">
        <v>40</v>
      </c>
      <c r="D666" s="5">
        <v>40106</v>
      </c>
      <c r="E666" s="5">
        <v>45374</v>
      </c>
      <c r="F666" s="5">
        <v>45377</v>
      </c>
      <c r="G666" t="s">
        <v>105</v>
      </c>
      <c r="H666" t="s">
        <v>95</v>
      </c>
      <c r="I666" t="s">
        <v>96</v>
      </c>
      <c r="J666" t="s">
        <v>80</v>
      </c>
      <c r="K666" t="s">
        <v>55</v>
      </c>
      <c r="L666" s="6">
        <v>66695.289999999994</v>
      </c>
      <c r="M666">
        <v>54621.08</v>
      </c>
      <c r="N666" t="s">
        <v>73</v>
      </c>
      <c r="O666">
        <v>3</v>
      </c>
      <c r="P666">
        <v>61</v>
      </c>
      <c r="Q666">
        <v>2</v>
      </c>
      <c r="R666">
        <v>99</v>
      </c>
      <c r="S666">
        <v>112.3</v>
      </c>
      <c r="T666" t="s">
        <v>37</v>
      </c>
      <c r="U666" s="7">
        <f t="shared" si="40"/>
        <v>14</v>
      </c>
      <c r="V666" s="7">
        <f t="shared" si="41"/>
        <v>3</v>
      </c>
      <c r="W666" s="6">
        <f t="shared" si="42"/>
        <v>12074.209999999992</v>
      </c>
      <c r="X666" t="str">
        <f t="shared" si="43"/>
        <v>Child</v>
      </c>
    </row>
    <row r="667" spans="1:24">
      <c r="A667" t="s">
        <v>1707</v>
      </c>
      <c r="B667" t="s">
        <v>550</v>
      </c>
      <c r="C667" t="s">
        <v>133</v>
      </c>
      <c r="D667" s="5">
        <v>24295</v>
      </c>
      <c r="E667" s="5">
        <v>45147</v>
      </c>
      <c r="F667" s="5">
        <v>45148</v>
      </c>
      <c r="G667" t="s">
        <v>152</v>
      </c>
      <c r="H667" t="s">
        <v>32</v>
      </c>
      <c r="I667" t="s">
        <v>79</v>
      </c>
      <c r="J667" t="s">
        <v>64</v>
      </c>
      <c r="K667" t="s">
        <v>110</v>
      </c>
      <c r="L667" s="6">
        <v>186009.25</v>
      </c>
      <c r="M667">
        <v>148668.65</v>
      </c>
      <c r="N667" t="s">
        <v>73</v>
      </c>
      <c r="O667">
        <v>1</v>
      </c>
      <c r="P667">
        <v>106</v>
      </c>
      <c r="Q667">
        <v>4</v>
      </c>
      <c r="R667">
        <v>93</v>
      </c>
      <c r="S667">
        <v>76.2</v>
      </c>
      <c r="T667" t="s">
        <v>4237</v>
      </c>
      <c r="U667" s="7">
        <f t="shared" si="40"/>
        <v>57</v>
      </c>
      <c r="V667" s="7">
        <f t="shared" si="41"/>
        <v>1</v>
      </c>
      <c r="W667" s="6">
        <f t="shared" si="42"/>
        <v>37340.600000000006</v>
      </c>
      <c r="X667" t="str">
        <f t="shared" si="43"/>
        <v>Middle Age</v>
      </c>
    </row>
    <row r="668" spans="1:24">
      <c r="A668" t="s">
        <v>1709</v>
      </c>
      <c r="B668" t="s">
        <v>806</v>
      </c>
      <c r="C668" t="s">
        <v>40</v>
      </c>
      <c r="D668" s="5">
        <v>24199</v>
      </c>
      <c r="E668" s="5">
        <v>45545</v>
      </c>
      <c r="F668" s="5">
        <v>45552</v>
      </c>
      <c r="G668" t="s">
        <v>152</v>
      </c>
      <c r="H668" t="s">
        <v>124</v>
      </c>
      <c r="I668" t="s">
        <v>45</v>
      </c>
      <c r="J668" t="s">
        <v>64</v>
      </c>
      <c r="K668" t="s">
        <v>55</v>
      </c>
      <c r="L668" s="6">
        <v>198999.96</v>
      </c>
      <c r="M668">
        <v>195850.74</v>
      </c>
      <c r="N668" t="s">
        <v>192</v>
      </c>
      <c r="O668">
        <v>7</v>
      </c>
      <c r="P668">
        <v>46</v>
      </c>
      <c r="Q668">
        <v>3</v>
      </c>
      <c r="R668">
        <v>161</v>
      </c>
      <c r="S668">
        <v>185.8</v>
      </c>
      <c r="T668" t="s">
        <v>65</v>
      </c>
      <c r="U668" s="7">
        <f t="shared" si="40"/>
        <v>58</v>
      </c>
      <c r="V668" s="7">
        <f t="shared" si="41"/>
        <v>7</v>
      </c>
      <c r="W668" s="6">
        <f t="shared" si="42"/>
        <v>3149.2200000000012</v>
      </c>
      <c r="X668" t="str">
        <f t="shared" si="43"/>
        <v>Middle Age</v>
      </c>
    </row>
    <row r="669" spans="1:24">
      <c r="A669" t="s">
        <v>1711</v>
      </c>
      <c r="B669" t="s">
        <v>429</v>
      </c>
      <c r="C669" t="s">
        <v>133</v>
      </c>
      <c r="D669" s="5">
        <v>18698</v>
      </c>
      <c r="E669" s="5">
        <v>45748</v>
      </c>
      <c r="F669" s="5">
        <v>45752</v>
      </c>
      <c r="G669" t="s">
        <v>152</v>
      </c>
      <c r="H669" t="s">
        <v>86</v>
      </c>
      <c r="I669" t="s">
        <v>25</v>
      </c>
      <c r="J669" t="s">
        <v>80</v>
      </c>
      <c r="K669" t="s">
        <v>55</v>
      </c>
      <c r="L669" s="6">
        <v>51323.97</v>
      </c>
      <c r="M669">
        <v>40982.559999999998</v>
      </c>
      <c r="N669" t="s">
        <v>73</v>
      </c>
      <c r="O669">
        <v>4</v>
      </c>
      <c r="P669">
        <v>22</v>
      </c>
      <c r="Q669">
        <v>2</v>
      </c>
      <c r="R669">
        <v>175</v>
      </c>
      <c r="S669">
        <v>241.2</v>
      </c>
      <c r="T669" t="s">
        <v>37</v>
      </c>
      <c r="U669" s="7">
        <f t="shared" si="40"/>
        <v>74</v>
      </c>
      <c r="V669" s="7">
        <f t="shared" si="41"/>
        <v>4</v>
      </c>
      <c r="W669" s="6">
        <f t="shared" si="42"/>
        <v>10341.410000000003</v>
      </c>
      <c r="X669" t="str">
        <f t="shared" si="43"/>
        <v>Senior</v>
      </c>
    </row>
    <row r="670" spans="1:24">
      <c r="A670" t="s">
        <v>4140</v>
      </c>
      <c r="B670" t="s">
        <v>403</v>
      </c>
      <c r="C670" t="s">
        <v>133</v>
      </c>
      <c r="D670" s="5">
        <v>20156</v>
      </c>
      <c r="E670" s="5">
        <v>45456</v>
      </c>
      <c r="F670" s="5">
        <v>45472</v>
      </c>
      <c r="G670" t="s">
        <v>152</v>
      </c>
      <c r="H670" t="s">
        <v>86</v>
      </c>
      <c r="I670" t="s">
        <v>96</v>
      </c>
      <c r="J670" t="s">
        <v>97</v>
      </c>
      <c r="K670" t="s">
        <v>110</v>
      </c>
      <c r="L670" s="6">
        <v>14050.01</v>
      </c>
      <c r="M670">
        <v>9974.4</v>
      </c>
      <c r="N670" t="s">
        <v>192</v>
      </c>
      <c r="O670">
        <v>16</v>
      </c>
      <c r="P670">
        <v>22</v>
      </c>
      <c r="Q670">
        <v>1</v>
      </c>
      <c r="R670">
        <v>101</v>
      </c>
      <c r="S670">
        <v>156.30000000000001</v>
      </c>
      <c r="T670" t="s">
        <v>47</v>
      </c>
      <c r="U670" s="7">
        <f t="shared" si="40"/>
        <v>69</v>
      </c>
      <c r="V670" s="7">
        <f t="shared" si="41"/>
        <v>16</v>
      </c>
      <c r="W670" s="6">
        <f t="shared" si="42"/>
        <v>4075.6100000000006</v>
      </c>
      <c r="X670" t="str">
        <f t="shared" si="43"/>
        <v>Senior</v>
      </c>
    </row>
    <row r="671" spans="1:24">
      <c r="A671" t="s">
        <v>1714</v>
      </c>
      <c r="B671" t="s">
        <v>579</v>
      </c>
      <c r="C671" t="s">
        <v>40</v>
      </c>
      <c r="D671" s="5">
        <v>33565</v>
      </c>
      <c r="E671" s="5">
        <v>45941</v>
      </c>
      <c r="F671" s="5">
        <v>45952</v>
      </c>
      <c r="G671" t="s">
        <v>43</v>
      </c>
      <c r="H671" t="s">
        <v>52</v>
      </c>
      <c r="I671" t="s">
        <v>53</v>
      </c>
      <c r="J671" t="s">
        <v>71</v>
      </c>
      <c r="K671" t="s">
        <v>110</v>
      </c>
      <c r="L671" s="6">
        <v>14886.49</v>
      </c>
      <c r="M671">
        <v>13277.94</v>
      </c>
      <c r="N671" t="s">
        <v>35</v>
      </c>
      <c r="O671">
        <v>11</v>
      </c>
      <c r="P671">
        <v>63</v>
      </c>
      <c r="Q671">
        <v>4</v>
      </c>
      <c r="R671">
        <v>146</v>
      </c>
      <c r="S671">
        <v>99.3</v>
      </c>
      <c r="T671" t="s">
        <v>4237</v>
      </c>
      <c r="U671" s="7">
        <f t="shared" si="40"/>
        <v>33</v>
      </c>
      <c r="V671" s="7">
        <f t="shared" si="41"/>
        <v>11</v>
      </c>
      <c r="W671" s="6">
        <f t="shared" si="42"/>
        <v>1608.5499999999993</v>
      </c>
      <c r="X671" t="str">
        <f t="shared" si="43"/>
        <v>Adult</v>
      </c>
    </row>
    <row r="672" spans="1:24">
      <c r="A672" t="s">
        <v>1715</v>
      </c>
      <c r="B672" t="s">
        <v>1088</v>
      </c>
      <c r="C672" t="s">
        <v>133</v>
      </c>
      <c r="D672" s="5">
        <v>39715</v>
      </c>
      <c r="E672" s="5" t="s">
        <v>4237</v>
      </c>
      <c r="F672" s="5">
        <v>45088</v>
      </c>
      <c r="G672" t="s">
        <v>152</v>
      </c>
      <c r="H672" t="s">
        <v>86</v>
      </c>
      <c r="I672" t="s">
        <v>33</v>
      </c>
      <c r="J672" t="s">
        <v>64</v>
      </c>
      <c r="K672" t="s">
        <v>55</v>
      </c>
      <c r="L672" s="6">
        <v>192931.69</v>
      </c>
      <c r="M672">
        <v>181033.35</v>
      </c>
      <c r="N672" t="s">
        <v>73</v>
      </c>
      <c r="O672">
        <v>8</v>
      </c>
      <c r="P672">
        <v>30</v>
      </c>
      <c r="Q672">
        <v>3</v>
      </c>
      <c r="R672">
        <v>100</v>
      </c>
      <c r="S672">
        <v>86.3</v>
      </c>
      <c r="T672" t="s">
        <v>37</v>
      </c>
      <c r="U672" s="7" t="s">
        <v>4237</v>
      </c>
      <c r="V672" s="7" t="s">
        <v>4237</v>
      </c>
      <c r="W672" s="6">
        <f t="shared" si="42"/>
        <v>11898.339999999997</v>
      </c>
      <c r="X672" t="s">
        <v>4237</v>
      </c>
    </row>
    <row r="673" spans="1:24">
      <c r="A673" t="s">
        <v>1719</v>
      </c>
      <c r="B673" t="s">
        <v>83</v>
      </c>
      <c r="C673" t="s">
        <v>133</v>
      </c>
      <c r="D673" s="5">
        <v>38574</v>
      </c>
      <c r="E673" s="5">
        <v>45000</v>
      </c>
      <c r="F673" s="5">
        <v>45008</v>
      </c>
      <c r="G673" t="s">
        <v>105</v>
      </c>
      <c r="H673" t="s">
        <v>52</v>
      </c>
      <c r="I673" t="s">
        <v>96</v>
      </c>
      <c r="J673" t="s">
        <v>46</v>
      </c>
      <c r="K673" t="s">
        <v>55</v>
      </c>
      <c r="L673" s="6">
        <v>46605.19</v>
      </c>
      <c r="M673">
        <v>98646.34</v>
      </c>
      <c r="N673" t="s">
        <v>192</v>
      </c>
      <c r="O673">
        <v>8</v>
      </c>
      <c r="P673">
        <v>234</v>
      </c>
      <c r="Q673">
        <v>2</v>
      </c>
      <c r="R673">
        <v>153</v>
      </c>
      <c r="S673">
        <v>89.4</v>
      </c>
      <c r="T673" t="s">
        <v>47</v>
      </c>
      <c r="U673" s="7">
        <f t="shared" si="40"/>
        <v>17</v>
      </c>
      <c r="V673" s="7">
        <f t="shared" si="41"/>
        <v>8</v>
      </c>
      <c r="W673" s="6">
        <f t="shared" si="42"/>
        <v>-52041.149999999994</v>
      </c>
      <c r="X673" t="str">
        <f t="shared" si="43"/>
        <v>Child</v>
      </c>
    </row>
    <row r="674" spans="1:24">
      <c r="A674" t="s">
        <v>1720</v>
      </c>
      <c r="B674" t="s">
        <v>270</v>
      </c>
      <c r="C674" t="s">
        <v>40</v>
      </c>
      <c r="D674" s="5">
        <v>34108</v>
      </c>
      <c r="E674" s="5">
        <v>45710</v>
      </c>
      <c r="F674" s="5">
        <v>45717</v>
      </c>
      <c r="G674" t="s">
        <v>161</v>
      </c>
      <c r="H674" t="s">
        <v>153</v>
      </c>
      <c r="I674" t="s">
        <v>25</v>
      </c>
      <c r="J674" t="s">
        <v>64</v>
      </c>
      <c r="K674" t="s">
        <v>55</v>
      </c>
      <c r="L674" s="6">
        <v>123663.9</v>
      </c>
      <c r="M674">
        <v>203109.38</v>
      </c>
      <c r="N674" t="s">
        <v>56</v>
      </c>
      <c r="O674">
        <v>7</v>
      </c>
      <c r="P674">
        <v>80</v>
      </c>
      <c r="Q674">
        <v>5</v>
      </c>
      <c r="R674">
        <v>146</v>
      </c>
      <c r="S674">
        <v>236.7</v>
      </c>
      <c r="T674" t="s">
        <v>37</v>
      </c>
      <c r="U674" s="7">
        <f t="shared" si="40"/>
        <v>31</v>
      </c>
      <c r="V674" s="7">
        <f t="shared" si="41"/>
        <v>7</v>
      </c>
      <c r="W674" s="6">
        <f t="shared" si="42"/>
        <v>-79445.48000000001</v>
      </c>
      <c r="X674" t="str">
        <f t="shared" si="43"/>
        <v>Adult</v>
      </c>
    </row>
    <row r="675" spans="1:24">
      <c r="A675" t="s">
        <v>4141</v>
      </c>
      <c r="B675" t="s">
        <v>1050</v>
      </c>
      <c r="C675" t="s">
        <v>40</v>
      </c>
      <c r="D675" s="5">
        <v>20022</v>
      </c>
      <c r="E675" s="5">
        <v>45568</v>
      </c>
      <c r="F675" s="5">
        <v>45575</v>
      </c>
      <c r="G675" t="s">
        <v>77</v>
      </c>
      <c r="H675" t="s">
        <v>32</v>
      </c>
      <c r="I675" t="s">
        <v>96</v>
      </c>
      <c r="J675" t="s">
        <v>64</v>
      </c>
      <c r="K675" t="s">
        <v>55</v>
      </c>
      <c r="L675" s="6">
        <v>176242.72</v>
      </c>
      <c r="M675">
        <v>144374.21</v>
      </c>
      <c r="N675" t="s">
        <v>73</v>
      </c>
      <c r="O675">
        <v>7</v>
      </c>
      <c r="P675">
        <v>167</v>
      </c>
      <c r="Q675">
        <v>4</v>
      </c>
      <c r="R675">
        <v>110</v>
      </c>
      <c r="S675">
        <v>250</v>
      </c>
      <c r="T675" t="s">
        <v>37</v>
      </c>
      <c r="U675" s="7">
        <f t="shared" si="40"/>
        <v>69</v>
      </c>
      <c r="V675" s="7">
        <f t="shared" si="41"/>
        <v>7</v>
      </c>
      <c r="W675" s="6">
        <f t="shared" si="42"/>
        <v>31868.510000000009</v>
      </c>
      <c r="X675" t="str">
        <f t="shared" si="43"/>
        <v>Senior</v>
      </c>
    </row>
    <row r="676" spans="1:24">
      <c r="A676" t="s">
        <v>1724</v>
      </c>
      <c r="B676" t="s">
        <v>253</v>
      </c>
      <c r="C676" t="s">
        <v>40</v>
      </c>
      <c r="D676" s="5">
        <v>20174</v>
      </c>
      <c r="E676" s="5">
        <v>45201</v>
      </c>
      <c r="F676" s="5">
        <v>45202</v>
      </c>
      <c r="G676" t="s">
        <v>117</v>
      </c>
      <c r="H676" t="s">
        <v>153</v>
      </c>
      <c r="I676" t="s">
        <v>53</v>
      </c>
      <c r="J676" t="s">
        <v>97</v>
      </c>
      <c r="K676" t="s">
        <v>120</v>
      </c>
      <c r="L676" s="6">
        <v>149150.97</v>
      </c>
      <c r="M676">
        <v>107597.62</v>
      </c>
      <c r="N676" t="s">
        <v>73</v>
      </c>
      <c r="O676">
        <v>1</v>
      </c>
      <c r="P676">
        <v>226</v>
      </c>
      <c r="Q676">
        <v>4</v>
      </c>
      <c r="R676">
        <v>117</v>
      </c>
      <c r="S676">
        <v>78</v>
      </c>
      <c r="T676" t="s">
        <v>37</v>
      </c>
      <c r="U676" s="7">
        <f t="shared" si="40"/>
        <v>68</v>
      </c>
      <c r="V676" s="7">
        <f t="shared" si="41"/>
        <v>1</v>
      </c>
      <c r="W676" s="6">
        <f t="shared" si="42"/>
        <v>41553.350000000006</v>
      </c>
      <c r="X676" t="str">
        <f t="shared" si="43"/>
        <v>Senior</v>
      </c>
    </row>
    <row r="677" spans="1:24">
      <c r="A677" t="s">
        <v>1726</v>
      </c>
      <c r="B677" t="s">
        <v>1727</v>
      </c>
      <c r="C677" t="s">
        <v>133</v>
      </c>
      <c r="D677" s="5">
        <v>19188</v>
      </c>
      <c r="E677" s="5">
        <v>45082</v>
      </c>
      <c r="F677" s="5" t="s">
        <v>4237</v>
      </c>
      <c r="G677" t="s">
        <v>117</v>
      </c>
      <c r="H677" t="s">
        <v>95</v>
      </c>
      <c r="I677" t="s">
        <v>25</v>
      </c>
      <c r="J677" t="s">
        <v>64</v>
      </c>
      <c r="K677" t="s">
        <v>161</v>
      </c>
      <c r="L677" s="6">
        <v>86561.5</v>
      </c>
      <c r="M677">
        <v>65910.42</v>
      </c>
      <c r="N677" t="s">
        <v>35</v>
      </c>
      <c r="O677">
        <v>11</v>
      </c>
      <c r="P677">
        <v>32</v>
      </c>
      <c r="Q677">
        <v>4</v>
      </c>
      <c r="R677">
        <v>173</v>
      </c>
      <c r="S677">
        <v>172.3</v>
      </c>
      <c r="T677" t="s">
        <v>37</v>
      </c>
      <c r="U677" s="7">
        <f t="shared" si="40"/>
        <v>70</v>
      </c>
      <c r="V677" s="7" t="s">
        <v>4237</v>
      </c>
      <c r="W677" s="6">
        <f t="shared" si="42"/>
        <v>20651.080000000002</v>
      </c>
      <c r="X677" t="str">
        <f t="shared" si="43"/>
        <v>Senior</v>
      </c>
    </row>
    <row r="678" spans="1:24">
      <c r="A678" t="s">
        <v>1730</v>
      </c>
      <c r="B678" t="s">
        <v>1017</v>
      </c>
      <c r="C678" t="s">
        <v>40</v>
      </c>
      <c r="D678" s="5">
        <v>26949</v>
      </c>
      <c r="E678" s="5">
        <v>45974</v>
      </c>
      <c r="F678" s="5">
        <v>45978</v>
      </c>
      <c r="G678" t="s">
        <v>89</v>
      </c>
      <c r="H678" t="s">
        <v>124</v>
      </c>
      <c r="I678" t="s">
        <v>79</v>
      </c>
      <c r="J678" t="s">
        <v>64</v>
      </c>
      <c r="K678" t="s">
        <v>161</v>
      </c>
      <c r="L678" s="6">
        <v>105746.2</v>
      </c>
      <c r="M678">
        <v>100200.73</v>
      </c>
      <c r="N678" t="s">
        <v>73</v>
      </c>
      <c r="O678">
        <v>4</v>
      </c>
      <c r="P678">
        <v>121</v>
      </c>
      <c r="Q678">
        <v>1</v>
      </c>
      <c r="R678">
        <v>103</v>
      </c>
      <c r="S678">
        <v>215.1</v>
      </c>
      <c r="T678" t="s">
        <v>37</v>
      </c>
      <c r="U678" s="7">
        <f t="shared" si="40"/>
        <v>52</v>
      </c>
      <c r="V678" s="7">
        <f t="shared" si="41"/>
        <v>4</v>
      </c>
      <c r="W678" s="6">
        <f t="shared" si="42"/>
        <v>5545.4700000000012</v>
      </c>
      <c r="X678" t="str">
        <f t="shared" si="43"/>
        <v>Middle Age</v>
      </c>
    </row>
    <row r="679" spans="1:24">
      <c r="A679" t="s">
        <v>1733</v>
      </c>
      <c r="B679" t="s">
        <v>1734</v>
      </c>
      <c r="C679" t="s">
        <v>40</v>
      </c>
      <c r="D679" s="5">
        <v>28811</v>
      </c>
      <c r="E679" s="5">
        <v>45910</v>
      </c>
      <c r="F679" s="5">
        <v>45918</v>
      </c>
      <c r="G679" t="s">
        <v>89</v>
      </c>
      <c r="H679" t="s">
        <v>63</v>
      </c>
      <c r="I679" t="s">
        <v>79</v>
      </c>
      <c r="J679" t="s">
        <v>34</v>
      </c>
      <c r="K679" t="s">
        <v>161</v>
      </c>
      <c r="L679" s="6">
        <v>72237.820000000007</v>
      </c>
      <c r="M679">
        <v>63457.04</v>
      </c>
      <c r="N679" t="s">
        <v>91</v>
      </c>
      <c r="O679">
        <v>8</v>
      </c>
      <c r="P679">
        <v>203</v>
      </c>
      <c r="Q679">
        <v>2</v>
      </c>
      <c r="R679">
        <v>166</v>
      </c>
      <c r="S679">
        <v>163.5</v>
      </c>
      <c r="T679" t="s">
        <v>47</v>
      </c>
      <c r="U679" s="7">
        <f t="shared" si="40"/>
        <v>46</v>
      </c>
      <c r="V679" s="7">
        <f t="shared" si="41"/>
        <v>8</v>
      </c>
      <c r="W679" s="6">
        <f t="shared" si="42"/>
        <v>8780.7800000000061</v>
      </c>
      <c r="X679" t="str">
        <f t="shared" si="43"/>
        <v>Middle Age</v>
      </c>
    </row>
    <row r="680" spans="1:24">
      <c r="A680" t="s">
        <v>1735</v>
      </c>
      <c r="B680" t="s">
        <v>104</v>
      </c>
      <c r="C680" t="s">
        <v>133</v>
      </c>
      <c r="D680" s="5">
        <v>32646</v>
      </c>
      <c r="E680" s="5">
        <v>45371</v>
      </c>
      <c r="F680" s="5">
        <v>45375</v>
      </c>
      <c r="G680" t="s">
        <v>77</v>
      </c>
      <c r="H680" t="s">
        <v>95</v>
      </c>
      <c r="I680" t="s">
        <v>33</v>
      </c>
      <c r="J680" t="s">
        <v>26</v>
      </c>
      <c r="K680" t="s">
        <v>120</v>
      </c>
      <c r="L680" s="6">
        <v>123663.9</v>
      </c>
      <c r="M680">
        <v>89381.94</v>
      </c>
      <c r="N680" t="s">
        <v>56</v>
      </c>
      <c r="O680">
        <v>4</v>
      </c>
      <c r="P680">
        <v>216</v>
      </c>
      <c r="Q680">
        <v>4</v>
      </c>
      <c r="R680">
        <v>165</v>
      </c>
      <c r="S680">
        <v>185.8</v>
      </c>
      <c r="T680" t="s">
        <v>37</v>
      </c>
      <c r="U680" s="7">
        <f t="shared" si="40"/>
        <v>34</v>
      </c>
      <c r="V680" s="7">
        <f t="shared" si="41"/>
        <v>4</v>
      </c>
      <c r="W680" s="6">
        <f t="shared" si="42"/>
        <v>34281.959999999992</v>
      </c>
      <c r="X680" t="str">
        <f t="shared" si="43"/>
        <v>Adult</v>
      </c>
    </row>
    <row r="681" spans="1:24">
      <c r="A681" t="s">
        <v>1738</v>
      </c>
      <c r="B681" t="s">
        <v>531</v>
      </c>
      <c r="C681" t="s">
        <v>133</v>
      </c>
      <c r="D681" s="5">
        <v>19371</v>
      </c>
      <c r="E681" s="5">
        <v>45329</v>
      </c>
      <c r="F681" s="5">
        <v>45335</v>
      </c>
      <c r="G681" t="s">
        <v>94</v>
      </c>
      <c r="H681" t="s">
        <v>95</v>
      </c>
      <c r="I681" t="s">
        <v>79</v>
      </c>
      <c r="J681" t="s">
        <v>80</v>
      </c>
      <c r="K681" t="s">
        <v>55</v>
      </c>
      <c r="L681" s="6">
        <v>218559.62</v>
      </c>
      <c r="M681">
        <v>174089.22</v>
      </c>
      <c r="N681" t="s">
        <v>91</v>
      </c>
      <c r="O681">
        <v>6</v>
      </c>
      <c r="P681">
        <v>16</v>
      </c>
      <c r="Q681">
        <v>5</v>
      </c>
      <c r="R681">
        <v>112</v>
      </c>
      <c r="S681">
        <v>121.3</v>
      </c>
      <c r="T681" t="s">
        <v>37</v>
      </c>
      <c r="U681" s="7">
        <f t="shared" si="40"/>
        <v>71</v>
      </c>
      <c r="V681" s="7">
        <f t="shared" si="41"/>
        <v>6</v>
      </c>
      <c r="W681" s="6">
        <f t="shared" si="42"/>
        <v>44470.399999999994</v>
      </c>
      <c r="X681" t="str">
        <f t="shared" si="43"/>
        <v>Senior</v>
      </c>
    </row>
    <row r="682" spans="1:24">
      <c r="A682" t="s">
        <v>4142</v>
      </c>
      <c r="B682" t="s">
        <v>1104</v>
      </c>
      <c r="C682" t="s">
        <v>40</v>
      </c>
      <c r="D682" s="5">
        <v>34521</v>
      </c>
      <c r="E682" s="5">
        <v>45863</v>
      </c>
      <c r="F682" s="5">
        <v>45877</v>
      </c>
      <c r="G682" t="s">
        <v>94</v>
      </c>
      <c r="H682" t="s">
        <v>86</v>
      </c>
      <c r="I682" t="s">
        <v>53</v>
      </c>
      <c r="J682" t="s">
        <v>64</v>
      </c>
      <c r="K682" t="s">
        <v>55</v>
      </c>
      <c r="L682" s="6">
        <v>248253.5</v>
      </c>
      <c r="M682">
        <v>239466.38</v>
      </c>
      <c r="N682" t="s">
        <v>91</v>
      </c>
      <c r="O682">
        <v>14</v>
      </c>
      <c r="P682">
        <v>133</v>
      </c>
      <c r="Q682">
        <v>4</v>
      </c>
      <c r="R682">
        <v>176</v>
      </c>
      <c r="S682">
        <v>220</v>
      </c>
      <c r="T682" t="s">
        <v>47</v>
      </c>
      <c r="U682" s="7">
        <f t="shared" si="40"/>
        <v>31</v>
      </c>
      <c r="V682" s="7">
        <f t="shared" si="41"/>
        <v>14</v>
      </c>
      <c r="W682" s="6">
        <f t="shared" si="42"/>
        <v>8787.1199999999953</v>
      </c>
      <c r="X682" t="str">
        <f t="shared" si="43"/>
        <v>Adult</v>
      </c>
    </row>
    <row r="683" spans="1:24">
      <c r="A683" t="s">
        <v>1741</v>
      </c>
      <c r="B683" t="s">
        <v>270</v>
      </c>
      <c r="C683" t="s">
        <v>40</v>
      </c>
      <c r="D683" s="5">
        <v>20559</v>
      </c>
      <c r="E683" s="5">
        <v>45551</v>
      </c>
      <c r="F683" s="5" t="s">
        <v>4237</v>
      </c>
      <c r="G683" t="s">
        <v>161</v>
      </c>
      <c r="H683" t="s">
        <v>86</v>
      </c>
      <c r="I683" t="s">
        <v>53</v>
      </c>
      <c r="J683" t="s">
        <v>64</v>
      </c>
      <c r="K683" t="s">
        <v>120</v>
      </c>
      <c r="L683" s="6">
        <v>198297.73</v>
      </c>
      <c r="M683">
        <v>192352.9</v>
      </c>
      <c r="N683" t="s">
        <v>91</v>
      </c>
      <c r="O683">
        <v>4</v>
      </c>
      <c r="P683">
        <v>188</v>
      </c>
      <c r="Q683">
        <v>3</v>
      </c>
      <c r="R683">
        <v>102</v>
      </c>
      <c r="S683">
        <v>197.9</v>
      </c>
      <c r="T683" t="s">
        <v>37</v>
      </c>
      <c r="U683" s="7">
        <f t="shared" si="40"/>
        <v>68</v>
      </c>
      <c r="V683" s="7" t="s">
        <v>4237</v>
      </c>
      <c r="W683" s="6">
        <f t="shared" si="42"/>
        <v>5944.8300000000163</v>
      </c>
      <c r="X683" t="str">
        <f t="shared" si="43"/>
        <v>Senior</v>
      </c>
    </row>
    <row r="684" spans="1:24">
      <c r="A684" t="s">
        <v>1743</v>
      </c>
      <c r="B684" t="s">
        <v>129</v>
      </c>
      <c r="C684" t="s">
        <v>40</v>
      </c>
      <c r="D684" s="5">
        <v>29771</v>
      </c>
      <c r="E684" s="5">
        <v>45015</v>
      </c>
      <c r="F684" s="5">
        <v>45029</v>
      </c>
      <c r="G684" t="s">
        <v>161</v>
      </c>
      <c r="H684" t="s">
        <v>63</v>
      </c>
      <c r="I684" t="s">
        <v>53</v>
      </c>
      <c r="J684" t="s">
        <v>179</v>
      </c>
      <c r="K684" t="s">
        <v>55</v>
      </c>
      <c r="L684" s="6">
        <v>159614.01</v>
      </c>
      <c r="M684">
        <v>123080.69</v>
      </c>
      <c r="N684" t="s">
        <v>192</v>
      </c>
      <c r="O684">
        <v>14</v>
      </c>
      <c r="P684">
        <v>224</v>
      </c>
      <c r="Q684">
        <v>5</v>
      </c>
      <c r="R684">
        <v>121</v>
      </c>
      <c r="S684">
        <v>216.4</v>
      </c>
      <c r="T684" t="s">
        <v>37</v>
      </c>
      <c r="U684" s="7">
        <f t="shared" si="40"/>
        <v>41</v>
      </c>
      <c r="V684" s="7">
        <f t="shared" si="41"/>
        <v>14</v>
      </c>
      <c r="W684" s="6">
        <f t="shared" si="42"/>
        <v>36533.320000000007</v>
      </c>
      <c r="X684" t="str">
        <f t="shared" si="43"/>
        <v>Middle Age</v>
      </c>
    </row>
    <row r="685" spans="1:24">
      <c r="A685" t="s">
        <v>1747</v>
      </c>
      <c r="B685" t="s">
        <v>1748</v>
      </c>
      <c r="C685" t="s">
        <v>133</v>
      </c>
      <c r="D685" s="5">
        <v>26619</v>
      </c>
      <c r="E685" s="5">
        <v>45291</v>
      </c>
      <c r="F685" s="5">
        <v>45292</v>
      </c>
      <c r="G685" t="s">
        <v>94</v>
      </c>
      <c r="H685" t="s">
        <v>153</v>
      </c>
      <c r="I685" t="s">
        <v>53</v>
      </c>
      <c r="J685" t="s">
        <v>34</v>
      </c>
      <c r="K685" t="s">
        <v>120</v>
      </c>
      <c r="L685" s="6">
        <v>95775.42</v>
      </c>
      <c r="M685">
        <v>80269.570000000007</v>
      </c>
      <c r="N685" t="s">
        <v>73</v>
      </c>
      <c r="O685">
        <v>1</v>
      </c>
      <c r="P685">
        <v>107</v>
      </c>
      <c r="Q685">
        <v>4</v>
      </c>
      <c r="R685">
        <v>139</v>
      </c>
      <c r="S685">
        <v>215.1</v>
      </c>
      <c r="T685" t="s">
        <v>37</v>
      </c>
      <c r="U685" s="7">
        <f t="shared" si="40"/>
        <v>51</v>
      </c>
      <c r="V685" s="7">
        <f t="shared" si="41"/>
        <v>1</v>
      </c>
      <c r="W685" s="6">
        <f t="shared" si="42"/>
        <v>15505.849999999991</v>
      </c>
      <c r="X685" t="str">
        <f t="shared" si="43"/>
        <v>Middle Age</v>
      </c>
    </row>
    <row r="686" spans="1:24">
      <c r="A686" t="s">
        <v>1749</v>
      </c>
      <c r="B686" t="s">
        <v>342</v>
      </c>
      <c r="C686" t="s">
        <v>133</v>
      </c>
      <c r="D686" s="5">
        <v>36031</v>
      </c>
      <c r="E686" s="5">
        <v>45537</v>
      </c>
      <c r="F686" s="5">
        <v>45542</v>
      </c>
      <c r="G686" t="s">
        <v>117</v>
      </c>
      <c r="H686" t="s">
        <v>4236</v>
      </c>
      <c r="I686" t="s">
        <v>33</v>
      </c>
      <c r="J686" t="s">
        <v>64</v>
      </c>
      <c r="K686" t="s">
        <v>55</v>
      </c>
      <c r="L686" s="6">
        <v>157781.89000000001</v>
      </c>
      <c r="M686">
        <v>146650.32</v>
      </c>
      <c r="N686" t="s">
        <v>73</v>
      </c>
      <c r="O686">
        <v>5</v>
      </c>
      <c r="P686">
        <v>110</v>
      </c>
      <c r="Q686">
        <v>4</v>
      </c>
      <c r="R686">
        <v>165</v>
      </c>
      <c r="S686">
        <v>257.8</v>
      </c>
      <c r="T686" t="s">
        <v>65</v>
      </c>
      <c r="U686" s="7">
        <f t="shared" si="40"/>
        <v>26</v>
      </c>
      <c r="V686" s="7">
        <f t="shared" si="41"/>
        <v>5</v>
      </c>
      <c r="W686" s="6">
        <f t="shared" si="42"/>
        <v>11131.570000000007</v>
      </c>
      <c r="X686" t="str">
        <f t="shared" si="43"/>
        <v>Adult</v>
      </c>
    </row>
    <row r="687" spans="1:24">
      <c r="A687" t="s">
        <v>1751</v>
      </c>
      <c r="B687" t="s">
        <v>867</v>
      </c>
      <c r="C687" t="s">
        <v>133</v>
      </c>
      <c r="D687" s="5">
        <v>25028</v>
      </c>
      <c r="E687" s="5">
        <v>45081</v>
      </c>
      <c r="F687" s="5">
        <v>45098</v>
      </c>
      <c r="G687" t="s">
        <v>117</v>
      </c>
      <c r="H687" t="s">
        <v>78</v>
      </c>
      <c r="I687" t="s">
        <v>96</v>
      </c>
      <c r="J687" t="s">
        <v>64</v>
      </c>
      <c r="K687" t="s">
        <v>55</v>
      </c>
      <c r="L687" s="6">
        <v>123663.9</v>
      </c>
      <c r="M687">
        <v>81982.009999999995</v>
      </c>
      <c r="N687" t="s">
        <v>73</v>
      </c>
      <c r="O687">
        <v>17</v>
      </c>
      <c r="P687">
        <v>122</v>
      </c>
      <c r="Q687">
        <v>4</v>
      </c>
      <c r="R687">
        <v>170</v>
      </c>
      <c r="S687">
        <v>135.19999999999999</v>
      </c>
      <c r="T687" t="s">
        <v>37</v>
      </c>
      <c r="U687" s="7">
        <f t="shared" si="40"/>
        <v>54</v>
      </c>
      <c r="V687" s="7">
        <f t="shared" si="41"/>
        <v>17</v>
      </c>
      <c r="W687" s="6">
        <f t="shared" si="42"/>
        <v>41681.89</v>
      </c>
      <c r="X687" t="str">
        <f t="shared" si="43"/>
        <v>Middle Age</v>
      </c>
    </row>
    <row r="688" spans="1:24">
      <c r="A688" t="s">
        <v>1752</v>
      </c>
      <c r="B688" t="s">
        <v>383</v>
      </c>
      <c r="C688" t="s">
        <v>133</v>
      </c>
      <c r="D688" s="5">
        <v>20826</v>
      </c>
      <c r="E688" s="5">
        <v>45743</v>
      </c>
      <c r="F688" s="5">
        <v>45748</v>
      </c>
      <c r="G688" t="s">
        <v>152</v>
      </c>
      <c r="H688" t="s">
        <v>134</v>
      </c>
      <c r="I688" t="s">
        <v>33</v>
      </c>
      <c r="J688" t="s">
        <v>71</v>
      </c>
      <c r="K688" t="s">
        <v>120</v>
      </c>
      <c r="L688" s="6">
        <v>139337.04</v>
      </c>
      <c r="M688">
        <v>98291.62</v>
      </c>
      <c r="N688" t="s">
        <v>73</v>
      </c>
      <c r="O688">
        <v>5</v>
      </c>
      <c r="P688">
        <v>144</v>
      </c>
      <c r="Q688">
        <v>3</v>
      </c>
      <c r="R688">
        <v>124</v>
      </c>
      <c r="S688">
        <v>171.6</v>
      </c>
      <c r="T688" t="s">
        <v>65</v>
      </c>
      <c r="U688" s="7">
        <f t="shared" si="40"/>
        <v>68</v>
      </c>
      <c r="V688" s="7">
        <f t="shared" si="41"/>
        <v>5</v>
      </c>
      <c r="W688" s="6">
        <f t="shared" si="42"/>
        <v>41045.420000000013</v>
      </c>
      <c r="X688" t="str">
        <f t="shared" si="43"/>
        <v>Senior</v>
      </c>
    </row>
    <row r="689" spans="1:24">
      <c r="A689" t="s">
        <v>1753</v>
      </c>
      <c r="B689" t="s">
        <v>464</v>
      </c>
      <c r="C689" t="s">
        <v>40</v>
      </c>
      <c r="D689" s="5">
        <v>32805</v>
      </c>
      <c r="E689" s="5" t="s">
        <v>4237</v>
      </c>
      <c r="F689" s="5">
        <v>45906</v>
      </c>
      <c r="G689" t="s">
        <v>161</v>
      </c>
      <c r="H689" t="s">
        <v>52</v>
      </c>
      <c r="I689" t="s">
        <v>119</v>
      </c>
      <c r="J689" t="s">
        <v>34</v>
      </c>
      <c r="K689" t="s">
        <v>120</v>
      </c>
      <c r="L689" s="6">
        <v>246101.38</v>
      </c>
      <c r="M689">
        <v>173346.59</v>
      </c>
      <c r="N689" t="s">
        <v>35</v>
      </c>
      <c r="O689">
        <v>9</v>
      </c>
      <c r="P689">
        <v>119</v>
      </c>
      <c r="Q689">
        <v>5</v>
      </c>
      <c r="R689">
        <v>91</v>
      </c>
      <c r="S689">
        <v>163.5</v>
      </c>
      <c r="T689" t="s">
        <v>47</v>
      </c>
      <c r="U689" s="7" t="s">
        <v>4237</v>
      </c>
      <c r="V689" s="7" t="s">
        <v>4237</v>
      </c>
      <c r="W689" s="6">
        <f t="shared" si="42"/>
        <v>72754.790000000008</v>
      </c>
      <c r="X689" t="s">
        <v>4237</v>
      </c>
    </row>
    <row r="690" spans="1:24">
      <c r="A690" t="s">
        <v>1756</v>
      </c>
      <c r="B690" t="s">
        <v>909</v>
      </c>
      <c r="C690" t="s">
        <v>133</v>
      </c>
      <c r="D690" s="5">
        <v>20707</v>
      </c>
      <c r="E690" s="5">
        <v>45319</v>
      </c>
      <c r="F690" s="5">
        <v>45334</v>
      </c>
      <c r="G690" t="s">
        <v>152</v>
      </c>
      <c r="H690" t="s">
        <v>124</v>
      </c>
      <c r="I690" t="s">
        <v>96</v>
      </c>
      <c r="J690" t="s">
        <v>64</v>
      </c>
      <c r="K690" t="s">
        <v>55</v>
      </c>
      <c r="L690" s="6">
        <v>113584.31</v>
      </c>
      <c r="M690">
        <v>96637.09</v>
      </c>
      <c r="N690" t="s">
        <v>192</v>
      </c>
      <c r="O690">
        <v>15</v>
      </c>
      <c r="P690">
        <v>127</v>
      </c>
      <c r="Q690">
        <v>1</v>
      </c>
      <c r="R690">
        <v>173</v>
      </c>
      <c r="S690">
        <v>92.5</v>
      </c>
      <c r="T690" t="s">
        <v>37</v>
      </c>
      <c r="U690" s="7">
        <f t="shared" si="40"/>
        <v>67</v>
      </c>
      <c r="V690" s="7">
        <f t="shared" si="41"/>
        <v>15</v>
      </c>
      <c r="W690" s="6">
        <f t="shared" si="42"/>
        <v>16947.22</v>
      </c>
      <c r="X690" t="str">
        <f t="shared" si="43"/>
        <v>Senior</v>
      </c>
    </row>
    <row r="691" spans="1:24">
      <c r="A691" t="s">
        <v>1759</v>
      </c>
      <c r="B691" t="s">
        <v>1302</v>
      </c>
      <c r="C691" t="s">
        <v>133</v>
      </c>
      <c r="D691" s="5">
        <v>21478</v>
      </c>
      <c r="E691" s="5">
        <v>45015</v>
      </c>
      <c r="F691" s="5">
        <v>45028</v>
      </c>
      <c r="G691" t="s">
        <v>152</v>
      </c>
      <c r="H691" t="s">
        <v>63</v>
      </c>
      <c r="I691" t="s">
        <v>79</v>
      </c>
      <c r="J691" t="s">
        <v>64</v>
      </c>
      <c r="K691" t="s">
        <v>110</v>
      </c>
      <c r="L691" s="6">
        <v>225840.76</v>
      </c>
      <c r="M691">
        <v>202866.56</v>
      </c>
      <c r="N691" t="s">
        <v>192</v>
      </c>
      <c r="O691">
        <v>13</v>
      </c>
      <c r="P691">
        <v>100</v>
      </c>
      <c r="Q691">
        <v>3</v>
      </c>
      <c r="R691">
        <v>128</v>
      </c>
      <c r="S691">
        <v>248.6</v>
      </c>
      <c r="T691" t="s">
        <v>37</v>
      </c>
      <c r="U691" s="7">
        <f t="shared" si="40"/>
        <v>64</v>
      </c>
      <c r="V691" s="7">
        <f t="shared" si="41"/>
        <v>13</v>
      </c>
      <c r="W691" s="6">
        <f t="shared" si="42"/>
        <v>22974.200000000012</v>
      </c>
      <c r="X691" t="str">
        <f t="shared" si="43"/>
        <v>Senior</v>
      </c>
    </row>
    <row r="692" spans="1:24">
      <c r="A692" t="s">
        <v>1760</v>
      </c>
      <c r="B692" t="s">
        <v>1106</v>
      </c>
      <c r="C692" t="s">
        <v>133</v>
      </c>
      <c r="D692" s="5">
        <v>18422</v>
      </c>
      <c r="E692" s="5">
        <v>45368</v>
      </c>
      <c r="F692" s="5">
        <v>45378</v>
      </c>
      <c r="G692" t="s">
        <v>152</v>
      </c>
      <c r="H692" t="s">
        <v>44</v>
      </c>
      <c r="I692" t="s">
        <v>33</v>
      </c>
      <c r="J692" t="s">
        <v>71</v>
      </c>
      <c r="K692" t="s">
        <v>120</v>
      </c>
      <c r="L692" s="6">
        <v>121399.08</v>
      </c>
      <c r="M692">
        <v>91233.67</v>
      </c>
      <c r="N692" t="s">
        <v>192</v>
      </c>
      <c r="O692">
        <v>10</v>
      </c>
      <c r="P692">
        <v>78</v>
      </c>
      <c r="Q692">
        <v>5</v>
      </c>
      <c r="R692">
        <v>137</v>
      </c>
      <c r="S692">
        <v>183.5</v>
      </c>
      <c r="T692" t="s">
        <v>37</v>
      </c>
      <c r="U692" s="7">
        <f t="shared" si="40"/>
        <v>73</v>
      </c>
      <c r="V692" s="7">
        <f t="shared" si="41"/>
        <v>10</v>
      </c>
      <c r="W692" s="6">
        <f t="shared" si="42"/>
        <v>30165.410000000003</v>
      </c>
      <c r="X692" t="str">
        <f t="shared" si="43"/>
        <v>Senior</v>
      </c>
    </row>
    <row r="693" spans="1:24">
      <c r="A693" t="s">
        <v>1762</v>
      </c>
      <c r="B693" t="s">
        <v>403</v>
      </c>
      <c r="C693" t="s">
        <v>40</v>
      </c>
      <c r="D693" s="5">
        <v>22277</v>
      </c>
      <c r="E693" s="5" t="s">
        <v>4237</v>
      </c>
      <c r="F693" s="5">
        <v>45043</v>
      </c>
      <c r="G693" t="s">
        <v>43</v>
      </c>
      <c r="H693" t="s">
        <v>124</v>
      </c>
      <c r="I693" t="s">
        <v>53</v>
      </c>
      <c r="J693" t="s">
        <v>26</v>
      </c>
      <c r="K693" t="s">
        <v>55</v>
      </c>
      <c r="L693" s="6">
        <v>232803.27</v>
      </c>
      <c r="M693">
        <v>227865.21</v>
      </c>
      <c r="N693" t="s">
        <v>192</v>
      </c>
      <c r="O693">
        <v>1</v>
      </c>
      <c r="P693">
        <v>204</v>
      </c>
      <c r="Q693">
        <v>4</v>
      </c>
      <c r="R693">
        <v>120</v>
      </c>
      <c r="S693">
        <v>245.4</v>
      </c>
      <c r="T693" t="s">
        <v>4237</v>
      </c>
      <c r="U693" s="7" t="s">
        <v>4237</v>
      </c>
      <c r="V693" s="7" t="s">
        <v>4237</v>
      </c>
      <c r="W693" s="6">
        <f t="shared" si="42"/>
        <v>4938.0599999999977</v>
      </c>
      <c r="X693" t="s">
        <v>4237</v>
      </c>
    </row>
    <row r="694" spans="1:24">
      <c r="A694" t="s">
        <v>1764</v>
      </c>
      <c r="B694" t="s">
        <v>887</v>
      </c>
      <c r="C694" t="s">
        <v>133</v>
      </c>
      <c r="D694" s="5">
        <v>32091</v>
      </c>
      <c r="E694" s="5">
        <v>45275</v>
      </c>
      <c r="F694" s="5">
        <v>45287</v>
      </c>
      <c r="G694" t="s">
        <v>161</v>
      </c>
      <c r="H694" t="s">
        <v>63</v>
      </c>
      <c r="I694" t="s">
        <v>33</v>
      </c>
      <c r="J694" t="s">
        <v>34</v>
      </c>
      <c r="K694" t="s">
        <v>55</v>
      </c>
      <c r="L694" s="6">
        <v>31124.9</v>
      </c>
      <c r="M694">
        <v>22362.52</v>
      </c>
      <c r="N694" t="s">
        <v>35</v>
      </c>
      <c r="O694">
        <v>12</v>
      </c>
      <c r="P694">
        <v>99</v>
      </c>
      <c r="Q694">
        <v>2</v>
      </c>
      <c r="R694">
        <v>147</v>
      </c>
      <c r="S694">
        <v>82.6</v>
      </c>
      <c r="T694" t="s">
        <v>65</v>
      </c>
      <c r="U694" s="7">
        <f t="shared" si="40"/>
        <v>36</v>
      </c>
      <c r="V694" s="7">
        <f t="shared" si="41"/>
        <v>12</v>
      </c>
      <c r="W694" s="6">
        <f t="shared" si="42"/>
        <v>8762.380000000001</v>
      </c>
      <c r="X694" t="str">
        <f t="shared" si="43"/>
        <v>Adult</v>
      </c>
    </row>
    <row r="695" spans="1:24">
      <c r="A695" t="s">
        <v>1766</v>
      </c>
      <c r="B695" t="s">
        <v>93</v>
      </c>
      <c r="C695" t="s">
        <v>133</v>
      </c>
      <c r="D695" s="5">
        <v>35427</v>
      </c>
      <c r="E695" s="5">
        <v>45532</v>
      </c>
      <c r="F695" s="5">
        <v>45536</v>
      </c>
      <c r="G695" t="s">
        <v>161</v>
      </c>
      <c r="H695" t="s">
        <v>32</v>
      </c>
      <c r="I695" t="s">
        <v>33</v>
      </c>
      <c r="J695" t="s">
        <v>46</v>
      </c>
      <c r="K695" t="s">
        <v>55</v>
      </c>
      <c r="L695" s="6">
        <v>146193.79</v>
      </c>
      <c r="M695">
        <v>117024.23</v>
      </c>
      <c r="N695" t="s">
        <v>91</v>
      </c>
      <c r="O695">
        <v>4</v>
      </c>
      <c r="P695">
        <v>151</v>
      </c>
      <c r="Q695">
        <v>4</v>
      </c>
      <c r="R695">
        <v>115</v>
      </c>
      <c r="S695">
        <v>119.4</v>
      </c>
      <c r="T695" t="s">
        <v>37</v>
      </c>
      <c r="U695" s="7">
        <f t="shared" si="40"/>
        <v>27</v>
      </c>
      <c r="V695" s="7">
        <f t="shared" si="41"/>
        <v>4</v>
      </c>
      <c r="W695" s="6">
        <f t="shared" si="42"/>
        <v>29169.560000000012</v>
      </c>
      <c r="X695" t="str">
        <f t="shared" si="43"/>
        <v>Adult</v>
      </c>
    </row>
    <row r="696" spans="1:24">
      <c r="A696" t="s">
        <v>1768</v>
      </c>
      <c r="B696" t="s">
        <v>1509</v>
      </c>
      <c r="C696" t="s">
        <v>40</v>
      </c>
      <c r="D696" s="5">
        <v>39727</v>
      </c>
      <c r="E696" s="5">
        <v>45801</v>
      </c>
      <c r="F696" s="5">
        <v>45803</v>
      </c>
      <c r="G696" t="s">
        <v>89</v>
      </c>
      <c r="H696" t="s">
        <v>95</v>
      </c>
      <c r="I696" t="s">
        <v>53</v>
      </c>
      <c r="J696" t="s">
        <v>64</v>
      </c>
      <c r="K696" t="s">
        <v>110</v>
      </c>
      <c r="L696" s="6">
        <v>19408.55</v>
      </c>
      <c r="M696">
        <v>16380.34</v>
      </c>
      <c r="N696" t="s">
        <v>192</v>
      </c>
      <c r="O696">
        <v>2</v>
      </c>
      <c r="P696">
        <v>126</v>
      </c>
      <c r="Q696">
        <v>4</v>
      </c>
      <c r="R696">
        <v>91</v>
      </c>
      <c r="S696">
        <v>124.2</v>
      </c>
      <c r="T696" t="s">
        <v>37</v>
      </c>
      <c r="U696" s="7">
        <f t="shared" si="40"/>
        <v>16</v>
      </c>
      <c r="V696" s="7">
        <f t="shared" si="41"/>
        <v>2</v>
      </c>
      <c r="W696" s="6">
        <f t="shared" si="42"/>
        <v>3028.2099999999991</v>
      </c>
      <c r="X696" t="str">
        <f t="shared" si="43"/>
        <v>Child</v>
      </c>
    </row>
    <row r="697" spans="1:24">
      <c r="A697" t="s">
        <v>1770</v>
      </c>
      <c r="B697" t="s">
        <v>825</v>
      </c>
      <c r="C697" t="s">
        <v>133</v>
      </c>
      <c r="D697" s="5" t="s">
        <v>4237</v>
      </c>
      <c r="E697" s="5">
        <v>45146</v>
      </c>
      <c r="F697" s="5">
        <v>45158</v>
      </c>
      <c r="G697" t="s">
        <v>77</v>
      </c>
      <c r="H697" t="s">
        <v>86</v>
      </c>
      <c r="I697" t="s">
        <v>96</v>
      </c>
      <c r="J697" t="s">
        <v>71</v>
      </c>
      <c r="K697" t="s">
        <v>120</v>
      </c>
      <c r="L697" s="6">
        <v>217665.74</v>
      </c>
      <c r="M697">
        <v>150183.35</v>
      </c>
      <c r="N697" t="s">
        <v>192</v>
      </c>
      <c r="O697">
        <v>12</v>
      </c>
      <c r="P697">
        <v>127</v>
      </c>
      <c r="Q697">
        <v>4</v>
      </c>
      <c r="R697">
        <v>185</v>
      </c>
      <c r="S697">
        <v>142</v>
      </c>
      <c r="T697" t="s">
        <v>47</v>
      </c>
      <c r="U697" s="7" t="s">
        <v>4237</v>
      </c>
      <c r="V697" s="7">
        <f t="shared" si="41"/>
        <v>12</v>
      </c>
      <c r="W697" s="6">
        <f t="shared" si="42"/>
        <v>67482.389999999985</v>
      </c>
      <c r="X697" t="s">
        <v>4237</v>
      </c>
    </row>
    <row r="698" spans="1:24">
      <c r="A698" t="s">
        <v>1773</v>
      </c>
      <c r="B698" t="s">
        <v>1001</v>
      </c>
      <c r="C698" t="s">
        <v>40</v>
      </c>
      <c r="D698" s="5">
        <v>32069</v>
      </c>
      <c r="E698" s="5">
        <v>44986</v>
      </c>
      <c r="F698" s="5">
        <v>44988</v>
      </c>
      <c r="G698" t="s">
        <v>89</v>
      </c>
      <c r="H698" t="s">
        <v>118</v>
      </c>
      <c r="I698" t="s">
        <v>119</v>
      </c>
      <c r="J698" t="s">
        <v>34</v>
      </c>
      <c r="K698" t="s">
        <v>161</v>
      </c>
      <c r="L698" s="6">
        <v>58899.07</v>
      </c>
      <c r="M698">
        <v>50617.13</v>
      </c>
      <c r="N698" t="s">
        <v>192</v>
      </c>
      <c r="O698">
        <v>2</v>
      </c>
      <c r="P698">
        <v>64</v>
      </c>
      <c r="Q698">
        <v>5</v>
      </c>
      <c r="R698">
        <v>110</v>
      </c>
      <c r="S698">
        <v>88.1</v>
      </c>
      <c r="T698" t="s">
        <v>37</v>
      </c>
      <c r="U698" s="7">
        <f t="shared" si="40"/>
        <v>35</v>
      </c>
      <c r="V698" s="7">
        <f t="shared" si="41"/>
        <v>2</v>
      </c>
      <c r="W698" s="6">
        <f t="shared" si="42"/>
        <v>8281.9400000000023</v>
      </c>
      <c r="X698" t="str">
        <f t="shared" si="43"/>
        <v>Adult</v>
      </c>
    </row>
    <row r="699" spans="1:24">
      <c r="A699" t="s">
        <v>1774</v>
      </c>
      <c r="B699" t="s">
        <v>647</v>
      </c>
      <c r="C699" t="s">
        <v>40</v>
      </c>
      <c r="D699" s="5">
        <v>31943</v>
      </c>
      <c r="E699" s="5">
        <v>45276</v>
      </c>
      <c r="F699" s="5">
        <v>45294</v>
      </c>
      <c r="G699" t="s">
        <v>105</v>
      </c>
      <c r="H699" t="s">
        <v>4236</v>
      </c>
      <c r="I699" t="s">
        <v>33</v>
      </c>
      <c r="J699" t="s">
        <v>46</v>
      </c>
      <c r="K699" t="s">
        <v>110</v>
      </c>
      <c r="L699" s="6">
        <v>159689.59</v>
      </c>
      <c r="M699">
        <v>115631.7</v>
      </c>
      <c r="N699" t="s">
        <v>35</v>
      </c>
      <c r="O699">
        <v>18</v>
      </c>
      <c r="P699">
        <v>138</v>
      </c>
      <c r="Q699">
        <v>3</v>
      </c>
      <c r="R699">
        <v>156</v>
      </c>
      <c r="S699">
        <v>211</v>
      </c>
      <c r="T699" t="s">
        <v>37</v>
      </c>
      <c r="U699" s="7">
        <f t="shared" si="40"/>
        <v>36</v>
      </c>
      <c r="V699" s="7">
        <f t="shared" si="41"/>
        <v>18</v>
      </c>
      <c r="W699" s="6">
        <f t="shared" si="42"/>
        <v>44057.89</v>
      </c>
      <c r="X699" t="str">
        <f t="shared" si="43"/>
        <v>Adult</v>
      </c>
    </row>
    <row r="700" spans="1:24">
      <c r="A700" t="s">
        <v>1775</v>
      </c>
      <c r="B700" t="s">
        <v>1464</v>
      </c>
      <c r="C700" t="s">
        <v>133</v>
      </c>
      <c r="D700" s="5">
        <v>22970</v>
      </c>
      <c r="E700" s="5">
        <v>45852</v>
      </c>
      <c r="F700" s="5">
        <v>45855</v>
      </c>
      <c r="G700" t="s">
        <v>105</v>
      </c>
      <c r="H700" t="s">
        <v>78</v>
      </c>
      <c r="I700" t="s">
        <v>96</v>
      </c>
      <c r="J700" t="s">
        <v>71</v>
      </c>
      <c r="K700" t="s">
        <v>120</v>
      </c>
      <c r="L700" s="6">
        <v>231546.53</v>
      </c>
      <c r="M700">
        <v>216952.68</v>
      </c>
      <c r="N700" t="s">
        <v>192</v>
      </c>
      <c r="O700">
        <v>3</v>
      </c>
      <c r="P700">
        <v>208</v>
      </c>
      <c r="Q700">
        <v>4</v>
      </c>
      <c r="R700">
        <v>144</v>
      </c>
      <c r="S700">
        <v>164.3</v>
      </c>
      <c r="T700" t="s">
        <v>47</v>
      </c>
      <c r="U700" s="7">
        <f t="shared" si="40"/>
        <v>62</v>
      </c>
      <c r="V700" s="7">
        <f t="shared" si="41"/>
        <v>3</v>
      </c>
      <c r="W700" s="6">
        <f t="shared" si="42"/>
        <v>14593.850000000006</v>
      </c>
      <c r="X700" t="str">
        <f t="shared" si="43"/>
        <v>Senior</v>
      </c>
    </row>
    <row r="701" spans="1:24">
      <c r="A701" t="s">
        <v>1776</v>
      </c>
      <c r="B701" t="s">
        <v>244</v>
      </c>
      <c r="C701" t="s">
        <v>40</v>
      </c>
      <c r="D701" s="5">
        <v>37867</v>
      </c>
      <c r="E701" s="5">
        <v>45490</v>
      </c>
      <c r="F701" s="5">
        <v>45501</v>
      </c>
      <c r="G701" t="s">
        <v>94</v>
      </c>
      <c r="H701" t="s">
        <v>24</v>
      </c>
      <c r="I701" t="s">
        <v>53</v>
      </c>
      <c r="J701" t="s">
        <v>26</v>
      </c>
      <c r="K701" t="s">
        <v>27</v>
      </c>
      <c r="L701" s="6">
        <v>112710.49</v>
      </c>
      <c r="M701">
        <v>72437.72</v>
      </c>
      <c r="N701" t="s">
        <v>91</v>
      </c>
      <c r="O701">
        <v>11</v>
      </c>
      <c r="P701">
        <v>121</v>
      </c>
      <c r="Q701">
        <v>3</v>
      </c>
      <c r="R701">
        <v>161</v>
      </c>
      <c r="S701">
        <v>233.7</v>
      </c>
      <c r="T701" t="s">
        <v>37</v>
      </c>
      <c r="U701" s="7">
        <f t="shared" si="40"/>
        <v>20</v>
      </c>
      <c r="V701" s="7">
        <f t="shared" si="41"/>
        <v>11</v>
      </c>
      <c r="W701" s="6">
        <f t="shared" si="42"/>
        <v>40272.770000000004</v>
      </c>
      <c r="X701" t="str">
        <f t="shared" si="43"/>
        <v>Adult</v>
      </c>
    </row>
    <row r="702" spans="1:24">
      <c r="A702" t="s">
        <v>1778</v>
      </c>
      <c r="B702" t="s">
        <v>427</v>
      </c>
      <c r="C702" t="s">
        <v>40</v>
      </c>
      <c r="D702" s="5">
        <v>22727</v>
      </c>
      <c r="E702" s="5">
        <v>45735</v>
      </c>
      <c r="F702" s="5">
        <v>45736</v>
      </c>
      <c r="G702" t="s">
        <v>161</v>
      </c>
      <c r="H702" t="s">
        <v>52</v>
      </c>
      <c r="I702" t="s">
        <v>45</v>
      </c>
      <c r="J702" t="s">
        <v>64</v>
      </c>
      <c r="K702" t="s">
        <v>120</v>
      </c>
      <c r="L702" s="6">
        <v>22255.51</v>
      </c>
      <c r="M702">
        <v>21978.6</v>
      </c>
      <c r="N702" t="s">
        <v>192</v>
      </c>
      <c r="O702">
        <v>1</v>
      </c>
      <c r="P702">
        <v>141</v>
      </c>
      <c r="Q702">
        <v>3</v>
      </c>
      <c r="R702">
        <v>163</v>
      </c>
      <c r="S702">
        <v>257.10000000000002</v>
      </c>
      <c r="T702" t="s">
        <v>65</v>
      </c>
      <c r="U702" s="7">
        <f t="shared" si="40"/>
        <v>62</v>
      </c>
      <c r="V702" s="7">
        <f t="shared" si="41"/>
        <v>1</v>
      </c>
      <c r="W702" s="6">
        <f t="shared" si="42"/>
        <v>276.90999999999985</v>
      </c>
      <c r="X702" t="str">
        <f t="shared" si="43"/>
        <v>Senior</v>
      </c>
    </row>
    <row r="703" spans="1:24">
      <c r="A703" t="s">
        <v>1779</v>
      </c>
      <c r="B703" t="s">
        <v>21</v>
      </c>
      <c r="C703" t="s">
        <v>133</v>
      </c>
      <c r="D703" s="5">
        <v>25573</v>
      </c>
      <c r="E703" s="5">
        <v>45540</v>
      </c>
      <c r="F703" s="5">
        <v>45547</v>
      </c>
      <c r="G703" t="s">
        <v>94</v>
      </c>
      <c r="H703" t="s">
        <v>134</v>
      </c>
      <c r="I703" t="s">
        <v>33</v>
      </c>
      <c r="J703" t="s">
        <v>46</v>
      </c>
      <c r="K703" t="s">
        <v>120</v>
      </c>
      <c r="L703" s="6">
        <v>233334.88</v>
      </c>
      <c r="M703">
        <v>178261.11</v>
      </c>
      <c r="N703" t="s">
        <v>91</v>
      </c>
      <c r="O703">
        <v>7</v>
      </c>
      <c r="P703">
        <v>102</v>
      </c>
      <c r="Q703">
        <v>4</v>
      </c>
      <c r="R703">
        <v>107</v>
      </c>
      <c r="S703">
        <v>243.9</v>
      </c>
      <c r="T703" t="s">
        <v>37</v>
      </c>
      <c r="U703" s="7">
        <f t="shared" si="40"/>
        <v>54</v>
      </c>
      <c r="V703" s="7">
        <f t="shared" si="41"/>
        <v>7</v>
      </c>
      <c r="W703" s="6">
        <f t="shared" si="42"/>
        <v>55073.770000000019</v>
      </c>
      <c r="X703" t="str">
        <f t="shared" si="43"/>
        <v>Middle Age</v>
      </c>
    </row>
    <row r="704" spans="1:24">
      <c r="A704" t="s">
        <v>1781</v>
      </c>
      <c r="B704" t="s">
        <v>363</v>
      </c>
      <c r="C704" t="s">
        <v>40</v>
      </c>
      <c r="D704" s="5">
        <v>33008</v>
      </c>
      <c r="E704" s="5">
        <v>45431</v>
      </c>
      <c r="F704" s="5">
        <v>45434</v>
      </c>
      <c r="G704" t="s">
        <v>161</v>
      </c>
      <c r="H704" t="s">
        <v>134</v>
      </c>
      <c r="I704" t="s">
        <v>79</v>
      </c>
      <c r="J704" t="s">
        <v>80</v>
      </c>
      <c r="K704" t="s">
        <v>55</v>
      </c>
      <c r="L704" s="6">
        <v>147233.82999999999</v>
      </c>
      <c r="M704">
        <v>100148.91</v>
      </c>
      <c r="N704" t="s">
        <v>192</v>
      </c>
      <c r="O704">
        <v>3</v>
      </c>
      <c r="P704">
        <v>93</v>
      </c>
      <c r="Q704">
        <v>2</v>
      </c>
      <c r="R704">
        <v>102</v>
      </c>
      <c r="S704">
        <v>142.19999999999999</v>
      </c>
      <c r="T704" t="s">
        <v>47</v>
      </c>
      <c r="U704" s="7">
        <f t="shared" si="40"/>
        <v>34</v>
      </c>
      <c r="V704" s="7">
        <f t="shared" si="41"/>
        <v>3</v>
      </c>
      <c r="W704" s="6">
        <f t="shared" si="42"/>
        <v>47084.919999999984</v>
      </c>
      <c r="X704" t="str">
        <f t="shared" si="43"/>
        <v>Adult</v>
      </c>
    </row>
    <row r="705" spans="1:24">
      <c r="A705" t="s">
        <v>1784</v>
      </c>
      <c r="B705" t="s">
        <v>857</v>
      </c>
      <c r="C705" t="s">
        <v>133</v>
      </c>
      <c r="D705" s="5">
        <v>26033</v>
      </c>
      <c r="E705" s="5">
        <v>45289</v>
      </c>
      <c r="F705" s="5">
        <v>45306</v>
      </c>
      <c r="G705" t="s">
        <v>94</v>
      </c>
      <c r="H705" t="s">
        <v>44</v>
      </c>
      <c r="I705" t="s">
        <v>96</v>
      </c>
      <c r="J705" t="s">
        <v>26</v>
      </c>
      <c r="K705" t="s">
        <v>27</v>
      </c>
      <c r="L705" s="6">
        <v>204707.55</v>
      </c>
      <c r="M705">
        <v>143318.46</v>
      </c>
      <c r="N705" t="s">
        <v>73</v>
      </c>
      <c r="O705">
        <v>17</v>
      </c>
      <c r="P705">
        <v>13</v>
      </c>
      <c r="Q705">
        <v>2</v>
      </c>
      <c r="R705">
        <v>169</v>
      </c>
      <c r="S705">
        <v>259.8</v>
      </c>
      <c r="T705" t="s">
        <v>37</v>
      </c>
      <c r="U705" s="7">
        <f t="shared" si="40"/>
        <v>52</v>
      </c>
      <c r="V705" s="7">
        <f t="shared" si="41"/>
        <v>17</v>
      </c>
      <c r="W705" s="6">
        <f t="shared" si="42"/>
        <v>61389.09</v>
      </c>
      <c r="X705" t="str">
        <f t="shared" si="43"/>
        <v>Middle Age</v>
      </c>
    </row>
    <row r="706" spans="1:24">
      <c r="A706" t="s">
        <v>1786</v>
      </c>
      <c r="B706" t="s">
        <v>464</v>
      </c>
      <c r="C706" t="s">
        <v>133</v>
      </c>
      <c r="D706" s="5">
        <v>21404</v>
      </c>
      <c r="E706" s="5">
        <v>44943</v>
      </c>
      <c r="F706" s="5" t="s">
        <v>4237</v>
      </c>
      <c r="G706" t="s">
        <v>43</v>
      </c>
      <c r="H706" t="s">
        <v>86</v>
      </c>
      <c r="I706" t="s">
        <v>79</v>
      </c>
      <c r="J706" t="s">
        <v>97</v>
      </c>
      <c r="K706" t="s">
        <v>120</v>
      </c>
      <c r="L706" s="6">
        <v>233572.66</v>
      </c>
      <c r="M706">
        <v>202165.98</v>
      </c>
      <c r="N706" t="s">
        <v>91</v>
      </c>
      <c r="O706">
        <v>9</v>
      </c>
      <c r="P706">
        <v>72</v>
      </c>
      <c r="Q706">
        <v>5</v>
      </c>
      <c r="R706">
        <v>176</v>
      </c>
      <c r="S706">
        <v>121.4</v>
      </c>
      <c r="T706" t="s">
        <v>37</v>
      </c>
      <c r="U706" s="7">
        <f t="shared" ref="U706:U769" si="44">DATEDIF(D706,E706,"Y")</f>
        <v>64</v>
      </c>
      <c r="V706" s="7" t="s">
        <v>4237</v>
      </c>
      <c r="W706" s="6">
        <f t="shared" ref="W706:W769" si="45">L706-M706</f>
        <v>31406.679999999993</v>
      </c>
      <c r="X706" t="str">
        <f t="shared" ref="X706:X769" si="46">IF(OR(U706="",U706="Unknown"),"",IF(U706&lt;18,"Child",IF(U706&lt;40,"Adult",IF(U706&lt;60,"Middle Age","Senior"))))</f>
        <v>Senior</v>
      </c>
    </row>
    <row r="707" spans="1:24">
      <c r="A707" t="s">
        <v>1789</v>
      </c>
      <c r="B707" t="s">
        <v>666</v>
      </c>
      <c r="C707" t="s">
        <v>133</v>
      </c>
      <c r="D707" s="5">
        <v>31477</v>
      </c>
      <c r="E707" s="5">
        <v>45962</v>
      </c>
      <c r="F707" s="5">
        <v>45980</v>
      </c>
      <c r="G707" t="s">
        <v>109</v>
      </c>
      <c r="H707" t="s">
        <v>118</v>
      </c>
      <c r="I707" t="s">
        <v>33</v>
      </c>
      <c r="J707" t="s">
        <v>71</v>
      </c>
      <c r="K707" t="s">
        <v>110</v>
      </c>
      <c r="L707" s="6">
        <v>218114.27</v>
      </c>
      <c r="M707">
        <v>160001.16</v>
      </c>
      <c r="N707" t="s">
        <v>35</v>
      </c>
      <c r="O707">
        <v>18</v>
      </c>
      <c r="P707">
        <v>185</v>
      </c>
      <c r="Q707">
        <v>4</v>
      </c>
      <c r="R707">
        <v>188</v>
      </c>
      <c r="S707">
        <v>132.4</v>
      </c>
      <c r="T707" t="s">
        <v>4237</v>
      </c>
      <c r="U707" s="7">
        <f t="shared" si="44"/>
        <v>39</v>
      </c>
      <c r="V707" s="7">
        <f t="shared" ref="V707:V769" si="47">IF(OR(E707=" ",F707=" ",E707="Unknown",F707="Unknown")," ",F707-E707)</f>
        <v>18</v>
      </c>
      <c r="W707" s="6">
        <f t="shared" si="45"/>
        <v>58113.109999999986</v>
      </c>
      <c r="X707" t="str">
        <f t="shared" si="46"/>
        <v>Adult</v>
      </c>
    </row>
    <row r="708" spans="1:24">
      <c r="A708" t="s">
        <v>1791</v>
      </c>
      <c r="B708" t="s">
        <v>796</v>
      </c>
      <c r="C708" t="s">
        <v>133</v>
      </c>
      <c r="D708" s="5">
        <v>37766</v>
      </c>
      <c r="E708" s="5">
        <v>44998</v>
      </c>
      <c r="F708" s="5">
        <v>45005</v>
      </c>
      <c r="G708" t="s">
        <v>94</v>
      </c>
      <c r="H708" t="s">
        <v>118</v>
      </c>
      <c r="I708" t="s">
        <v>33</v>
      </c>
      <c r="J708" t="s">
        <v>64</v>
      </c>
      <c r="K708" t="s">
        <v>55</v>
      </c>
      <c r="L708" s="6">
        <v>124620.87</v>
      </c>
      <c r="M708">
        <v>98646.34</v>
      </c>
      <c r="N708" t="s">
        <v>91</v>
      </c>
      <c r="O708">
        <v>7</v>
      </c>
      <c r="P708">
        <v>121</v>
      </c>
      <c r="Q708">
        <v>5</v>
      </c>
      <c r="R708">
        <v>155</v>
      </c>
      <c r="S708">
        <v>112.3</v>
      </c>
      <c r="T708" t="s">
        <v>47</v>
      </c>
      <c r="U708" s="7">
        <f t="shared" si="44"/>
        <v>19</v>
      </c>
      <c r="V708" s="7">
        <f t="shared" si="47"/>
        <v>7</v>
      </c>
      <c r="W708" s="6">
        <f t="shared" si="45"/>
        <v>25974.53</v>
      </c>
      <c r="X708" t="str">
        <f t="shared" si="46"/>
        <v>Adult</v>
      </c>
    </row>
    <row r="709" spans="1:24">
      <c r="A709" t="s">
        <v>1792</v>
      </c>
      <c r="B709" t="s">
        <v>403</v>
      </c>
      <c r="C709" t="s">
        <v>133</v>
      </c>
      <c r="D709" s="5">
        <v>37588</v>
      </c>
      <c r="E709" s="5">
        <v>45785</v>
      </c>
      <c r="F709" s="5">
        <v>45786</v>
      </c>
      <c r="G709" t="s">
        <v>62</v>
      </c>
      <c r="H709" t="s">
        <v>153</v>
      </c>
      <c r="I709" t="s">
        <v>53</v>
      </c>
      <c r="J709" t="s">
        <v>46</v>
      </c>
      <c r="K709" t="s">
        <v>55</v>
      </c>
      <c r="L709" s="6">
        <v>67965.58</v>
      </c>
      <c r="M709">
        <v>67351.61</v>
      </c>
      <c r="N709" t="s">
        <v>73</v>
      </c>
      <c r="O709">
        <v>1</v>
      </c>
      <c r="P709">
        <v>72</v>
      </c>
      <c r="Q709">
        <v>2</v>
      </c>
      <c r="R709">
        <v>173</v>
      </c>
      <c r="S709">
        <v>231</v>
      </c>
      <c r="T709" t="s">
        <v>47</v>
      </c>
      <c r="U709" s="7">
        <f t="shared" si="44"/>
        <v>22</v>
      </c>
      <c r="V709" s="7">
        <f t="shared" si="47"/>
        <v>1</v>
      </c>
      <c r="W709" s="6">
        <f t="shared" si="45"/>
        <v>613.97000000000116</v>
      </c>
      <c r="X709" t="str">
        <f t="shared" si="46"/>
        <v>Adult</v>
      </c>
    </row>
    <row r="710" spans="1:24">
      <c r="A710" t="s">
        <v>1794</v>
      </c>
      <c r="B710" t="s">
        <v>423</v>
      </c>
      <c r="C710" t="s">
        <v>40</v>
      </c>
      <c r="D710" s="5">
        <v>23079</v>
      </c>
      <c r="E710" s="5">
        <v>45687</v>
      </c>
      <c r="F710" s="5">
        <v>45840</v>
      </c>
      <c r="G710" t="s">
        <v>152</v>
      </c>
      <c r="H710" t="s">
        <v>52</v>
      </c>
      <c r="I710" t="s">
        <v>25</v>
      </c>
      <c r="J710" t="s">
        <v>64</v>
      </c>
      <c r="K710" t="s">
        <v>55</v>
      </c>
      <c r="L710" s="6">
        <v>121973.49</v>
      </c>
      <c r="M710">
        <v>87038.2</v>
      </c>
      <c r="N710" t="s">
        <v>4237</v>
      </c>
      <c r="O710">
        <v>8</v>
      </c>
      <c r="P710">
        <v>167</v>
      </c>
      <c r="Q710">
        <v>3</v>
      </c>
      <c r="R710">
        <v>108</v>
      </c>
      <c r="S710">
        <v>212.6</v>
      </c>
      <c r="T710" t="s">
        <v>37</v>
      </c>
      <c r="U710" s="7">
        <f t="shared" si="44"/>
        <v>61</v>
      </c>
      <c r="V710" s="7">
        <f t="shared" si="47"/>
        <v>153</v>
      </c>
      <c r="W710" s="6">
        <f t="shared" si="45"/>
        <v>34935.290000000008</v>
      </c>
      <c r="X710" t="str">
        <f t="shared" si="46"/>
        <v>Senior</v>
      </c>
    </row>
    <row r="711" spans="1:24">
      <c r="A711" t="s">
        <v>1796</v>
      </c>
      <c r="B711" t="s">
        <v>83</v>
      </c>
      <c r="C711" t="s">
        <v>133</v>
      </c>
      <c r="D711" s="5">
        <v>36591</v>
      </c>
      <c r="E711" s="5">
        <v>45520</v>
      </c>
      <c r="F711" s="5" t="s">
        <v>4237</v>
      </c>
      <c r="G711" t="s">
        <v>161</v>
      </c>
      <c r="H711" t="s">
        <v>113</v>
      </c>
      <c r="I711" t="s">
        <v>45</v>
      </c>
      <c r="J711" t="s">
        <v>97</v>
      </c>
      <c r="K711" t="s">
        <v>120</v>
      </c>
      <c r="L711" s="6">
        <v>106255.96</v>
      </c>
      <c r="M711">
        <v>91387.65</v>
      </c>
      <c r="N711" t="s">
        <v>192</v>
      </c>
      <c r="O711">
        <v>1</v>
      </c>
      <c r="P711">
        <v>164</v>
      </c>
      <c r="Q711">
        <v>1</v>
      </c>
      <c r="R711">
        <v>94</v>
      </c>
      <c r="S711">
        <v>106.6</v>
      </c>
      <c r="T711" t="s">
        <v>37</v>
      </c>
      <c r="U711" s="7">
        <f t="shared" si="44"/>
        <v>24</v>
      </c>
      <c r="V711" s="7" t="s">
        <v>4237</v>
      </c>
      <c r="W711" s="6">
        <f t="shared" si="45"/>
        <v>14868.310000000012</v>
      </c>
      <c r="X711" t="str">
        <f t="shared" si="46"/>
        <v>Adult</v>
      </c>
    </row>
    <row r="712" spans="1:24">
      <c r="A712" t="s">
        <v>1799</v>
      </c>
      <c r="B712" t="s">
        <v>771</v>
      </c>
      <c r="C712" t="s">
        <v>133</v>
      </c>
      <c r="D712" s="5">
        <v>26036</v>
      </c>
      <c r="E712" s="5">
        <v>45775</v>
      </c>
      <c r="F712" s="5" t="s">
        <v>4237</v>
      </c>
      <c r="G712" t="s">
        <v>105</v>
      </c>
      <c r="H712" t="s">
        <v>134</v>
      </c>
      <c r="I712" t="s">
        <v>79</v>
      </c>
      <c r="J712" t="s">
        <v>64</v>
      </c>
      <c r="K712" t="s">
        <v>110</v>
      </c>
      <c r="L712" s="6">
        <v>146889.62</v>
      </c>
      <c r="M712">
        <v>117759.83</v>
      </c>
      <c r="N712" t="s">
        <v>91</v>
      </c>
      <c r="O712">
        <v>5</v>
      </c>
      <c r="P712">
        <v>126</v>
      </c>
      <c r="Q712">
        <v>5</v>
      </c>
      <c r="R712">
        <v>93</v>
      </c>
      <c r="S712">
        <v>81.400000000000006</v>
      </c>
      <c r="T712" t="s">
        <v>37</v>
      </c>
      <c r="U712" s="7">
        <f t="shared" si="44"/>
        <v>54</v>
      </c>
      <c r="V712" s="7" t="s">
        <v>4237</v>
      </c>
      <c r="W712" s="6">
        <f t="shared" si="45"/>
        <v>29129.789999999994</v>
      </c>
      <c r="X712" t="str">
        <f t="shared" si="46"/>
        <v>Middle Age</v>
      </c>
    </row>
    <row r="713" spans="1:24">
      <c r="A713" t="s">
        <v>1800</v>
      </c>
      <c r="B713" t="s">
        <v>1667</v>
      </c>
      <c r="C713" t="s">
        <v>133</v>
      </c>
      <c r="D713" s="5">
        <v>20127</v>
      </c>
      <c r="E713" s="5">
        <v>45706</v>
      </c>
      <c r="F713" s="5">
        <v>45708</v>
      </c>
      <c r="G713" t="s">
        <v>77</v>
      </c>
      <c r="H713" t="s">
        <v>52</v>
      </c>
      <c r="I713" t="s">
        <v>79</v>
      </c>
      <c r="J713" t="s">
        <v>34</v>
      </c>
      <c r="K713" t="s">
        <v>55</v>
      </c>
      <c r="L713" s="6">
        <v>37777.42</v>
      </c>
      <c r="M713">
        <v>26726.98</v>
      </c>
      <c r="N713" t="s">
        <v>56</v>
      </c>
      <c r="O713">
        <v>2</v>
      </c>
      <c r="P713">
        <v>215</v>
      </c>
      <c r="Q713">
        <v>5</v>
      </c>
      <c r="R713">
        <v>130</v>
      </c>
      <c r="S713">
        <v>163.5</v>
      </c>
      <c r="T713" t="s">
        <v>4237</v>
      </c>
      <c r="U713" s="7">
        <f t="shared" si="44"/>
        <v>70</v>
      </c>
      <c r="V713" s="7">
        <f t="shared" si="47"/>
        <v>2</v>
      </c>
      <c r="W713" s="6">
        <f t="shared" si="45"/>
        <v>11050.439999999999</v>
      </c>
      <c r="X713" t="str">
        <f t="shared" si="46"/>
        <v>Senior</v>
      </c>
    </row>
    <row r="714" spans="1:24">
      <c r="A714" t="s">
        <v>1801</v>
      </c>
      <c r="B714" t="s">
        <v>936</v>
      </c>
      <c r="C714" t="s">
        <v>133</v>
      </c>
      <c r="D714" s="5">
        <v>21665</v>
      </c>
      <c r="E714" s="5">
        <v>45544</v>
      </c>
      <c r="F714" s="5">
        <v>45554</v>
      </c>
      <c r="G714" t="s">
        <v>62</v>
      </c>
      <c r="H714" t="s">
        <v>113</v>
      </c>
      <c r="I714" t="s">
        <v>119</v>
      </c>
      <c r="J714" t="s">
        <v>97</v>
      </c>
      <c r="K714" t="s">
        <v>110</v>
      </c>
      <c r="L714" s="6">
        <v>25478.639999999999</v>
      </c>
      <c r="M714">
        <v>17055.099999999999</v>
      </c>
      <c r="N714" t="s">
        <v>73</v>
      </c>
      <c r="O714">
        <v>10</v>
      </c>
      <c r="P714">
        <v>92</v>
      </c>
      <c r="Q714">
        <v>3</v>
      </c>
      <c r="R714">
        <v>117</v>
      </c>
      <c r="S714">
        <v>243.2</v>
      </c>
      <c r="T714" t="s">
        <v>65</v>
      </c>
      <c r="U714" s="7">
        <f t="shared" si="44"/>
        <v>65</v>
      </c>
      <c r="V714" s="7">
        <f t="shared" si="47"/>
        <v>10</v>
      </c>
      <c r="W714" s="6">
        <f t="shared" si="45"/>
        <v>8423.5400000000009</v>
      </c>
      <c r="X714" t="str">
        <f t="shared" si="46"/>
        <v>Senior</v>
      </c>
    </row>
    <row r="715" spans="1:24">
      <c r="A715" t="s">
        <v>1802</v>
      </c>
      <c r="B715" t="s">
        <v>522</v>
      </c>
      <c r="C715" t="s">
        <v>133</v>
      </c>
      <c r="D715" s="5">
        <v>23321</v>
      </c>
      <c r="E715" s="5">
        <v>45788</v>
      </c>
      <c r="F715" s="5">
        <v>45800</v>
      </c>
      <c r="G715" t="s">
        <v>94</v>
      </c>
      <c r="H715" t="s">
        <v>124</v>
      </c>
      <c r="I715" t="s">
        <v>33</v>
      </c>
      <c r="J715" t="s">
        <v>34</v>
      </c>
      <c r="K715" t="s">
        <v>161</v>
      </c>
      <c r="L715" s="6">
        <v>22028.45</v>
      </c>
      <c r="M715">
        <v>18432.599999999999</v>
      </c>
      <c r="N715" t="s">
        <v>192</v>
      </c>
      <c r="O715">
        <v>12</v>
      </c>
      <c r="P715">
        <v>81</v>
      </c>
      <c r="Q715">
        <v>4</v>
      </c>
      <c r="R715">
        <v>93</v>
      </c>
      <c r="S715">
        <v>254.4</v>
      </c>
      <c r="T715" t="s">
        <v>4237</v>
      </c>
      <c r="U715" s="7">
        <f t="shared" si="44"/>
        <v>61</v>
      </c>
      <c r="V715" s="7">
        <f t="shared" si="47"/>
        <v>12</v>
      </c>
      <c r="W715" s="6">
        <f t="shared" si="45"/>
        <v>3595.8500000000022</v>
      </c>
      <c r="X715" t="str">
        <f t="shared" si="46"/>
        <v>Senior</v>
      </c>
    </row>
    <row r="716" spans="1:24">
      <c r="A716" t="s">
        <v>1804</v>
      </c>
      <c r="B716" t="s">
        <v>1119</v>
      </c>
      <c r="C716" t="s">
        <v>40</v>
      </c>
      <c r="D716" s="5">
        <v>22115</v>
      </c>
      <c r="E716" s="5">
        <v>45755</v>
      </c>
      <c r="F716" s="5">
        <v>45765</v>
      </c>
      <c r="G716" t="s">
        <v>94</v>
      </c>
      <c r="H716" t="s">
        <v>95</v>
      </c>
      <c r="I716" t="s">
        <v>79</v>
      </c>
      <c r="J716" t="s">
        <v>71</v>
      </c>
      <c r="K716" t="s">
        <v>55</v>
      </c>
      <c r="L716" s="6">
        <v>121044.95</v>
      </c>
      <c r="M716">
        <v>98646.34</v>
      </c>
      <c r="N716" t="s">
        <v>35</v>
      </c>
      <c r="O716">
        <v>10</v>
      </c>
      <c r="P716">
        <v>237</v>
      </c>
      <c r="Q716">
        <v>4</v>
      </c>
      <c r="R716">
        <v>176</v>
      </c>
      <c r="S716">
        <v>150</v>
      </c>
      <c r="T716" t="s">
        <v>47</v>
      </c>
      <c r="U716" s="7">
        <f t="shared" si="44"/>
        <v>64</v>
      </c>
      <c r="V716" s="7">
        <f t="shared" si="47"/>
        <v>10</v>
      </c>
      <c r="W716" s="6">
        <f t="shared" si="45"/>
        <v>22398.61</v>
      </c>
      <c r="X716" t="str">
        <f t="shared" si="46"/>
        <v>Senior</v>
      </c>
    </row>
    <row r="717" spans="1:24">
      <c r="A717" t="s">
        <v>1805</v>
      </c>
      <c r="B717" t="s">
        <v>155</v>
      </c>
      <c r="C717" t="s">
        <v>40</v>
      </c>
      <c r="D717" s="5">
        <v>31428</v>
      </c>
      <c r="E717" s="5">
        <v>45524</v>
      </c>
      <c r="F717" s="5" t="s">
        <v>4237</v>
      </c>
      <c r="G717" t="s">
        <v>109</v>
      </c>
      <c r="H717" t="s">
        <v>24</v>
      </c>
      <c r="I717" t="s">
        <v>25</v>
      </c>
      <c r="J717" t="s">
        <v>34</v>
      </c>
      <c r="K717" t="s">
        <v>27</v>
      </c>
      <c r="L717" s="6">
        <v>143891.95000000001</v>
      </c>
      <c r="M717">
        <v>113652.09</v>
      </c>
      <c r="N717" t="s">
        <v>192</v>
      </c>
      <c r="O717">
        <v>5</v>
      </c>
      <c r="P717">
        <v>215</v>
      </c>
      <c r="Q717">
        <v>4</v>
      </c>
      <c r="R717">
        <v>140</v>
      </c>
      <c r="S717">
        <v>185.5</v>
      </c>
      <c r="T717" t="s">
        <v>4237</v>
      </c>
      <c r="U717" s="7">
        <f t="shared" si="44"/>
        <v>38</v>
      </c>
      <c r="V717" s="7" t="s">
        <v>4237</v>
      </c>
      <c r="W717" s="6">
        <f t="shared" si="45"/>
        <v>30239.860000000015</v>
      </c>
      <c r="X717" t="str">
        <f t="shared" si="46"/>
        <v>Adult</v>
      </c>
    </row>
    <row r="718" spans="1:24">
      <c r="A718" t="s">
        <v>1808</v>
      </c>
      <c r="B718" t="s">
        <v>1480</v>
      </c>
      <c r="C718" t="s">
        <v>133</v>
      </c>
      <c r="D718" s="5">
        <v>25702</v>
      </c>
      <c r="E718" s="5">
        <v>45310</v>
      </c>
      <c r="F718" s="5">
        <v>45315</v>
      </c>
      <c r="G718" t="s">
        <v>152</v>
      </c>
      <c r="H718" t="s">
        <v>124</v>
      </c>
      <c r="I718" t="s">
        <v>33</v>
      </c>
      <c r="J718" t="s">
        <v>64</v>
      </c>
      <c r="K718" t="s">
        <v>27</v>
      </c>
      <c r="L718" s="6">
        <v>51827.21</v>
      </c>
      <c r="M718">
        <v>37335.040000000001</v>
      </c>
      <c r="N718" t="s">
        <v>35</v>
      </c>
      <c r="O718">
        <v>5</v>
      </c>
      <c r="P718">
        <v>195</v>
      </c>
      <c r="Q718">
        <v>3</v>
      </c>
      <c r="R718">
        <v>91</v>
      </c>
      <c r="S718">
        <v>138.30000000000001</v>
      </c>
      <c r="T718" t="s">
        <v>65</v>
      </c>
      <c r="U718" s="7">
        <f t="shared" si="44"/>
        <v>53</v>
      </c>
      <c r="V718" s="7">
        <f t="shared" si="47"/>
        <v>5</v>
      </c>
      <c r="W718" s="6">
        <f t="shared" si="45"/>
        <v>14492.169999999998</v>
      </c>
      <c r="X718" t="str">
        <f t="shared" si="46"/>
        <v>Middle Age</v>
      </c>
    </row>
    <row r="719" spans="1:24">
      <c r="A719" t="s">
        <v>1810</v>
      </c>
      <c r="B719" t="s">
        <v>967</v>
      </c>
      <c r="C719" t="s">
        <v>40</v>
      </c>
      <c r="D719" s="5">
        <v>18280</v>
      </c>
      <c r="E719" s="5">
        <v>45994</v>
      </c>
      <c r="F719" s="5">
        <v>45997</v>
      </c>
      <c r="G719" t="s">
        <v>161</v>
      </c>
      <c r="H719" t="s">
        <v>134</v>
      </c>
      <c r="I719" t="s">
        <v>25</v>
      </c>
      <c r="J719" t="s">
        <v>179</v>
      </c>
      <c r="K719" t="s">
        <v>55</v>
      </c>
      <c r="L719" s="6">
        <v>145962.15</v>
      </c>
      <c r="M719">
        <v>119009.5</v>
      </c>
      <c r="N719" t="s">
        <v>91</v>
      </c>
      <c r="O719">
        <v>3</v>
      </c>
      <c r="P719">
        <v>197</v>
      </c>
      <c r="Q719">
        <v>3</v>
      </c>
      <c r="R719">
        <v>120</v>
      </c>
      <c r="S719">
        <v>96.4</v>
      </c>
      <c r="T719" t="s">
        <v>37</v>
      </c>
      <c r="U719" s="7">
        <f t="shared" si="44"/>
        <v>75</v>
      </c>
      <c r="V719" s="7">
        <f t="shared" si="47"/>
        <v>3</v>
      </c>
      <c r="W719" s="6">
        <f t="shared" si="45"/>
        <v>26952.649999999994</v>
      </c>
      <c r="X719" t="str">
        <f t="shared" si="46"/>
        <v>Senior</v>
      </c>
    </row>
    <row r="720" spans="1:24">
      <c r="A720" t="s">
        <v>1812</v>
      </c>
      <c r="B720" t="s">
        <v>292</v>
      </c>
      <c r="C720" t="s">
        <v>40</v>
      </c>
      <c r="D720" s="5">
        <v>37680</v>
      </c>
      <c r="E720" s="5">
        <v>45797</v>
      </c>
      <c r="F720" s="5">
        <v>45783</v>
      </c>
      <c r="G720" t="s">
        <v>43</v>
      </c>
      <c r="H720" t="s">
        <v>86</v>
      </c>
      <c r="I720" t="s">
        <v>25</v>
      </c>
      <c r="J720" t="s">
        <v>179</v>
      </c>
      <c r="K720" t="s">
        <v>120</v>
      </c>
      <c r="L720" s="6">
        <v>8206.77</v>
      </c>
      <c r="M720">
        <v>6978.24</v>
      </c>
      <c r="N720" t="s">
        <v>192</v>
      </c>
      <c r="O720">
        <v>16</v>
      </c>
      <c r="P720">
        <v>155</v>
      </c>
      <c r="Q720">
        <v>4</v>
      </c>
      <c r="R720">
        <v>125</v>
      </c>
      <c r="S720">
        <v>200</v>
      </c>
      <c r="T720" t="s">
        <v>47</v>
      </c>
      <c r="U720" s="7">
        <f t="shared" si="44"/>
        <v>22</v>
      </c>
      <c r="V720" s="7">
        <f t="shared" si="47"/>
        <v>-14</v>
      </c>
      <c r="W720" s="6">
        <f t="shared" si="45"/>
        <v>1228.5300000000007</v>
      </c>
      <c r="X720" t="str">
        <f t="shared" si="46"/>
        <v>Adult</v>
      </c>
    </row>
    <row r="721" spans="1:24">
      <c r="A721" t="s">
        <v>1814</v>
      </c>
      <c r="B721" t="s">
        <v>1305</v>
      </c>
      <c r="C721" t="s">
        <v>133</v>
      </c>
      <c r="D721" s="5">
        <v>26181</v>
      </c>
      <c r="E721" s="5">
        <v>45559</v>
      </c>
      <c r="F721" s="5">
        <v>45564</v>
      </c>
      <c r="G721" t="s">
        <v>94</v>
      </c>
      <c r="H721" t="s">
        <v>113</v>
      </c>
      <c r="I721" t="s">
        <v>96</v>
      </c>
      <c r="J721" t="s">
        <v>179</v>
      </c>
      <c r="K721" t="s">
        <v>55</v>
      </c>
      <c r="L721" s="6">
        <v>19432.36</v>
      </c>
      <c r="M721">
        <v>15491.14</v>
      </c>
      <c r="N721" t="s">
        <v>73</v>
      </c>
      <c r="O721">
        <v>5</v>
      </c>
      <c r="P721">
        <v>66</v>
      </c>
      <c r="Q721">
        <v>5</v>
      </c>
      <c r="R721">
        <v>142</v>
      </c>
      <c r="S721">
        <v>148.1</v>
      </c>
      <c r="T721" t="s">
        <v>37</v>
      </c>
      <c r="U721" s="7">
        <f t="shared" si="44"/>
        <v>53</v>
      </c>
      <c r="V721" s="7">
        <f t="shared" si="47"/>
        <v>5</v>
      </c>
      <c r="W721" s="6">
        <f t="shared" si="45"/>
        <v>3941.2200000000012</v>
      </c>
      <c r="X721" t="str">
        <f t="shared" si="46"/>
        <v>Middle Age</v>
      </c>
    </row>
    <row r="722" spans="1:24">
      <c r="A722" t="s">
        <v>1816</v>
      </c>
      <c r="B722" t="s">
        <v>390</v>
      </c>
      <c r="C722" t="s">
        <v>133</v>
      </c>
      <c r="D722" s="5">
        <v>24800</v>
      </c>
      <c r="E722" s="5">
        <v>44959</v>
      </c>
      <c r="F722" s="5">
        <v>44964</v>
      </c>
      <c r="G722" t="s">
        <v>89</v>
      </c>
      <c r="H722" t="s">
        <v>52</v>
      </c>
      <c r="I722" t="s">
        <v>53</v>
      </c>
      <c r="J722" t="s">
        <v>97</v>
      </c>
      <c r="K722" t="s">
        <v>55</v>
      </c>
      <c r="L722" s="6">
        <v>164023.01999999999</v>
      </c>
      <c r="M722">
        <v>123118.85</v>
      </c>
      <c r="N722" t="s">
        <v>192</v>
      </c>
      <c r="O722">
        <v>5</v>
      </c>
      <c r="P722">
        <v>201</v>
      </c>
      <c r="Q722">
        <v>5</v>
      </c>
      <c r="R722">
        <v>90</v>
      </c>
      <c r="S722">
        <v>98.4</v>
      </c>
      <c r="T722" t="s">
        <v>37</v>
      </c>
      <c r="U722" s="7">
        <f t="shared" si="44"/>
        <v>55</v>
      </c>
      <c r="V722" s="7">
        <f t="shared" si="47"/>
        <v>5</v>
      </c>
      <c r="W722" s="6">
        <f t="shared" si="45"/>
        <v>40904.169999999984</v>
      </c>
      <c r="X722" t="str">
        <f t="shared" si="46"/>
        <v>Middle Age</v>
      </c>
    </row>
    <row r="723" spans="1:24">
      <c r="A723" t="s">
        <v>1817</v>
      </c>
      <c r="B723" t="s">
        <v>1818</v>
      </c>
      <c r="C723" t="s">
        <v>133</v>
      </c>
      <c r="D723" s="5">
        <v>22018</v>
      </c>
      <c r="E723" s="5">
        <v>45857</v>
      </c>
      <c r="F723" s="5" t="s">
        <v>4237</v>
      </c>
      <c r="G723" t="s">
        <v>161</v>
      </c>
      <c r="H723" t="s">
        <v>124</v>
      </c>
      <c r="I723" t="s">
        <v>33</v>
      </c>
      <c r="J723" t="s">
        <v>64</v>
      </c>
      <c r="K723" t="s">
        <v>120</v>
      </c>
      <c r="L723" s="6">
        <v>237728.4</v>
      </c>
      <c r="M723">
        <v>194777.84</v>
      </c>
      <c r="N723" t="s">
        <v>192</v>
      </c>
      <c r="O723">
        <v>1</v>
      </c>
      <c r="P723">
        <v>32</v>
      </c>
      <c r="Q723">
        <v>4</v>
      </c>
      <c r="R723">
        <v>104</v>
      </c>
      <c r="S723">
        <v>200.5</v>
      </c>
      <c r="T723" t="s">
        <v>37</v>
      </c>
      <c r="U723" s="7">
        <f t="shared" si="44"/>
        <v>65</v>
      </c>
      <c r="V723" s="7" t="s">
        <v>4237</v>
      </c>
      <c r="W723" s="6">
        <f t="shared" si="45"/>
        <v>42950.559999999998</v>
      </c>
      <c r="X723" t="str">
        <f t="shared" si="46"/>
        <v>Senior</v>
      </c>
    </row>
    <row r="724" spans="1:24">
      <c r="A724" t="s">
        <v>1819</v>
      </c>
      <c r="B724" t="s">
        <v>444</v>
      </c>
      <c r="C724" t="s">
        <v>133</v>
      </c>
      <c r="D724" s="5">
        <v>19395</v>
      </c>
      <c r="E724" s="5">
        <v>45423</v>
      </c>
      <c r="F724" s="5">
        <v>45440</v>
      </c>
      <c r="G724" t="s">
        <v>161</v>
      </c>
      <c r="H724" t="s">
        <v>24</v>
      </c>
      <c r="I724" t="s">
        <v>33</v>
      </c>
      <c r="J724" t="s">
        <v>64</v>
      </c>
      <c r="K724" t="s">
        <v>161</v>
      </c>
      <c r="L724" s="6">
        <v>52124.7</v>
      </c>
      <c r="M724">
        <v>45366.18</v>
      </c>
      <c r="N724" t="s">
        <v>35</v>
      </c>
      <c r="O724">
        <v>17</v>
      </c>
      <c r="P724">
        <v>165</v>
      </c>
      <c r="Q724">
        <v>4</v>
      </c>
      <c r="R724">
        <v>98</v>
      </c>
      <c r="S724">
        <v>136.69999999999999</v>
      </c>
      <c r="T724" t="s">
        <v>47</v>
      </c>
      <c r="U724" s="7">
        <f t="shared" si="44"/>
        <v>71</v>
      </c>
      <c r="V724" s="7">
        <f t="shared" si="47"/>
        <v>17</v>
      </c>
      <c r="W724" s="6">
        <f t="shared" si="45"/>
        <v>6758.5199999999968</v>
      </c>
      <c r="X724" t="str">
        <f t="shared" si="46"/>
        <v>Senior</v>
      </c>
    </row>
    <row r="725" spans="1:24">
      <c r="A725" t="s">
        <v>4143</v>
      </c>
      <c r="B725" t="s">
        <v>1313</v>
      </c>
      <c r="C725" t="s">
        <v>133</v>
      </c>
      <c r="D725" s="5">
        <v>35074</v>
      </c>
      <c r="E725" s="5">
        <v>45290</v>
      </c>
      <c r="F725" s="5">
        <v>45295</v>
      </c>
      <c r="G725" t="s">
        <v>43</v>
      </c>
      <c r="H725" t="s">
        <v>86</v>
      </c>
      <c r="I725" t="s">
        <v>96</v>
      </c>
      <c r="J725" t="s">
        <v>34</v>
      </c>
      <c r="K725" t="s">
        <v>161</v>
      </c>
      <c r="L725" s="6">
        <v>206741.31</v>
      </c>
      <c r="M725">
        <v>151359.71</v>
      </c>
      <c r="N725" t="s">
        <v>91</v>
      </c>
      <c r="O725">
        <v>5</v>
      </c>
      <c r="P725">
        <v>27</v>
      </c>
      <c r="Q725">
        <v>5</v>
      </c>
      <c r="R725">
        <v>120</v>
      </c>
      <c r="S725">
        <v>71.3</v>
      </c>
      <c r="T725" t="s">
        <v>37</v>
      </c>
      <c r="U725" s="7">
        <f t="shared" si="44"/>
        <v>27</v>
      </c>
      <c r="V725" s="7">
        <f t="shared" si="47"/>
        <v>5</v>
      </c>
      <c r="W725" s="6">
        <f t="shared" si="45"/>
        <v>55381.600000000006</v>
      </c>
      <c r="X725" t="str">
        <f t="shared" si="46"/>
        <v>Adult</v>
      </c>
    </row>
    <row r="726" spans="1:24">
      <c r="A726" t="s">
        <v>1824</v>
      </c>
      <c r="B726" t="s">
        <v>1200</v>
      </c>
      <c r="C726" t="s">
        <v>133</v>
      </c>
      <c r="D726" s="5">
        <v>37490</v>
      </c>
      <c r="E726" s="5">
        <v>45302</v>
      </c>
      <c r="F726" s="5">
        <v>45315</v>
      </c>
      <c r="G726" t="s">
        <v>152</v>
      </c>
      <c r="H726" t="s">
        <v>95</v>
      </c>
      <c r="I726" t="s">
        <v>79</v>
      </c>
      <c r="J726" t="s">
        <v>34</v>
      </c>
      <c r="K726" t="s">
        <v>55</v>
      </c>
      <c r="L726" s="6">
        <v>176639.11</v>
      </c>
      <c r="M726">
        <v>164532.26999999999</v>
      </c>
      <c r="N726" t="s">
        <v>73</v>
      </c>
      <c r="O726">
        <v>13</v>
      </c>
      <c r="P726">
        <v>183</v>
      </c>
      <c r="Q726">
        <v>4</v>
      </c>
      <c r="R726">
        <v>109</v>
      </c>
      <c r="S726">
        <v>232.6</v>
      </c>
      <c r="T726" t="s">
        <v>65</v>
      </c>
      <c r="U726" s="7">
        <f t="shared" si="44"/>
        <v>21</v>
      </c>
      <c r="V726" s="7">
        <f t="shared" si="47"/>
        <v>13</v>
      </c>
      <c r="W726" s="6">
        <f t="shared" si="45"/>
        <v>12106.839999999997</v>
      </c>
      <c r="X726" t="str">
        <f t="shared" si="46"/>
        <v>Adult</v>
      </c>
    </row>
    <row r="727" spans="1:24">
      <c r="A727" t="s">
        <v>1825</v>
      </c>
      <c r="B727" t="s">
        <v>417</v>
      </c>
      <c r="C727" t="s">
        <v>133</v>
      </c>
      <c r="D727" s="5">
        <v>32975</v>
      </c>
      <c r="E727" s="5">
        <v>44957</v>
      </c>
      <c r="F727" s="5">
        <v>44959</v>
      </c>
      <c r="G727" t="s">
        <v>161</v>
      </c>
      <c r="H727" t="s">
        <v>78</v>
      </c>
      <c r="I727" t="s">
        <v>96</v>
      </c>
      <c r="J727" t="s">
        <v>64</v>
      </c>
      <c r="K727" t="s">
        <v>55</v>
      </c>
      <c r="L727" s="6">
        <v>142492.26</v>
      </c>
      <c r="M727">
        <v>141361.76999999999</v>
      </c>
      <c r="N727" t="s">
        <v>56</v>
      </c>
      <c r="O727">
        <v>2</v>
      </c>
      <c r="P727">
        <v>37</v>
      </c>
      <c r="Q727">
        <v>4</v>
      </c>
      <c r="R727">
        <v>130</v>
      </c>
      <c r="S727">
        <v>234.2</v>
      </c>
      <c r="T727" t="s">
        <v>47</v>
      </c>
      <c r="U727" s="7">
        <f t="shared" si="44"/>
        <v>32</v>
      </c>
      <c r="V727" s="7">
        <f t="shared" si="47"/>
        <v>2</v>
      </c>
      <c r="W727" s="6">
        <f t="shared" si="45"/>
        <v>1130.4900000000198</v>
      </c>
      <c r="X727" t="str">
        <f t="shared" si="46"/>
        <v>Adult</v>
      </c>
    </row>
    <row r="728" spans="1:24">
      <c r="A728" t="s">
        <v>1826</v>
      </c>
      <c r="B728" t="s">
        <v>277</v>
      </c>
      <c r="C728" t="s">
        <v>40</v>
      </c>
      <c r="D728" s="5">
        <v>22076</v>
      </c>
      <c r="E728" s="5">
        <v>45279</v>
      </c>
      <c r="F728" s="5">
        <v>45280</v>
      </c>
      <c r="G728" t="s">
        <v>152</v>
      </c>
      <c r="H728" t="s">
        <v>153</v>
      </c>
      <c r="I728" t="s">
        <v>33</v>
      </c>
      <c r="J728" t="s">
        <v>71</v>
      </c>
      <c r="K728" t="s">
        <v>110</v>
      </c>
      <c r="L728" s="6">
        <v>161597.48000000001</v>
      </c>
      <c r="M728">
        <v>150273.45000000001</v>
      </c>
      <c r="N728" t="s">
        <v>73</v>
      </c>
      <c r="O728">
        <v>1</v>
      </c>
      <c r="P728">
        <v>30</v>
      </c>
      <c r="Q728">
        <v>4</v>
      </c>
      <c r="R728">
        <v>189</v>
      </c>
      <c r="S728">
        <v>107.2</v>
      </c>
      <c r="T728" t="s">
        <v>37</v>
      </c>
      <c r="U728" s="7">
        <f t="shared" si="44"/>
        <v>63</v>
      </c>
      <c r="V728" s="7">
        <f t="shared" si="47"/>
        <v>1</v>
      </c>
      <c r="W728" s="6">
        <f t="shared" si="45"/>
        <v>11324.029999999999</v>
      </c>
      <c r="X728" t="str">
        <f t="shared" si="46"/>
        <v>Senior</v>
      </c>
    </row>
    <row r="729" spans="1:24">
      <c r="A729" t="s">
        <v>1827</v>
      </c>
      <c r="B729" t="s">
        <v>531</v>
      </c>
      <c r="C729" t="s">
        <v>40</v>
      </c>
      <c r="D729" s="5">
        <v>30568</v>
      </c>
      <c r="E729" s="5">
        <v>45786</v>
      </c>
      <c r="F729" s="5" t="s">
        <v>4237</v>
      </c>
      <c r="G729" t="s">
        <v>43</v>
      </c>
      <c r="H729" t="s">
        <v>134</v>
      </c>
      <c r="I729" t="s">
        <v>96</v>
      </c>
      <c r="J729" t="s">
        <v>179</v>
      </c>
      <c r="K729" t="s">
        <v>27</v>
      </c>
      <c r="L729" s="6">
        <v>88460.88</v>
      </c>
      <c r="M729">
        <v>83592.67</v>
      </c>
      <c r="N729" t="s">
        <v>56</v>
      </c>
      <c r="O729">
        <v>18</v>
      </c>
      <c r="P729">
        <v>16</v>
      </c>
      <c r="Q729">
        <v>3</v>
      </c>
      <c r="R729">
        <v>101</v>
      </c>
      <c r="S729">
        <v>100.6</v>
      </c>
      <c r="T729" t="s">
        <v>65</v>
      </c>
      <c r="U729" s="7">
        <f t="shared" si="44"/>
        <v>41</v>
      </c>
      <c r="V729" s="7" t="s">
        <v>4237</v>
      </c>
      <c r="W729" s="6">
        <f t="shared" si="45"/>
        <v>4868.2100000000064</v>
      </c>
      <c r="X729" t="str">
        <f t="shared" si="46"/>
        <v>Middle Age</v>
      </c>
    </row>
    <row r="730" spans="1:24">
      <c r="A730" t="s">
        <v>1828</v>
      </c>
      <c r="B730" t="s">
        <v>394</v>
      </c>
      <c r="C730" t="s">
        <v>133</v>
      </c>
      <c r="D730" s="5">
        <v>37362</v>
      </c>
      <c r="E730" s="5">
        <v>45218</v>
      </c>
      <c r="F730" s="5">
        <v>45222</v>
      </c>
      <c r="G730" t="s">
        <v>152</v>
      </c>
      <c r="H730" t="s">
        <v>124</v>
      </c>
      <c r="I730" t="s">
        <v>79</v>
      </c>
      <c r="J730" t="s">
        <v>179</v>
      </c>
      <c r="K730" t="s">
        <v>120</v>
      </c>
      <c r="L730" s="6">
        <v>246894.94</v>
      </c>
      <c r="M730">
        <v>184911.15</v>
      </c>
      <c r="N730" t="s">
        <v>35</v>
      </c>
      <c r="O730">
        <v>4</v>
      </c>
      <c r="P730">
        <v>183</v>
      </c>
      <c r="Q730">
        <v>4</v>
      </c>
      <c r="R730">
        <v>103</v>
      </c>
      <c r="S730">
        <v>183</v>
      </c>
      <c r="T730" t="s">
        <v>37</v>
      </c>
      <c r="U730" s="7">
        <f t="shared" si="44"/>
        <v>21</v>
      </c>
      <c r="V730" s="7">
        <f t="shared" si="47"/>
        <v>4</v>
      </c>
      <c r="W730" s="6">
        <f t="shared" si="45"/>
        <v>61983.790000000008</v>
      </c>
      <c r="X730" t="str">
        <f t="shared" si="46"/>
        <v>Adult</v>
      </c>
    </row>
    <row r="731" spans="1:24">
      <c r="A731" t="s">
        <v>1829</v>
      </c>
      <c r="B731" t="s">
        <v>1830</v>
      </c>
      <c r="C731" t="s">
        <v>40</v>
      </c>
      <c r="D731" s="5">
        <v>36117</v>
      </c>
      <c r="E731" s="5">
        <v>45776</v>
      </c>
      <c r="F731" s="5">
        <v>45662</v>
      </c>
      <c r="G731" t="s">
        <v>161</v>
      </c>
      <c r="H731" t="s">
        <v>134</v>
      </c>
      <c r="I731" t="s">
        <v>79</v>
      </c>
      <c r="J731" t="s">
        <v>97</v>
      </c>
      <c r="K731" t="s">
        <v>55</v>
      </c>
      <c r="L731" s="6">
        <v>190738.51</v>
      </c>
      <c r="M731">
        <v>172641.79</v>
      </c>
      <c r="N731" t="s">
        <v>56</v>
      </c>
      <c r="O731">
        <v>2</v>
      </c>
      <c r="P731">
        <v>162</v>
      </c>
      <c r="Q731">
        <v>1</v>
      </c>
      <c r="R731">
        <v>182</v>
      </c>
      <c r="S731">
        <v>166.4</v>
      </c>
      <c r="T731" t="s">
        <v>37</v>
      </c>
      <c r="U731" s="7">
        <f t="shared" si="44"/>
        <v>26</v>
      </c>
      <c r="V731" s="7">
        <f t="shared" si="47"/>
        <v>-114</v>
      </c>
      <c r="W731" s="6">
        <f t="shared" si="45"/>
        <v>18096.72</v>
      </c>
      <c r="X731" t="str">
        <f t="shared" si="46"/>
        <v>Adult</v>
      </c>
    </row>
    <row r="732" spans="1:24">
      <c r="A732" t="s">
        <v>1832</v>
      </c>
      <c r="B732" t="s">
        <v>21</v>
      </c>
      <c r="C732" t="s">
        <v>40</v>
      </c>
      <c r="D732" s="5">
        <v>39890</v>
      </c>
      <c r="E732" s="5">
        <v>46009</v>
      </c>
      <c r="F732" s="5">
        <v>46024</v>
      </c>
      <c r="G732" t="s">
        <v>152</v>
      </c>
      <c r="H732" t="s">
        <v>32</v>
      </c>
      <c r="I732" t="s">
        <v>53</v>
      </c>
      <c r="J732" t="s">
        <v>34</v>
      </c>
      <c r="K732" t="s">
        <v>55</v>
      </c>
      <c r="L732" s="6">
        <v>150689.21</v>
      </c>
      <c r="M732">
        <v>137807.94</v>
      </c>
      <c r="N732" t="s">
        <v>73</v>
      </c>
      <c r="O732">
        <v>15</v>
      </c>
      <c r="P732">
        <v>124</v>
      </c>
      <c r="Q732">
        <v>2</v>
      </c>
      <c r="R732">
        <v>143</v>
      </c>
      <c r="S732">
        <v>90.1</v>
      </c>
      <c r="T732" t="s">
        <v>37</v>
      </c>
      <c r="U732" s="7">
        <f t="shared" si="44"/>
        <v>16</v>
      </c>
      <c r="V732" s="7">
        <f t="shared" si="47"/>
        <v>15</v>
      </c>
      <c r="W732" s="6">
        <f t="shared" si="45"/>
        <v>12881.26999999999</v>
      </c>
      <c r="X732" t="str">
        <f t="shared" si="46"/>
        <v>Child</v>
      </c>
    </row>
    <row r="733" spans="1:24">
      <c r="A733" t="s">
        <v>1835</v>
      </c>
      <c r="B733" t="s">
        <v>324</v>
      </c>
      <c r="C733" t="s">
        <v>40</v>
      </c>
      <c r="D733" s="5">
        <v>29764</v>
      </c>
      <c r="E733" s="5">
        <v>45391</v>
      </c>
      <c r="F733" s="5">
        <v>45393</v>
      </c>
      <c r="G733" t="s">
        <v>43</v>
      </c>
      <c r="H733" t="s">
        <v>95</v>
      </c>
      <c r="I733" t="s">
        <v>33</v>
      </c>
      <c r="J733" t="s">
        <v>179</v>
      </c>
      <c r="K733" t="s">
        <v>55</v>
      </c>
      <c r="L733" s="6">
        <v>47560.14</v>
      </c>
      <c r="M733">
        <v>41097.14</v>
      </c>
      <c r="N733" t="s">
        <v>35</v>
      </c>
      <c r="O733">
        <v>2</v>
      </c>
      <c r="P733">
        <v>177</v>
      </c>
      <c r="Q733">
        <v>4</v>
      </c>
      <c r="R733">
        <v>136</v>
      </c>
      <c r="S733">
        <v>219</v>
      </c>
      <c r="T733" t="s">
        <v>37</v>
      </c>
      <c r="U733" s="7">
        <f t="shared" si="44"/>
        <v>42</v>
      </c>
      <c r="V733" s="7">
        <f t="shared" si="47"/>
        <v>2</v>
      </c>
      <c r="W733" s="6">
        <f t="shared" si="45"/>
        <v>6463</v>
      </c>
      <c r="X733" t="str">
        <f t="shared" si="46"/>
        <v>Middle Age</v>
      </c>
    </row>
    <row r="734" spans="1:24">
      <c r="A734" t="s">
        <v>1836</v>
      </c>
      <c r="B734" t="s">
        <v>613</v>
      </c>
      <c r="C734" t="s">
        <v>133</v>
      </c>
      <c r="D734" s="5">
        <v>19195</v>
      </c>
      <c r="E734" s="5">
        <v>45710</v>
      </c>
      <c r="F734" s="5">
        <v>45994</v>
      </c>
      <c r="G734" t="s">
        <v>77</v>
      </c>
      <c r="H734" t="s">
        <v>44</v>
      </c>
      <c r="I734" t="s">
        <v>79</v>
      </c>
      <c r="J734" t="s">
        <v>34</v>
      </c>
      <c r="K734" t="s">
        <v>120</v>
      </c>
      <c r="L734" s="6">
        <v>7430.97</v>
      </c>
      <c r="M734">
        <v>6386.46</v>
      </c>
      <c r="N734" t="s">
        <v>91</v>
      </c>
      <c r="O734">
        <v>18</v>
      </c>
      <c r="P734">
        <v>96</v>
      </c>
      <c r="Q734">
        <v>2</v>
      </c>
      <c r="R734">
        <v>145</v>
      </c>
      <c r="S734">
        <v>187.8</v>
      </c>
      <c r="T734" t="s">
        <v>37</v>
      </c>
      <c r="U734" s="7">
        <f t="shared" si="44"/>
        <v>72</v>
      </c>
      <c r="V734" s="7">
        <f t="shared" si="47"/>
        <v>284</v>
      </c>
      <c r="W734" s="6">
        <f t="shared" si="45"/>
        <v>1044.5100000000002</v>
      </c>
      <c r="X734" t="str">
        <f t="shared" si="46"/>
        <v>Senior</v>
      </c>
    </row>
    <row r="735" spans="1:24">
      <c r="A735" t="s">
        <v>1838</v>
      </c>
      <c r="B735" t="s">
        <v>1839</v>
      </c>
      <c r="C735" t="s">
        <v>40</v>
      </c>
      <c r="D735" s="5">
        <v>39820</v>
      </c>
      <c r="E735" s="5">
        <v>45331</v>
      </c>
      <c r="F735" s="5" t="s">
        <v>4237</v>
      </c>
      <c r="G735" t="s">
        <v>109</v>
      </c>
      <c r="H735" t="s">
        <v>24</v>
      </c>
      <c r="I735" t="s">
        <v>96</v>
      </c>
      <c r="J735" t="s">
        <v>97</v>
      </c>
      <c r="K735" t="s">
        <v>161</v>
      </c>
      <c r="L735" s="6">
        <v>72312.149999999994</v>
      </c>
      <c r="M735">
        <v>65865.149999999994</v>
      </c>
      <c r="N735" t="s">
        <v>192</v>
      </c>
      <c r="O735">
        <v>12</v>
      </c>
      <c r="P735">
        <v>182</v>
      </c>
      <c r="Q735">
        <v>2</v>
      </c>
      <c r="R735">
        <v>169</v>
      </c>
      <c r="S735">
        <v>172.3</v>
      </c>
      <c r="T735" t="s">
        <v>47</v>
      </c>
      <c r="U735" s="7">
        <f t="shared" si="44"/>
        <v>15</v>
      </c>
      <c r="V735" s="7" t="s">
        <v>4237</v>
      </c>
      <c r="W735" s="6">
        <f t="shared" si="45"/>
        <v>6447</v>
      </c>
      <c r="X735" t="str">
        <f t="shared" si="46"/>
        <v>Child</v>
      </c>
    </row>
    <row r="736" spans="1:24">
      <c r="A736" t="s">
        <v>1840</v>
      </c>
      <c r="B736" t="s">
        <v>383</v>
      </c>
      <c r="C736" t="s">
        <v>40</v>
      </c>
      <c r="D736" s="5">
        <v>19057</v>
      </c>
      <c r="E736" s="5">
        <v>45681</v>
      </c>
      <c r="F736" s="5">
        <v>45684</v>
      </c>
      <c r="G736" t="s">
        <v>161</v>
      </c>
      <c r="H736" t="s">
        <v>63</v>
      </c>
      <c r="I736" t="s">
        <v>79</v>
      </c>
      <c r="J736" t="s">
        <v>71</v>
      </c>
      <c r="K736" t="s">
        <v>55</v>
      </c>
      <c r="L736" s="6">
        <v>102559.27</v>
      </c>
      <c r="M736">
        <v>78901.570000000007</v>
      </c>
      <c r="N736" t="s">
        <v>73</v>
      </c>
      <c r="O736">
        <v>3</v>
      </c>
      <c r="P736">
        <v>227</v>
      </c>
      <c r="Q736">
        <v>5</v>
      </c>
      <c r="R736">
        <v>119</v>
      </c>
      <c r="S736">
        <v>128.9</v>
      </c>
      <c r="T736" t="s">
        <v>37</v>
      </c>
      <c r="U736" s="7">
        <f t="shared" si="44"/>
        <v>72</v>
      </c>
      <c r="V736" s="7">
        <f t="shared" si="47"/>
        <v>3</v>
      </c>
      <c r="W736" s="6">
        <f t="shared" si="45"/>
        <v>23657.699999999997</v>
      </c>
      <c r="X736" t="str">
        <f t="shared" si="46"/>
        <v>Senior</v>
      </c>
    </row>
    <row r="737" spans="1:24">
      <c r="A737" t="s">
        <v>1842</v>
      </c>
      <c r="B737" t="s">
        <v>224</v>
      </c>
      <c r="C737" t="s">
        <v>133</v>
      </c>
      <c r="D737" s="5">
        <v>38028</v>
      </c>
      <c r="E737" s="5">
        <v>45894</v>
      </c>
      <c r="F737" s="5">
        <v>45697</v>
      </c>
      <c r="G737" t="s">
        <v>105</v>
      </c>
      <c r="H737" t="s">
        <v>153</v>
      </c>
      <c r="I737" t="s">
        <v>33</v>
      </c>
      <c r="J737" t="s">
        <v>97</v>
      </c>
      <c r="K737" t="s">
        <v>120</v>
      </c>
      <c r="L737" s="6">
        <v>137637.14000000001</v>
      </c>
      <c r="M737">
        <v>133748.87</v>
      </c>
      <c r="N737" t="s">
        <v>91</v>
      </c>
      <c r="O737">
        <v>8</v>
      </c>
      <c r="P737">
        <v>237</v>
      </c>
      <c r="Q737">
        <v>4</v>
      </c>
      <c r="R737">
        <v>132</v>
      </c>
      <c r="S737">
        <v>223.4</v>
      </c>
      <c r="T737" t="s">
        <v>47</v>
      </c>
      <c r="U737" s="7">
        <f t="shared" si="44"/>
        <v>21</v>
      </c>
      <c r="V737" s="7">
        <f t="shared" si="47"/>
        <v>-197</v>
      </c>
      <c r="W737" s="6">
        <f t="shared" si="45"/>
        <v>3888.2700000000186</v>
      </c>
      <c r="X737" t="str">
        <f t="shared" si="46"/>
        <v>Adult</v>
      </c>
    </row>
    <row r="738" spans="1:24">
      <c r="A738" t="s">
        <v>1844</v>
      </c>
      <c r="B738" t="s">
        <v>1667</v>
      </c>
      <c r="C738" t="s">
        <v>40</v>
      </c>
      <c r="D738" s="5">
        <v>35247</v>
      </c>
      <c r="E738" s="5">
        <v>45241</v>
      </c>
      <c r="F738" s="5">
        <v>45251</v>
      </c>
      <c r="G738" t="s">
        <v>43</v>
      </c>
      <c r="H738" t="s">
        <v>78</v>
      </c>
      <c r="I738" t="s">
        <v>119</v>
      </c>
      <c r="J738" t="s">
        <v>71</v>
      </c>
      <c r="K738" t="s">
        <v>27</v>
      </c>
      <c r="L738" s="6">
        <v>107155.75</v>
      </c>
      <c r="M738">
        <v>85568.23</v>
      </c>
      <c r="N738" t="s">
        <v>35</v>
      </c>
      <c r="O738">
        <v>10</v>
      </c>
      <c r="P738">
        <v>14</v>
      </c>
      <c r="Q738">
        <v>5</v>
      </c>
      <c r="R738">
        <v>98</v>
      </c>
      <c r="S738">
        <v>153.9</v>
      </c>
      <c r="T738" t="s">
        <v>37</v>
      </c>
      <c r="U738" s="7">
        <f t="shared" si="44"/>
        <v>27</v>
      </c>
      <c r="V738" s="7">
        <f t="shared" si="47"/>
        <v>10</v>
      </c>
      <c r="W738" s="6">
        <f t="shared" si="45"/>
        <v>21587.520000000004</v>
      </c>
      <c r="X738" t="str">
        <f t="shared" si="46"/>
        <v>Adult</v>
      </c>
    </row>
    <row r="739" spans="1:24">
      <c r="A739" t="s">
        <v>1846</v>
      </c>
      <c r="B739" t="s">
        <v>1391</v>
      </c>
      <c r="C739" t="s">
        <v>40</v>
      </c>
      <c r="D739" s="5">
        <v>29747</v>
      </c>
      <c r="E739" s="5">
        <v>45394</v>
      </c>
      <c r="F739" s="5" t="s">
        <v>4237</v>
      </c>
      <c r="G739" t="s">
        <v>62</v>
      </c>
      <c r="H739" t="s">
        <v>32</v>
      </c>
      <c r="I739" t="s">
        <v>96</v>
      </c>
      <c r="J739" t="s">
        <v>26</v>
      </c>
      <c r="K739" t="s">
        <v>110</v>
      </c>
      <c r="L739" s="6">
        <v>210532.82</v>
      </c>
      <c r="M739">
        <v>180764.02</v>
      </c>
      <c r="N739" t="s">
        <v>192</v>
      </c>
      <c r="O739">
        <v>17</v>
      </c>
      <c r="P739">
        <v>185</v>
      </c>
      <c r="Q739">
        <v>4</v>
      </c>
      <c r="R739">
        <v>175</v>
      </c>
      <c r="S739">
        <v>104.4</v>
      </c>
      <c r="T739" t="s">
        <v>37</v>
      </c>
      <c r="U739" s="7">
        <f t="shared" si="44"/>
        <v>42</v>
      </c>
      <c r="V739" s="7" t="s">
        <v>4237</v>
      </c>
      <c r="W739" s="6">
        <f t="shared" si="45"/>
        <v>29768.800000000017</v>
      </c>
      <c r="X739" t="str">
        <f t="shared" si="46"/>
        <v>Middle Age</v>
      </c>
    </row>
    <row r="740" spans="1:24">
      <c r="A740" t="s">
        <v>1848</v>
      </c>
      <c r="B740" t="s">
        <v>229</v>
      </c>
      <c r="C740" t="s">
        <v>133</v>
      </c>
      <c r="D740" s="5">
        <v>28250</v>
      </c>
      <c r="E740" s="5">
        <v>44948</v>
      </c>
      <c r="F740" s="5">
        <v>44963</v>
      </c>
      <c r="G740" t="s">
        <v>43</v>
      </c>
      <c r="H740" t="s">
        <v>113</v>
      </c>
      <c r="I740" t="s">
        <v>45</v>
      </c>
      <c r="J740" t="s">
        <v>97</v>
      </c>
      <c r="K740" t="s">
        <v>55</v>
      </c>
      <c r="L740" s="6">
        <v>120863.11</v>
      </c>
      <c r="M740">
        <v>115774.78</v>
      </c>
      <c r="N740" t="s">
        <v>192</v>
      </c>
      <c r="O740">
        <v>15</v>
      </c>
      <c r="P740">
        <v>185</v>
      </c>
      <c r="Q740">
        <v>4</v>
      </c>
      <c r="R740">
        <v>133</v>
      </c>
      <c r="S740">
        <v>109.6</v>
      </c>
      <c r="T740" t="s">
        <v>37</v>
      </c>
      <c r="U740" s="7">
        <f t="shared" si="44"/>
        <v>45</v>
      </c>
      <c r="V740" s="7">
        <f t="shared" si="47"/>
        <v>15</v>
      </c>
      <c r="W740" s="6">
        <f t="shared" si="45"/>
        <v>5088.3300000000017</v>
      </c>
      <c r="X740" t="str">
        <f t="shared" si="46"/>
        <v>Middle Age</v>
      </c>
    </row>
    <row r="741" spans="1:24">
      <c r="A741" t="s">
        <v>1850</v>
      </c>
      <c r="B741" t="s">
        <v>427</v>
      </c>
      <c r="C741" t="s">
        <v>133</v>
      </c>
      <c r="D741" s="5">
        <v>30572</v>
      </c>
      <c r="E741" s="5">
        <v>45405</v>
      </c>
      <c r="F741" s="5" t="s">
        <v>4237</v>
      </c>
      <c r="G741" t="s">
        <v>105</v>
      </c>
      <c r="H741" t="s">
        <v>78</v>
      </c>
      <c r="I741" t="s">
        <v>119</v>
      </c>
      <c r="J741" t="s">
        <v>80</v>
      </c>
      <c r="K741" t="s">
        <v>55</v>
      </c>
      <c r="L741" s="6">
        <v>66777.789999999994</v>
      </c>
      <c r="M741">
        <v>62534.86</v>
      </c>
      <c r="N741" t="s">
        <v>91</v>
      </c>
      <c r="O741">
        <v>6</v>
      </c>
      <c r="P741">
        <v>121</v>
      </c>
      <c r="Q741">
        <v>4</v>
      </c>
      <c r="R741">
        <v>167</v>
      </c>
      <c r="S741">
        <v>216.7</v>
      </c>
      <c r="T741" t="s">
        <v>37</v>
      </c>
      <c r="U741" s="7">
        <f t="shared" si="44"/>
        <v>40</v>
      </c>
      <c r="V741" s="7" t="s">
        <v>4237</v>
      </c>
      <c r="W741" s="6">
        <f t="shared" si="45"/>
        <v>4242.929999999993</v>
      </c>
      <c r="X741" t="str">
        <f t="shared" si="46"/>
        <v>Middle Age</v>
      </c>
    </row>
    <row r="742" spans="1:24">
      <c r="A742" t="s">
        <v>1852</v>
      </c>
      <c r="B742" t="s">
        <v>689</v>
      </c>
      <c r="C742" t="s">
        <v>40</v>
      </c>
      <c r="D742" s="5">
        <v>19709</v>
      </c>
      <c r="E742" s="5" t="s">
        <v>4237</v>
      </c>
      <c r="F742" s="5">
        <v>45966</v>
      </c>
      <c r="G742" t="s">
        <v>105</v>
      </c>
      <c r="H742" t="s">
        <v>63</v>
      </c>
      <c r="I742" t="s">
        <v>96</v>
      </c>
      <c r="J742" t="s">
        <v>97</v>
      </c>
      <c r="K742" t="s">
        <v>110</v>
      </c>
      <c r="L742" s="6">
        <v>110492.71</v>
      </c>
      <c r="M742">
        <v>96792.6</v>
      </c>
      <c r="N742" t="s">
        <v>56</v>
      </c>
      <c r="O742">
        <v>15</v>
      </c>
      <c r="P742">
        <v>225</v>
      </c>
      <c r="Q742">
        <v>1</v>
      </c>
      <c r="R742">
        <v>120</v>
      </c>
      <c r="S742">
        <v>227.9</v>
      </c>
      <c r="T742" t="s">
        <v>37</v>
      </c>
      <c r="U742" s="7" t="s">
        <v>4237</v>
      </c>
      <c r="V742" s="7" t="s">
        <v>4237</v>
      </c>
      <c r="W742" s="6">
        <f t="shared" si="45"/>
        <v>13700.11</v>
      </c>
      <c r="X742" t="s">
        <v>4237</v>
      </c>
    </row>
    <row r="743" spans="1:24">
      <c r="A743" t="s">
        <v>1854</v>
      </c>
      <c r="B743" t="s">
        <v>378</v>
      </c>
      <c r="C743" t="s">
        <v>40</v>
      </c>
      <c r="D743" s="5">
        <v>20512</v>
      </c>
      <c r="E743" s="5">
        <v>45878</v>
      </c>
      <c r="F743" s="5">
        <v>45890</v>
      </c>
      <c r="G743" t="s">
        <v>77</v>
      </c>
      <c r="H743" t="s">
        <v>134</v>
      </c>
      <c r="I743" t="s">
        <v>33</v>
      </c>
      <c r="J743" t="s">
        <v>34</v>
      </c>
      <c r="K743" t="s">
        <v>161</v>
      </c>
      <c r="L743" s="6">
        <v>28885.47</v>
      </c>
      <c r="M743">
        <v>20715.560000000001</v>
      </c>
      <c r="N743" t="s">
        <v>73</v>
      </c>
      <c r="O743">
        <v>12</v>
      </c>
      <c r="P743">
        <v>80</v>
      </c>
      <c r="Q743">
        <v>3</v>
      </c>
      <c r="R743">
        <v>141</v>
      </c>
      <c r="S743">
        <v>237.8</v>
      </c>
      <c r="T743" t="s">
        <v>65</v>
      </c>
      <c r="U743" s="7">
        <f t="shared" si="44"/>
        <v>69</v>
      </c>
      <c r="V743" s="7">
        <f t="shared" si="47"/>
        <v>12</v>
      </c>
      <c r="W743" s="6">
        <f t="shared" si="45"/>
        <v>8169.91</v>
      </c>
      <c r="X743" t="str">
        <f t="shared" si="46"/>
        <v>Senior</v>
      </c>
    </row>
    <row r="744" spans="1:24">
      <c r="A744" t="s">
        <v>1856</v>
      </c>
      <c r="B744" t="s">
        <v>829</v>
      </c>
      <c r="C744" t="s">
        <v>133</v>
      </c>
      <c r="D744" s="5">
        <v>22287</v>
      </c>
      <c r="E744" s="5">
        <v>45773</v>
      </c>
      <c r="F744" s="5" t="s">
        <v>4237</v>
      </c>
      <c r="G744" t="s">
        <v>109</v>
      </c>
      <c r="H744" t="s">
        <v>124</v>
      </c>
      <c r="I744" t="s">
        <v>79</v>
      </c>
      <c r="J744" t="s">
        <v>71</v>
      </c>
      <c r="K744" t="s">
        <v>120</v>
      </c>
      <c r="L744" s="6">
        <v>125125.28</v>
      </c>
      <c r="M744">
        <v>98646.34</v>
      </c>
      <c r="N744" t="s">
        <v>91</v>
      </c>
      <c r="O744">
        <v>18</v>
      </c>
      <c r="P744">
        <v>121</v>
      </c>
      <c r="Q744">
        <v>1</v>
      </c>
      <c r="R744">
        <v>99</v>
      </c>
      <c r="S744">
        <v>155.6</v>
      </c>
      <c r="T744" t="s">
        <v>37</v>
      </c>
      <c r="U744" s="7">
        <f t="shared" si="44"/>
        <v>64</v>
      </c>
      <c r="V744" s="7" t="s">
        <v>4237</v>
      </c>
      <c r="W744" s="6">
        <f t="shared" si="45"/>
        <v>26478.940000000002</v>
      </c>
      <c r="X744" t="str">
        <f t="shared" si="46"/>
        <v>Senior</v>
      </c>
    </row>
    <row r="745" spans="1:24">
      <c r="A745" t="s">
        <v>1858</v>
      </c>
      <c r="B745" t="s">
        <v>126</v>
      </c>
      <c r="C745" t="s">
        <v>40</v>
      </c>
      <c r="D745" s="5">
        <v>22410</v>
      </c>
      <c r="E745" s="5">
        <v>45698</v>
      </c>
      <c r="F745" s="5">
        <v>45706</v>
      </c>
      <c r="G745" t="s">
        <v>117</v>
      </c>
      <c r="H745" t="s">
        <v>78</v>
      </c>
      <c r="I745" t="s">
        <v>33</v>
      </c>
      <c r="J745" t="s">
        <v>97</v>
      </c>
      <c r="K745" t="s">
        <v>55</v>
      </c>
      <c r="L745" s="6">
        <v>141892.35</v>
      </c>
      <c r="M745">
        <v>111877.99</v>
      </c>
      <c r="N745" t="s">
        <v>35</v>
      </c>
      <c r="O745">
        <v>8</v>
      </c>
      <c r="P745">
        <v>66</v>
      </c>
      <c r="Q745">
        <v>4</v>
      </c>
      <c r="R745">
        <v>90</v>
      </c>
      <c r="S745">
        <v>172.6</v>
      </c>
      <c r="T745" t="s">
        <v>37</v>
      </c>
      <c r="U745" s="7">
        <f t="shared" si="44"/>
        <v>63</v>
      </c>
      <c r="V745" s="7">
        <f t="shared" si="47"/>
        <v>8</v>
      </c>
      <c r="W745" s="6">
        <f t="shared" si="45"/>
        <v>30014.36</v>
      </c>
      <c r="X745" t="str">
        <f t="shared" si="46"/>
        <v>Senior</v>
      </c>
    </row>
    <row r="746" spans="1:24">
      <c r="A746" t="s">
        <v>1860</v>
      </c>
      <c r="B746" t="s">
        <v>314</v>
      </c>
      <c r="C746" t="s">
        <v>40</v>
      </c>
      <c r="D746" s="5">
        <v>23451</v>
      </c>
      <c r="E746" s="5">
        <v>45250</v>
      </c>
      <c r="F746" s="5">
        <v>45266</v>
      </c>
      <c r="G746" t="s">
        <v>94</v>
      </c>
      <c r="H746" t="s">
        <v>52</v>
      </c>
      <c r="I746" t="s">
        <v>53</v>
      </c>
      <c r="J746" t="s">
        <v>64</v>
      </c>
      <c r="K746" t="s">
        <v>55</v>
      </c>
      <c r="L746" s="6">
        <v>31673.55</v>
      </c>
      <c r="M746">
        <v>23068.78</v>
      </c>
      <c r="N746" t="s">
        <v>192</v>
      </c>
      <c r="O746">
        <v>16</v>
      </c>
      <c r="P746">
        <v>171</v>
      </c>
      <c r="Q746">
        <v>1</v>
      </c>
      <c r="R746">
        <v>128</v>
      </c>
      <c r="S746">
        <v>255.2</v>
      </c>
      <c r="T746" t="s">
        <v>37</v>
      </c>
      <c r="U746" s="7">
        <f t="shared" si="44"/>
        <v>59</v>
      </c>
      <c r="V746" s="7">
        <f t="shared" si="47"/>
        <v>16</v>
      </c>
      <c r="W746" s="6">
        <f t="shared" si="45"/>
        <v>8604.77</v>
      </c>
      <c r="X746" t="str">
        <f t="shared" si="46"/>
        <v>Middle Age</v>
      </c>
    </row>
    <row r="747" spans="1:24">
      <c r="A747" t="s">
        <v>1862</v>
      </c>
      <c r="B747" t="s">
        <v>1471</v>
      </c>
      <c r="C747" t="s">
        <v>40</v>
      </c>
      <c r="D747" s="5">
        <v>24404</v>
      </c>
      <c r="E747" s="5">
        <v>45692</v>
      </c>
      <c r="F747" s="5">
        <v>45779</v>
      </c>
      <c r="G747" t="s">
        <v>152</v>
      </c>
      <c r="H747" t="s">
        <v>95</v>
      </c>
      <c r="I747" t="s">
        <v>79</v>
      </c>
      <c r="J747" t="s">
        <v>71</v>
      </c>
      <c r="K747" t="s">
        <v>120</v>
      </c>
      <c r="L747" s="6">
        <v>204475.97</v>
      </c>
      <c r="M747">
        <v>179577.41</v>
      </c>
      <c r="N747" t="s">
        <v>35</v>
      </c>
      <c r="O747">
        <v>1</v>
      </c>
      <c r="P747">
        <v>98</v>
      </c>
      <c r="Q747">
        <v>4</v>
      </c>
      <c r="R747">
        <v>92</v>
      </c>
      <c r="S747">
        <v>102.2</v>
      </c>
      <c r="T747" t="s">
        <v>37</v>
      </c>
      <c r="U747" s="7">
        <f t="shared" si="44"/>
        <v>58</v>
      </c>
      <c r="V747" s="7">
        <f t="shared" si="47"/>
        <v>87</v>
      </c>
      <c r="W747" s="6">
        <f t="shared" si="45"/>
        <v>24898.559999999998</v>
      </c>
      <c r="X747" t="str">
        <f t="shared" si="46"/>
        <v>Middle Age</v>
      </c>
    </row>
    <row r="748" spans="1:24">
      <c r="A748" t="s">
        <v>1864</v>
      </c>
      <c r="B748" t="s">
        <v>244</v>
      </c>
      <c r="C748" t="s">
        <v>133</v>
      </c>
      <c r="D748" s="5" t="s">
        <v>4237</v>
      </c>
      <c r="E748" s="5">
        <v>44997</v>
      </c>
      <c r="F748" s="5">
        <v>45005</v>
      </c>
      <c r="G748" t="s">
        <v>62</v>
      </c>
      <c r="H748" t="s">
        <v>63</v>
      </c>
      <c r="I748" t="s">
        <v>45</v>
      </c>
      <c r="J748" t="s">
        <v>80</v>
      </c>
      <c r="K748" t="s">
        <v>120</v>
      </c>
      <c r="L748" s="6">
        <v>53556.77</v>
      </c>
      <c r="M748">
        <v>52872.39</v>
      </c>
      <c r="N748" t="s">
        <v>73</v>
      </c>
      <c r="O748">
        <v>8</v>
      </c>
      <c r="P748">
        <v>67</v>
      </c>
      <c r="Q748">
        <v>5</v>
      </c>
      <c r="R748">
        <v>98</v>
      </c>
      <c r="S748">
        <v>77.7</v>
      </c>
      <c r="T748" t="s">
        <v>65</v>
      </c>
      <c r="U748" s="7" t="s">
        <v>4237</v>
      </c>
      <c r="V748" s="7">
        <f t="shared" si="47"/>
        <v>8</v>
      </c>
      <c r="W748" s="6">
        <f t="shared" si="45"/>
        <v>684.37999999999738</v>
      </c>
      <c r="X748" t="s">
        <v>4237</v>
      </c>
    </row>
    <row r="749" spans="1:24">
      <c r="A749" t="s">
        <v>4144</v>
      </c>
      <c r="B749" t="s">
        <v>522</v>
      </c>
      <c r="C749" t="s">
        <v>40</v>
      </c>
      <c r="D749" s="5">
        <v>37525</v>
      </c>
      <c r="E749" s="5">
        <v>45510</v>
      </c>
      <c r="F749" s="5">
        <v>45517</v>
      </c>
      <c r="G749" t="s">
        <v>94</v>
      </c>
      <c r="H749" t="s">
        <v>78</v>
      </c>
      <c r="I749" t="s">
        <v>45</v>
      </c>
      <c r="J749" t="s">
        <v>80</v>
      </c>
      <c r="K749" t="s">
        <v>120</v>
      </c>
      <c r="L749" s="6">
        <v>219098.89</v>
      </c>
      <c r="M749">
        <v>209226.42</v>
      </c>
      <c r="N749" t="s">
        <v>35</v>
      </c>
      <c r="O749">
        <v>7</v>
      </c>
      <c r="P749">
        <v>105</v>
      </c>
      <c r="Q749">
        <v>3</v>
      </c>
      <c r="R749">
        <v>165</v>
      </c>
      <c r="S749">
        <v>151.1</v>
      </c>
      <c r="T749" t="s">
        <v>37</v>
      </c>
      <c r="U749" s="7">
        <f t="shared" si="44"/>
        <v>21</v>
      </c>
      <c r="V749" s="7">
        <f t="shared" si="47"/>
        <v>7</v>
      </c>
      <c r="W749" s="6">
        <f t="shared" si="45"/>
        <v>9872.4700000000012</v>
      </c>
      <c r="X749" t="str">
        <f t="shared" si="46"/>
        <v>Adult</v>
      </c>
    </row>
    <row r="750" spans="1:24">
      <c r="A750" t="s">
        <v>1868</v>
      </c>
      <c r="B750" t="s">
        <v>693</v>
      </c>
      <c r="C750" t="s">
        <v>40</v>
      </c>
      <c r="D750" s="5">
        <v>36336</v>
      </c>
      <c r="E750" s="5">
        <v>45731</v>
      </c>
      <c r="F750" s="5">
        <v>45742</v>
      </c>
      <c r="G750" t="s">
        <v>117</v>
      </c>
      <c r="H750" t="s">
        <v>118</v>
      </c>
      <c r="I750" t="s">
        <v>53</v>
      </c>
      <c r="J750" t="s">
        <v>179</v>
      </c>
      <c r="K750" t="s">
        <v>161</v>
      </c>
      <c r="L750" s="6">
        <v>31681.34</v>
      </c>
      <c r="M750">
        <v>31367.51</v>
      </c>
      <c r="N750" t="s">
        <v>73</v>
      </c>
      <c r="O750">
        <v>11</v>
      </c>
      <c r="P750">
        <v>107</v>
      </c>
      <c r="Q750">
        <v>4</v>
      </c>
      <c r="R750">
        <v>99</v>
      </c>
      <c r="S750">
        <v>161.4</v>
      </c>
      <c r="T750" t="s">
        <v>65</v>
      </c>
      <c r="U750" s="7">
        <f t="shared" si="44"/>
        <v>25</v>
      </c>
      <c r="V750" s="7">
        <f t="shared" si="47"/>
        <v>11</v>
      </c>
      <c r="W750" s="6">
        <f t="shared" si="45"/>
        <v>313.83000000000175</v>
      </c>
      <c r="X750" t="str">
        <f t="shared" si="46"/>
        <v>Adult</v>
      </c>
    </row>
    <row r="751" spans="1:24">
      <c r="A751" t="s">
        <v>1872</v>
      </c>
      <c r="B751" t="s">
        <v>1830</v>
      </c>
      <c r="C751" t="s">
        <v>133</v>
      </c>
      <c r="D751" s="5">
        <v>22477</v>
      </c>
      <c r="E751" s="5">
        <v>45082</v>
      </c>
      <c r="F751" s="5">
        <v>45090</v>
      </c>
      <c r="G751" t="s">
        <v>105</v>
      </c>
      <c r="H751" t="s">
        <v>86</v>
      </c>
      <c r="I751" t="s">
        <v>79</v>
      </c>
      <c r="J751" t="s">
        <v>64</v>
      </c>
      <c r="K751" t="s">
        <v>120</v>
      </c>
      <c r="L751" s="6">
        <v>236178.14</v>
      </c>
      <c r="M751">
        <v>198870.44</v>
      </c>
      <c r="N751" t="s">
        <v>192</v>
      </c>
      <c r="O751">
        <v>8</v>
      </c>
      <c r="P751">
        <v>43</v>
      </c>
      <c r="Q751">
        <v>4</v>
      </c>
      <c r="R751">
        <v>170</v>
      </c>
      <c r="S751">
        <v>163.5</v>
      </c>
      <c r="T751" t="s">
        <v>65</v>
      </c>
      <c r="U751" s="7">
        <f t="shared" si="44"/>
        <v>61</v>
      </c>
      <c r="V751" s="7">
        <f t="shared" si="47"/>
        <v>8</v>
      </c>
      <c r="W751" s="6">
        <f t="shared" si="45"/>
        <v>37307.700000000012</v>
      </c>
      <c r="X751" t="str">
        <f t="shared" si="46"/>
        <v>Senior</v>
      </c>
    </row>
    <row r="752" spans="1:24">
      <c r="A752" t="s">
        <v>1873</v>
      </c>
      <c r="B752" t="s">
        <v>591</v>
      </c>
      <c r="C752" t="s">
        <v>133</v>
      </c>
      <c r="D752" s="5">
        <v>25636</v>
      </c>
      <c r="E752" s="5">
        <v>45052</v>
      </c>
      <c r="F752" s="5">
        <v>45059</v>
      </c>
      <c r="G752" t="s">
        <v>161</v>
      </c>
      <c r="H752" t="s">
        <v>52</v>
      </c>
      <c r="I752" t="s">
        <v>119</v>
      </c>
      <c r="J752" t="s">
        <v>80</v>
      </c>
      <c r="K752" t="s">
        <v>120</v>
      </c>
      <c r="L752" s="6">
        <v>215364.81</v>
      </c>
      <c r="M752">
        <v>151397.14000000001</v>
      </c>
      <c r="N752" t="s">
        <v>73</v>
      </c>
      <c r="O752">
        <v>7</v>
      </c>
      <c r="P752">
        <v>29</v>
      </c>
      <c r="Q752">
        <v>5</v>
      </c>
      <c r="R752">
        <v>116</v>
      </c>
      <c r="S752">
        <v>206.8</v>
      </c>
      <c r="T752" t="s">
        <v>47</v>
      </c>
      <c r="U752" s="7">
        <f t="shared" si="44"/>
        <v>53</v>
      </c>
      <c r="V752" s="7">
        <f t="shared" si="47"/>
        <v>7</v>
      </c>
      <c r="W752" s="6">
        <f t="shared" si="45"/>
        <v>63967.669999999984</v>
      </c>
      <c r="X752" t="str">
        <f t="shared" si="46"/>
        <v>Middle Age</v>
      </c>
    </row>
    <row r="753" spans="1:24">
      <c r="A753" t="s">
        <v>1877</v>
      </c>
      <c r="B753" t="s">
        <v>1256</v>
      </c>
      <c r="C753" t="s">
        <v>133</v>
      </c>
      <c r="D753" s="5">
        <v>38416</v>
      </c>
      <c r="E753" s="5">
        <v>45118</v>
      </c>
      <c r="F753" s="5">
        <v>45135</v>
      </c>
      <c r="G753" t="s">
        <v>161</v>
      </c>
      <c r="H753" t="s">
        <v>24</v>
      </c>
      <c r="I753" t="s">
        <v>96</v>
      </c>
      <c r="J753" t="s">
        <v>46</v>
      </c>
      <c r="K753" t="s">
        <v>55</v>
      </c>
      <c r="L753" s="6">
        <v>175851.96</v>
      </c>
      <c r="M753">
        <v>148353.74</v>
      </c>
      <c r="N753" t="s">
        <v>56</v>
      </c>
      <c r="O753">
        <v>17</v>
      </c>
      <c r="P753">
        <v>156</v>
      </c>
      <c r="Q753">
        <v>3</v>
      </c>
      <c r="R753">
        <v>184</v>
      </c>
      <c r="S753">
        <v>246.3</v>
      </c>
      <c r="T753" t="s">
        <v>37</v>
      </c>
      <c r="U753" s="7">
        <f t="shared" si="44"/>
        <v>18</v>
      </c>
      <c r="V753" s="7">
        <f t="shared" si="47"/>
        <v>17</v>
      </c>
      <c r="W753" s="6">
        <f t="shared" si="45"/>
        <v>27498.22</v>
      </c>
      <c r="X753" t="str">
        <f t="shared" si="46"/>
        <v>Adult</v>
      </c>
    </row>
    <row r="754" spans="1:24">
      <c r="A754" t="s">
        <v>1880</v>
      </c>
      <c r="B754" t="s">
        <v>1408</v>
      </c>
      <c r="C754" t="s">
        <v>40</v>
      </c>
      <c r="D754" s="5">
        <v>20634</v>
      </c>
      <c r="E754" s="5">
        <v>45044</v>
      </c>
      <c r="F754" s="5">
        <v>45050</v>
      </c>
      <c r="G754" t="s">
        <v>161</v>
      </c>
      <c r="H754" t="s">
        <v>95</v>
      </c>
      <c r="I754" t="s">
        <v>96</v>
      </c>
      <c r="J754" t="s">
        <v>34</v>
      </c>
      <c r="K754" t="s">
        <v>120</v>
      </c>
      <c r="L754" s="6">
        <v>70546.94</v>
      </c>
      <c r="M754">
        <v>50797.8</v>
      </c>
      <c r="N754" t="s">
        <v>192</v>
      </c>
      <c r="O754">
        <v>6</v>
      </c>
      <c r="P754">
        <v>133</v>
      </c>
      <c r="Q754">
        <v>5</v>
      </c>
      <c r="R754">
        <v>184</v>
      </c>
      <c r="S754">
        <v>170.2</v>
      </c>
      <c r="T754" t="s">
        <v>47</v>
      </c>
      <c r="U754" s="7">
        <f t="shared" si="44"/>
        <v>66</v>
      </c>
      <c r="V754" s="7">
        <f t="shared" si="47"/>
        <v>6</v>
      </c>
      <c r="W754" s="6">
        <f t="shared" si="45"/>
        <v>19749.14</v>
      </c>
      <c r="X754" t="str">
        <f t="shared" si="46"/>
        <v>Senior</v>
      </c>
    </row>
    <row r="755" spans="1:24">
      <c r="A755" t="s">
        <v>1881</v>
      </c>
      <c r="B755" t="s">
        <v>898</v>
      </c>
      <c r="C755" t="s">
        <v>133</v>
      </c>
      <c r="D755" s="5">
        <v>39931</v>
      </c>
      <c r="E755" s="5">
        <v>45580</v>
      </c>
      <c r="F755" s="5">
        <v>45592</v>
      </c>
      <c r="G755" t="s">
        <v>117</v>
      </c>
      <c r="H755" t="s">
        <v>134</v>
      </c>
      <c r="I755" t="s">
        <v>53</v>
      </c>
      <c r="J755" t="s">
        <v>64</v>
      </c>
      <c r="K755" t="s">
        <v>110</v>
      </c>
      <c r="L755" s="6">
        <v>41858.43</v>
      </c>
      <c r="M755">
        <v>40220.629999999997</v>
      </c>
      <c r="N755" t="s">
        <v>192</v>
      </c>
      <c r="O755">
        <v>12</v>
      </c>
      <c r="P755">
        <v>7</v>
      </c>
      <c r="Q755">
        <v>2</v>
      </c>
      <c r="R755">
        <v>158</v>
      </c>
      <c r="S755">
        <v>104.8</v>
      </c>
      <c r="T755" t="s">
        <v>4237</v>
      </c>
      <c r="U755" s="7">
        <f t="shared" si="44"/>
        <v>15</v>
      </c>
      <c r="V755" s="7">
        <f t="shared" si="47"/>
        <v>12</v>
      </c>
      <c r="W755" s="6">
        <f t="shared" si="45"/>
        <v>1637.8000000000029</v>
      </c>
      <c r="X755" t="str">
        <f t="shared" si="46"/>
        <v>Child</v>
      </c>
    </row>
    <row r="756" spans="1:24">
      <c r="A756" t="s">
        <v>1882</v>
      </c>
      <c r="B756" t="s">
        <v>1017</v>
      </c>
      <c r="C756" t="s">
        <v>133</v>
      </c>
      <c r="D756" s="5">
        <v>23865</v>
      </c>
      <c r="E756" s="5">
        <v>45515</v>
      </c>
      <c r="F756" s="5">
        <v>45521</v>
      </c>
      <c r="G756" t="s">
        <v>94</v>
      </c>
      <c r="H756" t="s">
        <v>24</v>
      </c>
      <c r="I756" t="s">
        <v>79</v>
      </c>
      <c r="J756" t="s">
        <v>34</v>
      </c>
      <c r="K756" t="s">
        <v>120</v>
      </c>
      <c r="L756" s="6">
        <v>44634.63</v>
      </c>
      <c r="M756">
        <v>31604.13</v>
      </c>
      <c r="N756" t="s">
        <v>35</v>
      </c>
      <c r="O756">
        <v>6</v>
      </c>
      <c r="P756">
        <v>39</v>
      </c>
      <c r="Q756">
        <v>4</v>
      </c>
      <c r="R756">
        <v>141</v>
      </c>
      <c r="S756">
        <v>70</v>
      </c>
      <c r="T756" t="s">
        <v>65</v>
      </c>
      <c r="U756" s="7">
        <f t="shared" si="44"/>
        <v>59</v>
      </c>
      <c r="V756" s="7">
        <f t="shared" si="47"/>
        <v>6</v>
      </c>
      <c r="W756" s="6">
        <f t="shared" si="45"/>
        <v>13030.499999999996</v>
      </c>
      <c r="X756" t="str">
        <f t="shared" si="46"/>
        <v>Middle Age</v>
      </c>
    </row>
    <row r="757" spans="1:24">
      <c r="A757" t="s">
        <v>1884</v>
      </c>
      <c r="B757" t="s">
        <v>112</v>
      </c>
      <c r="C757" t="s">
        <v>40</v>
      </c>
      <c r="D757" s="5">
        <v>26772</v>
      </c>
      <c r="E757" s="5">
        <v>45290</v>
      </c>
      <c r="F757" s="5">
        <v>45295</v>
      </c>
      <c r="G757" t="s">
        <v>161</v>
      </c>
      <c r="H757" t="s">
        <v>32</v>
      </c>
      <c r="I757" t="s">
        <v>33</v>
      </c>
      <c r="J757" t="s">
        <v>26</v>
      </c>
      <c r="K757" t="s">
        <v>55</v>
      </c>
      <c r="L757" s="6">
        <v>237535.33</v>
      </c>
      <c r="M757">
        <v>193519.19</v>
      </c>
      <c r="N757" t="s">
        <v>192</v>
      </c>
      <c r="O757">
        <v>5</v>
      </c>
      <c r="P757">
        <v>6</v>
      </c>
      <c r="Q757">
        <v>1</v>
      </c>
      <c r="R757">
        <v>143</v>
      </c>
      <c r="S757">
        <v>253.4</v>
      </c>
      <c r="T757" t="s">
        <v>37</v>
      </c>
      <c r="U757" s="7">
        <f t="shared" si="44"/>
        <v>50</v>
      </c>
      <c r="V757" s="7">
        <f t="shared" si="47"/>
        <v>5</v>
      </c>
      <c r="W757" s="6">
        <f t="shared" si="45"/>
        <v>44016.139999999985</v>
      </c>
      <c r="X757" t="str">
        <f t="shared" si="46"/>
        <v>Middle Age</v>
      </c>
    </row>
    <row r="758" spans="1:24">
      <c r="A758" t="s">
        <v>1885</v>
      </c>
      <c r="B758" t="s">
        <v>1622</v>
      </c>
      <c r="C758" t="s">
        <v>133</v>
      </c>
      <c r="D758" s="5">
        <v>23362</v>
      </c>
      <c r="E758" s="5">
        <v>45651</v>
      </c>
      <c r="F758" s="5" t="s">
        <v>4237</v>
      </c>
      <c r="G758" t="s">
        <v>105</v>
      </c>
      <c r="H758" t="s">
        <v>86</v>
      </c>
      <c r="I758" t="s">
        <v>33</v>
      </c>
      <c r="J758" t="s">
        <v>97</v>
      </c>
      <c r="K758" t="s">
        <v>27</v>
      </c>
      <c r="L758" s="6">
        <v>51971.58</v>
      </c>
      <c r="M758">
        <v>35896.120000000003</v>
      </c>
      <c r="N758" t="s">
        <v>73</v>
      </c>
      <c r="O758">
        <v>1</v>
      </c>
      <c r="P758">
        <v>216</v>
      </c>
      <c r="Q758">
        <v>4</v>
      </c>
      <c r="R758">
        <v>174</v>
      </c>
      <c r="S758">
        <v>97.9</v>
      </c>
      <c r="T758" t="s">
        <v>47</v>
      </c>
      <c r="U758" s="7">
        <f t="shared" si="44"/>
        <v>61</v>
      </c>
      <c r="V758" s="7" t="s">
        <v>4237</v>
      </c>
      <c r="W758" s="6">
        <f t="shared" si="45"/>
        <v>16075.46</v>
      </c>
      <c r="X758" t="str">
        <f t="shared" si="46"/>
        <v>Senior</v>
      </c>
    </row>
    <row r="759" spans="1:24">
      <c r="A759" t="s">
        <v>1887</v>
      </c>
      <c r="B759" t="s">
        <v>1888</v>
      </c>
      <c r="C759" t="s">
        <v>40</v>
      </c>
      <c r="D759" s="5">
        <v>34743</v>
      </c>
      <c r="E759" s="5">
        <v>45641</v>
      </c>
      <c r="F759" s="5">
        <v>45650</v>
      </c>
      <c r="G759" t="s">
        <v>109</v>
      </c>
      <c r="H759" t="s">
        <v>52</v>
      </c>
      <c r="I759" t="s">
        <v>45</v>
      </c>
      <c r="J759" t="s">
        <v>34</v>
      </c>
      <c r="K759" t="s">
        <v>55</v>
      </c>
      <c r="L759" s="6">
        <v>46722.59</v>
      </c>
      <c r="M759">
        <v>39838.97</v>
      </c>
      <c r="N759" t="s">
        <v>35</v>
      </c>
      <c r="O759">
        <v>9</v>
      </c>
      <c r="P759">
        <v>104</v>
      </c>
      <c r="Q759">
        <v>4</v>
      </c>
      <c r="R759">
        <v>136</v>
      </c>
      <c r="S759">
        <v>160.6</v>
      </c>
      <c r="T759" t="s">
        <v>37</v>
      </c>
      <c r="U759" s="7">
        <f t="shared" si="44"/>
        <v>29</v>
      </c>
      <c r="V759" s="7">
        <f t="shared" si="47"/>
        <v>9</v>
      </c>
      <c r="W759" s="6">
        <f t="shared" si="45"/>
        <v>6883.6199999999953</v>
      </c>
      <c r="X759" t="str">
        <f t="shared" si="46"/>
        <v>Adult</v>
      </c>
    </row>
    <row r="760" spans="1:24">
      <c r="A760" t="s">
        <v>1891</v>
      </c>
      <c r="B760" t="s">
        <v>843</v>
      </c>
      <c r="C760" t="s">
        <v>40</v>
      </c>
      <c r="D760" s="5">
        <v>20716</v>
      </c>
      <c r="E760" s="5">
        <v>45830</v>
      </c>
      <c r="F760" s="5">
        <v>45831</v>
      </c>
      <c r="G760" t="s">
        <v>117</v>
      </c>
      <c r="H760" t="s">
        <v>4236</v>
      </c>
      <c r="I760" t="s">
        <v>33</v>
      </c>
      <c r="J760" t="s">
        <v>64</v>
      </c>
      <c r="K760" t="s">
        <v>55</v>
      </c>
      <c r="L760" s="6">
        <v>154835.21</v>
      </c>
      <c r="M760">
        <v>116394.37</v>
      </c>
      <c r="N760" t="s">
        <v>91</v>
      </c>
      <c r="O760">
        <v>1</v>
      </c>
      <c r="P760">
        <v>183</v>
      </c>
      <c r="Q760">
        <v>3</v>
      </c>
      <c r="R760">
        <v>95</v>
      </c>
      <c r="S760">
        <v>237.6</v>
      </c>
      <c r="T760" t="s">
        <v>65</v>
      </c>
      <c r="U760" s="7">
        <f t="shared" si="44"/>
        <v>68</v>
      </c>
      <c r="V760" s="7">
        <f t="shared" si="47"/>
        <v>1</v>
      </c>
      <c r="W760" s="6">
        <f t="shared" si="45"/>
        <v>38440.839999999997</v>
      </c>
      <c r="X760" t="str">
        <f t="shared" si="46"/>
        <v>Senior</v>
      </c>
    </row>
    <row r="761" spans="1:24">
      <c r="A761" t="s">
        <v>1894</v>
      </c>
      <c r="B761" t="s">
        <v>522</v>
      </c>
      <c r="C761" t="s">
        <v>133</v>
      </c>
      <c r="D761" s="5">
        <v>28788</v>
      </c>
      <c r="E761" s="5">
        <v>44949</v>
      </c>
      <c r="F761" s="5">
        <v>44955</v>
      </c>
      <c r="G761" t="s">
        <v>109</v>
      </c>
      <c r="H761" t="s">
        <v>78</v>
      </c>
      <c r="I761" t="s">
        <v>119</v>
      </c>
      <c r="J761" t="s">
        <v>80</v>
      </c>
      <c r="K761" t="s">
        <v>55</v>
      </c>
      <c r="L761" s="6">
        <v>123663.9</v>
      </c>
      <c r="M761">
        <v>79386.63</v>
      </c>
      <c r="N761" t="s">
        <v>91</v>
      </c>
      <c r="O761">
        <v>6</v>
      </c>
      <c r="P761">
        <v>150</v>
      </c>
      <c r="Q761">
        <v>1</v>
      </c>
      <c r="R761">
        <v>125</v>
      </c>
      <c r="S761">
        <v>200.8</v>
      </c>
      <c r="T761" t="s">
        <v>47</v>
      </c>
      <c r="U761" s="7">
        <f t="shared" si="44"/>
        <v>44</v>
      </c>
      <c r="V761" s="7">
        <f t="shared" si="47"/>
        <v>6</v>
      </c>
      <c r="W761" s="6">
        <f t="shared" si="45"/>
        <v>44277.26999999999</v>
      </c>
      <c r="X761" t="str">
        <f t="shared" si="46"/>
        <v>Middle Age</v>
      </c>
    </row>
    <row r="762" spans="1:24">
      <c r="A762" t="s">
        <v>1895</v>
      </c>
      <c r="B762" t="s">
        <v>700</v>
      </c>
      <c r="C762" t="s">
        <v>133</v>
      </c>
      <c r="D762" s="5">
        <v>22325</v>
      </c>
      <c r="E762" s="5">
        <v>45497</v>
      </c>
      <c r="F762" s="5">
        <v>45505</v>
      </c>
      <c r="G762" t="s">
        <v>117</v>
      </c>
      <c r="H762" t="s">
        <v>118</v>
      </c>
      <c r="I762" t="s">
        <v>25</v>
      </c>
      <c r="J762" t="s">
        <v>179</v>
      </c>
      <c r="K762" t="s">
        <v>55</v>
      </c>
      <c r="L762" s="6">
        <v>146433.89000000001</v>
      </c>
      <c r="M762">
        <v>123456.46</v>
      </c>
      <c r="N762" t="s">
        <v>35</v>
      </c>
      <c r="O762">
        <v>8</v>
      </c>
      <c r="P762">
        <v>24</v>
      </c>
      <c r="Q762">
        <v>5</v>
      </c>
      <c r="R762">
        <v>176</v>
      </c>
      <c r="S762">
        <v>151.19999999999999</v>
      </c>
      <c r="T762" t="s">
        <v>65</v>
      </c>
      <c r="U762" s="7">
        <f t="shared" si="44"/>
        <v>63</v>
      </c>
      <c r="V762" s="7">
        <f t="shared" si="47"/>
        <v>8</v>
      </c>
      <c r="W762" s="6">
        <f t="shared" si="45"/>
        <v>22977.430000000008</v>
      </c>
      <c r="X762" t="str">
        <f t="shared" si="46"/>
        <v>Senior</v>
      </c>
    </row>
    <row r="763" spans="1:24">
      <c r="A763" t="s">
        <v>1896</v>
      </c>
      <c r="B763" t="s">
        <v>1140</v>
      </c>
      <c r="C763" t="s">
        <v>40</v>
      </c>
      <c r="D763" s="5">
        <v>37953</v>
      </c>
      <c r="E763" s="5">
        <v>45646</v>
      </c>
      <c r="F763" s="5">
        <v>45660</v>
      </c>
      <c r="G763" t="s">
        <v>43</v>
      </c>
      <c r="H763" t="s">
        <v>153</v>
      </c>
      <c r="I763" t="s">
        <v>33</v>
      </c>
      <c r="J763" t="s">
        <v>97</v>
      </c>
      <c r="K763" t="s">
        <v>120</v>
      </c>
      <c r="L763" s="6">
        <v>170660.56</v>
      </c>
      <c r="M763">
        <v>150212.04999999999</v>
      </c>
      <c r="N763" t="s">
        <v>56</v>
      </c>
      <c r="O763">
        <v>14</v>
      </c>
      <c r="P763">
        <v>108</v>
      </c>
      <c r="Q763">
        <v>4</v>
      </c>
      <c r="R763">
        <v>190</v>
      </c>
      <c r="S763">
        <v>82.8</v>
      </c>
      <c r="T763" t="s">
        <v>4237</v>
      </c>
      <c r="U763" s="7">
        <f t="shared" si="44"/>
        <v>21</v>
      </c>
      <c r="V763" s="7">
        <f t="shared" si="47"/>
        <v>14</v>
      </c>
      <c r="W763" s="6">
        <f t="shared" si="45"/>
        <v>20448.510000000009</v>
      </c>
      <c r="X763" t="str">
        <f t="shared" si="46"/>
        <v>Adult</v>
      </c>
    </row>
    <row r="764" spans="1:24">
      <c r="A764" t="s">
        <v>1898</v>
      </c>
      <c r="B764" t="s">
        <v>21</v>
      </c>
      <c r="C764" t="s">
        <v>133</v>
      </c>
      <c r="D764" s="5">
        <v>25356</v>
      </c>
      <c r="E764" s="5">
        <v>45857</v>
      </c>
      <c r="F764" s="5">
        <v>45875</v>
      </c>
      <c r="G764" t="s">
        <v>109</v>
      </c>
      <c r="H764" t="s">
        <v>86</v>
      </c>
      <c r="I764" t="s">
        <v>119</v>
      </c>
      <c r="J764" t="s">
        <v>64</v>
      </c>
      <c r="K764" t="s">
        <v>55</v>
      </c>
      <c r="L764" s="6">
        <v>188842.44</v>
      </c>
      <c r="M764">
        <v>127370.61</v>
      </c>
      <c r="N764" t="s">
        <v>56</v>
      </c>
      <c r="O764">
        <v>18</v>
      </c>
      <c r="P764">
        <v>235</v>
      </c>
      <c r="Q764">
        <v>1</v>
      </c>
      <c r="R764">
        <v>119</v>
      </c>
      <c r="S764">
        <v>204.1</v>
      </c>
      <c r="T764" t="s">
        <v>37</v>
      </c>
      <c r="U764" s="7">
        <f t="shared" si="44"/>
        <v>56</v>
      </c>
      <c r="V764" s="7">
        <f t="shared" si="47"/>
        <v>18</v>
      </c>
      <c r="W764" s="6">
        <f t="shared" si="45"/>
        <v>61471.83</v>
      </c>
      <c r="X764" t="str">
        <f t="shared" si="46"/>
        <v>Middle Age</v>
      </c>
    </row>
    <row r="765" spans="1:24">
      <c r="A765" t="s">
        <v>1900</v>
      </c>
      <c r="B765" t="s">
        <v>324</v>
      </c>
      <c r="C765" t="s">
        <v>133</v>
      </c>
      <c r="D765" s="5">
        <v>22621</v>
      </c>
      <c r="E765" s="5">
        <v>45966</v>
      </c>
      <c r="F765" s="5">
        <v>45802</v>
      </c>
      <c r="G765" t="s">
        <v>77</v>
      </c>
      <c r="H765" t="s">
        <v>118</v>
      </c>
      <c r="I765" t="s">
        <v>96</v>
      </c>
      <c r="J765" t="s">
        <v>26</v>
      </c>
      <c r="K765" t="s">
        <v>55</v>
      </c>
      <c r="L765" s="6">
        <v>154541.32</v>
      </c>
      <c r="M765">
        <v>116226.34</v>
      </c>
      <c r="N765" t="s">
        <v>73</v>
      </c>
      <c r="O765">
        <v>14</v>
      </c>
      <c r="P765">
        <v>170</v>
      </c>
      <c r="Q765">
        <v>4</v>
      </c>
      <c r="R765">
        <v>145</v>
      </c>
      <c r="S765">
        <v>132.5</v>
      </c>
      <c r="T765" t="s">
        <v>37</v>
      </c>
      <c r="U765" s="7">
        <f t="shared" si="44"/>
        <v>63</v>
      </c>
      <c r="V765" s="7">
        <f t="shared" si="47"/>
        <v>-164</v>
      </c>
      <c r="W765" s="6">
        <f t="shared" si="45"/>
        <v>38314.98000000001</v>
      </c>
      <c r="X765" t="str">
        <f t="shared" si="46"/>
        <v>Senior</v>
      </c>
    </row>
    <row r="766" spans="1:24">
      <c r="A766" t="s">
        <v>1902</v>
      </c>
      <c r="B766" t="s">
        <v>1393</v>
      </c>
      <c r="C766" t="s">
        <v>133</v>
      </c>
      <c r="D766" s="5">
        <v>35607</v>
      </c>
      <c r="E766" s="5">
        <v>45587</v>
      </c>
      <c r="F766" s="5">
        <v>45588</v>
      </c>
      <c r="G766" t="s">
        <v>152</v>
      </c>
      <c r="H766" t="s">
        <v>44</v>
      </c>
      <c r="I766" t="s">
        <v>53</v>
      </c>
      <c r="J766" t="s">
        <v>97</v>
      </c>
      <c r="K766" t="s">
        <v>55</v>
      </c>
      <c r="L766" s="6">
        <v>207537.87</v>
      </c>
      <c r="M766">
        <v>147586.38</v>
      </c>
      <c r="N766" t="s">
        <v>192</v>
      </c>
      <c r="O766">
        <v>1</v>
      </c>
      <c r="P766">
        <v>72</v>
      </c>
      <c r="Q766">
        <v>4</v>
      </c>
      <c r="R766">
        <v>144</v>
      </c>
      <c r="S766">
        <v>215.3</v>
      </c>
      <c r="T766" t="s">
        <v>37</v>
      </c>
      <c r="U766" s="7">
        <f t="shared" si="44"/>
        <v>27</v>
      </c>
      <c r="V766" s="7">
        <f t="shared" si="47"/>
        <v>1</v>
      </c>
      <c r="W766" s="6">
        <f t="shared" si="45"/>
        <v>59951.489999999991</v>
      </c>
      <c r="X766" t="str">
        <f t="shared" si="46"/>
        <v>Adult</v>
      </c>
    </row>
    <row r="767" spans="1:24">
      <c r="A767" t="s">
        <v>1903</v>
      </c>
      <c r="B767" t="s">
        <v>218</v>
      </c>
      <c r="C767" t="s">
        <v>40</v>
      </c>
      <c r="D767" s="5">
        <v>40470</v>
      </c>
      <c r="E767" s="5">
        <v>45290</v>
      </c>
      <c r="F767" s="5">
        <v>45307</v>
      </c>
      <c r="G767" t="s">
        <v>161</v>
      </c>
      <c r="H767" t="s">
        <v>113</v>
      </c>
      <c r="I767" t="s">
        <v>53</v>
      </c>
      <c r="J767" t="s">
        <v>34</v>
      </c>
      <c r="K767" t="s">
        <v>55</v>
      </c>
      <c r="L767" s="6">
        <v>32199.51</v>
      </c>
      <c r="M767">
        <v>26584.04</v>
      </c>
      <c r="N767" t="s">
        <v>73</v>
      </c>
      <c r="O767">
        <v>17</v>
      </c>
      <c r="P767">
        <v>87</v>
      </c>
      <c r="Q767">
        <v>4</v>
      </c>
      <c r="R767">
        <v>188</v>
      </c>
      <c r="S767">
        <v>222.8</v>
      </c>
      <c r="T767" t="s">
        <v>37</v>
      </c>
      <c r="U767" s="7">
        <f t="shared" si="44"/>
        <v>13</v>
      </c>
      <c r="V767" s="7">
        <f t="shared" si="47"/>
        <v>17</v>
      </c>
      <c r="W767" s="6">
        <f t="shared" si="45"/>
        <v>5615.4699999999975</v>
      </c>
      <c r="X767" t="str">
        <f t="shared" si="46"/>
        <v>Child</v>
      </c>
    </row>
    <row r="768" spans="1:24">
      <c r="A768" t="s">
        <v>1905</v>
      </c>
      <c r="B768" t="s">
        <v>1480</v>
      </c>
      <c r="C768" t="s">
        <v>40</v>
      </c>
      <c r="D768" s="5">
        <v>38770</v>
      </c>
      <c r="E768" s="5">
        <v>45413</v>
      </c>
      <c r="F768" s="5">
        <v>45424</v>
      </c>
      <c r="G768" t="s">
        <v>152</v>
      </c>
      <c r="H768" t="s">
        <v>124</v>
      </c>
      <c r="I768" t="s">
        <v>25</v>
      </c>
      <c r="J768" t="s">
        <v>26</v>
      </c>
      <c r="K768" t="s">
        <v>120</v>
      </c>
      <c r="L768" s="6">
        <v>72363.55</v>
      </c>
      <c r="M768">
        <v>57517</v>
      </c>
      <c r="N768" t="s">
        <v>192</v>
      </c>
      <c r="O768">
        <v>11</v>
      </c>
      <c r="P768">
        <v>112</v>
      </c>
      <c r="Q768">
        <v>4</v>
      </c>
      <c r="R768">
        <v>93</v>
      </c>
      <c r="S768">
        <v>258.8</v>
      </c>
      <c r="T768" t="s">
        <v>37</v>
      </c>
      <c r="U768" s="7">
        <f t="shared" si="44"/>
        <v>18</v>
      </c>
      <c r="V768" s="7">
        <f t="shared" si="47"/>
        <v>11</v>
      </c>
      <c r="W768" s="6">
        <f t="shared" si="45"/>
        <v>14846.550000000003</v>
      </c>
      <c r="X768" t="str">
        <f t="shared" si="46"/>
        <v>Adult</v>
      </c>
    </row>
    <row r="769" spans="1:24">
      <c r="A769" t="s">
        <v>1908</v>
      </c>
      <c r="B769" t="s">
        <v>1563</v>
      </c>
      <c r="C769" t="s">
        <v>133</v>
      </c>
      <c r="D769" s="5">
        <v>33720</v>
      </c>
      <c r="E769" s="5">
        <v>45038</v>
      </c>
      <c r="F769" s="5">
        <v>45043</v>
      </c>
      <c r="G769" t="s">
        <v>161</v>
      </c>
      <c r="H769" t="s">
        <v>113</v>
      </c>
      <c r="I769" t="s">
        <v>33</v>
      </c>
      <c r="J769" t="s">
        <v>34</v>
      </c>
      <c r="K769" t="s">
        <v>27</v>
      </c>
      <c r="L769" s="6">
        <v>181858.1</v>
      </c>
      <c r="M769">
        <v>149903.01</v>
      </c>
      <c r="N769" t="s">
        <v>56</v>
      </c>
      <c r="O769">
        <v>5</v>
      </c>
      <c r="P769">
        <v>133</v>
      </c>
      <c r="Q769">
        <v>1</v>
      </c>
      <c r="R769">
        <v>139</v>
      </c>
      <c r="S769">
        <v>190.5</v>
      </c>
      <c r="T769" t="s">
        <v>4237</v>
      </c>
      <c r="U769" s="7">
        <f t="shared" si="44"/>
        <v>30</v>
      </c>
      <c r="V769" s="7">
        <f t="shared" si="47"/>
        <v>5</v>
      </c>
      <c r="W769" s="6">
        <f t="shared" si="45"/>
        <v>31955.089999999997</v>
      </c>
      <c r="X769" t="str">
        <f t="shared" si="46"/>
        <v>Adult</v>
      </c>
    </row>
    <row r="770" spans="1:24">
      <c r="A770" t="s">
        <v>1910</v>
      </c>
      <c r="B770" t="s">
        <v>679</v>
      </c>
      <c r="C770" t="s">
        <v>133</v>
      </c>
      <c r="D770" s="5">
        <v>39403</v>
      </c>
      <c r="E770" s="5">
        <v>45117</v>
      </c>
      <c r="F770" s="5" t="s">
        <v>4237</v>
      </c>
      <c r="G770" t="s">
        <v>77</v>
      </c>
      <c r="H770" t="s">
        <v>78</v>
      </c>
      <c r="I770" t="s">
        <v>25</v>
      </c>
      <c r="J770" t="s">
        <v>26</v>
      </c>
      <c r="K770" t="s">
        <v>55</v>
      </c>
      <c r="L770" s="6">
        <v>120298.61</v>
      </c>
      <c r="M770">
        <v>107532.3</v>
      </c>
      <c r="N770" t="s">
        <v>91</v>
      </c>
      <c r="O770">
        <v>11</v>
      </c>
      <c r="P770">
        <v>110</v>
      </c>
      <c r="Q770">
        <v>5</v>
      </c>
      <c r="R770">
        <v>95</v>
      </c>
      <c r="S770">
        <v>154.80000000000001</v>
      </c>
      <c r="T770" t="s">
        <v>37</v>
      </c>
      <c r="U770" s="7">
        <f t="shared" ref="U770:U833" si="48">DATEDIF(D770,E770,"Y")</f>
        <v>15</v>
      </c>
      <c r="V770" s="7" t="s">
        <v>4237</v>
      </c>
      <c r="W770" s="6">
        <f t="shared" ref="W770:W833" si="49">L770-M770</f>
        <v>12766.309999999998</v>
      </c>
      <c r="X770" t="str">
        <f t="shared" ref="X770:X833" si="50">IF(OR(U770="",U770="Unknown"),"",IF(U770&lt;18,"Child",IF(U770&lt;40,"Adult",IF(U770&lt;60,"Middle Age","Senior"))))</f>
        <v>Child</v>
      </c>
    </row>
    <row r="771" spans="1:24">
      <c r="A771" t="s">
        <v>1911</v>
      </c>
      <c r="B771" t="s">
        <v>841</v>
      </c>
      <c r="C771" t="s">
        <v>133</v>
      </c>
      <c r="D771" s="5">
        <v>33385</v>
      </c>
      <c r="E771" s="5">
        <v>45539</v>
      </c>
      <c r="F771" s="5">
        <v>45556</v>
      </c>
      <c r="G771" t="s">
        <v>152</v>
      </c>
      <c r="H771" t="s">
        <v>113</v>
      </c>
      <c r="I771" t="s">
        <v>25</v>
      </c>
      <c r="J771" t="s">
        <v>34</v>
      </c>
      <c r="K771" t="s">
        <v>120</v>
      </c>
      <c r="L771" s="6">
        <v>38958.03</v>
      </c>
      <c r="M771">
        <v>31483.47</v>
      </c>
      <c r="N771" t="s">
        <v>56</v>
      </c>
      <c r="O771">
        <v>17</v>
      </c>
      <c r="P771">
        <v>91</v>
      </c>
      <c r="Q771">
        <v>3</v>
      </c>
      <c r="R771">
        <v>172</v>
      </c>
      <c r="S771">
        <v>192.9</v>
      </c>
      <c r="T771" t="s">
        <v>4237</v>
      </c>
      <c r="U771" s="7">
        <f t="shared" si="48"/>
        <v>33</v>
      </c>
      <c r="V771" s="7">
        <f t="shared" ref="V771:V833" si="51">IF(OR(E771=" ",F771=" ",E771="Unknown",F771="Unknown")," ",F771-E771)</f>
        <v>17</v>
      </c>
      <c r="W771" s="6">
        <f t="shared" si="49"/>
        <v>7474.5599999999977</v>
      </c>
      <c r="X771" t="str">
        <f t="shared" si="50"/>
        <v>Adult</v>
      </c>
    </row>
    <row r="772" spans="1:24">
      <c r="A772" t="s">
        <v>1912</v>
      </c>
      <c r="B772" t="s">
        <v>1393</v>
      </c>
      <c r="C772" t="s">
        <v>133</v>
      </c>
      <c r="D772" s="5">
        <v>21203</v>
      </c>
      <c r="E772" s="5">
        <v>45172</v>
      </c>
      <c r="F772" s="5">
        <v>45011</v>
      </c>
      <c r="G772" t="s">
        <v>152</v>
      </c>
      <c r="H772" t="s">
        <v>86</v>
      </c>
      <c r="I772" t="s">
        <v>33</v>
      </c>
      <c r="J772" t="s">
        <v>34</v>
      </c>
      <c r="K772" t="s">
        <v>161</v>
      </c>
      <c r="L772" s="6">
        <v>16562.599999999999</v>
      </c>
      <c r="M772">
        <v>16534.11</v>
      </c>
      <c r="N772" t="s">
        <v>56</v>
      </c>
      <c r="O772">
        <v>17</v>
      </c>
      <c r="P772">
        <v>112</v>
      </c>
      <c r="Q772">
        <v>4</v>
      </c>
      <c r="R772">
        <v>176</v>
      </c>
      <c r="S772">
        <v>241.3</v>
      </c>
      <c r="T772" t="s">
        <v>65</v>
      </c>
      <c r="U772" s="7">
        <f t="shared" si="48"/>
        <v>65</v>
      </c>
      <c r="V772" s="7">
        <f t="shared" si="51"/>
        <v>-161</v>
      </c>
      <c r="W772" s="6">
        <f t="shared" si="49"/>
        <v>28.489999999997963</v>
      </c>
      <c r="X772" t="str">
        <f t="shared" si="50"/>
        <v>Senior</v>
      </c>
    </row>
    <row r="773" spans="1:24">
      <c r="A773" t="s">
        <v>1915</v>
      </c>
      <c r="B773" t="s">
        <v>147</v>
      </c>
      <c r="C773" t="s">
        <v>133</v>
      </c>
      <c r="D773" s="5">
        <v>18621</v>
      </c>
      <c r="E773" s="5">
        <v>45531</v>
      </c>
      <c r="F773" s="5">
        <v>45300</v>
      </c>
      <c r="G773" t="s">
        <v>152</v>
      </c>
      <c r="H773" t="s">
        <v>63</v>
      </c>
      <c r="I773" t="s">
        <v>45</v>
      </c>
      <c r="J773" t="s">
        <v>34</v>
      </c>
      <c r="K773" t="s">
        <v>161</v>
      </c>
      <c r="L773" s="6">
        <v>150176.01</v>
      </c>
      <c r="M773">
        <v>98261.17</v>
      </c>
      <c r="N773" t="s">
        <v>192</v>
      </c>
      <c r="O773">
        <v>5</v>
      </c>
      <c r="P773">
        <v>44</v>
      </c>
      <c r="Q773">
        <v>4</v>
      </c>
      <c r="R773">
        <v>148</v>
      </c>
      <c r="S773">
        <v>163.5</v>
      </c>
      <c r="T773" t="s">
        <v>37</v>
      </c>
      <c r="U773" s="7">
        <f t="shared" si="48"/>
        <v>73</v>
      </c>
      <c r="V773" s="7">
        <f t="shared" si="51"/>
        <v>-231</v>
      </c>
      <c r="W773" s="6">
        <f t="shared" si="49"/>
        <v>51914.840000000011</v>
      </c>
      <c r="X773" t="str">
        <f t="shared" si="50"/>
        <v>Senior</v>
      </c>
    </row>
    <row r="774" spans="1:24">
      <c r="A774" t="s">
        <v>1917</v>
      </c>
      <c r="B774" t="s">
        <v>548</v>
      </c>
      <c r="C774" t="s">
        <v>133</v>
      </c>
      <c r="D774" s="5">
        <v>25655</v>
      </c>
      <c r="E774" s="5">
        <v>45558</v>
      </c>
      <c r="F774" s="5">
        <v>45560</v>
      </c>
      <c r="G774" t="s">
        <v>94</v>
      </c>
      <c r="H774" t="s">
        <v>153</v>
      </c>
      <c r="I774" t="s">
        <v>79</v>
      </c>
      <c r="J774" t="s">
        <v>71</v>
      </c>
      <c r="K774" t="s">
        <v>27</v>
      </c>
      <c r="L774" s="6">
        <v>126554.96</v>
      </c>
      <c r="M774">
        <v>115161.68</v>
      </c>
      <c r="N774" t="s">
        <v>35</v>
      </c>
      <c r="O774">
        <v>2</v>
      </c>
      <c r="P774">
        <v>213</v>
      </c>
      <c r="Q774">
        <v>4</v>
      </c>
      <c r="R774">
        <v>137</v>
      </c>
      <c r="S774">
        <v>218</v>
      </c>
      <c r="T774" t="s">
        <v>65</v>
      </c>
      <c r="U774" s="7">
        <f t="shared" si="48"/>
        <v>54</v>
      </c>
      <c r="V774" s="7">
        <f t="shared" si="51"/>
        <v>2</v>
      </c>
      <c r="W774" s="6">
        <f t="shared" si="49"/>
        <v>11393.280000000013</v>
      </c>
      <c r="X774" t="str">
        <f t="shared" si="50"/>
        <v>Middle Age</v>
      </c>
    </row>
    <row r="775" spans="1:24">
      <c r="A775" t="s">
        <v>1920</v>
      </c>
      <c r="B775" t="s">
        <v>280</v>
      </c>
      <c r="C775" t="s">
        <v>133</v>
      </c>
      <c r="D775" s="5" t="s">
        <v>4237</v>
      </c>
      <c r="E775" s="5">
        <v>45746</v>
      </c>
      <c r="F775" s="5">
        <v>45760</v>
      </c>
      <c r="G775" t="s">
        <v>94</v>
      </c>
      <c r="H775" t="s">
        <v>124</v>
      </c>
      <c r="I775" t="s">
        <v>45</v>
      </c>
      <c r="J775" t="s">
        <v>34</v>
      </c>
      <c r="K775" t="s">
        <v>120</v>
      </c>
      <c r="L775" s="6">
        <v>12013.99</v>
      </c>
      <c r="M775">
        <v>10751.77</v>
      </c>
      <c r="N775" t="s">
        <v>192</v>
      </c>
      <c r="O775">
        <v>14</v>
      </c>
      <c r="P775">
        <v>159</v>
      </c>
      <c r="Q775">
        <v>4</v>
      </c>
      <c r="R775">
        <v>142</v>
      </c>
      <c r="S775">
        <v>123.9</v>
      </c>
      <c r="T775" t="s">
        <v>37</v>
      </c>
      <c r="U775" s="7" t="s">
        <v>4237</v>
      </c>
      <c r="V775" s="7">
        <f t="shared" si="51"/>
        <v>14</v>
      </c>
      <c r="W775" s="6">
        <f t="shared" si="49"/>
        <v>1262.2199999999993</v>
      </c>
      <c r="X775" t="s">
        <v>4237</v>
      </c>
    </row>
    <row r="776" spans="1:24">
      <c r="A776" t="s">
        <v>1924</v>
      </c>
      <c r="B776" t="s">
        <v>515</v>
      </c>
      <c r="C776" t="s">
        <v>133</v>
      </c>
      <c r="D776" s="5">
        <v>22354</v>
      </c>
      <c r="E776" s="5">
        <v>45190</v>
      </c>
      <c r="F776" s="5">
        <v>45191</v>
      </c>
      <c r="G776" t="s">
        <v>43</v>
      </c>
      <c r="H776" t="s">
        <v>52</v>
      </c>
      <c r="I776" t="s">
        <v>33</v>
      </c>
      <c r="J776" t="s">
        <v>64</v>
      </c>
      <c r="K776" t="s">
        <v>27</v>
      </c>
      <c r="L776" s="6">
        <v>146893.20000000001</v>
      </c>
      <c r="M776">
        <v>111160.42</v>
      </c>
      <c r="N776" t="s">
        <v>192</v>
      </c>
      <c r="O776">
        <v>1</v>
      </c>
      <c r="P776">
        <v>93</v>
      </c>
      <c r="Q776">
        <v>4</v>
      </c>
      <c r="R776">
        <v>168</v>
      </c>
      <c r="S776">
        <v>257.2</v>
      </c>
      <c r="T776" t="s">
        <v>37</v>
      </c>
      <c r="U776" s="7">
        <f t="shared" si="48"/>
        <v>62</v>
      </c>
      <c r="V776" s="7">
        <f t="shared" si="51"/>
        <v>1</v>
      </c>
      <c r="W776" s="6">
        <f t="shared" si="49"/>
        <v>35732.780000000013</v>
      </c>
      <c r="X776" t="str">
        <f t="shared" si="50"/>
        <v>Senior</v>
      </c>
    </row>
    <row r="777" spans="1:24">
      <c r="A777" t="s">
        <v>1926</v>
      </c>
      <c r="B777" t="s">
        <v>1362</v>
      </c>
      <c r="C777" t="s">
        <v>133</v>
      </c>
      <c r="D777" s="5">
        <v>20919</v>
      </c>
      <c r="E777" s="5">
        <v>46002</v>
      </c>
      <c r="F777" s="5" t="s">
        <v>4237</v>
      </c>
      <c r="G777" t="s">
        <v>109</v>
      </c>
      <c r="H777" t="s">
        <v>78</v>
      </c>
      <c r="I777" t="s">
        <v>96</v>
      </c>
      <c r="J777" t="s">
        <v>64</v>
      </c>
      <c r="K777" t="s">
        <v>110</v>
      </c>
      <c r="L777" s="6">
        <v>203741.87</v>
      </c>
      <c r="M777">
        <v>162629.04</v>
      </c>
      <c r="N777" t="s">
        <v>73</v>
      </c>
      <c r="O777">
        <v>6</v>
      </c>
      <c r="P777">
        <v>159</v>
      </c>
      <c r="Q777">
        <v>4</v>
      </c>
      <c r="R777">
        <v>185</v>
      </c>
      <c r="S777">
        <v>106</v>
      </c>
      <c r="T777" t="s">
        <v>37</v>
      </c>
      <c r="U777" s="7">
        <f t="shared" si="48"/>
        <v>68</v>
      </c>
      <c r="V777" s="7" t="s">
        <v>4237</v>
      </c>
      <c r="W777" s="6">
        <f t="shared" si="49"/>
        <v>41112.829999999987</v>
      </c>
      <c r="X777" t="str">
        <f t="shared" si="50"/>
        <v>Senior</v>
      </c>
    </row>
    <row r="778" spans="1:24">
      <c r="A778" t="s">
        <v>1927</v>
      </c>
      <c r="B778" t="s">
        <v>762</v>
      </c>
      <c r="C778" t="s">
        <v>40</v>
      </c>
      <c r="D778" s="5">
        <v>35402</v>
      </c>
      <c r="E778" s="5">
        <v>45551</v>
      </c>
      <c r="F778" s="5">
        <v>45559</v>
      </c>
      <c r="G778" t="s">
        <v>161</v>
      </c>
      <c r="H778" t="s">
        <v>44</v>
      </c>
      <c r="I778" t="s">
        <v>33</v>
      </c>
      <c r="J778" t="s">
        <v>80</v>
      </c>
      <c r="K778" t="s">
        <v>110</v>
      </c>
      <c r="L778" s="6">
        <v>76878.45</v>
      </c>
      <c r="M778">
        <v>58522.76</v>
      </c>
      <c r="N778" t="s">
        <v>35</v>
      </c>
      <c r="O778">
        <v>8</v>
      </c>
      <c r="P778">
        <v>212</v>
      </c>
      <c r="Q778">
        <v>4</v>
      </c>
      <c r="R778">
        <v>131</v>
      </c>
      <c r="S778">
        <v>98.9</v>
      </c>
      <c r="T778" t="s">
        <v>4237</v>
      </c>
      <c r="U778" s="7">
        <f t="shared" si="48"/>
        <v>27</v>
      </c>
      <c r="V778" s="7">
        <f t="shared" si="51"/>
        <v>8</v>
      </c>
      <c r="W778" s="6">
        <f t="shared" si="49"/>
        <v>18355.689999999995</v>
      </c>
      <c r="X778" t="str">
        <f t="shared" si="50"/>
        <v>Adult</v>
      </c>
    </row>
    <row r="779" spans="1:24">
      <c r="A779" t="s">
        <v>1928</v>
      </c>
      <c r="B779" t="s">
        <v>1108</v>
      </c>
      <c r="C779" t="s">
        <v>133</v>
      </c>
      <c r="D779" s="5" t="s">
        <v>4237</v>
      </c>
      <c r="E779" s="5">
        <v>45236</v>
      </c>
      <c r="F779" s="5">
        <v>45238</v>
      </c>
      <c r="G779" t="s">
        <v>94</v>
      </c>
      <c r="H779" t="s">
        <v>63</v>
      </c>
      <c r="I779" t="s">
        <v>45</v>
      </c>
      <c r="J779" t="s">
        <v>179</v>
      </c>
      <c r="K779" t="s">
        <v>110</v>
      </c>
      <c r="L779" s="6">
        <v>143631.35999999999</v>
      </c>
      <c r="M779">
        <v>136176.6</v>
      </c>
      <c r="N779" t="s">
        <v>192</v>
      </c>
      <c r="O779">
        <v>2</v>
      </c>
      <c r="P779">
        <v>121</v>
      </c>
      <c r="Q779">
        <v>2</v>
      </c>
      <c r="R779">
        <v>169</v>
      </c>
      <c r="S779">
        <v>249.2</v>
      </c>
      <c r="T779" t="s">
        <v>37</v>
      </c>
      <c r="U779" s="7" t="s">
        <v>4237</v>
      </c>
      <c r="V779" s="7">
        <f t="shared" si="51"/>
        <v>2</v>
      </c>
      <c r="W779" s="6">
        <f t="shared" si="49"/>
        <v>7454.7599999999802</v>
      </c>
      <c r="X779" t="s">
        <v>4237</v>
      </c>
    </row>
    <row r="780" spans="1:24">
      <c r="A780" t="s">
        <v>1932</v>
      </c>
      <c r="B780" t="s">
        <v>301</v>
      </c>
      <c r="C780" t="s">
        <v>133</v>
      </c>
      <c r="D780" s="5">
        <v>20323</v>
      </c>
      <c r="E780" s="5">
        <v>45673</v>
      </c>
      <c r="F780" s="5">
        <v>45681</v>
      </c>
      <c r="G780" t="s">
        <v>152</v>
      </c>
      <c r="H780" t="s">
        <v>32</v>
      </c>
      <c r="I780" t="s">
        <v>79</v>
      </c>
      <c r="J780" t="s">
        <v>34</v>
      </c>
      <c r="K780" t="s">
        <v>55</v>
      </c>
      <c r="L780" s="6">
        <v>27374.75</v>
      </c>
      <c r="M780">
        <v>20428.830000000002</v>
      </c>
      <c r="N780" t="s">
        <v>56</v>
      </c>
      <c r="O780">
        <v>8</v>
      </c>
      <c r="P780">
        <v>90</v>
      </c>
      <c r="Q780">
        <v>4</v>
      </c>
      <c r="R780">
        <v>109</v>
      </c>
      <c r="S780">
        <v>214</v>
      </c>
      <c r="T780" t="s">
        <v>4237</v>
      </c>
      <c r="U780" s="7">
        <f t="shared" si="48"/>
        <v>69</v>
      </c>
      <c r="V780" s="7">
        <f t="shared" si="51"/>
        <v>8</v>
      </c>
      <c r="W780" s="6">
        <f t="shared" si="49"/>
        <v>6945.9199999999983</v>
      </c>
      <c r="X780" t="str">
        <f t="shared" si="50"/>
        <v>Senior</v>
      </c>
    </row>
    <row r="781" spans="1:24">
      <c r="A781" t="s">
        <v>4145</v>
      </c>
      <c r="B781" t="s">
        <v>1935</v>
      </c>
      <c r="C781" t="s">
        <v>133</v>
      </c>
      <c r="D781" s="5">
        <v>20456</v>
      </c>
      <c r="E781" s="5">
        <v>45943</v>
      </c>
      <c r="F781" s="5">
        <v>45959</v>
      </c>
      <c r="G781" t="s">
        <v>152</v>
      </c>
      <c r="H781" t="s">
        <v>124</v>
      </c>
      <c r="I781" t="s">
        <v>33</v>
      </c>
      <c r="J781" t="s">
        <v>34</v>
      </c>
      <c r="K781" t="s">
        <v>55</v>
      </c>
      <c r="L781" s="6">
        <v>247668.39</v>
      </c>
      <c r="M781">
        <v>177982.67</v>
      </c>
      <c r="N781" t="s">
        <v>192</v>
      </c>
      <c r="O781">
        <v>16</v>
      </c>
      <c r="P781">
        <v>112</v>
      </c>
      <c r="Q781">
        <v>2</v>
      </c>
      <c r="R781">
        <v>186</v>
      </c>
      <c r="S781">
        <v>179.4</v>
      </c>
      <c r="T781" t="s">
        <v>4237</v>
      </c>
      <c r="U781" s="7">
        <f t="shared" si="48"/>
        <v>69</v>
      </c>
      <c r="V781" s="7">
        <f t="shared" si="51"/>
        <v>16</v>
      </c>
      <c r="W781" s="6">
        <f t="shared" si="49"/>
        <v>69685.72</v>
      </c>
      <c r="X781" t="str">
        <f t="shared" si="50"/>
        <v>Senior</v>
      </c>
    </row>
    <row r="782" spans="1:24">
      <c r="A782" t="s">
        <v>1936</v>
      </c>
      <c r="B782" t="s">
        <v>1391</v>
      </c>
      <c r="C782" t="s">
        <v>133</v>
      </c>
      <c r="D782" s="5">
        <v>35150</v>
      </c>
      <c r="E782" s="5">
        <v>45528</v>
      </c>
      <c r="F782" s="5">
        <v>45538</v>
      </c>
      <c r="G782" t="s">
        <v>77</v>
      </c>
      <c r="H782" t="s">
        <v>44</v>
      </c>
      <c r="I782" t="s">
        <v>25</v>
      </c>
      <c r="J782" t="s">
        <v>71</v>
      </c>
      <c r="K782" t="s">
        <v>55</v>
      </c>
      <c r="L782" s="6">
        <v>124612.12</v>
      </c>
      <c r="M782">
        <v>103824.26</v>
      </c>
      <c r="N782" t="s">
        <v>73</v>
      </c>
      <c r="O782">
        <v>10</v>
      </c>
      <c r="P782">
        <v>141</v>
      </c>
      <c r="Q782">
        <v>4</v>
      </c>
      <c r="R782">
        <v>106</v>
      </c>
      <c r="S782">
        <v>217.1</v>
      </c>
      <c r="T782" t="s">
        <v>65</v>
      </c>
      <c r="U782" s="7">
        <f t="shared" si="48"/>
        <v>28</v>
      </c>
      <c r="V782" s="7">
        <f t="shared" si="51"/>
        <v>10</v>
      </c>
      <c r="W782" s="6">
        <f t="shared" si="49"/>
        <v>20787.86</v>
      </c>
      <c r="X782" t="str">
        <f t="shared" si="50"/>
        <v>Adult</v>
      </c>
    </row>
    <row r="783" spans="1:24">
      <c r="A783" t="s">
        <v>1937</v>
      </c>
      <c r="B783" t="s">
        <v>607</v>
      </c>
      <c r="C783" t="s">
        <v>40</v>
      </c>
      <c r="D783" s="5">
        <v>34446</v>
      </c>
      <c r="E783" s="5">
        <v>45267</v>
      </c>
      <c r="F783" s="5">
        <v>45285</v>
      </c>
      <c r="G783" t="s">
        <v>161</v>
      </c>
      <c r="H783" t="s">
        <v>44</v>
      </c>
      <c r="I783" t="s">
        <v>119</v>
      </c>
      <c r="J783" t="s">
        <v>34</v>
      </c>
      <c r="K783" t="s">
        <v>120</v>
      </c>
      <c r="L783" s="6">
        <v>50164.95</v>
      </c>
      <c r="M783">
        <v>35672.89</v>
      </c>
      <c r="N783" t="s">
        <v>35</v>
      </c>
      <c r="O783">
        <v>18</v>
      </c>
      <c r="P783">
        <v>213</v>
      </c>
      <c r="Q783">
        <v>2</v>
      </c>
      <c r="R783">
        <v>161</v>
      </c>
      <c r="S783">
        <v>221</v>
      </c>
      <c r="T783" t="s">
        <v>37</v>
      </c>
      <c r="U783" s="7">
        <f t="shared" si="48"/>
        <v>29</v>
      </c>
      <c r="V783" s="7">
        <f t="shared" si="51"/>
        <v>18</v>
      </c>
      <c r="W783" s="6">
        <f t="shared" si="49"/>
        <v>14492.059999999998</v>
      </c>
      <c r="X783" t="str">
        <f t="shared" si="50"/>
        <v>Adult</v>
      </c>
    </row>
    <row r="784" spans="1:24">
      <c r="A784" t="s">
        <v>1940</v>
      </c>
      <c r="B784" t="s">
        <v>403</v>
      </c>
      <c r="C784" t="s">
        <v>133</v>
      </c>
      <c r="D784" s="5">
        <v>33647</v>
      </c>
      <c r="E784" s="5">
        <v>45111</v>
      </c>
      <c r="F784" s="5">
        <v>45039</v>
      </c>
      <c r="G784" t="s">
        <v>152</v>
      </c>
      <c r="H784" t="s">
        <v>24</v>
      </c>
      <c r="I784" t="s">
        <v>96</v>
      </c>
      <c r="J784" t="s">
        <v>64</v>
      </c>
      <c r="K784" t="s">
        <v>110</v>
      </c>
      <c r="L784" s="6">
        <v>147988.47</v>
      </c>
      <c r="M784">
        <v>135416.46</v>
      </c>
      <c r="N784" t="s">
        <v>91</v>
      </c>
      <c r="O784">
        <v>16</v>
      </c>
      <c r="P784">
        <v>86</v>
      </c>
      <c r="Q784">
        <v>5</v>
      </c>
      <c r="R784">
        <v>105</v>
      </c>
      <c r="S784">
        <v>172.5</v>
      </c>
      <c r="T784" t="s">
        <v>37</v>
      </c>
      <c r="U784" s="7">
        <f t="shared" si="48"/>
        <v>31</v>
      </c>
      <c r="V784" s="7">
        <f t="shared" si="51"/>
        <v>-72</v>
      </c>
      <c r="W784" s="6">
        <f t="shared" si="49"/>
        <v>12572.010000000009</v>
      </c>
      <c r="X784" t="str">
        <f t="shared" si="50"/>
        <v>Adult</v>
      </c>
    </row>
    <row r="785" spans="1:24">
      <c r="A785" t="s">
        <v>1943</v>
      </c>
      <c r="B785" t="s">
        <v>658</v>
      </c>
      <c r="C785" t="s">
        <v>40</v>
      </c>
      <c r="D785" s="5">
        <v>31250</v>
      </c>
      <c r="E785" s="5">
        <v>45497</v>
      </c>
      <c r="F785" s="5">
        <v>45498</v>
      </c>
      <c r="G785" t="s">
        <v>89</v>
      </c>
      <c r="H785" t="s">
        <v>95</v>
      </c>
      <c r="I785" t="s">
        <v>25</v>
      </c>
      <c r="J785" t="s">
        <v>97</v>
      </c>
      <c r="K785" t="s">
        <v>27</v>
      </c>
      <c r="L785" s="6">
        <v>99456.18</v>
      </c>
      <c r="M785">
        <v>87762.53</v>
      </c>
      <c r="N785" t="s">
        <v>91</v>
      </c>
      <c r="O785">
        <v>1</v>
      </c>
      <c r="P785">
        <v>91</v>
      </c>
      <c r="Q785">
        <v>2</v>
      </c>
      <c r="R785">
        <v>141</v>
      </c>
      <c r="S785">
        <v>123.7</v>
      </c>
      <c r="T785" t="s">
        <v>37</v>
      </c>
      <c r="U785" s="7">
        <f t="shared" si="48"/>
        <v>39</v>
      </c>
      <c r="V785" s="7">
        <f t="shared" si="51"/>
        <v>1</v>
      </c>
      <c r="W785" s="6">
        <f t="shared" si="49"/>
        <v>11693.649999999994</v>
      </c>
      <c r="X785" t="str">
        <f t="shared" si="50"/>
        <v>Adult</v>
      </c>
    </row>
    <row r="786" spans="1:24">
      <c r="A786" t="s">
        <v>1944</v>
      </c>
      <c r="B786" t="s">
        <v>1734</v>
      </c>
      <c r="C786" t="s">
        <v>133</v>
      </c>
      <c r="D786" s="5">
        <v>35992</v>
      </c>
      <c r="E786" s="5">
        <v>45014</v>
      </c>
      <c r="F786" s="5">
        <v>45031</v>
      </c>
      <c r="G786" t="s">
        <v>117</v>
      </c>
      <c r="H786" t="s">
        <v>95</v>
      </c>
      <c r="I786" t="s">
        <v>33</v>
      </c>
      <c r="J786" t="s">
        <v>179</v>
      </c>
      <c r="K786" t="s">
        <v>27</v>
      </c>
      <c r="L786" s="6">
        <v>150153.76</v>
      </c>
      <c r="M786">
        <v>149209.95000000001</v>
      </c>
      <c r="N786" t="s">
        <v>56</v>
      </c>
      <c r="O786">
        <v>17</v>
      </c>
      <c r="P786">
        <v>188</v>
      </c>
      <c r="Q786">
        <v>2</v>
      </c>
      <c r="R786">
        <v>166</v>
      </c>
      <c r="S786">
        <v>202.9</v>
      </c>
      <c r="T786" t="s">
        <v>37</v>
      </c>
      <c r="U786" s="7">
        <f t="shared" si="48"/>
        <v>24</v>
      </c>
      <c r="V786" s="7">
        <f t="shared" si="51"/>
        <v>17</v>
      </c>
      <c r="W786" s="6">
        <f t="shared" si="49"/>
        <v>943.80999999999767</v>
      </c>
      <c r="X786" t="str">
        <f t="shared" si="50"/>
        <v>Adult</v>
      </c>
    </row>
    <row r="787" spans="1:24">
      <c r="A787" t="s">
        <v>1945</v>
      </c>
      <c r="B787" t="s">
        <v>1364</v>
      </c>
      <c r="C787" t="s">
        <v>133</v>
      </c>
      <c r="D787" s="5">
        <v>37080</v>
      </c>
      <c r="E787" s="5">
        <v>45308</v>
      </c>
      <c r="F787" s="5">
        <v>45312</v>
      </c>
      <c r="G787" t="s">
        <v>152</v>
      </c>
      <c r="H787" t="s">
        <v>134</v>
      </c>
      <c r="I787" t="s">
        <v>25</v>
      </c>
      <c r="J787" t="s">
        <v>71</v>
      </c>
      <c r="K787" t="s">
        <v>55</v>
      </c>
      <c r="L787" s="6">
        <v>248563.26</v>
      </c>
      <c r="M787">
        <v>190503.88</v>
      </c>
      <c r="N787" t="s">
        <v>35</v>
      </c>
      <c r="O787">
        <v>4</v>
      </c>
      <c r="P787">
        <v>45</v>
      </c>
      <c r="Q787">
        <v>3</v>
      </c>
      <c r="R787">
        <v>92</v>
      </c>
      <c r="S787">
        <v>129.6</v>
      </c>
      <c r="T787" t="s">
        <v>37</v>
      </c>
      <c r="U787" s="7">
        <f t="shared" si="48"/>
        <v>22</v>
      </c>
      <c r="V787" s="7">
        <f t="shared" si="51"/>
        <v>4</v>
      </c>
      <c r="W787" s="6">
        <f t="shared" si="49"/>
        <v>58059.380000000005</v>
      </c>
      <c r="X787" t="str">
        <f t="shared" si="50"/>
        <v>Adult</v>
      </c>
    </row>
    <row r="788" spans="1:24">
      <c r="A788" t="s">
        <v>1946</v>
      </c>
      <c r="B788" t="s">
        <v>199</v>
      </c>
      <c r="C788" t="s">
        <v>40</v>
      </c>
      <c r="D788" s="5">
        <v>20326</v>
      </c>
      <c r="E788" s="5">
        <v>45057</v>
      </c>
      <c r="F788" s="5">
        <v>45067</v>
      </c>
      <c r="G788" t="s">
        <v>161</v>
      </c>
      <c r="H788" t="s">
        <v>113</v>
      </c>
      <c r="I788" t="s">
        <v>119</v>
      </c>
      <c r="J788" t="s">
        <v>80</v>
      </c>
      <c r="K788" t="s">
        <v>27</v>
      </c>
      <c r="L788" s="6">
        <v>145203.32</v>
      </c>
      <c r="M788">
        <v>98646.34</v>
      </c>
      <c r="N788" t="s">
        <v>192</v>
      </c>
      <c r="O788">
        <v>10</v>
      </c>
      <c r="P788">
        <v>129</v>
      </c>
      <c r="Q788">
        <v>4</v>
      </c>
      <c r="R788">
        <v>142</v>
      </c>
      <c r="S788">
        <v>95.1</v>
      </c>
      <c r="T788" t="s">
        <v>37</v>
      </c>
      <c r="U788" s="7">
        <f t="shared" si="48"/>
        <v>67</v>
      </c>
      <c r="V788" s="7">
        <f t="shared" si="51"/>
        <v>10</v>
      </c>
      <c r="W788" s="6">
        <f t="shared" si="49"/>
        <v>46556.98000000001</v>
      </c>
      <c r="X788" t="str">
        <f t="shared" si="50"/>
        <v>Senior</v>
      </c>
    </row>
    <row r="789" spans="1:24">
      <c r="A789" t="s">
        <v>1947</v>
      </c>
      <c r="B789" t="s">
        <v>1125</v>
      </c>
      <c r="C789" t="s">
        <v>40</v>
      </c>
      <c r="D789" s="5">
        <v>29844</v>
      </c>
      <c r="E789" s="5">
        <v>44939</v>
      </c>
      <c r="F789" s="5">
        <v>44946</v>
      </c>
      <c r="G789" t="s">
        <v>89</v>
      </c>
      <c r="H789" t="s">
        <v>134</v>
      </c>
      <c r="I789" t="s">
        <v>25</v>
      </c>
      <c r="J789" t="s">
        <v>46</v>
      </c>
      <c r="K789" t="s">
        <v>55</v>
      </c>
      <c r="L789" s="6">
        <v>232211.27</v>
      </c>
      <c r="M789">
        <v>189951.42</v>
      </c>
      <c r="N789" t="s">
        <v>73</v>
      </c>
      <c r="O789">
        <v>7</v>
      </c>
      <c r="P789">
        <v>15</v>
      </c>
      <c r="Q789">
        <v>4</v>
      </c>
      <c r="R789">
        <v>141</v>
      </c>
      <c r="S789">
        <v>115.4</v>
      </c>
      <c r="T789" t="s">
        <v>37</v>
      </c>
      <c r="U789" s="7">
        <f t="shared" si="48"/>
        <v>41</v>
      </c>
      <c r="V789" s="7">
        <f t="shared" si="51"/>
        <v>7</v>
      </c>
      <c r="W789" s="6">
        <f t="shared" si="49"/>
        <v>42259.849999999977</v>
      </c>
      <c r="X789" t="str">
        <f t="shared" si="50"/>
        <v>Middle Age</v>
      </c>
    </row>
    <row r="790" spans="1:24">
      <c r="A790" t="s">
        <v>1950</v>
      </c>
      <c r="B790" t="s">
        <v>1471</v>
      </c>
      <c r="C790" t="s">
        <v>133</v>
      </c>
      <c r="D790" s="5">
        <v>31814</v>
      </c>
      <c r="E790" s="5">
        <v>45047</v>
      </c>
      <c r="F790" s="5">
        <v>45174</v>
      </c>
      <c r="G790" t="s">
        <v>62</v>
      </c>
      <c r="H790" t="s">
        <v>63</v>
      </c>
      <c r="I790" t="s">
        <v>53</v>
      </c>
      <c r="J790" t="s">
        <v>179</v>
      </c>
      <c r="K790" t="s">
        <v>27</v>
      </c>
      <c r="L790" s="6">
        <v>153056.74</v>
      </c>
      <c r="M790">
        <v>114398.26</v>
      </c>
      <c r="N790" t="s">
        <v>73</v>
      </c>
      <c r="O790">
        <v>8</v>
      </c>
      <c r="P790">
        <v>56</v>
      </c>
      <c r="Q790">
        <v>4</v>
      </c>
      <c r="R790">
        <v>186</v>
      </c>
      <c r="S790">
        <v>140.5</v>
      </c>
      <c r="T790" t="s">
        <v>37</v>
      </c>
      <c r="U790" s="7">
        <f t="shared" si="48"/>
        <v>36</v>
      </c>
      <c r="V790" s="7">
        <f t="shared" si="51"/>
        <v>127</v>
      </c>
      <c r="W790" s="6">
        <f t="shared" si="49"/>
        <v>38658.479999999996</v>
      </c>
      <c r="X790" t="str">
        <f t="shared" si="50"/>
        <v>Adult</v>
      </c>
    </row>
    <row r="791" spans="1:24">
      <c r="A791" t="s">
        <v>1952</v>
      </c>
      <c r="B791" t="s">
        <v>108</v>
      </c>
      <c r="C791" t="s">
        <v>40</v>
      </c>
      <c r="D791" s="5">
        <v>39955</v>
      </c>
      <c r="E791" s="5">
        <v>45585</v>
      </c>
      <c r="F791" s="5" t="s">
        <v>4237</v>
      </c>
      <c r="G791" t="s">
        <v>152</v>
      </c>
      <c r="H791" t="s">
        <v>118</v>
      </c>
      <c r="I791" t="s">
        <v>33</v>
      </c>
      <c r="J791" t="s">
        <v>179</v>
      </c>
      <c r="K791" t="s">
        <v>120</v>
      </c>
      <c r="L791" s="6">
        <v>81458.14</v>
      </c>
      <c r="M791">
        <v>60034.11</v>
      </c>
      <c r="N791" t="s">
        <v>91</v>
      </c>
      <c r="O791">
        <v>9</v>
      </c>
      <c r="P791">
        <v>159</v>
      </c>
      <c r="Q791">
        <v>5</v>
      </c>
      <c r="R791">
        <v>178</v>
      </c>
      <c r="S791">
        <v>124.2</v>
      </c>
      <c r="T791" t="s">
        <v>65</v>
      </c>
      <c r="U791" s="7">
        <f t="shared" si="48"/>
        <v>15</v>
      </c>
      <c r="V791" s="7" t="s">
        <v>4237</v>
      </c>
      <c r="W791" s="6">
        <f t="shared" si="49"/>
        <v>21424.03</v>
      </c>
      <c r="X791" t="str">
        <f t="shared" si="50"/>
        <v>Child</v>
      </c>
    </row>
    <row r="792" spans="1:24">
      <c r="A792" t="s">
        <v>1954</v>
      </c>
      <c r="B792" t="s">
        <v>1460</v>
      </c>
      <c r="C792" t="s">
        <v>133</v>
      </c>
      <c r="D792" s="5">
        <v>27581</v>
      </c>
      <c r="E792" s="5">
        <v>45270</v>
      </c>
      <c r="F792" s="5">
        <v>45282</v>
      </c>
      <c r="G792" t="s">
        <v>77</v>
      </c>
      <c r="H792" t="s">
        <v>118</v>
      </c>
      <c r="I792" t="s">
        <v>45</v>
      </c>
      <c r="J792" t="s">
        <v>179</v>
      </c>
      <c r="K792" t="s">
        <v>55</v>
      </c>
      <c r="L792" s="6">
        <v>80437.09</v>
      </c>
      <c r="M792">
        <v>62199.39</v>
      </c>
      <c r="N792" t="s">
        <v>56</v>
      </c>
      <c r="O792">
        <v>12</v>
      </c>
      <c r="P792">
        <v>65</v>
      </c>
      <c r="Q792">
        <v>4</v>
      </c>
      <c r="R792">
        <v>103</v>
      </c>
      <c r="S792">
        <v>224.1</v>
      </c>
      <c r="T792" t="s">
        <v>47</v>
      </c>
      <c r="U792" s="7">
        <f t="shared" si="48"/>
        <v>48</v>
      </c>
      <c r="V792" s="7">
        <f t="shared" si="51"/>
        <v>12</v>
      </c>
      <c r="W792" s="6">
        <f t="shared" si="49"/>
        <v>18237.699999999997</v>
      </c>
      <c r="X792" t="str">
        <f t="shared" si="50"/>
        <v>Middle Age</v>
      </c>
    </row>
    <row r="793" spans="1:24">
      <c r="A793" t="s">
        <v>1955</v>
      </c>
      <c r="B793" t="s">
        <v>1956</v>
      </c>
      <c r="C793" t="s">
        <v>40</v>
      </c>
      <c r="D793" s="5">
        <v>26667</v>
      </c>
      <c r="E793" s="5">
        <v>45693</v>
      </c>
      <c r="F793" s="5">
        <v>45700</v>
      </c>
      <c r="G793" t="s">
        <v>161</v>
      </c>
      <c r="H793" t="s">
        <v>32</v>
      </c>
      <c r="I793" t="s">
        <v>45</v>
      </c>
      <c r="J793" t="s">
        <v>26</v>
      </c>
      <c r="K793" t="s">
        <v>110</v>
      </c>
      <c r="L793" s="6">
        <v>107232.21</v>
      </c>
      <c r="M793">
        <v>85229.23</v>
      </c>
      <c r="N793" t="s">
        <v>73</v>
      </c>
      <c r="O793">
        <v>7</v>
      </c>
      <c r="P793">
        <v>18</v>
      </c>
      <c r="Q793">
        <v>5</v>
      </c>
      <c r="R793">
        <v>157</v>
      </c>
      <c r="S793">
        <v>153.6</v>
      </c>
      <c r="T793" t="s">
        <v>37</v>
      </c>
      <c r="U793" s="7">
        <f t="shared" si="48"/>
        <v>52</v>
      </c>
      <c r="V793" s="7">
        <f t="shared" si="51"/>
        <v>7</v>
      </c>
      <c r="W793" s="6">
        <f t="shared" si="49"/>
        <v>22002.98000000001</v>
      </c>
      <c r="X793" t="str">
        <f t="shared" si="50"/>
        <v>Middle Age</v>
      </c>
    </row>
    <row r="794" spans="1:24">
      <c r="A794" t="s">
        <v>1957</v>
      </c>
      <c r="B794" t="s">
        <v>403</v>
      </c>
      <c r="C794" t="s">
        <v>40</v>
      </c>
      <c r="D794" s="5">
        <v>34143</v>
      </c>
      <c r="E794" s="5">
        <v>45884</v>
      </c>
      <c r="F794" s="5">
        <v>45886</v>
      </c>
      <c r="G794" t="s">
        <v>77</v>
      </c>
      <c r="H794" t="s">
        <v>52</v>
      </c>
      <c r="I794" t="s">
        <v>33</v>
      </c>
      <c r="J794" t="s">
        <v>64</v>
      </c>
      <c r="K794" t="s">
        <v>120</v>
      </c>
      <c r="L794" s="6">
        <v>160213.19</v>
      </c>
      <c r="M794">
        <v>118144.75</v>
      </c>
      <c r="N794" t="s">
        <v>192</v>
      </c>
      <c r="O794">
        <v>2</v>
      </c>
      <c r="P794">
        <v>195</v>
      </c>
      <c r="Q794">
        <v>5</v>
      </c>
      <c r="R794">
        <v>181</v>
      </c>
      <c r="S794">
        <v>146.9</v>
      </c>
      <c r="T794" t="s">
        <v>47</v>
      </c>
      <c r="U794" s="7">
        <f t="shared" si="48"/>
        <v>32</v>
      </c>
      <c r="V794" s="7">
        <f t="shared" si="51"/>
        <v>2</v>
      </c>
      <c r="W794" s="6">
        <f t="shared" si="49"/>
        <v>42068.44</v>
      </c>
      <c r="X794" t="str">
        <f t="shared" si="50"/>
        <v>Adult</v>
      </c>
    </row>
    <row r="795" spans="1:24">
      <c r="A795" t="s">
        <v>1959</v>
      </c>
      <c r="B795" t="s">
        <v>383</v>
      </c>
      <c r="C795" t="s">
        <v>40</v>
      </c>
      <c r="D795" s="5">
        <v>19426</v>
      </c>
      <c r="E795" s="5">
        <v>45906</v>
      </c>
      <c r="F795" s="5" t="s">
        <v>4237</v>
      </c>
      <c r="G795" t="s">
        <v>161</v>
      </c>
      <c r="H795" t="s">
        <v>95</v>
      </c>
      <c r="I795" t="s">
        <v>96</v>
      </c>
      <c r="J795" t="s">
        <v>80</v>
      </c>
      <c r="K795" t="s">
        <v>27</v>
      </c>
      <c r="L795" s="6">
        <v>214245.82</v>
      </c>
      <c r="M795">
        <v>132953.82</v>
      </c>
      <c r="N795" t="s">
        <v>35</v>
      </c>
      <c r="O795">
        <v>16</v>
      </c>
      <c r="P795">
        <v>52</v>
      </c>
      <c r="Q795">
        <v>3</v>
      </c>
      <c r="R795">
        <v>93</v>
      </c>
      <c r="S795">
        <v>184.7</v>
      </c>
      <c r="T795" t="s">
        <v>37</v>
      </c>
      <c r="U795" s="7">
        <f t="shared" si="48"/>
        <v>72</v>
      </c>
      <c r="V795" s="7" t="s">
        <v>4237</v>
      </c>
      <c r="W795" s="6">
        <f t="shared" si="49"/>
        <v>81292</v>
      </c>
      <c r="X795" t="str">
        <f t="shared" si="50"/>
        <v>Senior</v>
      </c>
    </row>
    <row r="796" spans="1:24">
      <c r="A796" t="s">
        <v>1962</v>
      </c>
      <c r="B796" t="s">
        <v>164</v>
      </c>
      <c r="C796" t="s">
        <v>133</v>
      </c>
      <c r="D796" s="5">
        <v>19081</v>
      </c>
      <c r="E796" s="5">
        <v>45200</v>
      </c>
      <c r="F796" s="5">
        <v>45211</v>
      </c>
      <c r="G796" t="s">
        <v>62</v>
      </c>
      <c r="H796" t="s">
        <v>134</v>
      </c>
      <c r="I796" t="s">
        <v>79</v>
      </c>
      <c r="J796" t="s">
        <v>34</v>
      </c>
      <c r="K796" t="s">
        <v>27</v>
      </c>
      <c r="L796" s="6">
        <v>95575.360000000001</v>
      </c>
      <c r="M796">
        <v>77056.679999999993</v>
      </c>
      <c r="N796" t="s">
        <v>192</v>
      </c>
      <c r="O796">
        <v>11</v>
      </c>
      <c r="P796">
        <v>71</v>
      </c>
      <c r="Q796">
        <v>3</v>
      </c>
      <c r="R796">
        <v>146</v>
      </c>
      <c r="S796">
        <v>159.9</v>
      </c>
      <c r="T796" t="s">
        <v>47</v>
      </c>
      <c r="U796" s="7">
        <f t="shared" si="48"/>
        <v>71</v>
      </c>
      <c r="V796" s="7">
        <f t="shared" si="51"/>
        <v>11</v>
      </c>
      <c r="W796" s="6">
        <f t="shared" si="49"/>
        <v>18518.680000000008</v>
      </c>
      <c r="X796" t="str">
        <f t="shared" si="50"/>
        <v>Senior</v>
      </c>
    </row>
    <row r="797" spans="1:24">
      <c r="A797" t="s">
        <v>1964</v>
      </c>
      <c r="B797" t="s">
        <v>221</v>
      </c>
      <c r="C797" t="s">
        <v>40</v>
      </c>
      <c r="D797" s="5">
        <v>22761</v>
      </c>
      <c r="E797" s="5">
        <v>45285</v>
      </c>
      <c r="F797" s="5">
        <v>45302</v>
      </c>
      <c r="G797" t="s">
        <v>62</v>
      </c>
      <c r="H797" t="s">
        <v>86</v>
      </c>
      <c r="I797" t="s">
        <v>96</v>
      </c>
      <c r="J797" t="s">
        <v>34</v>
      </c>
      <c r="K797" t="s">
        <v>120</v>
      </c>
      <c r="L797" s="6">
        <v>165811.12</v>
      </c>
      <c r="M797">
        <v>130919.02</v>
      </c>
      <c r="N797" t="s">
        <v>73</v>
      </c>
      <c r="O797">
        <v>17</v>
      </c>
      <c r="P797">
        <v>43</v>
      </c>
      <c r="Q797">
        <v>1</v>
      </c>
      <c r="R797">
        <v>176</v>
      </c>
      <c r="S797">
        <v>161.80000000000001</v>
      </c>
      <c r="T797" t="s">
        <v>65</v>
      </c>
      <c r="U797" s="7">
        <f t="shared" si="48"/>
        <v>61</v>
      </c>
      <c r="V797" s="7">
        <f t="shared" si="51"/>
        <v>17</v>
      </c>
      <c r="W797" s="6">
        <f t="shared" si="49"/>
        <v>34892.099999999991</v>
      </c>
      <c r="X797" t="str">
        <f t="shared" si="50"/>
        <v>Senior</v>
      </c>
    </row>
    <row r="798" spans="1:24">
      <c r="A798" t="s">
        <v>1966</v>
      </c>
      <c r="B798" t="s">
        <v>350</v>
      </c>
      <c r="C798" t="s">
        <v>40</v>
      </c>
      <c r="D798" s="5">
        <v>20821</v>
      </c>
      <c r="E798" s="5">
        <v>45732</v>
      </c>
      <c r="F798" s="5">
        <v>45742</v>
      </c>
      <c r="G798" t="s">
        <v>94</v>
      </c>
      <c r="H798" t="s">
        <v>113</v>
      </c>
      <c r="I798" t="s">
        <v>53</v>
      </c>
      <c r="J798" t="s">
        <v>97</v>
      </c>
      <c r="K798" t="s">
        <v>27</v>
      </c>
      <c r="L798" s="6">
        <v>193930.56</v>
      </c>
      <c r="M798">
        <v>183841.35</v>
      </c>
      <c r="N798" t="s">
        <v>35</v>
      </c>
      <c r="O798">
        <v>10</v>
      </c>
      <c r="P798">
        <v>190</v>
      </c>
      <c r="Q798">
        <v>3</v>
      </c>
      <c r="R798">
        <v>106</v>
      </c>
      <c r="S798">
        <v>163.6</v>
      </c>
      <c r="T798" t="s">
        <v>37</v>
      </c>
      <c r="U798" s="7">
        <f t="shared" si="48"/>
        <v>68</v>
      </c>
      <c r="V798" s="7">
        <f t="shared" si="51"/>
        <v>10</v>
      </c>
      <c r="W798" s="6">
        <f t="shared" si="49"/>
        <v>10089.209999999992</v>
      </c>
      <c r="X798" t="str">
        <f t="shared" si="50"/>
        <v>Senior</v>
      </c>
    </row>
    <row r="799" spans="1:24">
      <c r="A799" t="s">
        <v>1969</v>
      </c>
      <c r="B799" t="s">
        <v>584</v>
      </c>
      <c r="C799" t="s">
        <v>40</v>
      </c>
      <c r="D799" s="5">
        <v>31200</v>
      </c>
      <c r="E799" s="5">
        <v>45414</v>
      </c>
      <c r="F799" s="5">
        <v>45427</v>
      </c>
      <c r="G799" t="s">
        <v>105</v>
      </c>
      <c r="H799" t="s">
        <v>113</v>
      </c>
      <c r="I799" t="s">
        <v>119</v>
      </c>
      <c r="J799" t="s">
        <v>97</v>
      </c>
      <c r="K799" t="s">
        <v>161</v>
      </c>
      <c r="L799" s="6">
        <v>156916.47</v>
      </c>
      <c r="M799">
        <v>116209.45</v>
      </c>
      <c r="N799" t="s">
        <v>35</v>
      </c>
      <c r="O799">
        <v>13</v>
      </c>
      <c r="P799">
        <v>78</v>
      </c>
      <c r="Q799">
        <v>2</v>
      </c>
      <c r="R799">
        <v>183</v>
      </c>
      <c r="S799">
        <v>226.6</v>
      </c>
      <c r="T799" t="s">
        <v>4237</v>
      </c>
      <c r="U799" s="7">
        <f t="shared" si="48"/>
        <v>38</v>
      </c>
      <c r="V799" s="7">
        <f t="shared" si="51"/>
        <v>13</v>
      </c>
      <c r="W799" s="6">
        <f t="shared" si="49"/>
        <v>40707.020000000004</v>
      </c>
      <c r="X799" t="str">
        <f t="shared" si="50"/>
        <v>Adult</v>
      </c>
    </row>
    <row r="800" spans="1:24">
      <c r="A800" t="s">
        <v>1972</v>
      </c>
      <c r="B800" t="s">
        <v>1104</v>
      </c>
      <c r="C800" t="s">
        <v>133</v>
      </c>
      <c r="D800" s="5">
        <v>26938</v>
      </c>
      <c r="E800" s="5">
        <v>45807</v>
      </c>
      <c r="F800" s="5" t="s">
        <v>4237</v>
      </c>
      <c r="G800" t="s">
        <v>152</v>
      </c>
      <c r="H800" t="s">
        <v>86</v>
      </c>
      <c r="I800" t="s">
        <v>79</v>
      </c>
      <c r="J800" t="s">
        <v>80</v>
      </c>
      <c r="K800" t="s">
        <v>161</v>
      </c>
      <c r="L800" s="6">
        <v>201700.44</v>
      </c>
      <c r="M800">
        <v>170525.32</v>
      </c>
      <c r="N800" t="s">
        <v>73</v>
      </c>
      <c r="O800">
        <v>6</v>
      </c>
      <c r="P800">
        <v>167</v>
      </c>
      <c r="Q800">
        <v>4</v>
      </c>
      <c r="R800">
        <v>123</v>
      </c>
      <c r="S800">
        <v>249.7</v>
      </c>
      <c r="T800" t="s">
        <v>4237</v>
      </c>
      <c r="U800" s="7">
        <f t="shared" si="48"/>
        <v>51</v>
      </c>
      <c r="V800" s="7" t="s">
        <v>4237</v>
      </c>
      <c r="W800" s="6">
        <f t="shared" si="49"/>
        <v>31175.119999999995</v>
      </c>
      <c r="X800" t="str">
        <f t="shared" si="50"/>
        <v>Middle Age</v>
      </c>
    </row>
    <row r="801" spans="1:24">
      <c r="A801" t="s">
        <v>1973</v>
      </c>
      <c r="B801" t="s">
        <v>700</v>
      </c>
      <c r="C801" t="s">
        <v>133</v>
      </c>
      <c r="D801" s="5">
        <v>37887</v>
      </c>
      <c r="E801" s="5">
        <v>45495</v>
      </c>
      <c r="F801" s="5">
        <v>45498</v>
      </c>
      <c r="G801" t="s">
        <v>161</v>
      </c>
      <c r="H801" t="s">
        <v>95</v>
      </c>
      <c r="I801" t="s">
        <v>79</v>
      </c>
      <c r="J801" t="s">
        <v>179</v>
      </c>
      <c r="K801" t="s">
        <v>110</v>
      </c>
      <c r="L801" s="6">
        <v>148346.13</v>
      </c>
      <c r="M801">
        <v>129055.33</v>
      </c>
      <c r="N801" t="s">
        <v>91</v>
      </c>
      <c r="O801">
        <v>3</v>
      </c>
      <c r="P801">
        <v>213</v>
      </c>
      <c r="Q801">
        <v>5</v>
      </c>
      <c r="R801">
        <v>91</v>
      </c>
      <c r="S801">
        <v>234.7</v>
      </c>
      <c r="T801" t="s">
        <v>37</v>
      </c>
      <c r="U801" s="7">
        <f t="shared" si="48"/>
        <v>20</v>
      </c>
      <c r="V801" s="7">
        <f t="shared" si="51"/>
        <v>3</v>
      </c>
      <c r="W801" s="6">
        <f t="shared" si="49"/>
        <v>19290.800000000003</v>
      </c>
      <c r="X801" t="str">
        <f t="shared" si="50"/>
        <v>Adult</v>
      </c>
    </row>
    <row r="802" spans="1:24">
      <c r="A802" t="s">
        <v>1976</v>
      </c>
      <c r="B802" t="s">
        <v>368</v>
      </c>
      <c r="C802" t="s">
        <v>133</v>
      </c>
      <c r="D802" s="5">
        <v>32129</v>
      </c>
      <c r="E802" s="5">
        <v>45079</v>
      </c>
      <c r="F802" s="5">
        <v>45083</v>
      </c>
      <c r="G802" t="s">
        <v>109</v>
      </c>
      <c r="H802" t="s">
        <v>95</v>
      </c>
      <c r="I802" t="s">
        <v>119</v>
      </c>
      <c r="J802" t="s">
        <v>80</v>
      </c>
      <c r="K802" t="s">
        <v>27</v>
      </c>
      <c r="L802" s="6">
        <v>64740.76</v>
      </c>
      <c r="M802">
        <v>58910.27</v>
      </c>
      <c r="N802" t="s">
        <v>192</v>
      </c>
      <c r="O802">
        <v>4</v>
      </c>
      <c r="P802">
        <v>51</v>
      </c>
      <c r="Q802">
        <v>4</v>
      </c>
      <c r="R802">
        <v>145</v>
      </c>
      <c r="S802">
        <v>210.8</v>
      </c>
      <c r="T802" t="s">
        <v>47</v>
      </c>
      <c r="U802" s="7">
        <f t="shared" si="48"/>
        <v>35</v>
      </c>
      <c r="V802" s="7">
        <f t="shared" si="51"/>
        <v>4</v>
      </c>
      <c r="W802" s="6">
        <f t="shared" si="49"/>
        <v>5830.4900000000052</v>
      </c>
      <c r="X802" t="str">
        <f t="shared" si="50"/>
        <v>Adult</v>
      </c>
    </row>
    <row r="803" spans="1:24">
      <c r="A803" t="s">
        <v>1978</v>
      </c>
      <c r="B803" t="s">
        <v>247</v>
      </c>
      <c r="C803" t="s">
        <v>40</v>
      </c>
      <c r="D803" s="5">
        <v>34549</v>
      </c>
      <c r="E803" s="5">
        <v>45978</v>
      </c>
      <c r="F803" s="5">
        <v>45995</v>
      </c>
      <c r="G803" t="s">
        <v>62</v>
      </c>
      <c r="H803" t="s">
        <v>86</v>
      </c>
      <c r="I803" t="s">
        <v>33</v>
      </c>
      <c r="J803" t="s">
        <v>64</v>
      </c>
      <c r="K803" t="s">
        <v>55</v>
      </c>
      <c r="L803" s="6">
        <v>161632.60999999999</v>
      </c>
      <c r="M803">
        <v>116082.13</v>
      </c>
      <c r="N803" t="s">
        <v>35</v>
      </c>
      <c r="O803">
        <v>17</v>
      </c>
      <c r="P803">
        <v>89</v>
      </c>
      <c r="Q803">
        <v>4</v>
      </c>
      <c r="R803">
        <v>127</v>
      </c>
      <c r="S803">
        <v>82.8</v>
      </c>
      <c r="T803" t="s">
        <v>37</v>
      </c>
      <c r="U803" s="7">
        <f t="shared" si="48"/>
        <v>31</v>
      </c>
      <c r="V803" s="7">
        <f t="shared" si="51"/>
        <v>17</v>
      </c>
      <c r="W803" s="6">
        <f t="shared" si="49"/>
        <v>45550.479999999981</v>
      </c>
      <c r="X803" t="str">
        <f t="shared" si="50"/>
        <v>Adult</v>
      </c>
    </row>
    <row r="804" spans="1:24">
      <c r="A804" t="s">
        <v>1979</v>
      </c>
      <c r="B804" t="s">
        <v>472</v>
      </c>
      <c r="C804" t="s">
        <v>133</v>
      </c>
      <c r="D804" s="5">
        <v>27419</v>
      </c>
      <c r="E804" s="5">
        <v>45591</v>
      </c>
      <c r="F804" s="5">
        <v>45608</v>
      </c>
      <c r="G804" t="s">
        <v>77</v>
      </c>
      <c r="H804" t="s">
        <v>118</v>
      </c>
      <c r="I804" t="s">
        <v>96</v>
      </c>
      <c r="J804" t="s">
        <v>64</v>
      </c>
      <c r="K804" t="s">
        <v>110</v>
      </c>
      <c r="L804" s="6">
        <v>194323.48</v>
      </c>
      <c r="M804">
        <v>139902.68</v>
      </c>
      <c r="N804" t="s">
        <v>4237</v>
      </c>
      <c r="O804">
        <v>17</v>
      </c>
      <c r="P804">
        <v>178</v>
      </c>
      <c r="Q804">
        <v>4</v>
      </c>
      <c r="R804">
        <v>141</v>
      </c>
      <c r="S804">
        <v>254.5</v>
      </c>
      <c r="T804" t="s">
        <v>37</v>
      </c>
      <c r="U804" s="7">
        <f t="shared" si="48"/>
        <v>49</v>
      </c>
      <c r="V804" s="7">
        <f t="shared" si="51"/>
        <v>17</v>
      </c>
      <c r="W804" s="6">
        <f t="shared" si="49"/>
        <v>54420.800000000017</v>
      </c>
      <c r="X804" t="str">
        <f t="shared" si="50"/>
        <v>Middle Age</v>
      </c>
    </row>
    <row r="805" spans="1:24">
      <c r="A805" t="s">
        <v>1983</v>
      </c>
      <c r="B805" t="s">
        <v>1101</v>
      </c>
      <c r="C805" t="s">
        <v>40</v>
      </c>
      <c r="D805" s="5">
        <v>39257</v>
      </c>
      <c r="E805" s="5">
        <v>45847</v>
      </c>
      <c r="F805" s="5">
        <v>45864</v>
      </c>
      <c r="G805" t="s">
        <v>109</v>
      </c>
      <c r="H805" t="s">
        <v>63</v>
      </c>
      <c r="I805" t="s">
        <v>33</v>
      </c>
      <c r="J805" t="s">
        <v>64</v>
      </c>
      <c r="K805" t="s">
        <v>55</v>
      </c>
      <c r="L805" s="6">
        <v>236887.93</v>
      </c>
      <c r="M805">
        <v>189115.57</v>
      </c>
      <c r="N805" t="s">
        <v>56</v>
      </c>
      <c r="O805">
        <v>17</v>
      </c>
      <c r="P805">
        <v>199</v>
      </c>
      <c r="Q805">
        <v>5</v>
      </c>
      <c r="R805">
        <v>153</v>
      </c>
      <c r="S805">
        <v>136.9</v>
      </c>
      <c r="T805" t="s">
        <v>47</v>
      </c>
      <c r="U805" s="7">
        <f t="shared" si="48"/>
        <v>18</v>
      </c>
      <c r="V805" s="7">
        <f t="shared" si="51"/>
        <v>17</v>
      </c>
      <c r="W805" s="6">
        <f t="shared" si="49"/>
        <v>47772.359999999986</v>
      </c>
      <c r="X805" t="str">
        <f t="shared" si="50"/>
        <v>Adult</v>
      </c>
    </row>
    <row r="806" spans="1:24">
      <c r="A806" t="s">
        <v>1985</v>
      </c>
      <c r="B806" t="s">
        <v>1364</v>
      </c>
      <c r="C806" t="s">
        <v>40</v>
      </c>
      <c r="D806" s="5">
        <v>27953</v>
      </c>
      <c r="E806" s="5">
        <v>45449</v>
      </c>
      <c r="F806" s="5">
        <v>45460</v>
      </c>
      <c r="G806" t="s">
        <v>62</v>
      </c>
      <c r="H806" t="s">
        <v>44</v>
      </c>
      <c r="I806" t="s">
        <v>96</v>
      </c>
      <c r="J806" t="s">
        <v>64</v>
      </c>
      <c r="K806" t="s">
        <v>55</v>
      </c>
      <c r="L806" s="6">
        <v>19506</v>
      </c>
      <c r="M806">
        <v>15389.39</v>
      </c>
      <c r="N806" t="s">
        <v>91</v>
      </c>
      <c r="O806">
        <v>11</v>
      </c>
      <c r="P806">
        <v>125</v>
      </c>
      <c r="Q806">
        <v>5</v>
      </c>
      <c r="R806">
        <v>90</v>
      </c>
      <c r="S806">
        <v>97.3</v>
      </c>
      <c r="T806" t="s">
        <v>47</v>
      </c>
      <c r="U806" s="7">
        <f t="shared" si="48"/>
        <v>47</v>
      </c>
      <c r="V806" s="7">
        <f t="shared" si="51"/>
        <v>11</v>
      </c>
      <c r="W806" s="6">
        <f t="shared" si="49"/>
        <v>4116.6100000000006</v>
      </c>
      <c r="X806" t="str">
        <f t="shared" si="50"/>
        <v>Middle Age</v>
      </c>
    </row>
    <row r="807" spans="1:24">
      <c r="A807" t="s">
        <v>1988</v>
      </c>
      <c r="B807" t="s">
        <v>936</v>
      </c>
      <c r="C807" t="s">
        <v>40</v>
      </c>
      <c r="D807" s="5">
        <v>19277</v>
      </c>
      <c r="E807" s="5">
        <v>45475</v>
      </c>
      <c r="F807" s="5">
        <v>45480</v>
      </c>
      <c r="G807" t="s">
        <v>89</v>
      </c>
      <c r="H807" t="s">
        <v>134</v>
      </c>
      <c r="I807" t="s">
        <v>79</v>
      </c>
      <c r="J807" t="s">
        <v>179</v>
      </c>
      <c r="K807" t="s">
        <v>161</v>
      </c>
      <c r="L807" s="6">
        <v>45406.22</v>
      </c>
      <c r="M807">
        <v>30869.88</v>
      </c>
      <c r="N807" t="s">
        <v>35</v>
      </c>
      <c r="O807">
        <v>5</v>
      </c>
      <c r="P807">
        <v>17</v>
      </c>
      <c r="Q807">
        <v>4</v>
      </c>
      <c r="R807">
        <v>168</v>
      </c>
      <c r="S807">
        <v>209.8</v>
      </c>
      <c r="T807" t="s">
        <v>47</v>
      </c>
      <c r="U807" s="7">
        <f t="shared" si="48"/>
        <v>71</v>
      </c>
      <c r="V807" s="7">
        <f t="shared" si="51"/>
        <v>5</v>
      </c>
      <c r="W807" s="6">
        <f t="shared" si="49"/>
        <v>14536.34</v>
      </c>
      <c r="X807" t="str">
        <f t="shared" si="50"/>
        <v>Senior</v>
      </c>
    </row>
    <row r="808" spans="1:24">
      <c r="A808" t="s">
        <v>1991</v>
      </c>
      <c r="B808" t="s">
        <v>679</v>
      </c>
      <c r="C808" t="s">
        <v>40</v>
      </c>
      <c r="D808" s="5">
        <v>21494</v>
      </c>
      <c r="E808" s="5">
        <v>45240</v>
      </c>
      <c r="F808" s="5">
        <v>45258</v>
      </c>
      <c r="G808" t="s">
        <v>94</v>
      </c>
      <c r="H808" t="s">
        <v>63</v>
      </c>
      <c r="I808" t="s">
        <v>79</v>
      </c>
      <c r="J808" t="s">
        <v>64</v>
      </c>
      <c r="K808" t="s">
        <v>161</v>
      </c>
      <c r="L808" s="6">
        <v>69399.7</v>
      </c>
      <c r="M808">
        <v>54801.279999999999</v>
      </c>
      <c r="N808" t="s">
        <v>4237</v>
      </c>
      <c r="O808">
        <v>18</v>
      </c>
      <c r="P808">
        <v>239</v>
      </c>
      <c r="Q808">
        <v>1</v>
      </c>
      <c r="R808">
        <v>149</v>
      </c>
      <c r="S808">
        <v>108.9</v>
      </c>
      <c r="T808" t="s">
        <v>37</v>
      </c>
      <c r="U808" s="7">
        <f t="shared" si="48"/>
        <v>65</v>
      </c>
      <c r="V808" s="7">
        <f t="shared" si="51"/>
        <v>18</v>
      </c>
      <c r="W808" s="6">
        <f t="shared" si="49"/>
        <v>14598.419999999998</v>
      </c>
      <c r="X808" t="str">
        <f t="shared" si="50"/>
        <v>Senior</v>
      </c>
    </row>
    <row r="809" spans="1:24">
      <c r="A809" t="s">
        <v>1993</v>
      </c>
      <c r="B809" t="s">
        <v>829</v>
      </c>
      <c r="C809" t="s">
        <v>40</v>
      </c>
      <c r="D809" s="5">
        <v>19075</v>
      </c>
      <c r="E809" s="5">
        <v>45812</v>
      </c>
      <c r="F809" s="5">
        <v>45813</v>
      </c>
      <c r="G809" t="s">
        <v>117</v>
      </c>
      <c r="H809" t="s">
        <v>44</v>
      </c>
      <c r="I809" t="s">
        <v>96</v>
      </c>
      <c r="J809" t="s">
        <v>97</v>
      </c>
      <c r="K809" t="s">
        <v>161</v>
      </c>
      <c r="L809" s="6">
        <v>163541.72</v>
      </c>
      <c r="M809">
        <v>153799.41</v>
      </c>
      <c r="N809" t="s">
        <v>73</v>
      </c>
      <c r="O809">
        <v>1</v>
      </c>
      <c r="P809">
        <v>28</v>
      </c>
      <c r="Q809">
        <v>5</v>
      </c>
      <c r="R809">
        <v>157</v>
      </c>
      <c r="S809">
        <v>184.1</v>
      </c>
      <c r="T809" t="s">
        <v>47</v>
      </c>
      <c r="U809" s="7">
        <f t="shared" si="48"/>
        <v>73</v>
      </c>
      <c r="V809" s="7">
        <f t="shared" si="51"/>
        <v>1</v>
      </c>
      <c r="W809" s="6">
        <f t="shared" si="49"/>
        <v>9742.3099999999977</v>
      </c>
      <c r="X809" t="str">
        <f t="shared" si="50"/>
        <v>Senior</v>
      </c>
    </row>
    <row r="810" spans="1:24">
      <c r="A810" t="s">
        <v>1994</v>
      </c>
      <c r="B810" t="s">
        <v>1464</v>
      </c>
      <c r="C810" t="s">
        <v>133</v>
      </c>
      <c r="D810" s="5">
        <v>29026</v>
      </c>
      <c r="E810" s="5">
        <v>45675</v>
      </c>
      <c r="F810" s="5">
        <v>45679</v>
      </c>
      <c r="G810" t="s">
        <v>161</v>
      </c>
      <c r="H810" t="s">
        <v>95</v>
      </c>
      <c r="I810" t="s">
        <v>79</v>
      </c>
      <c r="J810" t="s">
        <v>71</v>
      </c>
      <c r="K810" t="s">
        <v>120</v>
      </c>
      <c r="L810" s="6">
        <v>248373.88</v>
      </c>
      <c r="M810">
        <v>180886.63</v>
      </c>
      <c r="N810" t="s">
        <v>192</v>
      </c>
      <c r="O810">
        <v>4</v>
      </c>
      <c r="P810">
        <v>45</v>
      </c>
      <c r="Q810">
        <v>4</v>
      </c>
      <c r="R810">
        <v>90</v>
      </c>
      <c r="S810">
        <v>165.2</v>
      </c>
      <c r="T810" t="s">
        <v>4237</v>
      </c>
      <c r="U810" s="7">
        <f t="shared" si="48"/>
        <v>45</v>
      </c>
      <c r="V810" s="7">
        <f t="shared" si="51"/>
        <v>4</v>
      </c>
      <c r="W810" s="6">
        <f t="shared" si="49"/>
        <v>67487.25</v>
      </c>
      <c r="X810" t="str">
        <f t="shared" si="50"/>
        <v>Middle Age</v>
      </c>
    </row>
    <row r="811" spans="1:24">
      <c r="A811" t="s">
        <v>1996</v>
      </c>
      <c r="B811" t="s">
        <v>1526</v>
      </c>
      <c r="C811" t="s">
        <v>133</v>
      </c>
      <c r="D811" s="5">
        <v>18983</v>
      </c>
      <c r="E811" s="5">
        <v>45665</v>
      </c>
      <c r="F811" s="5">
        <v>45683</v>
      </c>
      <c r="G811" t="s">
        <v>117</v>
      </c>
      <c r="H811" t="s">
        <v>78</v>
      </c>
      <c r="I811" t="s">
        <v>96</v>
      </c>
      <c r="J811" t="s">
        <v>97</v>
      </c>
      <c r="K811" t="s">
        <v>55</v>
      </c>
      <c r="L811" s="6">
        <v>116163.54</v>
      </c>
      <c r="M811">
        <v>86933.61</v>
      </c>
      <c r="N811" t="s">
        <v>91</v>
      </c>
      <c r="O811">
        <v>18</v>
      </c>
      <c r="P811">
        <v>137</v>
      </c>
      <c r="Q811">
        <v>4</v>
      </c>
      <c r="R811">
        <v>102</v>
      </c>
      <c r="S811">
        <v>231.4</v>
      </c>
      <c r="T811" t="s">
        <v>37</v>
      </c>
      <c r="U811" s="7">
        <f t="shared" si="48"/>
        <v>73</v>
      </c>
      <c r="V811" s="7">
        <f t="shared" si="51"/>
        <v>18</v>
      </c>
      <c r="W811" s="6">
        <f t="shared" si="49"/>
        <v>29229.929999999993</v>
      </c>
      <c r="X811" t="str">
        <f t="shared" si="50"/>
        <v>Senior</v>
      </c>
    </row>
    <row r="812" spans="1:24">
      <c r="A812" t="s">
        <v>1999</v>
      </c>
      <c r="B812" t="s">
        <v>83</v>
      </c>
      <c r="C812" t="s">
        <v>40</v>
      </c>
      <c r="D812" s="5">
        <v>30020</v>
      </c>
      <c r="E812" s="5">
        <v>45227</v>
      </c>
      <c r="F812" s="5">
        <v>45240</v>
      </c>
      <c r="G812" t="s">
        <v>109</v>
      </c>
      <c r="H812" t="s">
        <v>63</v>
      </c>
      <c r="I812" t="s">
        <v>96</v>
      </c>
      <c r="J812" t="s">
        <v>34</v>
      </c>
      <c r="K812" t="s">
        <v>27</v>
      </c>
      <c r="L812" s="6">
        <v>156657.24</v>
      </c>
      <c r="M812">
        <v>134053.70000000001</v>
      </c>
      <c r="N812" t="s">
        <v>192</v>
      </c>
      <c r="O812">
        <v>13</v>
      </c>
      <c r="P812">
        <v>112</v>
      </c>
      <c r="Q812">
        <v>3</v>
      </c>
      <c r="R812">
        <v>120</v>
      </c>
      <c r="S812">
        <v>95.4</v>
      </c>
      <c r="T812" t="s">
        <v>4237</v>
      </c>
      <c r="U812" s="7">
        <f t="shared" si="48"/>
        <v>41</v>
      </c>
      <c r="V812" s="7">
        <f t="shared" si="51"/>
        <v>13</v>
      </c>
      <c r="W812" s="6">
        <f t="shared" si="49"/>
        <v>22603.539999999979</v>
      </c>
      <c r="X812" t="str">
        <f t="shared" si="50"/>
        <v>Middle Age</v>
      </c>
    </row>
    <row r="813" spans="1:24">
      <c r="A813" t="s">
        <v>2000</v>
      </c>
      <c r="B813" t="s">
        <v>771</v>
      </c>
      <c r="C813" t="s">
        <v>133</v>
      </c>
      <c r="D813" s="5">
        <v>25716</v>
      </c>
      <c r="E813" s="5">
        <v>45844</v>
      </c>
      <c r="F813" s="5">
        <v>45846</v>
      </c>
      <c r="G813" t="s">
        <v>89</v>
      </c>
      <c r="H813" t="s">
        <v>44</v>
      </c>
      <c r="I813" t="s">
        <v>33</v>
      </c>
      <c r="J813" t="s">
        <v>34</v>
      </c>
      <c r="K813" t="s">
        <v>120</v>
      </c>
      <c r="L813" s="6">
        <v>146278.93</v>
      </c>
      <c r="M813">
        <v>96715.24</v>
      </c>
      <c r="N813" t="s">
        <v>91</v>
      </c>
      <c r="O813">
        <v>2</v>
      </c>
      <c r="P813">
        <v>165</v>
      </c>
      <c r="Q813">
        <v>4</v>
      </c>
      <c r="R813">
        <v>143</v>
      </c>
      <c r="S813">
        <v>164.3</v>
      </c>
      <c r="T813" t="s">
        <v>65</v>
      </c>
      <c r="U813" s="7">
        <f t="shared" si="48"/>
        <v>55</v>
      </c>
      <c r="V813" s="7">
        <f t="shared" si="51"/>
        <v>2</v>
      </c>
      <c r="W813" s="6">
        <f t="shared" si="49"/>
        <v>49563.689999999988</v>
      </c>
      <c r="X813" t="str">
        <f t="shared" si="50"/>
        <v>Middle Age</v>
      </c>
    </row>
    <row r="814" spans="1:24">
      <c r="A814" t="s">
        <v>2002</v>
      </c>
      <c r="B814" t="s">
        <v>1956</v>
      </c>
      <c r="C814" t="s">
        <v>40</v>
      </c>
      <c r="D814" s="5">
        <v>32160</v>
      </c>
      <c r="E814" s="5">
        <v>45546</v>
      </c>
      <c r="F814" s="5">
        <v>45558</v>
      </c>
      <c r="G814" t="s">
        <v>117</v>
      </c>
      <c r="H814" t="s">
        <v>78</v>
      </c>
      <c r="I814" t="s">
        <v>79</v>
      </c>
      <c r="J814" t="s">
        <v>97</v>
      </c>
      <c r="K814" t="s">
        <v>110</v>
      </c>
      <c r="L814" s="6">
        <v>102734.29</v>
      </c>
      <c r="M814">
        <v>70550.350000000006</v>
      </c>
      <c r="N814" t="s">
        <v>35</v>
      </c>
      <c r="O814">
        <v>12</v>
      </c>
      <c r="P814">
        <v>72</v>
      </c>
      <c r="Q814">
        <v>4</v>
      </c>
      <c r="R814">
        <v>155</v>
      </c>
      <c r="S814">
        <v>154.19999999999999</v>
      </c>
      <c r="T814" t="s">
        <v>47</v>
      </c>
      <c r="U814" s="7">
        <f t="shared" si="48"/>
        <v>36</v>
      </c>
      <c r="V814" s="7">
        <f t="shared" si="51"/>
        <v>12</v>
      </c>
      <c r="W814" s="6">
        <f t="shared" si="49"/>
        <v>32183.939999999988</v>
      </c>
      <c r="X814" t="str">
        <f t="shared" si="50"/>
        <v>Adult</v>
      </c>
    </row>
    <row r="815" spans="1:24">
      <c r="A815" t="s">
        <v>4146</v>
      </c>
      <c r="B815" t="s">
        <v>345</v>
      </c>
      <c r="C815" t="s">
        <v>40</v>
      </c>
      <c r="D815" s="5">
        <v>35479</v>
      </c>
      <c r="E815" s="5">
        <v>45131</v>
      </c>
      <c r="F815" s="5">
        <v>45136</v>
      </c>
      <c r="G815" t="s">
        <v>152</v>
      </c>
      <c r="H815" t="s">
        <v>78</v>
      </c>
      <c r="I815" t="s">
        <v>79</v>
      </c>
      <c r="J815" t="s">
        <v>26</v>
      </c>
      <c r="K815" t="s">
        <v>120</v>
      </c>
      <c r="L815" s="6">
        <v>128909.03</v>
      </c>
      <c r="M815">
        <v>121773.12</v>
      </c>
      <c r="N815" t="s">
        <v>35</v>
      </c>
      <c r="O815">
        <v>5</v>
      </c>
      <c r="P815">
        <v>11</v>
      </c>
      <c r="Q815">
        <v>4</v>
      </c>
      <c r="R815">
        <v>90</v>
      </c>
      <c r="S815">
        <v>243.9</v>
      </c>
      <c r="T815" t="s">
        <v>37</v>
      </c>
      <c r="U815" s="7">
        <f t="shared" si="48"/>
        <v>26</v>
      </c>
      <c r="V815" s="7">
        <f t="shared" si="51"/>
        <v>5</v>
      </c>
      <c r="W815" s="6">
        <f t="shared" si="49"/>
        <v>7135.9100000000035</v>
      </c>
      <c r="X815" t="str">
        <f t="shared" si="50"/>
        <v>Adult</v>
      </c>
    </row>
    <row r="816" spans="1:24">
      <c r="A816" t="s">
        <v>2005</v>
      </c>
      <c r="B816" t="s">
        <v>1050</v>
      </c>
      <c r="C816" t="s">
        <v>133</v>
      </c>
      <c r="D816" s="5">
        <v>33744</v>
      </c>
      <c r="E816" s="5">
        <v>45857</v>
      </c>
      <c r="F816" s="5">
        <v>45859</v>
      </c>
      <c r="G816" t="s">
        <v>105</v>
      </c>
      <c r="H816" t="s">
        <v>24</v>
      </c>
      <c r="I816" t="s">
        <v>79</v>
      </c>
      <c r="J816" t="s">
        <v>34</v>
      </c>
      <c r="K816" t="s">
        <v>120</v>
      </c>
      <c r="L816" s="6">
        <v>83656.149999999994</v>
      </c>
      <c r="M816">
        <v>66576.03</v>
      </c>
      <c r="N816" t="s">
        <v>91</v>
      </c>
      <c r="O816">
        <v>2</v>
      </c>
      <c r="P816">
        <v>225</v>
      </c>
      <c r="Q816">
        <v>4</v>
      </c>
      <c r="R816">
        <v>190</v>
      </c>
      <c r="S816">
        <v>208.6</v>
      </c>
      <c r="T816" t="s">
        <v>47</v>
      </c>
      <c r="U816" s="7">
        <f t="shared" si="48"/>
        <v>33</v>
      </c>
      <c r="V816" s="7">
        <f t="shared" si="51"/>
        <v>2</v>
      </c>
      <c r="W816" s="6">
        <f t="shared" si="49"/>
        <v>17080.119999999995</v>
      </c>
      <c r="X816" t="str">
        <f t="shared" si="50"/>
        <v>Adult</v>
      </c>
    </row>
    <row r="817" spans="1:24">
      <c r="A817" t="s">
        <v>2007</v>
      </c>
      <c r="B817" t="s">
        <v>2008</v>
      </c>
      <c r="C817" t="s">
        <v>40</v>
      </c>
      <c r="D817" s="5">
        <v>26239</v>
      </c>
      <c r="E817" s="5">
        <v>45578</v>
      </c>
      <c r="F817" s="5">
        <v>45593</v>
      </c>
      <c r="G817" t="s">
        <v>152</v>
      </c>
      <c r="H817" t="s">
        <v>63</v>
      </c>
      <c r="I817" t="s">
        <v>53</v>
      </c>
      <c r="J817" t="s">
        <v>26</v>
      </c>
      <c r="K817" t="s">
        <v>55</v>
      </c>
      <c r="L817" s="6">
        <v>132387.41</v>
      </c>
      <c r="M817">
        <v>104976.08</v>
      </c>
      <c r="N817" t="s">
        <v>56</v>
      </c>
      <c r="O817">
        <v>15</v>
      </c>
      <c r="P817">
        <v>229</v>
      </c>
      <c r="Q817">
        <v>4</v>
      </c>
      <c r="R817">
        <v>156</v>
      </c>
      <c r="S817">
        <v>122</v>
      </c>
      <c r="T817" t="s">
        <v>65</v>
      </c>
      <c r="U817" s="7">
        <f t="shared" si="48"/>
        <v>52</v>
      </c>
      <c r="V817" s="7">
        <f t="shared" si="51"/>
        <v>15</v>
      </c>
      <c r="W817" s="6">
        <f t="shared" si="49"/>
        <v>27411.33</v>
      </c>
      <c r="X817" t="str">
        <f t="shared" si="50"/>
        <v>Middle Age</v>
      </c>
    </row>
    <row r="818" spans="1:24">
      <c r="A818" t="s">
        <v>2011</v>
      </c>
      <c r="B818" t="s">
        <v>796</v>
      </c>
      <c r="C818" t="s">
        <v>133</v>
      </c>
      <c r="D818" s="5">
        <v>39924</v>
      </c>
      <c r="E818" s="5">
        <v>45587</v>
      </c>
      <c r="F818" s="5">
        <v>45589</v>
      </c>
      <c r="G818" t="s">
        <v>89</v>
      </c>
      <c r="H818" t="s">
        <v>32</v>
      </c>
      <c r="I818" t="s">
        <v>33</v>
      </c>
      <c r="J818" t="s">
        <v>46</v>
      </c>
      <c r="K818" t="s">
        <v>55</v>
      </c>
      <c r="L818" s="6">
        <v>157876.84</v>
      </c>
      <c r="M818">
        <v>141845.01999999999</v>
      </c>
      <c r="N818" t="s">
        <v>35</v>
      </c>
      <c r="O818">
        <v>2</v>
      </c>
      <c r="P818">
        <v>203</v>
      </c>
      <c r="Q818">
        <v>4</v>
      </c>
      <c r="R818">
        <v>167</v>
      </c>
      <c r="S818">
        <v>84.2</v>
      </c>
      <c r="T818" t="s">
        <v>37</v>
      </c>
      <c r="U818" s="7">
        <f t="shared" si="48"/>
        <v>15</v>
      </c>
      <c r="V818" s="7">
        <f t="shared" si="51"/>
        <v>2</v>
      </c>
      <c r="W818" s="6">
        <f t="shared" si="49"/>
        <v>16031.820000000007</v>
      </c>
      <c r="X818" t="str">
        <f t="shared" si="50"/>
        <v>Child</v>
      </c>
    </row>
    <row r="819" spans="1:24">
      <c r="A819" t="s">
        <v>4147</v>
      </c>
      <c r="B819" t="s">
        <v>1302</v>
      </c>
      <c r="C819" t="s">
        <v>133</v>
      </c>
      <c r="D819" s="5">
        <v>29520</v>
      </c>
      <c r="E819" s="5" t="s">
        <v>4237</v>
      </c>
      <c r="F819" s="5" t="s">
        <v>4237</v>
      </c>
      <c r="G819" t="s">
        <v>94</v>
      </c>
      <c r="H819" t="s">
        <v>134</v>
      </c>
      <c r="I819" t="s">
        <v>79</v>
      </c>
      <c r="J819" t="s">
        <v>34</v>
      </c>
      <c r="K819" t="s">
        <v>27</v>
      </c>
      <c r="L819" s="6">
        <v>238560.26</v>
      </c>
      <c r="M819">
        <v>171743.85</v>
      </c>
      <c r="N819" t="s">
        <v>4237</v>
      </c>
      <c r="O819">
        <v>1</v>
      </c>
      <c r="P819">
        <v>60</v>
      </c>
      <c r="Q819">
        <v>3</v>
      </c>
      <c r="R819">
        <v>168</v>
      </c>
      <c r="S819">
        <v>130.69999999999999</v>
      </c>
      <c r="T819" t="s">
        <v>47</v>
      </c>
      <c r="U819" s="7" t="s">
        <v>4237</v>
      </c>
      <c r="V819" s="7" t="s">
        <v>4237</v>
      </c>
      <c r="W819" s="6">
        <f t="shared" si="49"/>
        <v>66816.41</v>
      </c>
      <c r="X819" t="s">
        <v>4237</v>
      </c>
    </row>
    <row r="820" spans="1:24">
      <c r="A820" t="s">
        <v>2017</v>
      </c>
      <c r="B820" t="s">
        <v>556</v>
      </c>
      <c r="C820" t="s">
        <v>40</v>
      </c>
      <c r="D820" s="5">
        <v>27662</v>
      </c>
      <c r="E820" s="5">
        <v>45353</v>
      </c>
      <c r="F820" s="5">
        <v>45355</v>
      </c>
      <c r="G820" t="s">
        <v>117</v>
      </c>
      <c r="H820" t="s">
        <v>52</v>
      </c>
      <c r="I820" t="s">
        <v>119</v>
      </c>
      <c r="J820" t="s">
        <v>64</v>
      </c>
      <c r="K820" t="s">
        <v>55</v>
      </c>
      <c r="L820" s="6">
        <v>93651.47</v>
      </c>
      <c r="M820">
        <v>71529.27</v>
      </c>
      <c r="N820" t="s">
        <v>73</v>
      </c>
      <c r="O820">
        <v>2</v>
      </c>
      <c r="P820">
        <v>169</v>
      </c>
      <c r="Q820">
        <v>3</v>
      </c>
      <c r="R820">
        <v>141</v>
      </c>
      <c r="S820">
        <v>113.1</v>
      </c>
      <c r="T820" t="s">
        <v>65</v>
      </c>
      <c r="U820" s="7">
        <f t="shared" si="48"/>
        <v>48</v>
      </c>
      <c r="V820" s="7">
        <f t="shared" si="51"/>
        <v>2</v>
      </c>
      <c r="W820" s="6">
        <f t="shared" si="49"/>
        <v>22122.199999999997</v>
      </c>
      <c r="X820" t="str">
        <f t="shared" si="50"/>
        <v>Middle Age</v>
      </c>
    </row>
    <row r="821" spans="1:24">
      <c r="A821" t="s">
        <v>2018</v>
      </c>
      <c r="B821" t="s">
        <v>601</v>
      </c>
      <c r="C821" t="s">
        <v>40</v>
      </c>
      <c r="D821" s="5">
        <v>25349</v>
      </c>
      <c r="E821" s="5">
        <v>45714</v>
      </c>
      <c r="F821" s="5">
        <v>45730</v>
      </c>
      <c r="G821" t="s">
        <v>43</v>
      </c>
      <c r="H821" t="s">
        <v>124</v>
      </c>
      <c r="I821" t="s">
        <v>33</v>
      </c>
      <c r="J821" t="s">
        <v>64</v>
      </c>
      <c r="K821" t="s">
        <v>55</v>
      </c>
      <c r="L821" s="6">
        <v>186395.09</v>
      </c>
      <c r="M821">
        <v>135382.26999999999</v>
      </c>
      <c r="N821" t="s">
        <v>73</v>
      </c>
      <c r="O821">
        <v>16</v>
      </c>
      <c r="P821">
        <v>77</v>
      </c>
      <c r="Q821">
        <v>2</v>
      </c>
      <c r="R821">
        <v>170</v>
      </c>
      <c r="S821">
        <v>162.5</v>
      </c>
      <c r="T821" t="s">
        <v>4237</v>
      </c>
      <c r="U821" s="7">
        <f t="shared" si="48"/>
        <v>55</v>
      </c>
      <c r="V821" s="7">
        <f t="shared" si="51"/>
        <v>16</v>
      </c>
      <c r="W821" s="6">
        <f t="shared" si="49"/>
        <v>51012.820000000007</v>
      </c>
      <c r="X821" t="str">
        <f t="shared" si="50"/>
        <v>Middle Age</v>
      </c>
    </row>
    <row r="822" spans="1:24">
      <c r="A822" t="s">
        <v>2020</v>
      </c>
      <c r="B822" t="s">
        <v>1108</v>
      </c>
      <c r="C822" t="s">
        <v>40</v>
      </c>
      <c r="D822" s="5">
        <v>23524</v>
      </c>
      <c r="E822" s="5">
        <v>45487</v>
      </c>
      <c r="F822" s="5">
        <v>45503</v>
      </c>
      <c r="G822" t="s">
        <v>152</v>
      </c>
      <c r="H822" t="s">
        <v>153</v>
      </c>
      <c r="I822" t="s">
        <v>96</v>
      </c>
      <c r="J822" t="s">
        <v>64</v>
      </c>
      <c r="K822" t="s">
        <v>55</v>
      </c>
      <c r="L822" s="6">
        <v>52840.43</v>
      </c>
      <c r="M822">
        <v>47350.07</v>
      </c>
      <c r="N822" t="s">
        <v>192</v>
      </c>
      <c r="O822">
        <v>16</v>
      </c>
      <c r="P822">
        <v>78</v>
      </c>
      <c r="Q822">
        <v>1</v>
      </c>
      <c r="R822">
        <v>184</v>
      </c>
      <c r="S822">
        <v>259.3</v>
      </c>
      <c r="T822" t="s">
        <v>37</v>
      </c>
      <c r="U822" s="7">
        <f t="shared" si="48"/>
        <v>60</v>
      </c>
      <c r="V822" s="7">
        <f t="shared" si="51"/>
        <v>16</v>
      </c>
      <c r="W822" s="6">
        <f t="shared" si="49"/>
        <v>5490.3600000000006</v>
      </c>
      <c r="X822" t="str">
        <f t="shared" si="50"/>
        <v>Senior</v>
      </c>
    </row>
    <row r="823" spans="1:24">
      <c r="A823" t="s">
        <v>2023</v>
      </c>
      <c r="B823" t="s">
        <v>517</v>
      </c>
      <c r="C823" t="s">
        <v>133</v>
      </c>
      <c r="D823" s="5">
        <v>27390</v>
      </c>
      <c r="E823" s="5">
        <v>45310</v>
      </c>
      <c r="F823" s="5">
        <v>45314</v>
      </c>
      <c r="G823" t="s">
        <v>94</v>
      </c>
      <c r="H823" t="s">
        <v>134</v>
      </c>
      <c r="I823" t="s">
        <v>79</v>
      </c>
      <c r="J823" t="s">
        <v>34</v>
      </c>
      <c r="K823" t="s">
        <v>120</v>
      </c>
      <c r="L823" s="6">
        <v>116270.72</v>
      </c>
      <c r="M823">
        <v>96677.8</v>
      </c>
      <c r="N823" t="s">
        <v>192</v>
      </c>
      <c r="O823">
        <v>4</v>
      </c>
      <c r="P823">
        <v>111</v>
      </c>
      <c r="Q823">
        <v>4</v>
      </c>
      <c r="R823">
        <v>145</v>
      </c>
      <c r="S823">
        <v>251</v>
      </c>
      <c r="T823" t="s">
        <v>37</v>
      </c>
      <c r="U823" s="7">
        <f t="shared" si="48"/>
        <v>49</v>
      </c>
      <c r="V823" s="7">
        <f t="shared" si="51"/>
        <v>4</v>
      </c>
      <c r="W823" s="6">
        <f t="shared" si="49"/>
        <v>19592.919999999998</v>
      </c>
      <c r="X823" t="str">
        <f t="shared" si="50"/>
        <v>Middle Age</v>
      </c>
    </row>
    <row r="824" spans="1:24">
      <c r="A824" t="s">
        <v>2025</v>
      </c>
      <c r="B824" t="s">
        <v>553</v>
      </c>
      <c r="C824" t="s">
        <v>40</v>
      </c>
      <c r="D824" s="5">
        <v>32022</v>
      </c>
      <c r="E824" s="5">
        <v>45075</v>
      </c>
      <c r="F824" s="5">
        <v>45082</v>
      </c>
      <c r="G824" t="s">
        <v>43</v>
      </c>
      <c r="H824" t="s">
        <v>153</v>
      </c>
      <c r="I824" t="s">
        <v>45</v>
      </c>
      <c r="J824" t="s">
        <v>34</v>
      </c>
      <c r="K824" t="s">
        <v>161</v>
      </c>
      <c r="L824" s="6">
        <v>123334.98</v>
      </c>
      <c r="M824">
        <v>102355.67</v>
      </c>
      <c r="N824" t="s">
        <v>192</v>
      </c>
      <c r="O824">
        <v>7</v>
      </c>
      <c r="P824">
        <v>29</v>
      </c>
      <c r="Q824">
        <v>4</v>
      </c>
      <c r="R824">
        <v>147</v>
      </c>
      <c r="S824">
        <v>186.7</v>
      </c>
      <c r="T824" t="s">
        <v>65</v>
      </c>
      <c r="U824" s="7">
        <f t="shared" si="48"/>
        <v>35</v>
      </c>
      <c r="V824" s="7">
        <f t="shared" si="51"/>
        <v>7</v>
      </c>
      <c r="W824" s="6">
        <f t="shared" si="49"/>
        <v>20979.309999999998</v>
      </c>
      <c r="X824" t="str">
        <f t="shared" si="50"/>
        <v>Adult</v>
      </c>
    </row>
    <row r="825" spans="1:24">
      <c r="A825" t="s">
        <v>4148</v>
      </c>
      <c r="B825" t="s">
        <v>129</v>
      </c>
      <c r="C825" t="s">
        <v>40</v>
      </c>
      <c r="D825" s="5">
        <v>28250</v>
      </c>
      <c r="E825" s="5">
        <v>45698</v>
      </c>
      <c r="F825" s="5">
        <v>45700</v>
      </c>
      <c r="G825" t="s">
        <v>43</v>
      </c>
      <c r="H825" t="s">
        <v>86</v>
      </c>
      <c r="I825" t="s">
        <v>33</v>
      </c>
      <c r="J825" t="s">
        <v>97</v>
      </c>
      <c r="K825" t="s">
        <v>120</v>
      </c>
      <c r="L825" s="6">
        <v>96453.49</v>
      </c>
      <c r="M825">
        <v>83941.88</v>
      </c>
      <c r="N825" t="s">
        <v>73</v>
      </c>
      <c r="O825">
        <v>2</v>
      </c>
      <c r="P825">
        <v>205</v>
      </c>
      <c r="Q825">
        <v>5</v>
      </c>
      <c r="R825">
        <v>184</v>
      </c>
      <c r="S825">
        <v>241.9</v>
      </c>
      <c r="T825" t="s">
        <v>37</v>
      </c>
      <c r="U825" s="7">
        <f t="shared" si="48"/>
        <v>47</v>
      </c>
      <c r="V825" s="7">
        <f t="shared" si="51"/>
        <v>2</v>
      </c>
      <c r="W825" s="6">
        <f t="shared" si="49"/>
        <v>12511.61</v>
      </c>
      <c r="X825" t="str">
        <f t="shared" si="50"/>
        <v>Middle Age</v>
      </c>
    </row>
    <row r="826" spans="1:24">
      <c r="A826" t="s">
        <v>2028</v>
      </c>
      <c r="B826" t="s">
        <v>2029</v>
      </c>
      <c r="C826" t="s">
        <v>40</v>
      </c>
      <c r="D826" s="5">
        <v>25574</v>
      </c>
      <c r="E826" s="5">
        <v>45612</v>
      </c>
      <c r="F826" s="5" t="s">
        <v>4237</v>
      </c>
      <c r="G826" t="s">
        <v>161</v>
      </c>
      <c r="H826" t="s">
        <v>86</v>
      </c>
      <c r="I826" t="s">
        <v>96</v>
      </c>
      <c r="J826" t="s">
        <v>71</v>
      </c>
      <c r="K826" t="s">
        <v>55</v>
      </c>
      <c r="L826" s="6">
        <v>231526.5</v>
      </c>
      <c r="M826">
        <v>222844.59</v>
      </c>
      <c r="N826" t="s">
        <v>91</v>
      </c>
      <c r="O826">
        <v>11</v>
      </c>
      <c r="P826">
        <v>107</v>
      </c>
      <c r="Q826">
        <v>4</v>
      </c>
      <c r="R826">
        <v>108</v>
      </c>
      <c r="S826">
        <v>104.3</v>
      </c>
      <c r="T826" t="s">
        <v>37</v>
      </c>
      <c r="U826" s="7">
        <f t="shared" si="48"/>
        <v>54</v>
      </c>
      <c r="V826" s="7" t="s">
        <v>4237</v>
      </c>
      <c r="W826" s="6">
        <f t="shared" si="49"/>
        <v>8681.9100000000035</v>
      </c>
      <c r="X826" t="str">
        <f t="shared" si="50"/>
        <v>Middle Age</v>
      </c>
    </row>
    <row r="827" spans="1:24">
      <c r="A827" t="s">
        <v>2032</v>
      </c>
      <c r="B827" t="s">
        <v>2033</v>
      </c>
      <c r="C827" t="s">
        <v>133</v>
      </c>
      <c r="D827" s="5">
        <v>37745</v>
      </c>
      <c r="E827" s="5">
        <v>45659</v>
      </c>
      <c r="F827" s="5">
        <v>45662</v>
      </c>
      <c r="G827" t="s">
        <v>161</v>
      </c>
      <c r="H827" t="s">
        <v>78</v>
      </c>
      <c r="I827" t="s">
        <v>33</v>
      </c>
      <c r="J827" t="s">
        <v>64</v>
      </c>
      <c r="K827" t="s">
        <v>55</v>
      </c>
      <c r="L827" s="6">
        <v>130472.01</v>
      </c>
      <c r="M827">
        <v>111221.24</v>
      </c>
      <c r="N827" t="s">
        <v>56</v>
      </c>
      <c r="O827">
        <v>3</v>
      </c>
      <c r="P827">
        <v>59</v>
      </c>
      <c r="Q827">
        <v>2</v>
      </c>
      <c r="R827">
        <v>107</v>
      </c>
      <c r="S827">
        <v>236.2</v>
      </c>
      <c r="T827" t="s">
        <v>37</v>
      </c>
      <c r="U827" s="7">
        <f t="shared" si="48"/>
        <v>21</v>
      </c>
      <c r="V827" s="7">
        <f t="shared" si="51"/>
        <v>3</v>
      </c>
      <c r="W827" s="6">
        <f t="shared" si="49"/>
        <v>19250.76999999999</v>
      </c>
      <c r="X827" t="str">
        <f t="shared" si="50"/>
        <v>Adult</v>
      </c>
    </row>
    <row r="828" spans="1:24">
      <c r="A828" t="s">
        <v>2037</v>
      </c>
      <c r="B828" t="s">
        <v>771</v>
      </c>
      <c r="C828" t="s">
        <v>40</v>
      </c>
      <c r="D828" s="5">
        <v>35417</v>
      </c>
      <c r="E828" s="5">
        <v>45910</v>
      </c>
      <c r="F828" s="5">
        <v>45918</v>
      </c>
      <c r="G828" t="s">
        <v>94</v>
      </c>
      <c r="H828" t="s">
        <v>118</v>
      </c>
      <c r="I828" t="s">
        <v>33</v>
      </c>
      <c r="J828" t="s">
        <v>46</v>
      </c>
      <c r="K828" t="s">
        <v>55</v>
      </c>
      <c r="L828" s="6">
        <v>25294.55</v>
      </c>
      <c r="M828">
        <v>19604.57</v>
      </c>
      <c r="N828" t="s">
        <v>73</v>
      </c>
      <c r="O828">
        <v>8</v>
      </c>
      <c r="P828">
        <v>115</v>
      </c>
      <c r="Q828">
        <v>4</v>
      </c>
      <c r="R828">
        <v>158</v>
      </c>
      <c r="S828">
        <v>148.4</v>
      </c>
      <c r="T828" t="s">
        <v>4237</v>
      </c>
      <c r="U828" s="7">
        <f t="shared" si="48"/>
        <v>28</v>
      </c>
      <c r="V828" s="7">
        <f t="shared" si="51"/>
        <v>8</v>
      </c>
      <c r="W828" s="6">
        <f t="shared" si="49"/>
        <v>5689.98</v>
      </c>
      <c r="X828" t="str">
        <f t="shared" si="50"/>
        <v>Adult</v>
      </c>
    </row>
    <row r="829" spans="1:24">
      <c r="A829" t="s">
        <v>2039</v>
      </c>
      <c r="B829" t="s">
        <v>999</v>
      </c>
      <c r="C829" t="s">
        <v>133</v>
      </c>
      <c r="D829" s="5">
        <v>28082</v>
      </c>
      <c r="E829" s="5">
        <v>44931</v>
      </c>
      <c r="F829" s="5">
        <v>44936</v>
      </c>
      <c r="G829" t="s">
        <v>94</v>
      </c>
      <c r="H829" t="s">
        <v>118</v>
      </c>
      <c r="I829" t="s">
        <v>45</v>
      </c>
      <c r="J829" t="s">
        <v>80</v>
      </c>
      <c r="K829" t="s">
        <v>55</v>
      </c>
      <c r="L829" s="6">
        <v>231313.19</v>
      </c>
      <c r="M829">
        <v>141884.26999999999</v>
      </c>
      <c r="N829" t="s">
        <v>192</v>
      </c>
      <c r="O829">
        <v>5</v>
      </c>
      <c r="P829">
        <v>72</v>
      </c>
      <c r="Q829">
        <v>3</v>
      </c>
      <c r="R829">
        <v>180</v>
      </c>
      <c r="S829">
        <v>211.2</v>
      </c>
      <c r="T829" t="s">
        <v>37</v>
      </c>
      <c r="U829" s="7">
        <f t="shared" si="48"/>
        <v>46</v>
      </c>
      <c r="V829" s="7">
        <f t="shared" si="51"/>
        <v>5</v>
      </c>
      <c r="W829" s="6">
        <f t="shared" si="49"/>
        <v>89428.920000000013</v>
      </c>
      <c r="X829" t="str">
        <f t="shared" si="50"/>
        <v>Middle Age</v>
      </c>
    </row>
    <row r="830" spans="1:24">
      <c r="A830" t="s">
        <v>2041</v>
      </c>
      <c r="B830" t="s">
        <v>911</v>
      </c>
      <c r="C830" t="s">
        <v>133</v>
      </c>
      <c r="D830" s="5">
        <v>22060</v>
      </c>
      <c r="E830" s="5">
        <v>45122</v>
      </c>
      <c r="F830" s="5">
        <v>45126</v>
      </c>
      <c r="G830" t="s">
        <v>62</v>
      </c>
      <c r="H830" t="s">
        <v>24</v>
      </c>
      <c r="I830" t="s">
        <v>79</v>
      </c>
      <c r="J830" t="s">
        <v>34</v>
      </c>
      <c r="K830" t="s">
        <v>120</v>
      </c>
      <c r="L830" s="6">
        <v>121398.91</v>
      </c>
      <c r="M830">
        <v>96452.78</v>
      </c>
      <c r="N830" t="s">
        <v>35</v>
      </c>
      <c r="O830">
        <v>4</v>
      </c>
      <c r="P830">
        <v>70</v>
      </c>
      <c r="Q830">
        <v>5</v>
      </c>
      <c r="R830">
        <v>184</v>
      </c>
      <c r="S830">
        <v>181.9</v>
      </c>
      <c r="T830" t="s">
        <v>47</v>
      </c>
      <c r="U830" s="7">
        <f t="shared" si="48"/>
        <v>63</v>
      </c>
      <c r="V830" s="7">
        <f t="shared" si="51"/>
        <v>4</v>
      </c>
      <c r="W830" s="6">
        <f t="shared" si="49"/>
        <v>24946.130000000005</v>
      </c>
      <c r="X830" t="str">
        <f t="shared" si="50"/>
        <v>Senior</v>
      </c>
    </row>
    <row r="831" spans="1:24">
      <c r="A831" t="s">
        <v>2042</v>
      </c>
      <c r="B831" t="s">
        <v>202</v>
      </c>
      <c r="C831" t="s">
        <v>40</v>
      </c>
      <c r="D831" s="5">
        <v>21266</v>
      </c>
      <c r="E831" s="5">
        <v>45287</v>
      </c>
      <c r="F831" s="5">
        <v>45289</v>
      </c>
      <c r="G831" t="s">
        <v>62</v>
      </c>
      <c r="H831" t="s">
        <v>113</v>
      </c>
      <c r="I831" t="s">
        <v>25</v>
      </c>
      <c r="J831" t="s">
        <v>26</v>
      </c>
      <c r="K831" t="s">
        <v>27</v>
      </c>
      <c r="L831" s="6">
        <v>240317.87</v>
      </c>
      <c r="M831">
        <v>180612.59</v>
      </c>
      <c r="N831" t="s">
        <v>56</v>
      </c>
      <c r="O831">
        <v>2</v>
      </c>
      <c r="P831">
        <v>16</v>
      </c>
      <c r="Q831">
        <v>2</v>
      </c>
      <c r="R831">
        <v>104</v>
      </c>
      <c r="S831">
        <v>214.1</v>
      </c>
      <c r="T831" t="s">
        <v>65</v>
      </c>
      <c r="U831" s="7">
        <f t="shared" si="48"/>
        <v>65</v>
      </c>
      <c r="V831" s="7">
        <f t="shared" si="51"/>
        <v>2</v>
      </c>
      <c r="W831" s="6">
        <f t="shared" si="49"/>
        <v>59705.279999999999</v>
      </c>
      <c r="X831" t="str">
        <f t="shared" si="50"/>
        <v>Senior</v>
      </c>
    </row>
    <row r="832" spans="1:24">
      <c r="A832" t="s">
        <v>2044</v>
      </c>
      <c r="B832" t="s">
        <v>150</v>
      </c>
      <c r="C832" t="s">
        <v>40</v>
      </c>
      <c r="D832" s="5">
        <v>37824</v>
      </c>
      <c r="E832" s="5">
        <v>45507</v>
      </c>
      <c r="F832" s="5">
        <v>45518</v>
      </c>
      <c r="G832" t="s">
        <v>109</v>
      </c>
      <c r="H832" t="s">
        <v>124</v>
      </c>
      <c r="I832" t="s">
        <v>79</v>
      </c>
      <c r="J832" t="s">
        <v>71</v>
      </c>
      <c r="K832" t="s">
        <v>55</v>
      </c>
      <c r="L832" s="6">
        <v>193697.48</v>
      </c>
      <c r="M832">
        <v>171000.7</v>
      </c>
      <c r="N832" t="s">
        <v>192</v>
      </c>
      <c r="O832">
        <v>11</v>
      </c>
      <c r="P832">
        <v>114</v>
      </c>
      <c r="Q832">
        <v>1</v>
      </c>
      <c r="R832">
        <v>112</v>
      </c>
      <c r="S832">
        <v>120.1</v>
      </c>
      <c r="T832" t="s">
        <v>37</v>
      </c>
      <c r="U832" s="7">
        <f t="shared" si="48"/>
        <v>21</v>
      </c>
      <c r="V832" s="7">
        <f t="shared" si="51"/>
        <v>11</v>
      </c>
      <c r="W832" s="6">
        <f t="shared" si="49"/>
        <v>22696.78</v>
      </c>
      <c r="X832" t="str">
        <f t="shared" si="50"/>
        <v>Adult</v>
      </c>
    </row>
    <row r="833" spans="1:24">
      <c r="A833" t="s">
        <v>4149</v>
      </c>
      <c r="B833" t="s">
        <v>553</v>
      </c>
      <c r="C833" t="s">
        <v>40</v>
      </c>
      <c r="D833" s="5">
        <v>31372</v>
      </c>
      <c r="E833" s="5">
        <v>45665</v>
      </c>
      <c r="F833" s="5">
        <v>45671</v>
      </c>
      <c r="G833" t="s">
        <v>117</v>
      </c>
      <c r="H833" t="s">
        <v>86</v>
      </c>
      <c r="I833" t="s">
        <v>119</v>
      </c>
      <c r="J833" t="s">
        <v>34</v>
      </c>
      <c r="K833" t="s">
        <v>161</v>
      </c>
      <c r="L833" s="6">
        <v>209122.7</v>
      </c>
      <c r="M833">
        <v>167378.15</v>
      </c>
      <c r="N833" t="s">
        <v>73</v>
      </c>
      <c r="O833">
        <v>6</v>
      </c>
      <c r="P833">
        <v>50</v>
      </c>
      <c r="Q833">
        <v>4</v>
      </c>
      <c r="R833">
        <v>141</v>
      </c>
      <c r="S833">
        <v>140.5</v>
      </c>
      <c r="T833" t="s">
        <v>65</v>
      </c>
      <c r="U833" s="7">
        <f t="shared" si="48"/>
        <v>39</v>
      </c>
      <c r="V833" s="7">
        <f t="shared" si="51"/>
        <v>6</v>
      </c>
      <c r="W833" s="6">
        <f t="shared" si="49"/>
        <v>41744.550000000017</v>
      </c>
      <c r="X833" t="str">
        <f t="shared" si="50"/>
        <v>Adult</v>
      </c>
    </row>
    <row r="834" spans="1:24">
      <c r="A834" t="s">
        <v>2046</v>
      </c>
      <c r="B834" t="s">
        <v>238</v>
      </c>
      <c r="C834" t="s">
        <v>40</v>
      </c>
      <c r="D834" s="5">
        <v>36685</v>
      </c>
      <c r="E834" s="5">
        <v>45437</v>
      </c>
      <c r="F834" s="5">
        <v>45450</v>
      </c>
      <c r="G834" t="s">
        <v>161</v>
      </c>
      <c r="H834" t="s">
        <v>63</v>
      </c>
      <c r="I834" t="s">
        <v>53</v>
      </c>
      <c r="J834" t="s">
        <v>71</v>
      </c>
      <c r="K834" t="s">
        <v>27</v>
      </c>
      <c r="L834" s="6">
        <v>219843.84</v>
      </c>
      <c r="M834">
        <v>214818.47</v>
      </c>
      <c r="N834" t="s">
        <v>73</v>
      </c>
      <c r="O834">
        <v>13</v>
      </c>
      <c r="P834">
        <v>105</v>
      </c>
      <c r="Q834">
        <v>4</v>
      </c>
      <c r="R834">
        <v>182</v>
      </c>
      <c r="S834">
        <v>130.4</v>
      </c>
      <c r="T834" t="s">
        <v>47</v>
      </c>
      <c r="U834" s="7">
        <f t="shared" ref="U834:U896" si="52">DATEDIF(D834,E834,"Y")</f>
        <v>23</v>
      </c>
      <c r="V834" s="7">
        <f t="shared" ref="V834:V897" si="53">IF(OR(E834=" ",F834=" ",E834="Unknown",F834="Unknown")," ",F834-E834)</f>
        <v>13</v>
      </c>
      <c r="W834" s="6">
        <f t="shared" ref="W834:W897" si="54">L834-M834</f>
        <v>5025.3699999999953</v>
      </c>
      <c r="X834" t="str">
        <f t="shared" ref="X834:X896" si="55">IF(OR(U834="",U834="Unknown"),"",IF(U834&lt;18,"Child",IF(U834&lt;40,"Adult",IF(U834&lt;60,"Middle Age","Senior"))))</f>
        <v>Adult</v>
      </c>
    </row>
    <row r="835" spans="1:24">
      <c r="A835" t="s">
        <v>2048</v>
      </c>
      <c r="B835" t="s">
        <v>563</v>
      </c>
      <c r="C835" t="s">
        <v>40</v>
      </c>
      <c r="D835" s="5">
        <v>39076</v>
      </c>
      <c r="E835" s="5">
        <v>45722</v>
      </c>
      <c r="F835" s="5">
        <v>45738</v>
      </c>
      <c r="G835" t="s">
        <v>62</v>
      </c>
      <c r="H835" t="s">
        <v>44</v>
      </c>
      <c r="I835" t="s">
        <v>33</v>
      </c>
      <c r="J835" t="s">
        <v>46</v>
      </c>
      <c r="K835" t="s">
        <v>120</v>
      </c>
      <c r="L835" s="6">
        <v>120018.21</v>
      </c>
      <c r="M835">
        <v>107090.58</v>
      </c>
      <c r="N835" t="s">
        <v>91</v>
      </c>
      <c r="O835">
        <v>16</v>
      </c>
      <c r="P835">
        <v>226</v>
      </c>
      <c r="Q835">
        <v>4</v>
      </c>
      <c r="R835">
        <v>115</v>
      </c>
      <c r="S835">
        <v>163.5</v>
      </c>
      <c r="T835" t="s">
        <v>37</v>
      </c>
      <c r="U835" s="7">
        <f t="shared" si="52"/>
        <v>18</v>
      </c>
      <c r="V835" s="7">
        <f t="shared" si="53"/>
        <v>16</v>
      </c>
      <c r="W835" s="6">
        <f t="shared" si="54"/>
        <v>12927.630000000005</v>
      </c>
      <c r="X835" t="str">
        <f t="shared" si="55"/>
        <v>Adult</v>
      </c>
    </row>
    <row r="836" spans="1:24">
      <c r="A836" t="s">
        <v>2050</v>
      </c>
      <c r="B836" t="s">
        <v>249</v>
      </c>
      <c r="C836" t="s">
        <v>40</v>
      </c>
      <c r="D836" s="5">
        <v>21689</v>
      </c>
      <c r="E836" s="5">
        <v>45890</v>
      </c>
      <c r="F836" s="5">
        <v>45898</v>
      </c>
      <c r="G836" t="s">
        <v>94</v>
      </c>
      <c r="H836" t="s">
        <v>78</v>
      </c>
      <c r="I836" t="s">
        <v>33</v>
      </c>
      <c r="J836" t="s">
        <v>34</v>
      </c>
      <c r="K836" t="s">
        <v>55</v>
      </c>
      <c r="L836" s="6">
        <v>26304.92</v>
      </c>
      <c r="M836">
        <v>23730.81</v>
      </c>
      <c r="N836" t="s">
        <v>91</v>
      </c>
      <c r="O836">
        <v>8</v>
      </c>
      <c r="P836">
        <v>133</v>
      </c>
      <c r="Q836">
        <v>2</v>
      </c>
      <c r="R836">
        <v>102</v>
      </c>
      <c r="S836">
        <v>144.80000000000001</v>
      </c>
      <c r="T836" t="s">
        <v>37</v>
      </c>
      <c r="U836" s="7">
        <f t="shared" si="52"/>
        <v>66</v>
      </c>
      <c r="V836" s="7">
        <f t="shared" si="53"/>
        <v>8</v>
      </c>
      <c r="W836" s="6">
        <f t="shared" si="54"/>
        <v>2574.1099999999969</v>
      </c>
      <c r="X836" t="str">
        <f t="shared" si="55"/>
        <v>Senior</v>
      </c>
    </row>
    <row r="837" spans="1:24">
      <c r="A837" t="s">
        <v>2051</v>
      </c>
      <c r="B837" t="s">
        <v>238</v>
      </c>
      <c r="C837" t="s">
        <v>133</v>
      </c>
      <c r="D837" s="5">
        <v>32716</v>
      </c>
      <c r="E837" s="5">
        <v>45914</v>
      </c>
      <c r="F837" s="5">
        <v>45932</v>
      </c>
      <c r="G837" t="s">
        <v>152</v>
      </c>
      <c r="H837" t="s">
        <v>95</v>
      </c>
      <c r="I837" t="s">
        <v>53</v>
      </c>
      <c r="J837" t="s">
        <v>34</v>
      </c>
      <c r="K837" t="s">
        <v>55</v>
      </c>
      <c r="L837" s="6">
        <v>183649.08</v>
      </c>
      <c r="M837">
        <v>126012.97</v>
      </c>
      <c r="N837" t="s">
        <v>56</v>
      </c>
      <c r="O837">
        <v>18</v>
      </c>
      <c r="P837">
        <v>38</v>
      </c>
      <c r="Q837">
        <v>2</v>
      </c>
      <c r="R837">
        <v>126</v>
      </c>
      <c r="S837">
        <v>145.69999999999999</v>
      </c>
      <c r="T837" t="s">
        <v>47</v>
      </c>
      <c r="U837" s="7">
        <f t="shared" si="52"/>
        <v>36</v>
      </c>
      <c r="V837" s="7">
        <f t="shared" si="53"/>
        <v>18</v>
      </c>
      <c r="W837" s="6">
        <f t="shared" si="54"/>
        <v>57636.109999999986</v>
      </c>
      <c r="X837" t="str">
        <f t="shared" si="55"/>
        <v>Adult</v>
      </c>
    </row>
    <row r="838" spans="1:24">
      <c r="A838" t="s">
        <v>2052</v>
      </c>
      <c r="B838" t="s">
        <v>922</v>
      </c>
      <c r="C838" t="s">
        <v>40</v>
      </c>
      <c r="D838" s="5">
        <v>32188</v>
      </c>
      <c r="E838" s="5">
        <v>45211</v>
      </c>
      <c r="F838" s="5" t="s">
        <v>4237</v>
      </c>
      <c r="G838" t="s">
        <v>43</v>
      </c>
      <c r="H838" t="s">
        <v>153</v>
      </c>
      <c r="I838" t="s">
        <v>96</v>
      </c>
      <c r="J838" t="s">
        <v>64</v>
      </c>
      <c r="K838" t="s">
        <v>55</v>
      </c>
      <c r="L838" s="6">
        <v>212003.94</v>
      </c>
      <c r="M838">
        <v>211589</v>
      </c>
      <c r="N838" t="s">
        <v>56</v>
      </c>
      <c r="O838">
        <v>10</v>
      </c>
      <c r="P838">
        <v>33</v>
      </c>
      <c r="Q838">
        <v>3</v>
      </c>
      <c r="R838">
        <v>172</v>
      </c>
      <c r="S838">
        <v>148.6</v>
      </c>
      <c r="T838" t="s">
        <v>37</v>
      </c>
      <c r="U838" s="7">
        <f t="shared" si="52"/>
        <v>35</v>
      </c>
      <c r="V838" s="7" t="s">
        <v>4237</v>
      </c>
      <c r="W838" s="6">
        <f t="shared" si="54"/>
        <v>414.94000000000233</v>
      </c>
      <c r="X838" t="str">
        <f t="shared" si="55"/>
        <v>Adult</v>
      </c>
    </row>
    <row r="839" spans="1:24">
      <c r="A839" t="s">
        <v>2053</v>
      </c>
      <c r="B839" t="s">
        <v>613</v>
      </c>
      <c r="C839" t="s">
        <v>40</v>
      </c>
      <c r="D839" s="5">
        <v>22093</v>
      </c>
      <c r="E839" s="5">
        <v>44983</v>
      </c>
      <c r="F839" s="5">
        <v>44987</v>
      </c>
      <c r="G839" t="s">
        <v>161</v>
      </c>
      <c r="H839" t="s">
        <v>86</v>
      </c>
      <c r="I839" t="s">
        <v>96</v>
      </c>
      <c r="J839" t="s">
        <v>64</v>
      </c>
      <c r="K839" t="s">
        <v>55</v>
      </c>
      <c r="L839" s="6">
        <v>10887.12</v>
      </c>
      <c r="M839">
        <v>8256.86</v>
      </c>
      <c r="N839" t="s">
        <v>192</v>
      </c>
      <c r="O839">
        <v>4</v>
      </c>
      <c r="P839">
        <v>64</v>
      </c>
      <c r="Q839">
        <v>5</v>
      </c>
      <c r="R839">
        <v>124</v>
      </c>
      <c r="S839">
        <v>110.9</v>
      </c>
      <c r="T839" t="s">
        <v>4237</v>
      </c>
      <c r="U839" s="7">
        <f t="shared" si="52"/>
        <v>62</v>
      </c>
      <c r="V839" s="7">
        <f t="shared" si="53"/>
        <v>4</v>
      </c>
      <c r="W839" s="6">
        <f t="shared" si="54"/>
        <v>2630.26</v>
      </c>
      <c r="X839" t="str">
        <f t="shared" si="55"/>
        <v>Senior</v>
      </c>
    </row>
    <row r="840" spans="1:24">
      <c r="A840" t="s">
        <v>2054</v>
      </c>
      <c r="B840" t="s">
        <v>1167</v>
      </c>
      <c r="C840" t="s">
        <v>133</v>
      </c>
      <c r="D840" s="5">
        <v>29866</v>
      </c>
      <c r="E840" s="5">
        <v>45004</v>
      </c>
      <c r="F840" s="5">
        <v>45007</v>
      </c>
      <c r="G840" t="s">
        <v>89</v>
      </c>
      <c r="H840" t="s">
        <v>52</v>
      </c>
      <c r="I840" t="s">
        <v>33</v>
      </c>
      <c r="J840" t="s">
        <v>34</v>
      </c>
      <c r="K840" t="s">
        <v>55</v>
      </c>
      <c r="L840" s="6">
        <v>5079.43</v>
      </c>
      <c r="M840">
        <v>4436.8999999999996</v>
      </c>
      <c r="N840" t="s">
        <v>192</v>
      </c>
      <c r="O840">
        <v>3</v>
      </c>
      <c r="P840">
        <v>186</v>
      </c>
      <c r="Q840">
        <v>2</v>
      </c>
      <c r="R840">
        <v>188</v>
      </c>
      <c r="S840">
        <v>163.5</v>
      </c>
      <c r="T840" t="s">
        <v>65</v>
      </c>
      <c r="U840" s="7">
        <f t="shared" si="52"/>
        <v>41</v>
      </c>
      <c r="V840" s="7">
        <f t="shared" si="53"/>
        <v>3</v>
      </c>
      <c r="W840" s="6">
        <f t="shared" si="54"/>
        <v>642.53000000000065</v>
      </c>
      <c r="X840" t="str">
        <f t="shared" si="55"/>
        <v>Middle Age</v>
      </c>
    </row>
    <row r="841" spans="1:24">
      <c r="A841" t="s">
        <v>2056</v>
      </c>
      <c r="B841" t="s">
        <v>356</v>
      </c>
      <c r="C841" t="s">
        <v>133</v>
      </c>
      <c r="D841" s="5">
        <v>23867</v>
      </c>
      <c r="E841" s="5">
        <v>45176</v>
      </c>
      <c r="F841" s="5">
        <v>45183</v>
      </c>
      <c r="G841" t="s">
        <v>161</v>
      </c>
      <c r="H841" t="s">
        <v>63</v>
      </c>
      <c r="I841" t="s">
        <v>96</v>
      </c>
      <c r="J841" t="s">
        <v>64</v>
      </c>
      <c r="K841" t="s">
        <v>120</v>
      </c>
      <c r="L841" s="6">
        <v>67130.45</v>
      </c>
      <c r="M841">
        <v>67058.210000000006</v>
      </c>
      <c r="N841" t="s">
        <v>4237</v>
      </c>
      <c r="O841">
        <v>7</v>
      </c>
      <c r="P841">
        <v>58</v>
      </c>
      <c r="Q841">
        <v>5</v>
      </c>
      <c r="R841">
        <v>115</v>
      </c>
      <c r="S841">
        <v>84.2</v>
      </c>
      <c r="T841" t="s">
        <v>37</v>
      </c>
      <c r="U841" s="7">
        <f t="shared" si="52"/>
        <v>58</v>
      </c>
      <c r="V841" s="7">
        <f t="shared" si="53"/>
        <v>7</v>
      </c>
      <c r="W841" s="6">
        <f t="shared" si="54"/>
        <v>72.239999999990687</v>
      </c>
      <c r="X841" t="str">
        <f t="shared" si="55"/>
        <v>Middle Age</v>
      </c>
    </row>
    <row r="842" spans="1:24">
      <c r="A842" t="s">
        <v>2057</v>
      </c>
      <c r="B842" t="s">
        <v>850</v>
      </c>
      <c r="C842" t="s">
        <v>40</v>
      </c>
      <c r="D842" s="5">
        <v>20915</v>
      </c>
      <c r="E842" s="5">
        <v>45127</v>
      </c>
      <c r="F842" s="5">
        <v>45137</v>
      </c>
      <c r="G842" t="s">
        <v>94</v>
      </c>
      <c r="H842" t="s">
        <v>24</v>
      </c>
      <c r="I842" t="s">
        <v>53</v>
      </c>
      <c r="J842" t="s">
        <v>71</v>
      </c>
      <c r="K842" t="s">
        <v>120</v>
      </c>
      <c r="L842" s="6">
        <v>226787.52</v>
      </c>
      <c r="M842">
        <v>185102.86</v>
      </c>
      <c r="N842" t="s">
        <v>56</v>
      </c>
      <c r="O842">
        <v>10</v>
      </c>
      <c r="P842">
        <v>46</v>
      </c>
      <c r="Q842">
        <v>4</v>
      </c>
      <c r="R842">
        <v>161</v>
      </c>
      <c r="S842">
        <v>222.6</v>
      </c>
      <c r="T842" t="s">
        <v>37</v>
      </c>
      <c r="U842" s="7">
        <f t="shared" si="52"/>
        <v>66</v>
      </c>
      <c r="V842" s="7">
        <f t="shared" si="53"/>
        <v>10</v>
      </c>
      <c r="W842" s="6">
        <f t="shared" si="54"/>
        <v>41684.660000000003</v>
      </c>
      <c r="X842" t="str">
        <f t="shared" si="55"/>
        <v>Senior</v>
      </c>
    </row>
    <row r="843" spans="1:24">
      <c r="A843" t="s">
        <v>2059</v>
      </c>
      <c r="B843" t="s">
        <v>1818</v>
      </c>
      <c r="C843" t="s">
        <v>40</v>
      </c>
      <c r="D843" s="5">
        <v>38242</v>
      </c>
      <c r="E843" s="5">
        <v>45932</v>
      </c>
      <c r="F843" s="5">
        <v>45945</v>
      </c>
      <c r="G843" t="s">
        <v>43</v>
      </c>
      <c r="H843" t="s">
        <v>86</v>
      </c>
      <c r="I843" t="s">
        <v>33</v>
      </c>
      <c r="J843" t="s">
        <v>80</v>
      </c>
      <c r="K843" t="s">
        <v>120</v>
      </c>
      <c r="L843" s="6">
        <v>139641.67000000001</v>
      </c>
      <c r="M843">
        <v>99320.52</v>
      </c>
      <c r="N843" t="s">
        <v>192</v>
      </c>
      <c r="O843">
        <v>13</v>
      </c>
      <c r="P843">
        <v>168</v>
      </c>
      <c r="Q843">
        <v>4</v>
      </c>
      <c r="R843">
        <v>128</v>
      </c>
      <c r="S843">
        <v>186.8</v>
      </c>
      <c r="T843" t="s">
        <v>37</v>
      </c>
      <c r="U843" s="7">
        <f t="shared" si="52"/>
        <v>21</v>
      </c>
      <c r="V843" s="7">
        <f t="shared" si="53"/>
        <v>13</v>
      </c>
      <c r="W843" s="6">
        <f t="shared" si="54"/>
        <v>40321.150000000009</v>
      </c>
      <c r="X843" t="str">
        <f t="shared" si="55"/>
        <v>Adult</v>
      </c>
    </row>
    <row r="844" spans="1:24">
      <c r="A844" t="s">
        <v>2061</v>
      </c>
      <c r="B844" t="s">
        <v>202</v>
      </c>
      <c r="C844" t="s">
        <v>40</v>
      </c>
      <c r="D844" s="5">
        <v>19560</v>
      </c>
      <c r="E844" s="5">
        <v>45814</v>
      </c>
      <c r="F844" s="5">
        <v>45820</v>
      </c>
      <c r="G844" t="s">
        <v>43</v>
      </c>
      <c r="H844" t="s">
        <v>95</v>
      </c>
      <c r="I844" t="s">
        <v>96</v>
      </c>
      <c r="J844" t="s">
        <v>46</v>
      </c>
      <c r="K844" t="s">
        <v>110</v>
      </c>
      <c r="L844" s="6">
        <v>85940.95</v>
      </c>
      <c r="M844">
        <v>64683.47</v>
      </c>
      <c r="N844" t="s">
        <v>35</v>
      </c>
      <c r="O844">
        <v>6</v>
      </c>
      <c r="P844">
        <v>172</v>
      </c>
      <c r="Q844">
        <v>4</v>
      </c>
      <c r="R844">
        <v>184</v>
      </c>
      <c r="S844">
        <v>129.30000000000001</v>
      </c>
      <c r="T844" t="s">
        <v>37</v>
      </c>
      <c r="U844" s="7">
        <f t="shared" si="52"/>
        <v>71</v>
      </c>
      <c r="V844" s="7">
        <f t="shared" si="53"/>
        <v>6</v>
      </c>
      <c r="W844" s="6">
        <f t="shared" si="54"/>
        <v>21257.479999999996</v>
      </c>
      <c r="X844" t="str">
        <f t="shared" si="55"/>
        <v>Senior</v>
      </c>
    </row>
    <row r="845" spans="1:24">
      <c r="A845" t="s">
        <v>2064</v>
      </c>
      <c r="B845" t="s">
        <v>909</v>
      </c>
      <c r="C845" t="s">
        <v>133</v>
      </c>
      <c r="D845" s="5">
        <v>32280</v>
      </c>
      <c r="E845" s="5">
        <v>45379</v>
      </c>
      <c r="F845" s="5" t="s">
        <v>4237</v>
      </c>
      <c r="G845" t="s">
        <v>161</v>
      </c>
      <c r="H845" t="s">
        <v>118</v>
      </c>
      <c r="I845" t="s">
        <v>119</v>
      </c>
      <c r="J845" t="s">
        <v>34</v>
      </c>
      <c r="K845" t="s">
        <v>110</v>
      </c>
      <c r="L845" s="6">
        <v>114225.88</v>
      </c>
      <c r="M845">
        <v>94674.83</v>
      </c>
      <c r="N845" t="s">
        <v>192</v>
      </c>
      <c r="O845">
        <v>2</v>
      </c>
      <c r="P845">
        <v>58</v>
      </c>
      <c r="Q845">
        <v>5</v>
      </c>
      <c r="R845">
        <v>136</v>
      </c>
      <c r="S845">
        <v>163.5</v>
      </c>
      <c r="T845" t="s">
        <v>65</v>
      </c>
      <c r="U845" s="7">
        <f t="shared" si="52"/>
        <v>35</v>
      </c>
      <c r="V845" s="7" t="s">
        <v>4237</v>
      </c>
      <c r="W845" s="6">
        <f t="shared" si="54"/>
        <v>19551.050000000003</v>
      </c>
      <c r="X845" t="str">
        <f t="shared" si="55"/>
        <v>Adult</v>
      </c>
    </row>
    <row r="846" spans="1:24">
      <c r="A846" t="s">
        <v>2065</v>
      </c>
      <c r="B846" t="s">
        <v>218</v>
      </c>
      <c r="C846" t="s">
        <v>133</v>
      </c>
      <c r="D846" s="5">
        <v>33606</v>
      </c>
      <c r="E846" s="5">
        <v>45529</v>
      </c>
      <c r="F846" s="5">
        <v>45538</v>
      </c>
      <c r="G846" t="s">
        <v>94</v>
      </c>
      <c r="H846" t="s">
        <v>24</v>
      </c>
      <c r="I846" t="s">
        <v>79</v>
      </c>
      <c r="J846" t="s">
        <v>64</v>
      </c>
      <c r="K846" t="s">
        <v>55</v>
      </c>
      <c r="L846" s="6">
        <v>162949.79</v>
      </c>
      <c r="M846">
        <v>148353.82</v>
      </c>
      <c r="N846" t="s">
        <v>73</v>
      </c>
      <c r="O846">
        <v>9</v>
      </c>
      <c r="P846">
        <v>71</v>
      </c>
      <c r="Q846">
        <v>1</v>
      </c>
      <c r="R846">
        <v>190</v>
      </c>
      <c r="S846">
        <v>203.1</v>
      </c>
      <c r="T846" t="s">
        <v>37</v>
      </c>
      <c r="U846" s="7">
        <f t="shared" si="52"/>
        <v>32</v>
      </c>
      <c r="V846" s="7">
        <f t="shared" si="53"/>
        <v>9</v>
      </c>
      <c r="W846" s="6">
        <f t="shared" si="54"/>
        <v>14595.970000000001</v>
      </c>
      <c r="X846" t="str">
        <f t="shared" si="55"/>
        <v>Adult</v>
      </c>
    </row>
    <row r="847" spans="1:24">
      <c r="A847" t="s">
        <v>2066</v>
      </c>
      <c r="B847" t="s">
        <v>385</v>
      </c>
      <c r="C847" t="s">
        <v>133</v>
      </c>
      <c r="D847" s="5">
        <v>18489</v>
      </c>
      <c r="E847" s="5">
        <v>45272</v>
      </c>
      <c r="F847" s="5">
        <v>45279</v>
      </c>
      <c r="G847" t="s">
        <v>161</v>
      </c>
      <c r="H847" t="s">
        <v>52</v>
      </c>
      <c r="I847" t="s">
        <v>119</v>
      </c>
      <c r="J847" t="s">
        <v>97</v>
      </c>
      <c r="K847" t="s">
        <v>55</v>
      </c>
      <c r="L847" s="6">
        <v>37151.730000000003</v>
      </c>
      <c r="M847">
        <v>32160.92</v>
      </c>
      <c r="N847" t="s">
        <v>56</v>
      </c>
      <c r="O847">
        <v>7</v>
      </c>
      <c r="P847">
        <v>121</v>
      </c>
      <c r="Q847">
        <v>3</v>
      </c>
      <c r="R847">
        <v>161</v>
      </c>
      <c r="S847">
        <v>99.5</v>
      </c>
      <c r="T847" t="s">
        <v>37</v>
      </c>
      <c r="U847" s="7">
        <f t="shared" si="52"/>
        <v>73</v>
      </c>
      <c r="V847" s="7">
        <f t="shared" si="53"/>
        <v>7</v>
      </c>
      <c r="W847" s="6">
        <f t="shared" si="54"/>
        <v>4990.8100000000049</v>
      </c>
      <c r="X847" t="str">
        <f t="shared" si="55"/>
        <v>Senior</v>
      </c>
    </row>
    <row r="848" spans="1:24">
      <c r="A848" t="s">
        <v>2069</v>
      </c>
      <c r="B848" t="s">
        <v>1088</v>
      </c>
      <c r="C848" t="s">
        <v>40</v>
      </c>
      <c r="D848" s="5">
        <v>32181</v>
      </c>
      <c r="E848" s="5">
        <v>45690</v>
      </c>
      <c r="F848" s="5">
        <v>45694</v>
      </c>
      <c r="G848" t="s">
        <v>94</v>
      </c>
      <c r="H848" t="s">
        <v>63</v>
      </c>
      <c r="I848" t="s">
        <v>25</v>
      </c>
      <c r="J848" t="s">
        <v>46</v>
      </c>
      <c r="K848" t="s">
        <v>161</v>
      </c>
      <c r="L848" s="6">
        <v>50574.38</v>
      </c>
      <c r="M848">
        <v>47002.77</v>
      </c>
      <c r="N848" t="s">
        <v>192</v>
      </c>
      <c r="O848">
        <v>4</v>
      </c>
      <c r="P848">
        <v>47</v>
      </c>
      <c r="Q848">
        <v>4</v>
      </c>
      <c r="R848">
        <v>165</v>
      </c>
      <c r="S848">
        <v>94.9</v>
      </c>
      <c r="T848" t="s">
        <v>37</v>
      </c>
      <c r="U848" s="7">
        <f t="shared" si="52"/>
        <v>36</v>
      </c>
      <c r="V848" s="7">
        <f t="shared" si="53"/>
        <v>4</v>
      </c>
      <c r="W848" s="6">
        <f t="shared" si="54"/>
        <v>3571.6100000000006</v>
      </c>
      <c r="X848" t="str">
        <f t="shared" si="55"/>
        <v>Adult</v>
      </c>
    </row>
    <row r="849" spans="1:24">
      <c r="A849" t="s">
        <v>2071</v>
      </c>
      <c r="B849" t="s">
        <v>88</v>
      </c>
      <c r="C849" t="s">
        <v>40</v>
      </c>
      <c r="D849" s="5">
        <v>18752</v>
      </c>
      <c r="E849" s="5">
        <v>45516</v>
      </c>
      <c r="F849" s="5">
        <v>45527</v>
      </c>
      <c r="G849" t="s">
        <v>161</v>
      </c>
      <c r="H849" t="s">
        <v>118</v>
      </c>
      <c r="I849" t="s">
        <v>119</v>
      </c>
      <c r="J849" t="s">
        <v>97</v>
      </c>
      <c r="K849" t="s">
        <v>161</v>
      </c>
      <c r="L849" s="6">
        <v>197194.22</v>
      </c>
      <c r="M849">
        <v>164747.22</v>
      </c>
      <c r="N849" t="s">
        <v>35</v>
      </c>
      <c r="O849">
        <v>11</v>
      </c>
      <c r="P849">
        <v>29</v>
      </c>
      <c r="Q849">
        <v>5</v>
      </c>
      <c r="R849">
        <v>126</v>
      </c>
      <c r="S849">
        <v>159.19999999999999</v>
      </c>
      <c r="T849" t="s">
        <v>37</v>
      </c>
      <c r="U849" s="7">
        <f t="shared" si="52"/>
        <v>73</v>
      </c>
      <c r="V849" s="7">
        <f t="shared" si="53"/>
        <v>11</v>
      </c>
      <c r="W849" s="6">
        <f t="shared" si="54"/>
        <v>32447</v>
      </c>
      <c r="X849" t="str">
        <f t="shared" si="55"/>
        <v>Senior</v>
      </c>
    </row>
    <row r="850" spans="1:24">
      <c r="A850" t="s">
        <v>2072</v>
      </c>
      <c r="B850" t="s">
        <v>697</v>
      </c>
      <c r="C850" t="s">
        <v>133</v>
      </c>
      <c r="D850" s="5">
        <v>33573</v>
      </c>
      <c r="E850" s="5">
        <v>45392</v>
      </c>
      <c r="F850" s="5">
        <v>45407</v>
      </c>
      <c r="G850" t="s">
        <v>94</v>
      </c>
      <c r="H850" t="s">
        <v>52</v>
      </c>
      <c r="I850" t="s">
        <v>53</v>
      </c>
      <c r="J850" t="s">
        <v>26</v>
      </c>
      <c r="K850" t="s">
        <v>55</v>
      </c>
      <c r="L850" s="6">
        <v>57424.86</v>
      </c>
      <c r="M850">
        <v>43254.94</v>
      </c>
      <c r="N850" t="s">
        <v>192</v>
      </c>
      <c r="O850">
        <v>15</v>
      </c>
      <c r="P850">
        <v>236</v>
      </c>
      <c r="Q850">
        <v>4</v>
      </c>
      <c r="R850">
        <v>141</v>
      </c>
      <c r="S850">
        <v>246.9</v>
      </c>
      <c r="T850" t="s">
        <v>47</v>
      </c>
      <c r="U850" s="7">
        <f t="shared" si="52"/>
        <v>32</v>
      </c>
      <c r="V850" s="7">
        <f t="shared" si="53"/>
        <v>15</v>
      </c>
      <c r="W850" s="6">
        <f t="shared" si="54"/>
        <v>14169.919999999998</v>
      </c>
      <c r="X850" t="str">
        <f t="shared" si="55"/>
        <v>Adult</v>
      </c>
    </row>
    <row r="851" spans="1:24">
      <c r="A851" t="s">
        <v>4150</v>
      </c>
      <c r="B851" t="s">
        <v>2075</v>
      </c>
      <c r="C851" t="s">
        <v>40</v>
      </c>
      <c r="D851" s="5">
        <v>39417</v>
      </c>
      <c r="E851" s="5">
        <v>45785</v>
      </c>
      <c r="F851" s="5">
        <v>45799</v>
      </c>
      <c r="G851" t="s">
        <v>152</v>
      </c>
      <c r="H851" t="s">
        <v>153</v>
      </c>
      <c r="I851" t="s">
        <v>96</v>
      </c>
      <c r="J851" t="s">
        <v>46</v>
      </c>
      <c r="K851" t="s">
        <v>55</v>
      </c>
      <c r="L851" s="6">
        <v>223731.12</v>
      </c>
      <c r="M851">
        <v>177662.41</v>
      </c>
      <c r="N851" t="s">
        <v>35</v>
      </c>
      <c r="O851">
        <v>14</v>
      </c>
      <c r="P851">
        <v>144</v>
      </c>
      <c r="Q851">
        <v>4</v>
      </c>
      <c r="R851">
        <v>91</v>
      </c>
      <c r="S851">
        <v>141.69999999999999</v>
      </c>
      <c r="T851" t="s">
        <v>4237</v>
      </c>
      <c r="U851" s="7">
        <f t="shared" si="52"/>
        <v>17</v>
      </c>
      <c r="V851" s="7">
        <f t="shared" si="53"/>
        <v>14</v>
      </c>
      <c r="W851" s="6">
        <f t="shared" si="54"/>
        <v>46068.709999999992</v>
      </c>
      <c r="X851" t="str">
        <f t="shared" si="55"/>
        <v>Child</v>
      </c>
    </row>
    <row r="852" spans="1:24">
      <c r="A852" t="s">
        <v>2076</v>
      </c>
      <c r="B852" t="s">
        <v>524</v>
      </c>
      <c r="C852" t="s">
        <v>40</v>
      </c>
      <c r="D852" s="5">
        <v>28082</v>
      </c>
      <c r="E852" s="5">
        <v>45068</v>
      </c>
      <c r="F852" s="5">
        <v>45078</v>
      </c>
      <c r="G852" t="s">
        <v>89</v>
      </c>
      <c r="H852" t="s">
        <v>24</v>
      </c>
      <c r="I852" t="s">
        <v>53</v>
      </c>
      <c r="J852" t="s">
        <v>46</v>
      </c>
      <c r="K852" t="s">
        <v>55</v>
      </c>
      <c r="L852" s="6">
        <v>56938.12</v>
      </c>
      <c r="M852">
        <v>48602.86</v>
      </c>
      <c r="N852" t="s">
        <v>192</v>
      </c>
      <c r="O852">
        <v>10</v>
      </c>
      <c r="P852">
        <v>54</v>
      </c>
      <c r="Q852">
        <v>4</v>
      </c>
      <c r="R852">
        <v>182</v>
      </c>
      <c r="S852">
        <v>163.5</v>
      </c>
      <c r="T852" t="s">
        <v>37</v>
      </c>
      <c r="U852" s="7">
        <f t="shared" si="52"/>
        <v>46</v>
      </c>
      <c r="V852" s="7">
        <f t="shared" si="53"/>
        <v>10</v>
      </c>
      <c r="W852" s="6">
        <f t="shared" si="54"/>
        <v>8335.260000000002</v>
      </c>
      <c r="X852" t="str">
        <f t="shared" si="55"/>
        <v>Middle Age</v>
      </c>
    </row>
    <row r="853" spans="1:24">
      <c r="A853" t="s">
        <v>2078</v>
      </c>
      <c r="B853" t="s">
        <v>194</v>
      </c>
      <c r="C853" t="s">
        <v>133</v>
      </c>
      <c r="D853" s="5">
        <v>39208</v>
      </c>
      <c r="E853" s="5">
        <v>45362</v>
      </c>
      <c r="F853" s="5" t="s">
        <v>4237</v>
      </c>
      <c r="G853" t="s">
        <v>94</v>
      </c>
      <c r="H853" t="s">
        <v>24</v>
      </c>
      <c r="I853" t="s">
        <v>96</v>
      </c>
      <c r="J853" t="s">
        <v>26</v>
      </c>
      <c r="K853" t="s">
        <v>120</v>
      </c>
      <c r="L853" s="6">
        <v>114956.38</v>
      </c>
      <c r="M853">
        <v>91085.03</v>
      </c>
      <c r="N853" t="s">
        <v>73</v>
      </c>
      <c r="O853">
        <v>10</v>
      </c>
      <c r="P853">
        <v>189</v>
      </c>
      <c r="Q853">
        <v>5</v>
      </c>
      <c r="R853">
        <v>133</v>
      </c>
      <c r="S853">
        <v>116.9</v>
      </c>
      <c r="T853" t="s">
        <v>37</v>
      </c>
      <c r="U853" s="7">
        <f t="shared" si="52"/>
        <v>16</v>
      </c>
      <c r="V853" s="7" t="s">
        <v>4237</v>
      </c>
      <c r="W853" s="6">
        <f t="shared" si="54"/>
        <v>23871.350000000006</v>
      </c>
      <c r="X853" t="str">
        <f t="shared" si="55"/>
        <v>Child</v>
      </c>
    </row>
    <row r="854" spans="1:24">
      <c r="A854" t="s">
        <v>2080</v>
      </c>
      <c r="B854" t="s">
        <v>661</v>
      </c>
      <c r="C854" t="s">
        <v>133</v>
      </c>
      <c r="D854" s="5">
        <v>26878</v>
      </c>
      <c r="E854" s="5">
        <v>45416</v>
      </c>
      <c r="F854" s="5">
        <v>45423</v>
      </c>
      <c r="G854" t="s">
        <v>62</v>
      </c>
      <c r="H854" t="s">
        <v>118</v>
      </c>
      <c r="I854" t="s">
        <v>33</v>
      </c>
      <c r="J854" t="s">
        <v>64</v>
      </c>
      <c r="K854" t="s">
        <v>27</v>
      </c>
      <c r="L854" s="6">
        <v>74551.37</v>
      </c>
      <c r="M854">
        <v>73006.31</v>
      </c>
      <c r="N854" t="s">
        <v>192</v>
      </c>
      <c r="O854">
        <v>7</v>
      </c>
      <c r="P854">
        <v>222</v>
      </c>
      <c r="Q854">
        <v>2</v>
      </c>
      <c r="R854">
        <v>131</v>
      </c>
      <c r="S854">
        <v>191.6</v>
      </c>
      <c r="T854" t="s">
        <v>47</v>
      </c>
      <c r="U854" s="7">
        <f t="shared" si="52"/>
        <v>50</v>
      </c>
      <c r="V854" s="7">
        <f t="shared" si="53"/>
        <v>7</v>
      </c>
      <c r="W854" s="6">
        <f t="shared" si="54"/>
        <v>1545.0599999999977</v>
      </c>
      <c r="X854" t="str">
        <f t="shared" si="55"/>
        <v>Middle Age</v>
      </c>
    </row>
    <row r="855" spans="1:24">
      <c r="A855" t="s">
        <v>2081</v>
      </c>
      <c r="B855" t="s">
        <v>511</v>
      </c>
      <c r="C855" t="s">
        <v>133</v>
      </c>
      <c r="D855" s="5">
        <v>40257</v>
      </c>
      <c r="E855" s="5">
        <v>45211</v>
      </c>
      <c r="F855" s="5" t="s">
        <v>4237</v>
      </c>
      <c r="G855" t="s">
        <v>161</v>
      </c>
      <c r="H855" t="s">
        <v>134</v>
      </c>
      <c r="I855" t="s">
        <v>33</v>
      </c>
      <c r="J855" t="s">
        <v>64</v>
      </c>
      <c r="K855" t="s">
        <v>27</v>
      </c>
      <c r="L855" s="6">
        <v>232083.77</v>
      </c>
      <c r="M855">
        <v>225481.4</v>
      </c>
      <c r="N855" t="s">
        <v>192</v>
      </c>
      <c r="O855">
        <v>5</v>
      </c>
      <c r="P855">
        <v>121</v>
      </c>
      <c r="Q855">
        <v>4</v>
      </c>
      <c r="R855">
        <v>165</v>
      </c>
      <c r="S855">
        <v>103.5</v>
      </c>
      <c r="T855" t="s">
        <v>37</v>
      </c>
      <c r="U855" s="7">
        <f t="shared" si="52"/>
        <v>13</v>
      </c>
      <c r="V855" s="7" t="s">
        <v>4237</v>
      </c>
      <c r="W855" s="6">
        <f t="shared" si="54"/>
        <v>6602.3699999999953</v>
      </c>
      <c r="X855" t="str">
        <f t="shared" si="55"/>
        <v>Child</v>
      </c>
    </row>
    <row r="856" spans="1:24">
      <c r="A856" t="s">
        <v>2082</v>
      </c>
      <c r="B856" t="s">
        <v>185</v>
      </c>
      <c r="C856" t="s">
        <v>40</v>
      </c>
      <c r="D856" s="5">
        <v>19132</v>
      </c>
      <c r="E856" s="5">
        <v>45660</v>
      </c>
      <c r="F856" s="5">
        <v>45661</v>
      </c>
      <c r="G856" t="s">
        <v>152</v>
      </c>
      <c r="H856" t="s">
        <v>134</v>
      </c>
      <c r="I856" t="s">
        <v>33</v>
      </c>
      <c r="J856" t="s">
        <v>64</v>
      </c>
      <c r="K856" t="s">
        <v>120</v>
      </c>
      <c r="L856" s="6">
        <v>14565.36</v>
      </c>
      <c r="M856">
        <v>10117.49</v>
      </c>
      <c r="N856" t="s">
        <v>4237</v>
      </c>
      <c r="O856">
        <v>1</v>
      </c>
      <c r="P856">
        <v>67</v>
      </c>
      <c r="Q856">
        <v>4</v>
      </c>
      <c r="R856">
        <v>137</v>
      </c>
      <c r="S856">
        <v>187.6</v>
      </c>
      <c r="T856" t="s">
        <v>37</v>
      </c>
      <c r="U856" s="7">
        <f t="shared" si="52"/>
        <v>72</v>
      </c>
      <c r="V856" s="7">
        <f t="shared" si="53"/>
        <v>1</v>
      </c>
      <c r="W856" s="6">
        <f t="shared" si="54"/>
        <v>4447.8700000000008</v>
      </c>
      <c r="X856" t="str">
        <f t="shared" si="55"/>
        <v>Senior</v>
      </c>
    </row>
    <row r="857" spans="1:24">
      <c r="A857" t="s">
        <v>2085</v>
      </c>
      <c r="B857" t="s">
        <v>249</v>
      </c>
      <c r="C857" t="s">
        <v>133</v>
      </c>
      <c r="D857" s="5">
        <v>34549</v>
      </c>
      <c r="E857" s="5">
        <v>45979</v>
      </c>
      <c r="F857" s="5">
        <v>45991</v>
      </c>
      <c r="G857" t="s">
        <v>117</v>
      </c>
      <c r="H857" t="s">
        <v>44</v>
      </c>
      <c r="I857" t="s">
        <v>25</v>
      </c>
      <c r="J857" t="s">
        <v>34</v>
      </c>
      <c r="K857" t="s">
        <v>110</v>
      </c>
      <c r="L857" s="6">
        <v>145893.35999999999</v>
      </c>
      <c r="M857">
        <v>123894.36</v>
      </c>
      <c r="N857" t="s">
        <v>91</v>
      </c>
      <c r="O857">
        <v>12</v>
      </c>
      <c r="P857">
        <v>41</v>
      </c>
      <c r="Q857">
        <v>4</v>
      </c>
      <c r="R857">
        <v>90</v>
      </c>
      <c r="S857">
        <v>124.3</v>
      </c>
      <c r="T857" t="s">
        <v>65</v>
      </c>
      <c r="U857" s="7">
        <f t="shared" si="52"/>
        <v>31</v>
      </c>
      <c r="V857" s="7">
        <f t="shared" si="53"/>
        <v>12</v>
      </c>
      <c r="W857" s="6">
        <f t="shared" si="54"/>
        <v>21998.999999999985</v>
      </c>
      <c r="X857" t="str">
        <f t="shared" si="55"/>
        <v>Adult</v>
      </c>
    </row>
    <row r="858" spans="1:24">
      <c r="A858" t="s">
        <v>2087</v>
      </c>
      <c r="B858" t="s">
        <v>247</v>
      </c>
      <c r="C858" t="s">
        <v>133</v>
      </c>
      <c r="D858" s="5" t="s">
        <v>4237</v>
      </c>
      <c r="E858" s="5">
        <v>44953</v>
      </c>
      <c r="F858" s="5" t="s">
        <v>4237</v>
      </c>
      <c r="G858" t="s">
        <v>94</v>
      </c>
      <c r="H858" t="s">
        <v>63</v>
      </c>
      <c r="I858" t="s">
        <v>45</v>
      </c>
      <c r="J858" t="s">
        <v>64</v>
      </c>
      <c r="K858" t="s">
        <v>120</v>
      </c>
      <c r="L858" s="6">
        <v>175576.65</v>
      </c>
      <c r="M858">
        <v>171362.64</v>
      </c>
      <c r="N858" t="s">
        <v>192</v>
      </c>
      <c r="O858">
        <v>4</v>
      </c>
      <c r="P858">
        <v>176</v>
      </c>
      <c r="Q858">
        <v>4</v>
      </c>
      <c r="R858">
        <v>153</v>
      </c>
      <c r="S858">
        <v>151.30000000000001</v>
      </c>
      <c r="T858" t="s">
        <v>37</v>
      </c>
      <c r="U858" s="7" t="s">
        <v>4237</v>
      </c>
      <c r="V858" s="7" t="s">
        <v>4237</v>
      </c>
      <c r="W858" s="6">
        <f t="shared" si="54"/>
        <v>4214.0099999999802</v>
      </c>
      <c r="X858" t="s">
        <v>4237</v>
      </c>
    </row>
    <row r="859" spans="1:24">
      <c r="A859" t="s">
        <v>2092</v>
      </c>
      <c r="B859" t="s">
        <v>2093</v>
      </c>
      <c r="C859" t="s">
        <v>40</v>
      </c>
      <c r="D859" s="5">
        <v>19562</v>
      </c>
      <c r="E859" s="5">
        <v>45078</v>
      </c>
      <c r="F859" s="5">
        <v>45080</v>
      </c>
      <c r="G859" t="s">
        <v>94</v>
      </c>
      <c r="H859" t="s">
        <v>52</v>
      </c>
      <c r="I859" t="s">
        <v>33</v>
      </c>
      <c r="J859" t="s">
        <v>34</v>
      </c>
      <c r="K859" t="s">
        <v>27</v>
      </c>
      <c r="L859" s="6">
        <v>120918.96</v>
      </c>
      <c r="M859">
        <v>98371.59</v>
      </c>
      <c r="N859" t="s">
        <v>192</v>
      </c>
      <c r="O859">
        <v>2</v>
      </c>
      <c r="P859">
        <v>118</v>
      </c>
      <c r="Q859">
        <v>1</v>
      </c>
      <c r="R859">
        <v>139</v>
      </c>
      <c r="S859">
        <v>189.5</v>
      </c>
      <c r="T859" t="s">
        <v>37</v>
      </c>
      <c r="U859" s="7">
        <f t="shared" si="52"/>
        <v>69</v>
      </c>
      <c r="V859" s="7">
        <f t="shared" si="53"/>
        <v>2</v>
      </c>
      <c r="W859" s="6">
        <f t="shared" si="54"/>
        <v>22547.37000000001</v>
      </c>
      <c r="X859" t="str">
        <f t="shared" si="55"/>
        <v>Senior</v>
      </c>
    </row>
    <row r="860" spans="1:24">
      <c r="A860" t="s">
        <v>2095</v>
      </c>
      <c r="B860" t="s">
        <v>1563</v>
      </c>
      <c r="C860" t="s">
        <v>133</v>
      </c>
      <c r="D860" s="5">
        <v>33493</v>
      </c>
      <c r="E860" s="5">
        <v>45775</v>
      </c>
      <c r="F860" s="5">
        <v>45783</v>
      </c>
      <c r="G860" t="s">
        <v>161</v>
      </c>
      <c r="H860" t="s">
        <v>52</v>
      </c>
      <c r="I860" t="s">
        <v>96</v>
      </c>
      <c r="J860" t="s">
        <v>97</v>
      </c>
      <c r="K860" t="s">
        <v>27</v>
      </c>
      <c r="L860" s="6">
        <v>152552.82</v>
      </c>
      <c r="M860">
        <v>107774.3</v>
      </c>
      <c r="N860" t="s">
        <v>192</v>
      </c>
      <c r="O860">
        <v>8</v>
      </c>
      <c r="P860">
        <v>12</v>
      </c>
      <c r="Q860">
        <v>4</v>
      </c>
      <c r="R860">
        <v>148</v>
      </c>
      <c r="S860">
        <v>227.7</v>
      </c>
      <c r="T860" t="s">
        <v>47</v>
      </c>
      <c r="U860" s="7">
        <f t="shared" si="52"/>
        <v>33</v>
      </c>
      <c r="V860" s="7">
        <f t="shared" si="53"/>
        <v>8</v>
      </c>
      <c r="W860" s="6">
        <f t="shared" si="54"/>
        <v>44778.520000000004</v>
      </c>
      <c r="X860" t="str">
        <f t="shared" si="55"/>
        <v>Adult</v>
      </c>
    </row>
    <row r="861" spans="1:24">
      <c r="A861" t="s">
        <v>2097</v>
      </c>
      <c r="B861" t="s">
        <v>825</v>
      </c>
      <c r="C861" t="s">
        <v>133</v>
      </c>
      <c r="D861" s="5">
        <v>34823</v>
      </c>
      <c r="E861" s="5">
        <v>45932</v>
      </c>
      <c r="F861" s="5">
        <v>45950</v>
      </c>
      <c r="G861" t="s">
        <v>152</v>
      </c>
      <c r="H861" t="s">
        <v>32</v>
      </c>
      <c r="I861" t="s">
        <v>79</v>
      </c>
      <c r="J861" t="s">
        <v>46</v>
      </c>
      <c r="K861" t="s">
        <v>55</v>
      </c>
      <c r="L861" s="6">
        <v>143605.85999999999</v>
      </c>
      <c r="M861">
        <v>139104.54</v>
      </c>
      <c r="N861" t="s">
        <v>56</v>
      </c>
      <c r="O861">
        <v>18</v>
      </c>
      <c r="P861">
        <v>240</v>
      </c>
      <c r="Q861">
        <v>4</v>
      </c>
      <c r="R861">
        <v>107</v>
      </c>
      <c r="S861">
        <v>77.8</v>
      </c>
      <c r="T861" t="s">
        <v>37</v>
      </c>
      <c r="U861" s="7">
        <f t="shared" si="52"/>
        <v>30</v>
      </c>
      <c r="V861" s="7">
        <f t="shared" si="53"/>
        <v>18</v>
      </c>
      <c r="W861" s="6">
        <f t="shared" si="54"/>
        <v>4501.3199999999779</v>
      </c>
      <c r="X861" t="str">
        <f t="shared" si="55"/>
        <v>Adult</v>
      </c>
    </row>
    <row r="862" spans="1:24">
      <c r="A862" t="s">
        <v>2098</v>
      </c>
      <c r="B862" t="s">
        <v>607</v>
      </c>
      <c r="C862" t="s">
        <v>133</v>
      </c>
      <c r="D862" s="5">
        <v>29654</v>
      </c>
      <c r="E862" s="5">
        <v>45574</v>
      </c>
      <c r="F862" s="5">
        <v>45586</v>
      </c>
      <c r="G862" t="s">
        <v>94</v>
      </c>
      <c r="H862" t="s">
        <v>86</v>
      </c>
      <c r="I862" t="s">
        <v>33</v>
      </c>
      <c r="J862" t="s">
        <v>46</v>
      </c>
      <c r="K862" t="s">
        <v>55</v>
      </c>
      <c r="L862" s="6">
        <v>168978.7</v>
      </c>
      <c r="M862">
        <v>165448.01</v>
      </c>
      <c r="N862" t="s">
        <v>56</v>
      </c>
      <c r="O862">
        <v>12</v>
      </c>
      <c r="P862">
        <v>103</v>
      </c>
      <c r="Q862">
        <v>4</v>
      </c>
      <c r="R862">
        <v>142</v>
      </c>
      <c r="S862">
        <v>119.4</v>
      </c>
      <c r="T862" t="s">
        <v>37</v>
      </c>
      <c r="U862" s="7">
        <f t="shared" si="52"/>
        <v>43</v>
      </c>
      <c r="V862" s="7">
        <f t="shared" si="53"/>
        <v>12</v>
      </c>
      <c r="W862" s="6">
        <f t="shared" si="54"/>
        <v>3530.6900000000023</v>
      </c>
      <c r="X862" t="str">
        <f t="shared" si="55"/>
        <v>Middle Age</v>
      </c>
    </row>
    <row r="863" spans="1:24">
      <c r="A863" t="s">
        <v>2099</v>
      </c>
      <c r="B863" t="s">
        <v>513</v>
      </c>
      <c r="C863" t="s">
        <v>133</v>
      </c>
      <c r="D863" s="5">
        <v>31604</v>
      </c>
      <c r="E863" s="5">
        <v>45711</v>
      </c>
      <c r="F863" s="5">
        <v>45729</v>
      </c>
      <c r="G863" t="s">
        <v>94</v>
      </c>
      <c r="H863" t="s">
        <v>52</v>
      </c>
      <c r="I863" t="s">
        <v>53</v>
      </c>
      <c r="J863" t="s">
        <v>179</v>
      </c>
      <c r="K863" t="s">
        <v>120</v>
      </c>
      <c r="L863" s="6">
        <v>216926.07999999999</v>
      </c>
      <c r="M863">
        <v>200701.78</v>
      </c>
      <c r="N863" t="s">
        <v>91</v>
      </c>
      <c r="O863">
        <v>18</v>
      </c>
      <c r="P863">
        <v>229</v>
      </c>
      <c r="Q863">
        <v>4</v>
      </c>
      <c r="R863">
        <v>181</v>
      </c>
      <c r="S863">
        <v>163.5</v>
      </c>
      <c r="T863" t="s">
        <v>37</v>
      </c>
      <c r="U863" s="7">
        <f t="shared" si="52"/>
        <v>38</v>
      </c>
      <c r="V863" s="7">
        <f t="shared" si="53"/>
        <v>18</v>
      </c>
      <c r="W863" s="6">
        <f t="shared" si="54"/>
        <v>16224.299999999988</v>
      </c>
      <c r="X863" t="str">
        <f t="shared" si="55"/>
        <v>Adult</v>
      </c>
    </row>
    <row r="864" spans="1:24">
      <c r="A864" t="s">
        <v>2101</v>
      </c>
      <c r="B864" t="s">
        <v>126</v>
      </c>
      <c r="C864" t="s">
        <v>40</v>
      </c>
      <c r="D864" s="5">
        <v>39088</v>
      </c>
      <c r="E864" s="5">
        <v>45228</v>
      </c>
      <c r="F864" s="5">
        <v>45235</v>
      </c>
      <c r="G864" t="s">
        <v>77</v>
      </c>
      <c r="H864" t="s">
        <v>32</v>
      </c>
      <c r="I864" t="s">
        <v>25</v>
      </c>
      <c r="J864" t="s">
        <v>71</v>
      </c>
      <c r="K864" t="s">
        <v>55</v>
      </c>
      <c r="L864" s="6">
        <v>227900.19</v>
      </c>
      <c r="M864">
        <v>198516.17</v>
      </c>
      <c r="N864" t="s">
        <v>56</v>
      </c>
      <c r="O864">
        <v>7</v>
      </c>
      <c r="P864">
        <v>123</v>
      </c>
      <c r="Q864">
        <v>3</v>
      </c>
      <c r="R864">
        <v>137</v>
      </c>
      <c r="S864">
        <v>92.1</v>
      </c>
      <c r="T864" t="s">
        <v>37</v>
      </c>
      <c r="U864" s="7">
        <f t="shared" si="52"/>
        <v>16</v>
      </c>
      <c r="V864" s="7">
        <f t="shared" si="53"/>
        <v>7</v>
      </c>
      <c r="W864" s="6">
        <f t="shared" si="54"/>
        <v>29384.01999999999</v>
      </c>
      <c r="X864" t="str">
        <f t="shared" si="55"/>
        <v>Child</v>
      </c>
    </row>
    <row r="865" spans="1:24">
      <c r="A865" t="s">
        <v>2102</v>
      </c>
      <c r="B865" t="s">
        <v>241</v>
      </c>
      <c r="C865" t="s">
        <v>40</v>
      </c>
      <c r="D865" s="5">
        <v>22879</v>
      </c>
      <c r="E865" s="5">
        <v>45246</v>
      </c>
      <c r="F865" s="5">
        <v>45248</v>
      </c>
      <c r="G865" t="s">
        <v>161</v>
      </c>
      <c r="H865" t="s">
        <v>153</v>
      </c>
      <c r="I865" t="s">
        <v>96</v>
      </c>
      <c r="J865" t="s">
        <v>46</v>
      </c>
      <c r="K865" t="s">
        <v>110</v>
      </c>
      <c r="L865" s="6">
        <v>123663.9</v>
      </c>
      <c r="M865">
        <v>14754.29</v>
      </c>
      <c r="N865" t="s">
        <v>91</v>
      </c>
      <c r="O865">
        <v>2</v>
      </c>
      <c r="P865">
        <v>201</v>
      </c>
      <c r="Q865">
        <v>4</v>
      </c>
      <c r="R865">
        <v>91</v>
      </c>
      <c r="S865">
        <v>145.1</v>
      </c>
      <c r="T865" t="s">
        <v>37</v>
      </c>
      <c r="U865" s="7">
        <f t="shared" si="52"/>
        <v>61</v>
      </c>
      <c r="V865" s="7">
        <f t="shared" si="53"/>
        <v>2</v>
      </c>
      <c r="W865" s="6">
        <f t="shared" si="54"/>
        <v>108909.60999999999</v>
      </c>
      <c r="X865" t="str">
        <f t="shared" si="55"/>
        <v>Senior</v>
      </c>
    </row>
    <row r="866" spans="1:24">
      <c r="A866" t="s">
        <v>2103</v>
      </c>
      <c r="B866" t="s">
        <v>917</v>
      </c>
      <c r="C866" t="s">
        <v>133</v>
      </c>
      <c r="D866" s="5">
        <v>25090</v>
      </c>
      <c r="E866" s="5">
        <v>45186</v>
      </c>
      <c r="F866" s="5">
        <v>45199</v>
      </c>
      <c r="G866" t="s">
        <v>94</v>
      </c>
      <c r="H866" t="s">
        <v>52</v>
      </c>
      <c r="I866" t="s">
        <v>45</v>
      </c>
      <c r="J866" t="s">
        <v>80</v>
      </c>
      <c r="K866" t="s">
        <v>55</v>
      </c>
      <c r="L866" s="6">
        <v>123663.9</v>
      </c>
      <c r="M866">
        <v>205251.5</v>
      </c>
      <c r="N866" t="s">
        <v>192</v>
      </c>
      <c r="O866">
        <v>13</v>
      </c>
      <c r="P866">
        <v>120</v>
      </c>
      <c r="Q866">
        <v>4</v>
      </c>
      <c r="R866">
        <v>92</v>
      </c>
      <c r="S866">
        <v>249.9</v>
      </c>
      <c r="T866" t="s">
        <v>37</v>
      </c>
      <c r="U866" s="7">
        <f t="shared" si="52"/>
        <v>55</v>
      </c>
      <c r="V866" s="7">
        <f t="shared" si="53"/>
        <v>13</v>
      </c>
      <c r="W866" s="6">
        <f t="shared" si="54"/>
        <v>-81587.600000000006</v>
      </c>
      <c r="X866" t="str">
        <f t="shared" si="55"/>
        <v>Middle Age</v>
      </c>
    </row>
    <row r="867" spans="1:24">
      <c r="A867" t="s">
        <v>2105</v>
      </c>
      <c r="B867" t="s">
        <v>852</v>
      </c>
      <c r="C867" t="s">
        <v>133</v>
      </c>
      <c r="D867" s="5">
        <v>21203</v>
      </c>
      <c r="E867" s="5">
        <v>45685</v>
      </c>
      <c r="F867" s="5">
        <v>45699</v>
      </c>
      <c r="G867" t="s">
        <v>161</v>
      </c>
      <c r="H867" t="s">
        <v>95</v>
      </c>
      <c r="I867" t="s">
        <v>25</v>
      </c>
      <c r="J867" t="s">
        <v>26</v>
      </c>
      <c r="K867" t="s">
        <v>55</v>
      </c>
      <c r="L867" s="6">
        <v>217104.02</v>
      </c>
      <c r="M867">
        <v>169007.94</v>
      </c>
      <c r="N867" t="s">
        <v>35</v>
      </c>
      <c r="O867">
        <v>14</v>
      </c>
      <c r="P867">
        <v>99</v>
      </c>
      <c r="Q867">
        <v>2</v>
      </c>
      <c r="R867">
        <v>162</v>
      </c>
      <c r="S867">
        <v>246.8</v>
      </c>
      <c r="T867" t="s">
        <v>65</v>
      </c>
      <c r="U867" s="7">
        <f t="shared" si="52"/>
        <v>67</v>
      </c>
      <c r="V867" s="7">
        <f t="shared" si="53"/>
        <v>14</v>
      </c>
      <c r="W867" s="6">
        <f t="shared" si="54"/>
        <v>48096.079999999987</v>
      </c>
      <c r="X867" t="str">
        <f t="shared" si="55"/>
        <v>Senior</v>
      </c>
    </row>
    <row r="868" spans="1:24">
      <c r="A868" t="s">
        <v>2109</v>
      </c>
      <c r="B868" t="s">
        <v>591</v>
      </c>
      <c r="C868" t="s">
        <v>133</v>
      </c>
      <c r="D868" s="5" t="s">
        <v>4237</v>
      </c>
      <c r="E868" s="5">
        <v>45970</v>
      </c>
      <c r="F868" s="5">
        <v>45972</v>
      </c>
      <c r="G868" t="s">
        <v>152</v>
      </c>
      <c r="H868" t="s">
        <v>52</v>
      </c>
      <c r="I868" t="s">
        <v>25</v>
      </c>
      <c r="J868" t="s">
        <v>71</v>
      </c>
      <c r="K868" t="s">
        <v>120</v>
      </c>
      <c r="L868" s="6">
        <v>17705.37</v>
      </c>
      <c r="M868">
        <v>12733.03</v>
      </c>
      <c r="N868" t="s">
        <v>91</v>
      </c>
      <c r="O868">
        <v>2</v>
      </c>
      <c r="P868">
        <v>108</v>
      </c>
      <c r="Q868">
        <v>4</v>
      </c>
      <c r="R868">
        <v>155</v>
      </c>
      <c r="S868">
        <v>134.6</v>
      </c>
      <c r="T868" t="s">
        <v>4237</v>
      </c>
      <c r="U868" s="7" t="s">
        <v>4237</v>
      </c>
      <c r="V868" s="7">
        <f t="shared" si="53"/>
        <v>2</v>
      </c>
      <c r="W868" s="6">
        <f t="shared" si="54"/>
        <v>4972.3399999999983</v>
      </c>
      <c r="X868" t="s">
        <v>4237</v>
      </c>
    </row>
    <row r="869" spans="1:24">
      <c r="A869" t="s">
        <v>2112</v>
      </c>
      <c r="B869" t="s">
        <v>666</v>
      </c>
      <c r="C869" t="s">
        <v>133</v>
      </c>
      <c r="D869" s="5">
        <v>20653</v>
      </c>
      <c r="E869" s="5">
        <v>45577</v>
      </c>
      <c r="F869" s="5">
        <v>45590</v>
      </c>
      <c r="G869" t="s">
        <v>161</v>
      </c>
      <c r="H869" t="s">
        <v>32</v>
      </c>
      <c r="I869" t="s">
        <v>33</v>
      </c>
      <c r="J869" t="s">
        <v>64</v>
      </c>
      <c r="K869" t="s">
        <v>55</v>
      </c>
      <c r="L869" s="6">
        <v>67410.350000000006</v>
      </c>
      <c r="M869">
        <v>66643.22</v>
      </c>
      <c r="N869" t="s">
        <v>73</v>
      </c>
      <c r="O869">
        <v>13</v>
      </c>
      <c r="P869">
        <v>160</v>
      </c>
      <c r="Q869">
        <v>1</v>
      </c>
      <c r="R869">
        <v>109</v>
      </c>
      <c r="S869">
        <v>238.8</v>
      </c>
      <c r="T869" t="s">
        <v>4237</v>
      </c>
      <c r="U869" s="7">
        <f t="shared" si="52"/>
        <v>68</v>
      </c>
      <c r="V869" s="7">
        <f t="shared" si="53"/>
        <v>13</v>
      </c>
      <c r="W869" s="6">
        <f t="shared" si="54"/>
        <v>767.13000000000466</v>
      </c>
      <c r="X869" t="str">
        <f t="shared" si="55"/>
        <v>Senior</v>
      </c>
    </row>
    <row r="870" spans="1:24">
      <c r="A870" t="s">
        <v>2114</v>
      </c>
      <c r="B870" t="s">
        <v>768</v>
      </c>
      <c r="C870" t="s">
        <v>133</v>
      </c>
      <c r="D870" s="5">
        <v>28159</v>
      </c>
      <c r="E870" s="5">
        <v>45889</v>
      </c>
      <c r="F870" s="5">
        <v>45902</v>
      </c>
      <c r="G870" t="s">
        <v>117</v>
      </c>
      <c r="H870" t="s">
        <v>153</v>
      </c>
      <c r="I870" t="s">
        <v>45</v>
      </c>
      <c r="J870" t="s">
        <v>80</v>
      </c>
      <c r="K870" t="s">
        <v>120</v>
      </c>
      <c r="L870" s="6">
        <v>42058.26</v>
      </c>
      <c r="M870">
        <v>35452.89</v>
      </c>
      <c r="N870" t="s">
        <v>91</v>
      </c>
      <c r="O870">
        <v>13</v>
      </c>
      <c r="P870">
        <v>15</v>
      </c>
      <c r="Q870">
        <v>5</v>
      </c>
      <c r="R870">
        <v>93</v>
      </c>
      <c r="S870">
        <v>133.19999999999999</v>
      </c>
      <c r="T870" t="s">
        <v>37</v>
      </c>
      <c r="U870" s="7">
        <f t="shared" si="52"/>
        <v>48</v>
      </c>
      <c r="V870" s="7">
        <f t="shared" si="53"/>
        <v>13</v>
      </c>
      <c r="W870" s="6">
        <f t="shared" si="54"/>
        <v>6605.3700000000026</v>
      </c>
      <c r="X870" t="str">
        <f t="shared" si="55"/>
        <v>Middle Age</v>
      </c>
    </row>
    <row r="871" spans="1:24">
      <c r="A871" t="s">
        <v>2115</v>
      </c>
      <c r="B871" t="s">
        <v>877</v>
      </c>
      <c r="C871" t="s">
        <v>40</v>
      </c>
      <c r="D871" s="5">
        <v>33536</v>
      </c>
      <c r="E871" s="5">
        <v>45969</v>
      </c>
      <c r="F871" s="5">
        <v>45975</v>
      </c>
      <c r="G871" t="s">
        <v>43</v>
      </c>
      <c r="H871" t="s">
        <v>153</v>
      </c>
      <c r="I871" t="s">
        <v>53</v>
      </c>
      <c r="J871" t="s">
        <v>26</v>
      </c>
      <c r="K871" t="s">
        <v>55</v>
      </c>
      <c r="L871" s="6">
        <v>118360.83</v>
      </c>
      <c r="M871">
        <v>84971.75</v>
      </c>
      <c r="N871" t="s">
        <v>56</v>
      </c>
      <c r="O871">
        <v>6</v>
      </c>
      <c r="P871">
        <v>148</v>
      </c>
      <c r="Q871">
        <v>1</v>
      </c>
      <c r="R871">
        <v>98</v>
      </c>
      <c r="S871">
        <v>199.5</v>
      </c>
      <c r="T871" t="s">
        <v>37</v>
      </c>
      <c r="U871" s="7">
        <f t="shared" si="52"/>
        <v>34</v>
      </c>
      <c r="V871" s="7">
        <f t="shared" si="53"/>
        <v>6</v>
      </c>
      <c r="W871" s="6">
        <f t="shared" si="54"/>
        <v>33389.08</v>
      </c>
      <c r="X871" t="str">
        <f t="shared" si="55"/>
        <v>Adult</v>
      </c>
    </row>
    <row r="872" spans="1:24">
      <c r="A872" t="s">
        <v>2116</v>
      </c>
      <c r="B872" t="s">
        <v>1667</v>
      </c>
      <c r="C872" t="s">
        <v>40</v>
      </c>
      <c r="D872" s="5">
        <v>35990</v>
      </c>
      <c r="E872" s="5">
        <v>45381</v>
      </c>
      <c r="F872" s="5">
        <v>45390</v>
      </c>
      <c r="G872" t="s">
        <v>152</v>
      </c>
      <c r="H872" t="s">
        <v>63</v>
      </c>
      <c r="I872" t="s">
        <v>33</v>
      </c>
      <c r="J872" t="s">
        <v>97</v>
      </c>
      <c r="K872" t="s">
        <v>27</v>
      </c>
      <c r="L872" s="6">
        <v>81683.960000000006</v>
      </c>
      <c r="M872">
        <v>59634.720000000001</v>
      </c>
      <c r="N872" t="s">
        <v>35</v>
      </c>
      <c r="O872">
        <v>9</v>
      </c>
      <c r="P872">
        <v>121</v>
      </c>
      <c r="Q872">
        <v>4</v>
      </c>
      <c r="R872">
        <v>103</v>
      </c>
      <c r="S872">
        <v>254</v>
      </c>
      <c r="T872" t="s">
        <v>37</v>
      </c>
      <c r="U872" s="7">
        <f t="shared" si="52"/>
        <v>25</v>
      </c>
      <c r="V872" s="7">
        <f t="shared" si="53"/>
        <v>9</v>
      </c>
      <c r="W872" s="6">
        <f t="shared" si="54"/>
        <v>22049.240000000005</v>
      </c>
      <c r="X872" t="str">
        <f t="shared" si="55"/>
        <v>Adult</v>
      </c>
    </row>
    <row r="873" spans="1:24">
      <c r="A873" t="s">
        <v>2117</v>
      </c>
      <c r="B873" t="s">
        <v>472</v>
      </c>
      <c r="C873" t="s">
        <v>133</v>
      </c>
      <c r="D873" s="5">
        <v>40416</v>
      </c>
      <c r="E873" s="5">
        <v>45900</v>
      </c>
      <c r="F873" s="5">
        <v>45916</v>
      </c>
      <c r="G873" t="s">
        <v>161</v>
      </c>
      <c r="H873" t="s">
        <v>78</v>
      </c>
      <c r="I873" t="s">
        <v>33</v>
      </c>
      <c r="J873" t="s">
        <v>64</v>
      </c>
      <c r="K873" t="s">
        <v>27</v>
      </c>
      <c r="L873" s="6">
        <v>220007.88</v>
      </c>
      <c r="M873">
        <v>155979.46</v>
      </c>
      <c r="N873" t="s">
        <v>192</v>
      </c>
      <c r="O873">
        <v>16</v>
      </c>
      <c r="P873">
        <v>86</v>
      </c>
      <c r="Q873">
        <v>3</v>
      </c>
      <c r="R873">
        <v>178</v>
      </c>
      <c r="S873">
        <v>209.2</v>
      </c>
      <c r="T873" t="s">
        <v>4237</v>
      </c>
      <c r="U873" s="7">
        <f t="shared" si="52"/>
        <v>15</v>
      </c>
      <c r="V873" s="7">
        <f t="shared" si="53"/>
        <v>16</v>
      </c>
      <c r="W873" s="6">
        <f t="shared" si="54"/>
        <v>64028.420000000013</v>
      </c>
      <c r="X873" t="str">
        <f t="shared" si="55"/>
        <v>Child</v>
      </c>
    </row>
    <row r="874" spans="1:24">
      <c r="A874" t="s">
        <v>2118</v>
      </c>
      <c r="B874" t="s">
        <v>1727</v>
      </c>
      <c r="C874" t="s">
        <v>133</v>
      </c>
      <c r="D874" s="5">
        <v>29698</v>
      </c>
      <c r="E874" s="5">
        <v>45033</v>
      </c>
      <c r="F874" s="5">
        <v>45045</v>
      </c>
      <c r="G874" t="s">
        <v>77</v>
      </c>
      <c r="H874" t="s">
        <v>4236</v>
      </c>
      <c r="I874" t="s">
        <v>33</v>
      </c>
      <c r="J874" t="s">
        <v>34</v>
      </c>
      <c r="K874" t="s">
        <v>120</v>
      </c>
      <c r="L874" s="6">
        <v>25749.08</v>
      </c>
      <c r="M874">
        <v>22021.62</v>
      </c>
      <c r="N874" t="s">
        <v>4237</v>
      </c>
      <c r="O874">
        <v>12</v>
      </c>
      <c r="P874">
        <v>205</v>
      </c>
      <c r="Q874">
        <v>4</v>
      </c>
      <c r="R874">
        <v>105</v>
      </c>
      <c r="S874">
        <v>198.8</v>
      </c>
      <c r="T874" t="s">
        <v>37</v>
      </c>
      <c r="U874" s="7">
        <f t="shared" si="52"/>
        <v>41</v>
      </c>
      <c r="V874" s="7">
        <f t="shared" si="53"/>
        <v>12</v>
      </c>
      <c r="W874" s="6">
        <f t="shared" si="54"/>
        <v>3727.4600000000028</v>
      </c>
      <c r="X874" t="str">
        <f t="shared" si="55"/>
        <v>Middle Age</v>
      </c>
    </row>
    <row r="875" spans="1:24">
      <c r="A875" t="s">
        <v>2120</v>
      </c>
      <c r="B875" t="s">
        <v>442</v>
      </c>
      <c r="C875" t="s">
        <v>40</v>
      </c>
      <c r="D875" s="5">
        <v>22791</v>
      </c>
      <c r="E875" s="5">
        <v>45471</v>
      </c>
      <c r="F875" s="5" t="s">
        <v>4237</v>
      </c>
      <c r="G875" t="s">
        <v>161</v>
      </c>
      <c r="H875" t="s">
        <v>63</v>
      </c>
      <c r="I875" t="s">
        <v>53</v>
      </c>
      <c r="J875" t="s">
        <v>97</v>
      </c>
      <c r="K875" t="s">
        <v>27</v>
      </c>
      <c r="L875" s="6">
        <v>234201.86</v>
      </c>
      <c r="M875">
        <v>230335.87</v>
      </c>
      <c r="N875" t="s">
        <v>35</v>
      </c>
      <c r="O875">
        <v>1</v>
      </c>
      <c r="P875">
        <v>177</v>
      </c>
      <c r="Q875">
        <v>4</v>
      </c>
      <c r="R875">
        <v>141</v>
      </c>
      <c r="S875">
        <v>163.5</v>
      </c>
      <c r="T875" t="s">
        <v>47</v>
      </c>
      <c r="U875" s="7">
        <f t="shared" si="52"/>
        <v>62</v>
      </c>
      <c r="V875" s="7" t="s">
        <v>4237</v>
      </c>
      <c r="W875" s="6">
        <f t="shared" si="54"/>
        <v>3865.9899999999907</v>
      </c>
      <c r="X875" t="str">
        <f t="shared" si="55"/>
        <v>Senior</v>
      </c>
    </row>
    <row r="876" spans="1:24">
      <c r="A876" t="s">
        <v>2121</v>
      </c>
      <c r="B876" t="s">
        <v>93</v>
      </c>
      <c r="C876" t="s">
        <v>133</v>
      </c>
      <c r="D876" s="5">
        <v>27784</v>
      </c>
      <c r="E876" s="5">
        <v>45160</v>
      </c>
      <c r="F876" s="5">
        <v>45171</v>
      </c>
      <c r="G876" t="s">
        <v>152</v>
      </c>
      <c r="H876" t="s">
        <v>118</v>
      </c>
      <c r="I876" t="s">
        <v>33</v>
      </c>
      <c r="J876" t="s">
        <v>26</v>
      </c>
      <c r="K876" t="s">
        <v>55</v>
      </c>
      <c r="L876" s="6">
        <v>227198.54</v>
      </c>
      <c r="M876">
        <v>161570.54999999999</v>
      </c>
      <c r="N876" t="s">
        <v>192</v>
      </c>
      <c r="O876">
        <v>11</v>
      </c>
      <c r="P876">
        <v>184</v>
      </c>
      <c r="Q876">
        <v>2</v>
      </c>
      <c r="R876">
        <v>95</v>
      </c>
      <c r="S876">
        <v>83.2</v>
      </c>
      <c r="T876" t="s">
        <v>4237</v>
      </c>
      <c r="U876" s="7">
        <f t="shared" si="52"/>
        <v>47</v>
      </c>
      <c r="V876" s="7">
        <f t="shared" si="53"/>
        <v>11</v>
      </c>
      <c r="W876" s="6">
        <f t="shared" si="54"/>
        <v>65627.99000000002</v>
      </c>
      <c r="X876" t="str">
        <f t="shared" si="55"/>
        <v>Middle Age</v>
      </c>
    </row>
    <row r="877" spans="1:24">
      <c r="A877" t="s">
        <v>2122</v>
      </c>
      <c r="B877" t="s">
        <v>999</v>
      </c>
      <c r="C877" t="s">
        <v>40</v>
      </c>
      <c r="D877" s="5">
        <v>39546</v>
      </c>
      <c r="E877" s="5">
        <v>45579</v>
      </c>
      <c r="F877" s="5">
        <v>45589</v>
      </c>
      <c r="G877" t="s">
        <v>161</v>
      </c>
      <c r="H877" t="s">
        <v>86</v>
      </c>
      <c r="I877" t="s">
        <v>119</v>
      </c>
      <c r="J877" t="s">
        <v>34</v>
      </c>
      <c r="K877" t="s">
        <v>27</v>
      </c>
      <c r="L877" s="6">
        <v>223871.65</v>
      </c>
      <c r="M877">
        <v>152335.82999999999</v>
      </c>
      <c r="N877" t="s">
        <v>192</v>
      </c>
      <c r="O877">
        <v>10</v>
      </c>
      <c r="P877">
        <v>77</v>
      </c>
      <c r="Q877">
        <v>4</v>
      </c>
      <c r="R877">
        <v>141</v>
      </c>
      <c r="S877">
        <v>178.3</v>
      </c>
      <c r="T877" t="s">
        <v>65</v>
      </c>
      <c r="U877" s="7">
        <f t="shared" si="52"/>
        <v>16</v>
      </c>
      <c r="V877" s="7">
        <f t="shared" si="53"/>
        <v>10</v>
      </c>
      <c r="W877" s="6">
        <f t="shared" si="54"/>
        <v>71535.820000000007</v>
      </c>
      <c r="X877" t="str">
        <f t="shared" si="55"/>
        <v>Child</v>
      </c>
    </row>
    <row r="878" spans="1:24">
      <c r="A878" t="s">
        <v>2123</v>
      </c>
      <c r="B878" t="s">
        <v>1068</v>
      </c>
      <c r="C878" t="s">
        <v>40</v>
      </c>
      <c r="D878" s="5">
        <v>34420</v>
      </c>
      <c r="E878" s="5">
        <v>45761</v>
      </c>
      <c r="F878" s="5">
        <v>45775</v>
      </c>
      <c r="G878" t="s">
        <v>94</v>
      </c>
      <c r="H878" t="s">
        <v>95</v>
      </c>
      <c r="I878" t="s">
        <v>53</v>
      </c>
      <c r="J878" t="s">
        <v>71</v>
      </c>
      <c r="K878" t="s">
        <v>55</v>
      </c>
      <c r="L878" s="6">
        <v>99729.23</v>
      </c>
      <c r="M878">
        <v>77705.119999999995</v>
      </c>
      <c r="N878" t="s">
        <v>56</v>
      </c>
      <c r="O878">
        <v>14</v>
      </c>
      <c r="P878">
        <v>232</v>
      </c>
      <c r="Q878">
        <v>3</v>
      </c>
      <c r="R878">
        <v>182</v>
      </c>
      <c r="S878">
        <v>164.6</v>
      </c>
      <c r="T878" t="s">
        <v>47</v>
      </c>
      <c r="U878" s="7">
        <f t="shared" si="52"/>
        <v>31</v>
      </c>
      <c r="V878" s="7">
        <f t="shared" si="53"/>
        <v>14</v>
      </c>
      <c r="W878" s="6">
        <f t="shared" si="54"/>
        <v>22024.11</v>
      </c>
      <c r="X878" t="str">
        <f t="shared" si="55"/>
        <v>Adult</v>
      </c>
    </row>
    <row r="879" spans="1:24">
      <c r="A879" t="s">
        <v>2126</v>
      </c>
      <c r="B879" t="s">
        <v>560</v>
      </c>
      <c r="C879" t="s">
        <v>133</v>
      </c>
      <c r="D879" s="5">
        <v>25618</v>
      </c>
      <c r="E879" s="5">
        <v>44976</v>
      </c>
      <c r="F879" s="5">
        <v>44994</v>
      </c>
      <c r="G879" t="s">
        <v>109</v>
      </c>
      <c r="H879" t="s">
        <v>86</v>
      </c>
      <c r="I879" t="s">
        <v>53</v>
      </c>
      <c r="J879" t="s">
        <v>34</v>
      </c>
      <c r="K879" t="s">
        <v>120</v>
      </c>
      <c r="L879" s="6">
        <v>219659.38</v>
      </c>
      <c r="M879">
        <v>205819.12</v>
      </c>
      <c r="N879" t="s">
        <v>91</v>
      </c>
      <c r="O879">
        <v>18</v>
      </c>
      <c r="P879">
        <v>56</v>
      </c>
      <c r="Q879">
        <v>1</v>
      </c>
      <c r="R879">
        <v>172</v>
      </c>
      <c r="S879">
        <v>163.5</v>
      </c>
      <c r="T879" t="s">
        <v>47</v>
      </c>
      <c r="U879" s="7">
        <f t="shared" si="52"/>
        <v>53</v>
      </c>
      <c r="V879" s="7">
        <f t="shared" si="53"/>
        <v>18</v>
      </c>
      <c r="W879" s="6">
        <f t="shared" si="54"/>
        <v>13840.260000000009</v>
      </c>
      <c r="X879" t="str">
        <f t="shared" si="55"/>
        <v>Middle Age</v>
      </c>
    </row>
    <row r="880" spans="1:24">
      <c r="A880" t="s">
        <v>2127</v>
      </c>
      <c r="B880" t="s">
        <v>673</v>
      </c>
      <c r="C880" t="s">
        <v>133</v>
      </c>
      <c r="D880" s="5">
        <v>31794</v>
      </c>
      <c r="E880" s="5">
        <v>45407</v>
      </c>
      <c r="F880" s="5">
        <v>45410</v>
      </c>
      <c r="G880" t="s">
        <v>89</v>
      </c>
      <c r="H880" t="s">
        <v>52</v>
      </c>
      <c r="I880" t="s">
        <v>25</v>
      </c>
      <c r="J880" t="s">
        <v>71</v>
      </c>
      <c r="K880" t="s">
        <v>161</v>
      </c>
      <c r="L880" s="6">
        <v>213767.96</v>
      </c>
      <c r="M880">
        <v>190496.68</v>
      </c>
      <c r="N880" t="s">
        <v>73</v>
      </c>
      <c r="O880">
        <v>3</v>
      </c>
      <c r="P880">
        <v>49</v>
      </c>
      <c r="Q880">
        <v>4</v>
      </c>
      <c r="R880">
        <v>172</v>
      </c>
      <c r="S880">
        <v>256.7</v>
      </c>
      <c r="T880" t="s">
        <v>47</v>
      </c>
      <c r="U880" s="7">
        <f t="shared" si="52"/>
        <v>37</v>
      </c>
      <c r="V880" s="7">
        <f t="shared" si="53"/>
        <v>3</v>
      </c>
      <c r="W880" s="6">
        <f t="shared" si="54"/>
        <v>23271.279999999999</v>
      </c>
      <c r="X880" t="str">
        <f t="shared" si="55"/>
        <v>Adult</v>
      </c>
    </row>
    <row r="881" spans="1:24">
      <c r="A881" t="s">
        <v>4151</v>
      </c>
      <c r="B881" t="s">
        <v>1598</v>
      </c>
      <c r="C881" t="s">
        <v>40</v>
      </c>
      <c r="D881" s="5">
        <v>27944</v>
      </c>
      <c r="E881" s="5">
        <v>45423</v>
      </c>
      <c r="F881" s="5">
        <v>45437</v>
      </c>
      <c r="G881" t="s">
        <v>89</v>
      </c>
      <c r="H881" t="s">
        <v>113</v>
      </c>
      <c r="I881" t="s">
        <v>25</v>
      </c>
      <c r="J881" t="s">
        <v>64</v>
      </c>
      <c r="K881" t="s">
        <v>55</v>
      </c>
      <c r="L881" s="6">
        <v>197745.24</v>
      </c>
      <c r="M881">
        <v>146746.57999999999</v>
      </c>
      <c r="N881" t="s">
        <v>56</v>
      </c>
      <c r="O881">
        <v>14</v>
      </c>
      <c r="P881">
        <v>40</v>
      </c>
      <c r="Q881">
        <v>4</v>
      </c>
      <c r="R881">
        <v>156</v>
      </c>
      <c r="S881">
        <v>82.7</v>
      </c>
      <c r="T881" t="s">
        <v>37</v>
      </c>
      <c r="U881" s="7">
        <f t="shared" si="52"/>
        <v>47</v>
      </c>
      <c r="V881" s="7">
        <f t="shared" si="53"/>
        <v>14</v>
      </c>
      <c r="W881" s="6">
        <f t="shared" si="54"/>
        <v>50998.66</v>
      </c>
      <c r="X881" t="str">
        <f t="shared" si="55"/>
        <v>Middle Age</v>
      </c>
    </row>
    <row r="882" spans="1:24">
      <c r="A882" t="s">
        <v>2130</v>
      </c>
      <c r="B882" t="s">
        <v>1839</v>
      </c>
      <c r="C882" t="s">
        <v>40</v>
      </c>
      <c r="D882" s="5">
        <v>34219</v>
      </c>
      <c r="E882" s="5">
        <v>45427</v>
      </c>
      <c r="F882" s="5">
        <v>45428</v>
      </c>
      <c r="G882" t="s">
        <v>43</v>
      </c>
      <c r="H882" t="s">
        <v>32</v>
      </c>
      <c r="I882" t="s">
        <v>45</v>
      </c>
      <c r="J882" t="s">
        <v>64</v>
      </c>
      <c r="K882" t="s">
        <v>110</v>
      </c>
      <c r="L882" s="6">
        <v>113346.49</v>
      </c>
      <c r="M882">
        <v>80289.929999999993</v>
      </c>
      <c r="N882" t="s">
        <v>56</v>
      </c>
      <c r="O882">
        <v>1</v>
      </c>
      <c r="P882">
        <v>40</v>
      </c>
      <c r="Q882">
        <v>2</v>
      </c>
      <c r="R882">
        <v>161</v>
      </c>
      <c r="S882">
        <v>181.1</v>
      </c>
      <c r="T882" t="s">
        <v>37</v>
      </c>
      <c r="U882" s="7">
        <f t="shared" si="52"/>
        <v>30</v>
      </c>
      <c r="V882" s="7">
        <f t="shared" si="53"/>
        <v>1</v>
      </c>
      <c r="W882" s="6">
        <f t="shared" si="54"/>
        <v>33056.560000000012</v>
      </c>
      <c r="X882" t="str">
        <f t="shared" si="55"/>
        <v>Adult</v>
      </c>
    </row>
    <row r="883" spans="1:24">
      <c r="A883" t="s">
        <v>2134</v>
      </c>
      <c r="B883" t="s">
        <v>451</v>
      </c>
      <c r="C883" t="s">
        <v>40</v>
      </c>
      <c r="D883" s="5">
        <v>30179</v>
      </c>
      <c r="E883" s="5">
        <v>45742</v>
      </c>
      <c r="F883" s="5">
        <v>45747</v>
      </c>
      <c r="G883" t="s">
        <v>89</v>
      </c>
      <c r="H883" t="s">
        <v>78</v>
      </c>
      <c r="I883" t="s">
        <v>45</v>
      </c>
      <c r="J883" t="s">
        <v>34</v>
      </c>
      <c r="K883" t="s">
        <v>110</v>
      </c>
      <c r="L883" s="6">
        <v>231892.14</v>
      </c>
      <c r="M883">
        <v>190210.2</v>
      </c>
      <c r="N883" t="s">
        <v>192</v>
      </c>
      <c r="O883">
        <v>5</v>
      </c>
      <c r="P883">
        <v>236</v>
      </c>
      <c r="Q883">
        <v>5</v>
      </c>
      <c r="R883">
        <v>93</v>
      </c>
      <c r="S883">
        <v>86.7</v>
      </c>
      <c r="T883" t="s">
        <v>4237</v>
      </c>
      <c r="U883" s="7">
        <f t="shared" si="52"/>
        <v>42</v>
      </c>
      <c r="V883" s="7">
        <f t="shared" si="53"/>
        <v>5</v>
      </c>
      <c r="W883" s="6">
        <f t="shared" si="54"/>
        <v>41681.94</v>
      </c>
      <c r="X883" t="str">
        <f t="shared" si="55"/>
        <v>Middle Age</v>
      </c>
    </row>
    <row r="884" spans="1:24">
      <c r="A884" t="s">
        <v>2136</v>
      </c>
      <c r="B884" t="s">
        <v>354</v>
      </c>
      <c r="C884" t="s">
        <v>133</v>
      </c>
      <c r="D884" s="5">
        <v>20297</v>
      </c>
      <c r="E884" s="5">
        <v>45592</v>
      </c>
      <c r="F884" s="5">
        <v>45333</v>
      </c>
      <c r="G884" t="s">
        <v>152</v>
      </c>
      <c r="H884" t="s">
        <v>118</v>
      </c>
      <c r="I884" t="s">
        <v>25</v>
      </c>
      <c r="J884" t="s">
        <v>34</v>
      </c>
      <c r="K884" t="s">
        <v>55</v>
      </c>
      <c r="L884" s="6">
        <v>74629.899999999994</v>
      </c>
      <c r="M884">
        <v>98646.34</v>
      </c>
      <c r="N884" t="s">
        <v>4237</v>
      </c>
      <c r="O884">
        <v>6</v>
      </c>
      <c r="P884">
        <v>86</v>
      </c>
      <c r="Q884">
        <v>4</v>
      </c>
      <c r="R884">
        <v>103</v>
      </c>
      <c r="S884">
        <v>95.8</v>
      </c>
      <c r="T884" t="s">
        <v>65</v>
      </c>
      <c r="U884" s="7">
        <f t="shared" si="52"/>
        <v>69</v>
      </c>
      <c r="V884" s="7">
        <f t="shared" si="53"/>
        <v>-259</v>
      </c>
      <c r="W884" s="6">
        <f t="shared" si="54"/>
        <v>-24016.440000000002</v>
      </c>
      <c r="X884" t="str">
        <f t="shared" si="55"/>
        <v>Senior</v>
      </c>
    </row>
    <row r="885" spans="1:24">
      <c r="A885" t="s">
        <v>2139</v>
      </c>
      <c r="B885" t="s">
        <v>88</v>
      </c>
      <c r="C885" t="s">
        <v>40</v>
      </c>
      <c r="D885" s="5" t="s">
        <v>4237</v>
      </c>
      <c r="E885" s="5">
        <v>45522</v>
      </c>
      <c r="F885" s="5">
        <v>45526</v>
      </c>
      <c r="G885" t="s">
        <v>161</v>
      </c>
      <c r="H885" t="s">
        <v>78</v>
      </c>
      <c r="I885" t="s">
        <v>79</v>
      </c>
      <c r="J885" t="s">
        <v>46</v>
      </c>
      <c r="K885" t="s">
        <v>120</v>
      </c>
      <c r="L885" s="6">
        <v>122004.37</v>
      </c>
      <c r="M885">
        <v>83071.210000000006</v>
      </c>
      <c r="N885" t="s">
        <v>192</v>
      </c>
      <c r="O885">
        <v>4</v>
      </c>
      <c r="P885">
        <v>22</v>
      </c>
      <c r="Q885">
        <v>3</v>
      </c>
      <c r="R885">
        <v>165</v>
      </c>
      <c r="S885">
        <v>251.9</v>
      </c>
      <c r="T885" t="s">
        <v>65</v>
      </c>
      <c r="U885" s="7" t="s">
        <v>4237</v>
      </c>
      <c r="V885" s="7">
        <f t="shared" si="53"/>
        <v>4</v>
      </c>
      <c r="W885" s="6">
        <f t="shared" si="54"/>
        <v>38933.159999999989</v>
      </c>
      <c r="X885" t="s">
        <v>4237</v>
      </c>
    </row>
    <row r="886" spans="1:24">
      <c r="A886" t="s">
        <v>2141</v>
      </c>
      <c r="B886" t="s">
        <v>771</v>
      </c>
      <c r="C886" t="s">
        <v>133</v>
      </c>
      <c r="D886" s="5">
        <v>22410</v>
      </c>
      <c r="E886" s="5">
        <v>45444</v>
      </c>
      <c r="F886" s="5">
        <v>45314</v>
      </c>
      <c r="G886" t="s">
        <v>89</v>
      </c>
      <c r="H886" t="s">
        <v>4236</v>
      </c>
      <c r="I886" t="s">
        <v>33</v>
      </c>
      <c r="J886" t="s">
        <v>46</v>
      </c>
      <c r="K886" t="s">
        <v>120</v>
      </c>
      <c r="L886" s="6">
        <v>160764.37</v>
      </c>
      <c r="M886">
        <v>142748.76</v>
      </c>
      <c r="N886" t="s">
        <v>35</v>
      </c>
      <c r="O886">
        <v>17</v>
      </c>
      <c r="P886">
        <v>169</v>
      </c>
      <c r="Q886">
        <v>1</v>
      </c>
      <c r="R886">
        <v>189</v>
      </c>
      <c r="S886">
        <v>96.8</v>
      </c>
      <c r="T886" t="s">
        <v>47</v>
      </c>
      <c r="U886" s="7">
        <f t="shared" si="52"/>
        <v>63</v>
      </c>
      <c r="V886" s="7">
        <f t="shared" si="53"/>
        <v>-130</v>
      </c>
      <c r="W886" s="6">
        <f t="shared" si="54"/>
        <v>18015.609999999986</v>
      </c>
      <c r="X886" t="str">
        <f t="shared" si="55"/>
        <v>Senior</v>
      </c>
    </row>
    <row r="887" spans="1:24">
      <c r="A887" t="s">
        <v>2143</v>
      </c>
      <c r="B887" t="s">
        <v>833</v>
      </c>
      <c r="C887" t="s">
        <v>133</v>
      </c>
      <c r="D887" s="5">
        <v>26364</v>
      </c>
      <c r="E887" s="5">
        <v>45258</v>
      </c>
      <c r="F887" s="5">
        <v>45266</v>
      </c>
      <c r="G887" t="s">
        <v>43</v>
      </c>
      <c r="H887" t="s">
        <v>118</v>
      </c>
      <c r="I887" t="s">
        <v>45</v>
      </c>
      <c r="J887" t="s">
        <v>26</v>
      </c>
      <c r="K887" t="s">
        <v>55</v>
      </c>
      <c r="L887" s="6">
        <v>159412.01</v>
      </c>
      <c r="M887">
        <v>129973.8</v>
      </c>
      <c r="N887" t="s">
        <v>91</v>
      </c>
      <c r="O887">
        <v>8</v>
      </c>
      <c r="P887">
        <v>231</v>
      </c>
      <c r="Q887">
        <v>1</v>
      </c>
      <c r="R887">
        <v>91</v>
      </c>
      <c r="S887">
        <v>218.7</v>
      </c>
      <c r="T887" t="s">
        <v>37</v>
      </c>
      <c r="U887" s="7">
        <f t="shared" si="52"/>
        <v>51</v>
      </c>
      <c r="V887" s="7">
        <f t="shared" si="53"/>
        <v>8</v>
      </c>
      <c r="W887" s="6">
        <f t="shared" si="54"/>
        <v>29438.210000000006</v>
      </c>
      <c r="X887" t="str">
        <f t="shared" si="55"/>
        <v>Middle Age</v>
      </c>
    </row>
    <row r="888" spans="1:24">
      <c r="A888" t="s">
        <v>2144</v>
      </c>
      <c r="B888" t="s">
        <v>652</v>
      </c>
      <c r="C888" t="s">
        <v>133</v>
      </c>
      <c r="D888" s="5">
        <v>18988</v>
      </c>
      <c r="E888" s="5">
        <v>45595</v>
      </c>
      <c r="F888" s="5">
        <v>45611</v>
      </c>
      <c r="G888" t="s">
        <v>161</v>
      </c>
      <c r="H888" t="s">
        <v>52</v>
      </c>
      <c r="I888" t="s">
        <v>96</v>
      </c>
      <c r="J888" t="s">
        <v>71</v>
      </c>
      <c r="K888" t="s">
        <v>55</v>
      </c>
      <c r="L888" s="6">
        <v>99279.49</v>
      </c>
      <c r="M888">
        <v>83401.02</v>
      </c>
      <c r="N888" t="s">
        <v>56</v>
      </c>
      <c r="O888">
        <v>16</v>
      </c>
      <c r="P888">
        <v>99</v>
      </c>
      <c r="Q888">
        <v>4</v>
      </c>
      <c r="R888">
        <v>176</v>
      </c>
      <c r="S888">
        <v>217.6</v>
      </c>
      <c r="T888" t="s">
        <v>37</v>
      </c>
      <c r="U888" s="7">
        <f t="shared" si="52"/>
        <v>72</v>
      </c>
      <c r="V888" s="7">
        <f t="shared" si="53"/>
        <v>16</v>
      </c>
      <c r="W888" s="6">
        <f t="shared" si="54"/>
        <v>15878.470000000001</v>
      </c>
      <c r="X888" t="str">
        <f t="shared" si="55"/>
        <v>Senior</v>
      </c>
    </row>
    <row r="889" spans="1:24">
      <c r="A889" t="s">
        <v>4152</v>
      </c>
      <c r="B889" t="s">
        <v>1263</v>
      </c>
      <c r="C889" t="s">
        <v>133</v>
      </c>
      <c r="D889" s="5">
        <v>39343</v>
      </c>
      <c r="E889" s="5">
        <v>45784</v>
      </c>
      <c r="F889" s="5">
        <v>45796</v>
      </c>
      <c r="G889" t="s">
        <v>89</v>
      </c>
      <c r="H889" t="s">
        <v>86</v>
      </c>
      <c r="I889" t="s">
        <v>96</v>
      </c>
      <c r="J889" t="s">
        <v>64</v>
      </c>
      <c r="K889" t="s">
        <v>110</v>
      </c>
      <c r="L889" s="6">
        <v>51579.040000000001</v>
      </c>
      <c r="M889">
        <v>44794.81</v>
      </c>
      <c r="N889" t="s">
        <v>192</v>
      </c>
      <c r="O889">
        <v>12</v>
      </c>
      <c r="P889">
        <v>224</v>
      </c>
      <c r="Q889">
        <v>4</v>
      </c>
      <c r="R889">
        <v>174</v>
      </c>
      <c r="S889">
        <v>163.5</v>
      </c>
      <c r="T889" t="s">
        <v>65</v>
      </c>
      <c r="U889" s="7">
        <f t="shared" si="52"/>
        <v>17</v>
      </c>
      <c r="V889" s="7">
        <f t="shared" si="53"/>
        <v>12</v>
      </c>
      <c r="W889" s="6">
        <f t="shared" si="54"/>
        <v>6784.2300000000032</v>
      </c>
      <c r="X889" t="str">
        <f t="shared" si="55"/>
        <v>Child</v>
      </c>
    </row>
    <row r="890" spans="1:24">
      <c r="A890" t="s">
        <v>2150</v>
      </c>
      <c r="B890" t="s">
        <v>611</v>
      </c>
      <c r="C890" t="s">
        <v>40</v>
      </c>
      <c r="D890" s="5">
        <v>30529</v>
      </c>
      <c r="E890" s="5">
        <v>45967</v>
      </c>
      <c r="F890" s="5">
        <v>45977</v>
      </c>
      <c r="G890" t="s">
        <v>94</v>
      </c>
      <c r="H890" t="s">
        <v>113</v>
      </c>
      <c r="I890" t="s">
        <v>79</v>
      </c>
      <c r="J890" t="s">
        <v>64</v>
      </c>
      <c r="K890" t="s">
        <v>120</v>
      </c>
      <c r="L890" s="6">
        <v>141311.04000000001</v>
      </c>
      <c r="M890">
        <v>113956.87</v>
      </c>
      <c r="N890" t="s">
        <v>192</v>
      </c>
      <c r="O890">
        <v>10</v>
      </c>
      <c r="P890">
        <v>69</v>
      </c>
      <c r="Q890">
        <v>5</v>
      </c>
      <c r="R890">
        <v>121</v>
      </c>
      <c r="S890">
        <v>235.5</v>
      </c>
      <c r="T890" t="s">
        <v>4237</v>
      </c>
      <c r="U890" s="7">
        <f t="shared" si="52"/>
        <v>42</v>
      </c>
      <c r="V890" s="7">
        <f t="shared" si="53"/>
        <v>10</v>
      </c>
      <c r="W890" s="6">
        <f t="shared" si="54"/>
        <v>27354.170000000013</v>
      </c>
      <c r="X890" t="str">
        <f t="shared" si="55"/>
        <v>Middle Age</v>
      </c>
    </row>
    <row r="891" spans="1:24">
      <c r="A891" t="s">
        <v>2153</v>
      </c>
      <c r="B891" t="s">
        <v>1088</v>
      </c>
      <c r="C891" t="s">
        <v>133</v>
      </c>
      <c r="D891" s="5">
        <v>28938</v>
      </c>
      <c r="E891" s="5">
        <v>44943</v>
      </c>
      <c r="F891" s="5">
        <v>44945</v>
      </c>
      <c r="G891" t="s">
        <v>109</v>
      </c>
      <c r="H891" t="s">
        <v>124</v>
      </c>
      <c r="I891" t="s">
        <v>45</v>
      </c>
      <c r="J891" t="s">
        <v>64</v>
      </c>
      <c r="K891" t="s">
        <v>161</v>
      </c>
      <c r="L891" s="6">
        <v>123663.9</v>
      </c>
      <c r="M891">
        <v>10938.69</v>
      </c>
      <c r="N891" t="s">
        <v>73</v>
      </c>
      <c r="O891">
        <v>2</v>
      </c>
      <c r="P891">
        <v>121</v>
      </c>
      <c r="Q891">
        <v>4</v>
      </c>
      <c r="R891">
        <v>108</v>
      </c>
      <c r="S891">
        <v>230.5</v>
      </c>
      <c r="T891" t="s">
        <v>37</v>
      </c>
      <c r="U891" s="7">
        <f t="shared" si="52"/>
        <v>43</v>
      </c>
      <c r="V891" s="7">
        <f t="shared" si="53"/>
        <v>2</v>
      </c>
      <c r="W891" s="6">
        <f t="shared" si="54"/>
        <v>112725.20999999999</v>
      </c>
      <c r="X891" t="str">
        <f t="shared" si="55"/>
        <v>Middle Age</v>
      </c>
    </row>
    <row r="892" spans="1:24">
      <c r="A892" t="s">
        <v>2154</v>
      </c>
      <c r="B892" t="s">
        <v>607</v>
      </c>
      <c r="C892" t="s">
        <v>40</v>
      </c>
      <c r="D892" s="5">
        <v>19303</v>
      </c>
      <c r="E892" s="5">
        <v>45200</v>
      </c>
      <c r="F892" s="5">
        <v>44946</v>
      </c>
      <c r="G892" t="s">
        <v>152</v>
      </c>
      <c r="H892" t="s">
        <v>113</v>
      </c>
      <c r="I892" t="s">
        <v>53</v>
      </c>
      <c r="J892" t="s">
        <v>64</v>
      </c>
      <c r="K892" t="s">
        <v>27</v>
      </c>
      <c r="L892" s="6">
        <v>25817.78</v>
      </c>
      <c r="M892">
        <v>20732.330000000002</v>
      </c>
      <c r="N892" t="s">
        <v>56</v>
      </c>
      <c r="O892">
        <v>10</v>
      </c>
      <c r="P892">
        <v>231</v>
      </c>
      <c r="Q892">
        <v>2</v>
      </c>
      <c r="R892">
        <v>107</v>
      </c>
      <c r="S892">
        <v>242.7</v>
      </c>
      <c r="T892" t="s">
        <v>37</v>
      </c>
      <c r="U892" s="7">
        <f t="shared" si="52"/>
        <v>70</v>
      </c>
      <c r="V892" s="7">
        <f t="shared" si="53"/>
        <v>-254</v>
      </c>
      <c r="W892" s="6">
        <f t="shared" si="54"/>
        <v>5085.4499999999971</v>
      </c>
      <c r="X892" t="str">
        <f t="shared" si="55"/>
        <v>Senior</v>
      </c>
    </row>
    <row r="893" spans="1:24">
      <c r="A893" t="s">
        <v>2156</v>
      </c>
      <c r="B893" t="s">
        <v>1598</v>
      </c>
      <c r="C893" t="s">
        <v>40</v>
      </c>
      <c r="D893" s="5">
        <v>31421</v>
      </c>
      <c r="E893" s="5">
        <v>45268</v>
      </c>
      <c r="F893" s="5">
        <v>45281</v>
      </c>
      <c r="G893" t="s">
        <v>77</v>
      </c>
      <c r="H893" t="s">
        <v>24</v>
      </c>
      <c r="I893" t="s">
        <v>96</v>
      </c>
      <c r="J893" t="s">
        <v>97</v>
      </c>
      <c r="K893" t="s">
        <v>55</v>
      </c>
      <c r="L893" s="6">
        <v>138961.76</v>
      </c>
      <c r="M893">
        <v>96158.42</v>
      </c>
      <c r="N893" t="s">
        <v>73</v>
      </c>
      <c r="O893">
        <v>13</v>
      </c>
      <c r="P893">
        <v>51</v>
      </c>
      <c r="Q893">
        <v>5</v>
      </c>
      <c r="R893">
        <v>104</v>
      </c>
      <c r="S893">
        <v>201.5</v>
      </c>
      <c r="T893" t="s">
        <v>37</v>
      </c>
      <c r="U893" s="7">
        <f t="shared" si="52"/>
        <v>37</v>
      </c>
      <c r="V893" s="7">
        <f t="shared" si="53"/>
        <v>13</v>
      </c>
      <c r="W893" s="6">
        <f t="shared" si="54"/>
        <v>42803.340000000011</v>
      </c>
      <c r="X893" t="str">
        <f t="shared" si="55"/>
        <v>Adult</v>
      </c>
    </row>
    <row r="894" spans="1:24">
      <c r="A894" t="s">
        <v>2159</v>
      </c>
      <c r="B894" t="s">
        <v>867</v>
      </c>
      <c r="C894" t="s">
        <v>40</v>
      </c>
      <c r="D894" s="5">
        <v>31878</v>
      </c>
      <c r="E894" s="5">
        <v>45119</v>
      </c>
      <c r="F894" s="5" t="s">
        <v>4237</v>
      </c>
      <c r="G894" t="s">
        <v>109</v>
      </c>
      <c r="H894" t="s">
        <v>63</v>
      </c>
      <c r="I894" t="s">
        <v>119</v>
      </c>
      <c r="J894" t="s">
        <v>46</v>
      </c>
      <c r="K894" t="s">
        <v>120</v>
      </c>
      <c r="L894" s="6">
        <v>189560.22</v>
      </c>
      <c r="M894">
        <v>171853.65</v>
      </c>
      <c r="N894" t="s">
        <v>192</v>
      </c>
      <c r="O894">
        <v>3</v>
      </c>
      <c r="P894">
        <v>183</v>
      </c>
      <c r="Q894">
        <v>1</v>
      </c>
      <c r="R894">
        <v>187</v>
      </c>
      <c r="S894">
        <v>149.4</v>
      </c>
      <c r="T894" t="s">
        <v>37</v>
      </c>
      <c r="U894" s="7">
        <f t="shared" si="52"/>
        <v>36</v>
      </c>
      <c r="V894" s="7" t="s">
        <v>4237</v>
      </c>
      <c r="W894" s="6">
        <f t="shared" si="54"/>
        <v>17706.570000000007</v>
      </c>
      <c r="X894" t="str">
        <f t="shared" si="55"/>
        <v>Adult</v>
      </c>
    </row>
    <row r="895" spans="1:24">
      <c r="A895" t="s">
        <v>2163</v>
      </c>
      <c r="B895" t="s">
        <v>455</v>
      </c>
      <c r="C895" t="s">
        <v>133</v>
      </c>
      <c r="D895" s="5">
        <v>35985</v>
      </c>
      <c r="E895" s="5">
        <v>45134</v>
      </c>
      <c r="F895" s="5">
        <v>45140</v>
      </c>
      <c r="G895" t="s">
        <v>152</v>
      </c>
      <c r="H895" t="s">
        <v>95</v>
      </c>
      <c r="I895" t="s">
        <v>96</v>
      </c>
      <c r="J895" t="s">
        <v>64</v>
      </c>
      <c r="K895" t="s">
        <v>27</v>
      </c>
      <c r="L895" s="6">
        <v>31835.75</v>
      </c>
      <c r="M895">
        <v>22531.09</v>
      </c>
      <c r="N895" t="s">
        <v>192</v>
      </c>
      <c r="O895">
        <v>6</v>
      </c>
      <c r="P895">
        <v>45</v>
      </c>
      <c r="Q895">
        <v>1</v>
      </c>
      <c r="R895">
        <v>165</v>
      </c>
      <c r="S895">
        <v>188.1</v>
      </c>
      <c r="T895" t="s">
        <v>37</v>
      </c>
      <c r="U895" s="7">
        <f t="shared" si="52"/>
        <v>25</v>
      </c>
      <c r="V895" s="7">
        <f t="shared" si="53"/>
        <v>6</v>
      </c>
      <c r="W895" s="6">
        <f t="shared" si="54"/>
        <v>9304.66</v>
      </c>
      <c r="X895" t="str">
        <f t="shared" si="55"/>
        <v>Adult</v>
      </c>
    </row>
    <row r="896" spans="1:24">
      <c r="A896" t="s">
        <v>2165</v>
      </c>
      <c r="B896" t="s">
        <v>104</v>
      </c>
      <c r="C896" t="s">
        <v>40</v>
      </c>
      <c r="D896" s="5">
        <v>19339</v>
      </c>
      <c r="E896" s="5">
        <v>45219</v>
      </c>
      <c r="F896" s="5">
        <v>45224</v>
      </c>
      <c r="G896" t="s">
        <v>161</v>
      </c>
      <c r="H896" t="s">
        <v>153</v>
      </c>
      <c r="I896" t="s">
        <v>79</v>
      </c>
      <c r="J896" t="s">
        <v>34</v>
      </c>
      <c r="K896" t="s">
        <v>161</v>
      </c>
      <c r="L896" s="6">
        <v>58822.09</v>
      </c>
      <c r="M896">
        <v>57898.16</v>
      </c>
      <c r="N896" t="s">
        <v>35</v>
      </c>
      <c r="O896">
        <v>5</v>
      </c>
      <c r="P896">
        <v>199</v>
      </c>
      <c r="Q896">
        <v>4</v>
      </c>
      <c r="R896">
        <v>125</v>
      </c>
      <c r="S896">
        <v>218.5</v>
      </c>
      <c r="T896" t="s">
        <v>37</v>
      </c>
      <c r="U896" s="7">
        <f t="shared" si="52"/>
        <v>70</v>
      </c>
      <c r="V896" s="7">
        <f t="shared" si="53"/>
        <v>5</v>
      </c>
      <c r="W896" s="6">
        <f t="shared" si="54"/>
        <v>923.92999999999302</v>
      </c>
      <c r="X896" t="str">
        <f t="shared" si="55"/>
        <v>Senior</v>
      </c>
    </row>
    <row r="897" spans="1:24">
      <c r="A897" t="s">
        <v>2167</v>
      </c>
      <c r="B897" t="s">
        <v>752</v>
      </c>
      <c r="C897" t="s">
        <v>133</v>
      </c>
      <c r="D897" s="5" t="s">
        <v>4237</v>
      </c>
      <c r="E897" s="5">
        <v>45413</v>
      </c>
      <c r="F897" s="5">
        <v>45417</v>
      </c>
      <c r="G897" t="s">
        <v>62</v>
      </c>
      <c r="H897" t="s">
        <v>32</v>
      </c>
      <c r="I897" t="s">
        <v>119</v>
      </c>
      <c r="J897" t="s">
        <v>46</v>
      </c>
      <c r="K897" t="s">
        <v>161</v>
      </c>
      <c r="L897" s="6">
        <v>111786.95</v>
      </c>
      <c r="M897">
        <v>80226.09</v>
      </c>
      <c r="N897" t="s">
        <v>35</v>
      </c>
      <c r="O897">
        <v>4</v>
      </c>
      <c r="P897">
        <v>161</v>
      </c>
      <c r="Q897">
        <v>2</v>
      </c>
      <c r="R897">
        <v>104</v>
      </c>
      <c r="S897">
        <v>206.5</v>
      </c>
      <c r="T897" t="s">
        <v>65</v>
      </c>
      <c r="U897" s="7" t="s">
        <v>4237</v>
      </c>
      <c r="V897" s="7">
        <f t="shared" si="53"/>
        <v>4</v>
      </c>
      <c r="W897" s="6">
        <f t="shared" si="54"/>
        <v>31560.86</v>
      </c>
      <c r="X897" t="s">
        <v>4237</v>
      </c>
    </row>
    <row r="898" spans="1:24">
      <c r="A898" t="s">
        <v>2170</v>
      </c>
      <c r="B898" t="s">
        <v>524</v>
      </c>
      <c r="C898" t="s">
        <v>133</v>
      </c>
      <c r="D898" s="5">
        <v>34301</v>
      </c>
      <c r="E898" s="5">
        <v>45248</v>
      </c>
      <c r="F898" s="5">
        <v>45264</v>
      </c>
      <c r="G898" t="s">
        <v>152</v>
      </c>
      <c r="H898" t="s">
        <v>113</v>
      </c>
      <c r="I898" t="s">
        <v>33</v>
      </c>
      <c r="J898" t="s">
        <v>46</v>
      </c>
      <c r="K898" t="s">
        <v>55</v>
      </c>
      <c r="L898" s="6">
        <v>6410.41</v>
      </c>
      <c r="M898">
        <v>5801.4</v>
      </c>
      <c r="N898" t="s">
        <v>73</v>
      </c>
      <c r="O898">
        <v>16</v>
      </c>
      <c r="P898">
        <v>34</v>
      </c>
      <c r="Q898">
        <v>4</v>
      </c>
      <c r="R898">
        <v>167</v>
      </c>
      <c r="S898">
        <v>94</v>
      </c>
      <c r="T898" t="s">
        <v>65</v>
      </c>
      <c r="U898" s="7">
        <f t="shared" ref="U898:U961" si="56">DATEDIF(D898,E898,"Y")</f>
        <v>29</v>
      </c>
      <c r="V898" s="7">
        <f t="shared" ref="V898:V961" si="57">IF(OR(E898=" ",F898=" ",E898="Unknown",F898="Unknown")," ",F898-E898)</f>
        <v>16</v>
      </c>
      <c r="W898" s="6">
        <f t="shared" ref="W898:W961" si="58">L898-M898</f>
        <v>609.01000000000022</v>
      </c>
      <c r="X898" t="str">
        <f t="shared" ref="X898:X961" si="59">IF(OR(U898="",U898="Unknown"),"",IF(U898&lt;18,"Child",IF(U898&lt;40,"Adult",IF(U898&lt;60,"Middle Age","Senior"))))</f>
        <v>Adult</v>
      </c>
    </row>
    <row r="899" spans="1:24">
      <c r="A899" t="s">
        <v>2172</v>
      </c>
      <c r="B899" t="s">
        <v>338</v>
      </c>
      <c r="C899" t="s">
        <v>133</v>
      </c>
      <c r="D899" s="5">
        <v>20746</v>
      </c>
      <c r="E899" s="5">
        <v>45431</v>
      </c>
      <c r="F899" s="5">
        <v>45444</v>
      </c>
      <c r="G899" t="s">
        <v>161</v>
      </c>
      <c r="H899" t="s">
        <v>78</v>
      </c>
      <c r="I899" t="s">
        <v>119</v>
      </c>
      <c r="J899" t="s">
        <v>34</v>
      </c>
      <c r="K899" t="s">
        <v>55</v>
      </c>
      <c r="L899" s="6">
        <v>56413.22</v>
      </c>
      <c r="M899">
        <v>44511.02</v>
      </c>
      <c r="N899" t="s">
        <v>4237</v>
      </c>
      <c r="O899">
        <v>13</v>
      </c>
      <c r="P899">
        <v>128</v>
      </c>
      <c r="Q899">
        <v>2</v>
      </c>
      <c r="R899">
        <v>188</v>
      </c>
      <c r="S899">
        <v>75.099999999999994</v>
      </c>
      <c r="T899" t="s">
        <v>47</v>
      </c>
      <c r="U899" s="7">
        <f t="shared" si="56"/>
        <v>67</v>
      </c>
      <c r="V899" s="7">
        <f t="shared" si="57"/>
        <v>13</v>
      </c>
      <c r="W899" s="6">
        <f t="shared" si="58"/>
        <v>11902.200000000004</v>
      </c>
      <c r="X899" t="str">
        <f t="shared" si="59"/>
        <v>Senior</v>
      </c>
    </row>
    <row r="900" spans="1:24">
      <c r="A900" t="s">
        <v>2173</v>
      </c>
      <c r="B900" t="s">
        <v>1001</v>
      </c>
      <c r="C900" t="s">
        <v>133</v>
      </c>
      <c r="D900" s="5">
        <v>36951</v>
      </c>
      <c r="E900" s="5">
        <v>45195</v>
      </c>
      <c r="F900" s="5">
        <v>45208</v>
      </c>
      <c r="G900" t="s">
        <v>89</v>
      </c>
      <c r="H900" t="s">
        <v>86</v>
      </c>
      <c r="I900" t="s">
        <v>33</v>
      </c>
      <c r="J900" t="s">
        <v>64</v>
      </c>
      <c r="K900" t="s">
        <v>55</v>
      </c>
      <c r="L900" s="6">
        <v>123663.9</v>
      </c>
      <c r="M900">
        <v>142390.72</v>
      </c>
      <c r="N900" t="s">
        <v>192</v>
      </c>
      <c r="O900">
        <v>13</v>
      </c>
      <c r="P900">
        <v>84</v>
      </c>
      <c r="Q900">
        <v>5</v>
      </c>
      <c r="R900">
        <v>97</v>
      </c>
      <c r="S900">
        <v>102.3</v>
      </c>
      <c r="T900" t="s">
        <v>65</v>
      </c>
      <c r="U900" s="7">
        <f t="shared" si="56"/>
        <v>22</v>
      </c>
      <c r="V900" s="7">
        <f t="shared" si="57"/>
        <v>13</v>
      </c>
      <c r="W900" s="6">
        <f t="shared" si="58"/>
        <v>-18726.820000000007</v>
      </c>
      <c r="X900" t="str">
        <f t="shared" si="59"/>
        <v>Adult</v>
      </c>
    </row>
    <row r="901" spans="1:24">
      <c r="A901" t="s">
        <v>2174</v>
      </c>
      <c r="B901" t="s">
        <v>373</v>
      </c>
      <c r="C901" t="s">
        <v>40</v>
      </c>
      <c r="D901" s="5">
        <v>25510</v>
      </c>
      <c r="E901" s="5">
        <v>45226</v>
      </c>
      <c r="F901" s="5">
        <v>45234</v>
      </c>
      <c r="G901" t="s">
        <v>89</v>
      </c>
      <c r="H901" t="s">
        <v>95</v>
      </c>
      <c r="I901" t="s">
        <v>33</v>
      </c>
      <c r="J901" t="s">
        <v>179</v>
      </c>
      <c r="K901" t="s">
        <v>120</v>
      </c>
      <c r="L901" s="6">
        <v>21190.45</v>
      </c>
      <c r="M901">
        <v>98646.34</v>
      </c>
      <c r="N901" t="s">
        <v>73</v>
      </c>
      <c r="O901">
        <v>8</v>
      </c>
      <c r="P901">
        <v>175</v>
      </c>
      <c r="Q901">
        <v>3</v>
      </c>
      <c r="R901">
        <v>147</v>
      </c>
      <c r="S901">
        <v>102.8</v>
      </c>
      <c r="T901" t="s">
        <v>37</v>
      </c>
      <c r="U901" s="7">
        <f t="shared" si="56"/>
        <v>53</v>
      </c>
      <c r="V901" s="7">
        <f t="shared" si="57"/>
        <v>8</v>
      </c>
      <c r="W901" s="6">
        <f t="shared" si="58"/>
        <v>-77455.89</v>
      </c>
      <c r="X901" t="str">
        <f t="shared" si="59"/>
        <v>Middle Age</v>
      </c>
    </row>
    <row r="902" spans="1:24">
      <c r="A902" t="s">
        <v>2176</v>
      </c>
      <c r="B902" t="s">
        <v>2177</v>
      </c>
      <c r="C902" t="s">
        <v>133</v>
      </c>
      <c r="D902" s="5">
        <v>36427</v>
      </c>
      <c r="E902" s="5">
        <v>45330</v>
      </c>
      <c r="F902" s="5">
        <v>45333</v>
      </c>
      <c r="G902" t="s">
        <v>152</v>
      </c>
      <c r="H902" t="s">
        <v>134</v>
      </c>
      <c r="I902" t="s">
        <v>33</v>
      </c>
      <c r="J902" t="s">
        <v>34</v>
      </c>
      <c r="K902" t="s">
        <v>55</v>
      </c>
      <c r="L902" s="6">
        <v>57510.25</v>
      </c>
      <c r="M902">
        <v>44355.8</v>
      </c>
      <c r="N902" t="s">
        <v>91</v>
      </c>
      <c r="O902">
        <v>3</v>
      </c>
      <c r="P902">
        <v>149</v>
      </c>
      <c r="Q902">
        <v>2</v>
      </c>
      <c r="R902">
        <v>173</v>
      </c>
      <c r="S902">
        <v>248.3</v>
      </c>
      <c r="T902" t="s">
        <v>37</v>
      </c>
      <c r="U902" s="7">
        <f t="shared" si="56"/>
        <v>24</v>
      </c>
      <c r="V902" s="7">
        <f t="shared" si="57"/>
        <v>3</v>
      </c>
      <c r="W902" s="6">
        <f t="shared" si="58"/>
        <v>13154.449999999997</v>
      </c>
      <c r="X902" t="str">
        <f t="shared" si="59"/>
        <v>Adult</v>
      </c>
    </row>
    <row r="903" spans="1:24">
      <c r="A903" t="s">
        <v>2179</v>
      </c>
      <c r="B903" t="s">
        <v>940</v>
      </c>
      <c r="C903" t="s">
        <v>40</v>
      </c>
      <c r="D903" s="5">
        <v>36176</v>
      </c>
      <c r="E903" s="5">
        <v>44945</v>
      </c>
      <c r="F903" s="5">
        <v>44960</v>
      </c>
      <c r="G903" t="s">
        <v>94</v>
      </c>
      <c r="H903" t="s">
        <v>44</v>
      </c>
      <c r="I903" t="s">
        <v>119</v>
      </c>
      <c r="J903" t="s">
        <v>179</v>
      </c>
      <c r="K903" t="s">
        <v>120</v>
      </c>
      <c r="L903" s="6">
        <v>199127.82</v>
      </c>
      <c r="M903">
        <v>145552.26</v>
      </c>
      <c r="N903" t="s">
        <v>35</v>
      </c>
      <c r="O903">
        <v>15</v>
      </c>
      <c r="P903">
        <v>160</v>
      </c>
      <c r="Q903">
        <v>5</v>
      </c>
      <c r="R903">
        <v>103</v>
      </c>
      <c r="S903">
        <v>104.3</v>
      </c>
      <c r="T903" t="s">
        <v>37</v>
      </c>
      <c r="U903" s="7">
        <f t="shared" si="56"/>
        <v>24</v>
      </c>
      <c r="V903" s="7">
        <f t="shared" si="57"/>
        <v>15</v>
      </c>
      <c r="W903" s="6">
        <f t="shared" si="58"/>
        <v>53575.56</v>
      </c>
      <c r="X903" t="str">
        <f t="shared" si="59"/>
        <v>Adult</v>
      </c>
    </row>
    <row r="904" spans="1:24">
      <c r="A904" t="s">
        <v>2182</v>
      </c>
      <c r="B904" t="s">
        <v>1678</v>
      </c>
      <c r="C904" t="s">
        <v>133</v>
      </c>
      <c r="D904" s="5">
        <v>32701</v>
      </c>
      <c r="E904" s="5">
        <v>45620</v>
      </c>
      <c r="F904" s="5">
        <v>45633</v>
      </c>
      <c r="G904" t="s">
        <v>117</v>
      </c>
      <c r="H904" t="s">
        <v>124</v>
      </c>
      <c r="I904" t="s">
        <v>33</v>
      </c>
      <c r="J904" t="s">
        <v>34</v>
      </c>
      <c r="K904" t="s">
        <v>110</v>
      </c>
      <c r="L904" s="6">
        <v>125882.78</v>
      </c>
      <c r="M904">
        <v>104703.91</v>
      </c>
      <c r="N904" t="s">
        <v>192</v>
      </c>
      <c r="O904">
        <v>13</v>
      </c>
      <c r="P904">
        <v>192</v>
      </c>
      <c r="Q904">
        <v>2</v>
      </c>
      <c r="R904">
        <v>178</v>
      </c>
      <c r="S904">
        <v>213.5</v>
      </c>
      <c r="T904" t="s">
        <v>37</v>
      </c>
      <c r="U904" s="7">
        <f t="shared" si="56"/>
        <v>35</v>
      </c>
      <c r="V904" s="7">
        <f t="shared" si="57"/>
        <v>13</v>
      </c>
      <c r="W904" s="6">
        <f t="shared" si="58"/>
        <v>21178.869999999995</v>
      </c>
      <c r="X904" t="str">
        <f t="shared" si="59"/>
        <v>Adult</v>
      </c>
    </row>
    <row r="905" spans="1:24">
      <c r="A905" t="s">
        <v>2184</v>
      </c>
      <c r="B905" t="s">
        <v>383</v>
      </c>
      <c r="C905" t="s">
        <v>40</v>
      </c>
      <c r="D905" s="5">
        <v>29691</v>
      </c>
      <c r="E905" s="5">
        <v>45128</v>
      </c>
      <c r="F905" s="5">
        <v>45135</v>
      </c>
      <c r="G905" t="s">
        <v>117</v>
      </c>
      <c r="H905" t="s">
        <v>95</v>
      </c>
      <c r="I905" t="s">
        <v>33</v>
      </c>
      <c r="J905" t="s">
        <v>71</v>
      </c>
      <c r="K905" t="s">
        <v>55</v>
      </c>
      <c r="L905" s="6">
        <v>206233.16</v>
      </c>
      <c r="M905">
        <v>154625.78</v>
      </c>
      <c r="N905" t="s">
        <v>56</v>
      </c>
      <c r="O905">
        <v>7</v>
      </c>
      <c r="P905">
        <v>40</v>
      </c>
      <c r="Q905">
        <v>4</v>
      </c>
      <c r="R905">
        <v>177</v>
      </c>
      <c r="S905">
        <v>163.5</v>
      </c>
      <c r="T905" t="s">
        <v>4237</v>
      </c>
      <c r="U905" s="7">
        <f t="shared" si="56"/>
        <v>42</v>
      </c>
      <c r="V905" s="7">
        <f t="shared" si="57"/>
        <v>7</v>
      </c>
      <c r="W905" s="6">
        <f t="shared" si="58"/>
        <v>51607.380000000005</v>
      </c>
      <c r="X905" t="str">
        <f t="shared" si="59"/>
        <v>Middle Age</v>
      </c>
    </row>
    <row r="906" spans="1:24">
      <c r="A906" t="s">
        <v>2186</v>
      </c>
      <c r="B906" t="s">
        <v>29</v>
      </c>
      <c r="C906" t="s">
        <v>133</v>
      </c>
      <c r="D906" s="5">
        <v>27812</v>
      </c>
      <c r="E906" s="5">
        <v>45537</v>
      </c>
      <c r="F906" s="5">
        <v>45543</v>
      </c>
      <c r="G906" t="s">
        <v>161</v>
      </c>
      <c r="H906" t="s">
        <v>63</v>
      </c>
      <c r="I906" t="s">
        <v>53</v>
      </c>
      <c r="J906" t="s">
        <v>71</v>
      </c>
      <c r="K906" t="s">
        <v>55</v>
      </c>
      <c r="L906" s="6">
        <v>129061.28</v>
      </c>
      <c r="M906">
        <v>113611.31</v>
      </c>
      <c r="N906" t="s">
        <v>56</v>
      </c>
      <c r="O906">
        <v>6</v>
      </c>
      <c r="P906">
        <v>141</v>
      </c>
      <c r="Q906">
        <v>4</v>
      </c>
      <c r="R906">
        <v>116</v>
      </c>
      <c r="S906">
        <v>238.6</v>
      </c>
      <c r="T906" t="s">
        <v>37</v>
      </c>
      <c r="U906" s="7">
        <f t="shared" si="56"/>
        <v>48</v>
      </c>
      <c r="V906" s="7">
        <f t="shared" si="57"/>
        <v>6</v>
      </c>
      <c r="W906" s="6">
        <f t="shared" si="58"/>
        <v>15449.970000000001</v>
      </c>
      <c r="X906" t="str">
        <f t="shared" si="59"/>
        <v>Middle Age</v>
      </c>
    </row>
    <row r="907" spans="1:24">
      <c r="A907" t="s">
        <v>2187</v>
      </c>
      <c r="B907" t="s">
        <v>464</v>
      </c>
      <c r="C907" t="s">
        <v>40</v>
      </c>
      <c r="D907" s="5">
        <v>18272</v>
      </c>
      <c r="E907" s="5">
        <v>45377</v>
      </c>
      <c r="F907" s="5">
        <v>45393</v>
      </c>
      <c r="G907" t="s">
        <v>152</v>
      </c>
      <c r="H907" t="s">
        <v>86</v>
      </c>
      <c r="I907" t="s">
        <v>79</v>
      </c>
      <c r="J907" t="s">
        <v>80</v>
      </c>
      <c r="K907" t="s">
        <v>110</v>
      </c>
      <c r="L907" s="6">
        <v>173298.57</v>
      </c>
      <c r="M907">
        <v>161107.42000000001</v>
      </c>
      <c r="N907" t="s">
        <v>73</v>
      </c>
      <c r="O907">
        <v>16</v>
      </c>
      <c r="P907">
        <v>152</v>
      </c>
      <c r="Q907">
        <v>3</v>
      </c>
      <c r="R907">
        <v>185</v>
      </c>
      <c r="S907">
        <v>250.9</v>
      </c>
      <c r="T907" t="s">
        <v>4237</v>
      </c>
      <c r="U907" s="7">
        <f t="shared" si="56"/>
        <v>74</v>
      </c>
      <c r="V907" s="7">
        <f t="shared" si="57"/>
        <v>16</v>
      </c>
      <c r="W907" s="6">
        <f t="shared" si="58"/>
        <v>12191.149999999994</v>
      </c>
      <c r="X907" t="str">
        <f t="shared" si="59"/>
        <v>Senior</v>
      </c>
    </row>
    <row r="908" spans="1:24">
      <c r="A908" t="s">
        <v>2189</v>
      </c>
      <c r="B908" t="s">
        <v>967</v>
      </c>
      <c r="C908" t="s">
        <v>40</v>
      </c>
      <c r="D908" s="5">
        <v>30900</v>
      </c>
      <c r="E908" s="5">
        <v>45189</v>
      </c>
      <c r="F908" s="5">
        <v>45206</v>
      </c>
      <c r="G908" t="s">
        <v>77</v>
      </c>
      <c r="H908" t="s">
        <v>52</v>
      </c>
      <c r="I908" t="s">
        <v>45</v>
      </c>
      <c r="J908" t="s">
        <v>179</v>
      </c>
      <c r="K908" t="s">
        <v>55</v>
      </c>
      <c r="L908" s="6">
        <v>24157.52</v>
      </c>
      <c r="M908">
        <v>20145.080000000002</v>
      </c>
      <c r="N908" t="s">
        <v>73</v>
      </c>
      <c r="O908">
        <v>17</v>
      </c>
      <c r="P908">
        <v>154</v>
      </c>
      <c r="Q908">
        <v>4</v>
      </c>
      <c r="R908">
        <v>173</v>
      </c>
      <c r="S908">
        <v>80.2</v>
      </c>
      <c r="T908" t="s">
        <v>37</v>
      </c>
      <c r="U908" s="7">
        <f t="shared" si="56"/>
        <v>39</v>
      </c>
      <c r="V908" s="7">
        <f t="shared" si="57"/>
        <v>17</v>
      </c>
      <c r="W908" s="6">
        <f t="shared" si="58"/>
        <v>4012.4399999999987</v>
      </c>
      <c r="X908" t="str">
        <f t="shared" si="59"/>
        <v>Adult</v>
      </c>
    </row>
    <row r="909" spans="1:24">
      <c r="A909" t="s">
        <v>2190</v>
      </c>
      <c r="B909" t="s">
        <v>345</v>
      </c>
      <c r="C909" t="s">
        <v>40</v>
      </c>
      <c r="D909" s="5">
        <v>21979</v>
      </c>
      <c r="E909" s="5">
        <v>45931</v>
      </c>
      <c r="F909" s="5">
        <v>45935</v>
      </c>
      <c r="G909" t="s">
        <v>89</v>
      </c>
      <c r="H909" t="s">
        <v>134</v>
      </c>
      <c r="I909" t="s">
        <v>79</v>
      </c>
      <c r="J909" t="s">
        <v>46</v>
      </c>
      <c r="K909" t="s">
        <v>55</v>
      </c>
      <c r="L909" s="6">
        <v>246991.58</v>
      </c>
      <c r="M909">
        <v>211186.47</v>
      </c>
      <c r="N909" t="s">
        <v>35</v>
      </c>
      <c r="O909">
        <v>4</v>
      </c>
      <c r="P909">
        <v>29</v>
      </c>
      <c r="Q909">
        <v>4</v>
      </c>
      <c r="R909">
        <v>169</v>
      </c>
      <c r="S909">
        <v>171.6</v>
      </c>
      <c r="T909" t="s">
        <v>37</v>
      </c>
      <c r="U909" s="7">
        <f t="shared" si="56"/>
        <v>65</v>
      </c>
      <c r="V909" s="7">
        <f t="shared" si="57"/>
        <v>4</v>
      </c>
      <c r="W909" s="6">
        <f t="shared" si="58"/>
        <v>35805.109999999986</v>
      </c>
      <c r="X909" t="str">
        <f t="shared" si="59"/>
        <v>Senior</v>
      </c>
    </row>
    <row r="910" spans="1:24">
      <c r="A910" t="s">
        <v>2191</v>
      </c>
      <c r="B910" t="s">
        <v>368</v>
      </c>
      <c r="C910" t="s">
        <v>133</v>
      </c>
      <c r="D910" s="5">
        <v>29033</v>
      </c>
      <c r="E910" s="5">
        <v>45648</v>
      </c>
      <c r="F910" s="5">
        <v>45663</v>
      </c>
      <c r="G910" t="s">
        <v>161</v>
      </c>
      <c r="H910" t="s">
        <v>134</v>
      </c>
      <c r="I910" t="s">
        <v>79</v>
      </c>
      <c r="J910" t="s">
        <v>26</v>
      </c>
      <c r="K910" t="s">
        <v>55</v>
      </c>
      <c r="L910" s="6">
        <v>106091.72</v>
      </c>
      <c r="M910">
        <v>93640.87</v>
      </c>
      <c r="N910" t="s">
        <v>91</v>
      </c>
      <c r="O910">
        <v>15</v>
      </c>
      <c r="P910">
        <v>121</v>
      </c>
      <c r="Q910">
        <v>4</v>
      </c>
      <c r="R910">
        <v>161</v>
      </c>
      <c r="S910">
        <v>166.4</v>
      </c>
      <c r="T910" t="s">
        <v>37</v>
      </c>
      <c r="U910" s="7">
        <f t="shared" si="56"/>
        <v>45</v>
      </c>
      <c r="V910" s="7">
        <f t="shared" si="57"/>
        <v>15</v>
      </c>
      <c r="W910" s="6">
        <f t="shared" si="58"/>
        <v>12450.850000000006</v>
      </c>
      <c r="X910" t="str">
        <f t="shared" si="59"/>
        <v>Middle Age</v>
      </c>
    </row>
    <row r="911" spans="1:24">
      <c r="A911" t="s">
        <v>2193</v>
      </c>
      <c r="B911" t="s">
        <v>403</v>
      </c>
      <c r="C911" t="s">
        <v>133</v>
      </c>
      <c r="D911" s="5">
        <v>21009</v>
      </c>
      <c r="E911" s="5">
        <v>45325</v>
      </c>
      <c r="F911" s="5">
        <v>45339</v>
      </c>
      <c r="G911" t="s">
        <v>94</v>
      </c>
      <c r="H911" t="s">
        <v>52</v>
      </c>
      <c r="I911" t="s">
        <v>45</v>
      </c>
      <c r="J911" t="s">
        <v>26</v>
      </c>
      <c r="K911" t="s">
        <v>27</v>
      </c>
      <c r="L911" s="6">
        <v>118876.09</v>
      </c>
      <c r="M911">
        <v>85465.27</v>
      </c>
      <c r="N911" t="s">
        <v>35</v>
      </c>
      <c r="O911">
        <v>14</v>
      </c>
      <c r="P911">
        <v>153</v>
      </c>
      <c r="Q911">
        <v>1</v>
      </c>
      <c r="R911">
        <v>186</v>
      </c>
      <c r="S911">
        <v>231.1</v>
      </c>
      <c r="T911" t="s">
        <v>65</v>
      </c>
      <c r="U911" s="7">
        <f t="shared" si="56"/>
        <v>66</v>
      </c>
      <c r="V911" s="7">
        <f t="shared" si="57"/>
        <v>14</v>
      </c>
      <c r="W911" s="6">
        <f t="shared" si="58"/>
        <v>33410.819999999992</v>
      </c>
      <c r="X911" t="str">
        <f t="shared" si="59"/>
        <v>Senior</v>
      </c>
    </row>
    <row r="912" spans="1:24">
      <c r="A912" t="s">
        <v>4153</v>
      </c>
      <c r="B912" t="s">
        <v>1598</v>
      </c>
      <c r="C912" t="s">
        <v>40</v>
      </c>
      <c r="D912" s="5">
        <v>39739</v>
      </c>
      <c r="E912" s="5">
        <v>45180</v>
      </c>
      <c r="F912" s="5">
        <v>45185</v>
      </c>
      <c r="G912" t="s">
        <v>109</v>
      </c>
      <c r="H912" t="s">
        <v>153</v>
      </c>
      <c r="I912" t="s">
        <v>45</v>
      </c>
      <c r="J912" t="s">
        <v>64</v>
      </c>
      <c r="K912" t="s">
        <v>110</v>
      </c>
      <c r="L912" s="6">
        <v>158949.1</v>
      </c>
      <c r="M912">
        <v>154694.48000000001</v>
      </c>
      <c r="N912" t="s">
        <v>73</v>
      </c>
      <c r="O912">
        <v>5</v>
      </c>
      <c r="P912">
        <v>203</v>
      </c>
      <c r="Q912">
        <v>5</v>
      </c>
      <c r="R912">
        <v>103</v>
      </c>
      <c r="S912">
        <v>153.19999999999999</v>
      </c>
      <c r="T912" t="s">
        <v>65</v>
      </c>
      <c r="U912" s="7">
        <f t="shared" si="56"/>
        <v>14</v>
      </c>
      <c r="V912" s="7">
        <f t="shared" si="57"/>
        <v>5</v>
      </c>
      <c r="W912" s="6">
        <f t="shared" si="58"/>
        <v>4254.6199999999953</v>
      </c>
      <c r="X912" t="str">
        <f t="shared" si="59"/>
        <v>Child</v>
      </c>
    </row>
    <row r="913" spans="1:24">
      <c r="A913" t="s">
        <v>2197</v>
      </c>
      <c r="B913" t="s">
        <v>1526</v>
      </c>
      <c r="C913" t="s">
        <v>40</v>
      </c>
      <c r="D913" s="5">
        <v>37596</v>
      </c>
      <c r="E913" s="5">
        <v>45311</v>
      </c>
      <c r="F913" s="5">
        <v>45324</v>
      </c>
      <c r="G913" t="s">
        <v>161</v>
      </c>
      <c r="H913" t="s">
        <v>153</v>
      </c>
      <c r="I913" t="s">
        <v>79</v>
      </c>
      <c r="J913" t="s">
        <v>80</v>
      </c>
      <c r="K913" t="s">
        <v>27</v>
      </c>
      <c r="L913" s="6">
        <v>123663.9</v>
      </c>
      <c r="M913">
        <v>116212.2</v>
      </c>
      <c r="N913" t="s">
        <v>73</v>
      </c>
      <c r="O913">
        <v>13</v>
      </c>
      <c r="P913">
        <v>30</v>
      </c>
      <c r="Q913">
        <v>4</v>
      </c>
      <c r="R913">
        <v>182</v>
      </c>
      <c r="S913">
        <v>216.8</v>
      </c>
      <c r="T913" t="s">
        <v>65</v>
      </c>
      <c r="U913" s="7">
        <f t="shared" si="56"/>
        <v>21</v>
      </c>
      <c r="V913" s="7">
        <f t="shared" si="57"/>
        <v>13</v>
      </c>
      <c r="W913" s="6">
        <f t="shared" si="58"/>
        <v>7451.6999999999971</v>
      </c>
      <c r="X913" t="str">
        <f t="shared" si="59"/>
        <v>Adult</v>
      </c>
    </row>
    <row r="914" spans="1:24">
      <c r="A914" t="s">
        <v>2199</v>
      </c>
      <c r="B914" t="s">
        <v>1182</v>
      </c>
      <c r="C914" t="s">
        <v>40</v>
      </c>
      <c r="D914" s="5">
        <v>19317</v>
      </c>
      <c r="E914" s="5">
        <v>45804</v>
      </c>
      <c r="F914" s="5">
        <v>45814</v>
      </c>
      <c r="G914" t="s">
        <v>94</v>
      </c>
      <c r="H914" t="s">
        <v>118</v>
      </c>
      <c r="I914" t="s">
        <v>33</v>
      </c>
      <c r="J914" t="s">
        <v>97</v>
      </c>
      <c r="K914" t="s">
        <v>120</v>
      </c>
      <c r="L914" s="6">
        <v>158335.34</v>
      </c>
      <c r="M914">
        <v>95506</v>
      </c>
      <c r="N914" t="s">
        <v>91</v>
      </c>
      <c r="O914">
        <v>10</v>
      </c>
      <c r="P914">
        <v>196</v>
      </c>
      <c r="Q914">
        <v>3</v>
      </c>
      <c r="R914">
        <v>179</v>
      </c>
      <c r="S914">
        <v>90.4</v>
      </c>
      <c r="T914" t="s">
        <v>37</v>
      </c>
      <c r="U914" s="7">
        <f t="shared" si="56"/>
        <v>72</v>
      </c>
      <c r="V914" s="7">
        <f t="shared" si="57"/>
        <v>10</v>
      </c>
      <c r="W914" s="6">
        <f t="shared" si="58"/>
        <v>62829.34</v>
      </c>
      <c r="X914" t="str">
        <f t="shared" si="59"/>
        <v>Senior</v>
      </c>
    </row>
    <row r="915" spans="1:24">
      <c r="A915" t="s">
        <v>2200</v>
      </c>
      <c r="B915" t="s">
        <v>451</v>
      </c>
      <c r="C915" t="s">
        <v>133</v>
      </c>
      <c r="D915" s="5">
        <v>29560</v>
      </c>
      <c r="E915" s="5">
        <v>45174</v>
      </c>
      <c r="F915" s="5" t="s">
        <v>4237</v>
      </c>
      <c r="G915" t="s">
        <v>161</v>
      </c>
      <c r="H915" t="s">
        <v>44</v>
      </c>
      <c r="I915" t="s">
        <v>25</v>
      </c>
      <c r="J915" t="s">
        <v>97</v>
      </c>
      <c r="K915" t="s">
        <v>55</v>
      </c>
      <c r="L915" s="6">
        <v>78143.399999999994</v>
      </c>
      <c r="M915">
        <v>49915.74</v>
      </c>
      <c r="N915" t="s">
        <v>91</v>
      </c>
      <c r="O915">
        <v>16</v>
      </c>
      <c r="P915">
        <v>48</v>
      </c>
      <c r="Q915">
        <v>5</v>
      </c>
      <c r="R915">
        <v>102</v>
      </c>
      <c r="S915">
        <v>200.8</v>
      </c>
      <c r="T915" t="s">
        <v>37</v>
      </c>
      <c r="U915" s="7">
        <f t="shared" si="56"/>
        <v>42</v>
      </c>
      <c r="V915" s="7" t="s">
        <v>4237</v>
      </c>
      <c r="W915" s="6">
        <f t="shared" si="58"/>
        <v>28227.659999999996</v>
      </c>
      <c r="X915" t="str">
        <f t="shared" si="59"/>
        <v>Middle Age</v>
      </c>
    </row>
    <row r="916" spans="1:24">
      <c r="A916" t="s">
        <v>2202</v>
      </c>
      <c r="B916" t="s">
        <v>1302</v>
      </c>
      <c r="C916" t="s">
        <v>133</v>
      </c>
      <c r="D916" s="5">
        <v>22061</v>
      </c>
      <c r="E916" s="5">
        <v>45481</v>
      </c>
      <c r="F916" s="5">
        <v>45486</v>
      </c>
      <c r="G916" t="s">
        <v>152</v>
      </c>
      <c r="H916" t="s">
        <v>24</v>
      </c>
      <c r="I916" t="s">
        <v>53</v>
      </c>
      <c r="J916" t="s">
        <v>71</v>
      </c>
      <c r="K916" t="s">
        <v>120</v>
      </c>
      <c r="L916" s="6">
        <v>63051.06</v>
      </c>
      <c r="M916">
        <v>44274.26</v>
      </c>
      <c r="N916" t="s">
        <v>73</v>
      </c>
      <c r="O916">
        <v>5</v>
      </c>
      <c r="P916">
        <v>158</v>
      </c>
      <c r="Q916">
        <v>5</v>
      </c>
      <c r="R916">
        <v>146</v>
      </c>
      <c r="S916">
        <v>148.19999999999999</v>
      </c>
      <c r="T916" t="s">
        <v>4237</v>
      </c>
      <c r="U916" s="7">
        <f t="shared" si="56"/>
        <v>64</v>
      </c>
      <c r="V916" s="7">
        <f t="shared" si="57"/>
        <v>5</v>
      </c>
      <c r="W916" s="6">
        <f t="shared" si="58"/>
        <v>18776.799999999996</v>
      </c>
      <c r="X916" t="str">
        <f t="shared" si="59"/>
        <v>Senior</v>
      </c>
    </row>
    <row r="917" spans="1:24">
      <c r="A917" t="s">
        <v>2204</v>
      </c>
      <c r="B917" t="s">
        <v>1580</v>
      </c>
      <c r="C917" t="s">
        <v>40</v>
      </c>
      <c r="D917" s="5">
        <v>32771</v>
      </c>
      <c r="E917" s="5">
        <v>45060</v>
      </c>
      <c r="F917" s="5">
        <v>45067</v>
      </c>
      <c r="G917" t="s">
        <v>105</v>
      </c>
      <c r="H917" t="s">
        <v>44</v>
      </c>
      <c r="I917" t="s">
        <v>53</v>
      </c>
      <c r="J917" t="s">
        <v>71</v>
      </c>
      <c r="K917" t="s">
        <v>120</v>
      </c>
      <c r="L917" s="6">
        <v>210095.75</v>
      </c>
      <c r="M917">
        <v>190202.45</v>
      </c>
      <c r="N917" t="s">
        <v>192</v>
      </c>
      <c r="O917">
        <v>7</v>
      </c>
      <c r="P917">
        <v>164</v>
      </c>
      <c r="Q917">
        <v>1</v>
      </c>
      <c r="R917">
        <v>155</v>
      </c>
      <c r="S917">
        <v>242.8</v>
      </c>
      <c r="T917" t="s">
        <v>47</v>
      </c>
      <c r="U917" s="7">
        <f t="shared" si="56"/>
        <v>33</v>
      </c>
      <c r="V917" s="7">
        <f t="shared" si="57"/>
        <v>7</v>
      </c>
      <c r="W917" s="6">
        <f t="shared" si="58"/>
        <v>19893.299999999988</v>
      </c>
      <c r="X917" t="str">
        <f t="shared" si="59"/>
        <v>Adult</v>
      </c>
    </row>
    <row r="918" spans="1:24">
      <c r="A918" t="s">
        <v>2205</v>
      </c>
      <c r="B918" t="s">
        <v>1537</v>
      </c>
      <c r="C918" t="s">
        <v>133</v>
      </c>
      <c r="D918" s="5">
        <v>23967</v>
      </c>
      <c r="E918" s="5">
        <v>45708</v>
      </c>
      <c r="F918" s="5">
        <v>45722</v>
      </c>
      <c r="G918" t="s">
        <v>43</v>
      </c>
      <c r="H918" t="s">
        <v>118</v>
      </c>
      <c r="I918" t="s">
        <v>53</v>
      </c>
      <c r="J918" t="s">
        <v>97</v>
      </c>
      <c r="K918" t="s">
        <v>55</v>
      </c>
      <c r="L918" s="6">
        <v>143537.23000000001</v>
      </c>
      <c r="M918">
        <v>110453.89</v>
      </c>
      <c r="N918" t="s">
        <v>91</v>
      </c>
      <c r="O918">
        <v>14</v>
      </c>
      <c r="P918">
        <v>103</v>
      </c>
      <c r="Q918">
        <v>2</v>
      </c>
      <c r="R918">
        <v>162</v>
      </c>
      <c r="S918">
        <v>163.5</v>
      </c>
      <c r="T918" t="s">
        <v>37</v>
      </c>
      <c r="U918" s="7">
        <f t="shared" si="56"/>
        <v>59</v>
      </c>
      <c r="V918" s="7">
        <f t="shared" si="57"/>
        <v>14</v>
      </c>
      <c r="W918" s="6">
        <f t="shared" si="58"/>
        <v>33083.340000000011</v>
      </c>
      <c r="X918" t="str">
        <f t="shared" si="59"/>
        <v>Middle Age</v>
      </c>
    </row>
    <row r="919" spans="1:24">
      <c r="A919" t="s">
        <v>2207</v>
      </c>
      <c r="B919" t="s">
        <v>986</v>
      </c>
      <c r="C919" t="s">
        <v>40</v>
      </c>
      <c r="D919" s="5">
        <v>24660</v>
      </c>
      <c r="E919" s="5" t="s">
        <v>4237</v>
      </c>
      <c r="F919" s="5" t="s">
        <v>4237</v>
      </c>
      <c r="G919" t="s">
        <v>89</v>
      </c>
      <c r="H919" t="s">
        <v>118</v>
      </c>
      <c r="I919" t="s">
        <v>45</v>
      </c>
      <c r="J919" t="s">
        <v>80</v>
      </c>
      <c r="K919" t="s">
        <v>55</v>
      </c>
      <c r="L919" s="6">
        <v>66195.179999999993</v>
      </c>
      <c r="M919">
        <v>51017.57</v>
      </c>
      <c r="N919" t="s">
        <v>56</v>
      </c>
      <c r="O919">
        <v>10</v>
      </c>
      <c r="P919">
        <v>193</v>
      </c>
      <c r="Q919">
        <v>4</v>
      </c>
      <c r="R919">
        <v>138</v>
      </c>
      <c r="S919">
        <v>152.9</v>
      </c>
      <c r="T919" t="s">
        <v>37</v>
      </c>
      <c r="U919" s="7" t="s">
        <v>4237</v>
      </c>
      <c r="V919" s="7" t="s">
        <v>4237</v>
      </c>
      <c r="W919" s="6">
        <f t="shared" si="58"/>
        <v>15177.609999999993</v>
      </c>
      <c r="X919" t="s">
        <v>4237</v>
      </c>
    </row>
    <row r="920" spans="1:24">
      <c r="A920" t="s">
        <v>2210</v>
      </c>
      <c r="B920" t="s">
        <v>810</v>
      </c>
      <c r="C920" t="s">
        <v>40</v>
      </c>
      <c r="D920" s="5">
        <v>18849</v>
      </c>
      <c r="E920" s="5">
        <v>45345</v>
      </c>
      <c r="F920" s="5">
        <v>45356</v>
      </c>
      <c r="G920" t="s">
        <v>152</v>
      </c>
      <c r="H920" t="s">
        <v>118</v>
      </c>
      <c r="I920" t="s">
        <v>119</v>
      </c>
      <c r="J920" t="s">
        <v>97</v>
      </c>
      <c r="K920" t="s">
        <v>27</v>
      </c>
      <c r="L920" s="6">
        <v>243585.1</v>
      </c>
      <c r="M920">
        <v>195129.31</v>
      </c>
      <c r="N920" t="s">
        <v>35</v>
      </c>
      <c r="O920">
        <v>11</v>
      </c>
      <c r="P920">
        <v>138</v>
      </c>
      <c r="Q920">
        <v>5</v>
      </c>
      <c r="R920">
        <v>167</v>
      </c>
      <c r="S920">
        <v>121.7</v>
      </c>
      <c r="T920" t="s">
        <v>37</v>
      </c>
      <c r="U920" s="7">
        <f t="shared" si="56"/>
        <v>72</v>
      </c>
      <c r="V920" s="7">
        <f t="shared" si="57"/>
        <v>11</v>
      </c>
      <c r="W920" s="6">
        <f t="shared" si="58"/>
        <v>48455.790000000008</v>
      </c>
      <c r="X920" t="str">
        <f t="shared" si="59"/>
        <v>Senior</v>
      </c>
    </row>
    <row r="921" spans="1:24">
      <c r="A921" t="s">
        <v>4154</v>
      </c>
      <c r="B921" t="s">
        <v>1001</v>
      </c>
      <c r="C921" t="s">
        <v>133</v>
      </c>
      <c r="D921" s="5">
        <v>28912</v>
      </c>
      <c r="E921" s="5">
        <v>45998</v>
      </c>
      <c r="F921" s="5" t="s">
        <v>4237</v>
      </c>
      <c r="G921" t="s">
        <v>94</v>
      </c>
      <c r="H921" t="s">
        <v>118</v>
      </c>
      <c r="I921" t="s">
        <v>119</v>
      </c>
      <c r="J921" t="s">
        <v>71</v>
      </c>
      <c r="K921" t="s">
        <v>55</v>
      </c>
      <c r="L921" s="6">
        <v>36252.620000000003</v>
      </c>
      <c r="M921">
        <v>32133.439999999999</v>
      </c>
      <c r="N921" t="s">
        <v>192</v>
      </c>
      <c r="O921">
        <v>7</v>
      </c>
      <c r="P921">
        <v>59</v>
      </c>
      <c r="Q921">
        <v>5</v>
      </c>
      <c r="R921">
        <v>126</v>
      </c>
      <c r="S921">
        <v>210.5</v>
      </c>
      <c r="T921" t="s">
        <v>37</v>
      </c>
      <c r="U921" s="7">
        <f t="shared" si="56"/>
        <v>46</v>
      </c>
      <c r="V921" s="7" t="s">
        <v>4237</v>
      </c>
      <c r="W921" s="6">
        <f t="shared" si="58"/>
        <v>4119.1800000000039</v>
      </c>
      <c r="X921" t="str">
        <f t="shared" si="59"/>
        <v>Middle Age</v>
      </c>
    </row>
    <row r="922" spans="1:24">
      <c r="A922" t="s">
        <v>2213</v>
      </c>
      <c r="B922" t="s">
        <v>503</v>
      </c>
      <c r="C922" t="s">
        <v>133</v>
      </c>
      <c r="D922" s="5">
        <v>31780</v>
      </c>
      <c r="E922" s="5">
        <v>45461</v>
      </c>
      <c r="F922" s="5">
        <v>45476</v>
      </c>
      <c r="G922" t="s">
        <v>161</v>
      </c>
      <c r="H922" t="s">
        <v>24</v>
      </c>
      <c r="I922" t="s">
        <v>33</v>
      </c>
      <c r="J922" t="s">
        <v>64</v>
      </c>
      <c r="K922" t="s">
        <v>55</v>
      </c>
      <c r="L922" s="6">
        <v>67025.72</v>
      </c>
      <c r="M922">
        <v>55815.48</v>
      </c>
      <c r="N922" t="s">
        <v>192</v>
      </c>
      <c r="O922">
        <v>15</v>
      </c>
      <c r="P922">
        <v>119</v>
      </c>
      <c r="Q922">
        <v>2</v>
      </c>
      <c r="R922">
        <v>133</v>
      </c>
      <c r="S922">
        <v>144.5</v>
      </c>
      <c r="T922" t="s">
        <v>65</v>
      </c>
      <c r="U922" s="7">
        <f t="shared" si="56"/>
        <v>37</v>
      </c>
      <c r="V922" s="7">
        <f t="shared" si="57"/>
        <v>15</v>
      </c>
      <c r="W922" s="6">
        <f t="shared" si="58"/>
        <v>11210.239999999998</v>
      </c>
      <c r="X922" t="str">
        <f t="shared" si="59"/>
        <v>Adult</v>
      </c>
    </row>
    <row r="923" spans="1:24">
      <c r="A923" t="s">
        <v>2215</v>
      </c>
      <c r="B923" t="s">
        <v>277</v>
      </c>
      <c r="C923" t="s">
        <v>133</v>
      </c>
      <c r="D923" s="5">
        <v>23154</v>
      </c>
      <c r="E923" s="5">
        <v>45351</v>
      </c>
      <c r="F923" s="5">
        <v>45363</v>
      </c>
      <c r="G923" t="s">
        <v>152</v>
      </c>
      <c r="H923" t="s">
        <v>134</v>
      </c>
      <c r="I923" t="s">
        <v>119</v>
      </c>
      <c r="J923" t="s">
        <v>179</v>
      </c>
      <c r="K923" t="s">
        <v>27</v>
      </c>
      <c r="L923" s="6">
        <v>221028.49</v>
      </c>
      <c r="M923">
        <v>176217.51</v>
      </c>
      <c r="N923" t="s">
        <v>192</v>
      </c>
      <c r="O923">
        <v>12</v>
      </c>
      <c r="P923">
        <v>237</v>
      </c>
      <c r="Q923">
        <v>1</v>
      </c>
      <c r="R923">
        <v>172</v>
      </c>
      <c r="S923">
        <v>133.69999999999999</v>
      </c>
      <c r="T923" t="s">
        <v>37</v>
      </c>
      <c r="U923" s="7">
        <f t="shared" si="56"/>
        <v>60</v>
      </c>
      <c r="V923" s="7">
        <f t="shared" si="57"/>
        <v>12</v>
      </c>
      <c r="W923" s="6">
        <f t="shared" si="58"/>
        <v>44810.979999999981</v>
      </c>
      <c r="X923" t="str">
        <f t="shared" si="59"/>
        <v>Senior</v>
      </c>
    </row>
    <row r="924" spans="1:24">
      <c r="A924" t="s">
        <v>2218</v>
      </c>
      <c r="B924" t="s">
        <v>1119</v>
      </c>
      <c r="C924" t="s">
        <v>133</v>
      </c>
      <c r="D924" s="5">
        <v>39259</v>
      </c>
      <c r="E924" s="5">
        <v>45839</v>
      </c>
      <c r="F924" s="5">
        <v>45843</v>
      </c>
      <c r="G924" t="s">
        <v>152</v>
      </c>
      <c r="H924" t="s">
        <v>124</v>
      </c>
      <c r="I924" t="s">
        <v>53</v>
      </c>
      <c r="J924" t="s">
        <v>46</v>
      </c>
      <c r="K924" t="s">
        <v>55</v>
      </c>
      <c r="L924" s="6">
        <v>16285.02</v>
      </c>
      <c r="M924">
        <v>13257.84</v>
      </c>
      <c r="N924" t="s">
        <v>192</v>
      </c>
      <c r="O924">
        <v>4</v>
      </c>
      <c r="P924">
        <v>142</v>
      </c>
      <c r="Q924">
        <v>5</v>
      </c>
      <c r="R924">
        <v>180</v>
      </c>
      <c r="S924">
        <v>259.8</v>
      </c>
      <c r="T924" t="s">
        <v>37</v>
      </c>
      <c r="U924" s="7">
        <f t="shared" si="56"/>
        <v>18</v>
      </c>
      <c r="V924" s="7">
        <f t="shared" si="57"/>
        <v>4</v>
      </c>
      <c r="W924" s="6">
        <f t="shared" si="58"/>
        <v>3027.1800000000003</v>
      </c>
      <c r="X924" t="str">
        <f t="shared" si="59"/>
        <v>Adult</v>
      </c>
    </row>
    <row r="925" spans="1:24">
      <c r="A925" t="s">
        <v>2220</v>
      </c>
      <c r="B925" t="s">
        <v>126</v>
      </c>
      <c r="C925" t="s">
        <v>133</v>
      </c>
      <c r="D925" s="5">
        <v>38374</v>
      </c>
      <c r="E925" s="5">
        <v>45716</v>
      </c>
      <c r="F925" s="5">
        <v>45723</v>
      </c>
      <c r="G925" t="s">
        <v>105</v>
      </c>
      <c r="H925" t="s">
        <v>86</v>
      </c>
      <c r="I925" t="s">
        <v>25</v>
      </c>
      <c r="J925" t="s">
        <v>26</v>
      </c>
      <c r="K925" t="s">
        <v>120</v>
      </c>
      <c r="L925" s="6">
        <v>7879.58</v>
      </c>
      <c r="M925">
        <v>7525.36</v>
      </c>
      <c r="N925" t="s">
        <v>73</v>
      </c>
      <c r="O925">
        <v>7</v>
      </c>
      <c r="P925">
        <v>41</v>
      </c>
      <c r="Q925">
        <v>4</v>
      </c>
      <c r="R925">
        <v>160</v>
      </c>
      <c r="S925">
        <v>179.8</v>
      </c>
      <c r="T925" t="s">
        <v>37</v>
      </c>
      <c r="U925" s="7">
        <f t="shared" si="56"/>
        <v>20</v>
      </c>
      <c r="V925" s="7">
        <f t="shared" si="57"/>
        <v>7</v>
      </c>
      <c r="W925" s="6">
        <f t="shared" si="58"/>
        <v>354.22000000000025</v>
      </c>
      <c r="X925" t="str">
        <f t="shared" si="59"/>
        <v>Adult</v>
      </c>
    </row>
    <row r="926" spans="1:24">
      <c r="A926" t="s">
        <v>2222</v>
      </c>
      <c r="B926" t="s">
        <v>760</v>
      </c>
      <c r="C926" t="s">
        <v>40</v>
      </c>
      <c r="D926" s="5">
        <v>30522</v>
      </c>
      <c r="E926" s="5">
        <v>45899</v>
      </c>
      <c r="F926" s="5">
        <v>45901</v>
      </c>
      <c r="G926" t="s">
        <v>43</v>
      </c>
      <c r="H926" t="s">
        <v>63</v>
      </c>
      <c r="I926" t="s">
        <v>79</v>
      </c>
      <c r="J926" t="s">
        <v>97</v>
      </c>
      <c r="K926" t="s">
        <v>55</v>
      </c>
      <c r="L926" s="6">
        <v>15272.36</v>
      </c>
      <c r="M926">
        <v>14114.83</v>
      </c>
      <c r="N926" t="s">
        <v>56</v>
      </c>
      <c r="O926">
        <v>2</v>
      </c>
      <c r="P926">
        <v>60</v>
      </c>
      <c r="Q926">
        <v>5</v>
      </c>
      <c r="R926">
        <v>128</v>
      </c>
      <c r="S926">
        <v>199.2</v>
      </c>
      <c r="T926" t="s">
        <v>47</v>
      </c>
      <c r="U926" s="7">
        <f t="shared" si="56"/>
        <v>42</v>
      </c>
      <c r="V926" s="7">
        <f t="shared" si="57"/>
        <v>2</v>
      </c>
      <c r="W926" s="6">
        <f t="shared" si="58"/>
        <v>1157.5300000000007</v>
      </c>
      <c r="X926" t="str">
        <f t="shared" si="59"/>
        <v>Middle Age</v>
      </c>
    </row>
    <row r="927" spans="1:24">
      <c r="A927" t="s">
        <v>2224</v>
      </c>
      <c r="B927" t="s">
        <v>373</v>
      </c>
      <c r="C927" t="s">
        <v>133</v>
      </c>
      <c r="D927" s="5">
        <v>20324</v>
      </c>
      <c r="E927" s="5">
        <v>45024</v>
      </c>
      <c r="F927" s="5">
        <v>45039</v>
      </c>
      <c r="G927" t="s">
        <v>117</v>
      </c>
      <c r="H927" t="s">
        <v>52</v>
      </c>
      <c r="I927" t="s">
        <v>33</v>
      </c>
      <c r="J927" t="s">
        <v>71</v>
      </c>
      <c r="K927" t="s">
        <v>27</v>
      </c>
      <c r="L927" s="6">
        <v>71785.259999999995</v>
      </c>
      <c r="M927">
        <v>60177.24</v>
      </c>
      <c r="N927" t="s">
        <v>192</v>
      </c>
      <c r="O927">
        <v>15</v>
      </c>
      <c r="P927">
        <v>231</v>
      </c>
      <c r="Q927">
        <v>4</v>
      </c>
      <c r="R927">
        <v>112</v>
      </c>
      <c r="S927">
        <v>198.3</v>
      </c>
      <c r="T927" t="s">
        <v>47</v>
      </c>
      <c r="U927" s="7">
        <f t="shared" si="56"/>
        <v>67</v>
      </c>
      <c r="V927" s="7">
        <f t="shared" si="57"/>
        <v>15</v>
      </c>
      <c r="W927" s="6">
        <f t="shared" si="58"/>
        <v>11608.019999999997</v>
      </c>
      <c r="X927" t="str">
        <f t="shared" si="59"/>
        <v>Senior</v>
      </c>
    </row>
    <row r="928" spans="1:24">
      <c r="A928" t="s">
        <v>2225</v>
      </c>
      <c r="B928" t="s">
        <v>173</v>
      </c>
      <c r="C928" t="s">
        <v>40</v>
      </c>
      <c r="D928" s="5">
        <v>36331</v>
      </c>
      <c r="E928" s="5">
        <v>45485</v>
      </c>
      <c r="F928" s="5" t="s">
        <v>4237</v>
      </c>
      <c r="G928" t="s">
        <v>109</v>
      </c>
      <c r="H928" t="s">
        <v>113</v>
      </c>
      <c r="I928" t="s">
        <v>119</v>
      </c>
      <c r="J928" t="s">
        <v>97</v>
      </c>
      <c r="K928" t="s">
        <v>55</v>
      </c>
      <c r="L928" s="6">
        <v>147889.71</v>
      </c>
      <c r="M928">
        <v>123315.99</v>
      </c>
      <c r="N928" t="s">
        <v>35</v>
      </c>
      <c r="O928">
        <v>10</v>
      </c>
      <c r="P928">
        <v>122</v>
      </c>
      <c r="Q928">
        <v>5</v>
      </c>
      <c r="R928">
        <v>93</v>
      </c>
      <c r="S928">
        <v>252.8</v>
      </c>
      <c r="T928" t="s">
        <v>47</v>
      </c>
      <c r="U928" s="7">
        <f t="shared" si="56"/>
        <v>25</v>
      </c>
      <c r="V928" s="7" t="s">
        <v>4237</v>
      </c>
      <c r="W928" s="6">
        <f t="shared" si="58"/>
        <v>24573.719999999987</v>
      </c>
      <c r="X928" t="str">
        <f t="shared" si="59"/>
        <v>Adult</v>
      </c>
    </row>
    <row r="929" spans="1:24">
      <c r="A929" t="s">
        <v>2227</v>
      </c>
      <c r="B929" t="s">
        <v>1678</v>
      </c>
      <c r="C929" t="s">
        <v>40</v>
      </c>
      <c r="D929" s="5">
        <v>22769</v>
      </c>
      <c r="E929" s="5">
        <v>45082</v>
      </c>
      <c r="F929" s="5">
        <v>45093</v>
      </c>
      <c r="G929" t="s">
        <v>94</v>
      </c>
      <c r="H929" t="s">
        <v>86</v>
      </c>
      <c r="I929" t="s">
        <v>45</v>
      </c>
      <c r="J929" t="s">
        <v>179</v>
      </c>
      <c r="K929" t="s">
        <v>55</v>
      </c>
      <c r="L929" s="6">
        <v>156442.59</v>
      </c>
      <c r="M929">
        <v>146528.81</v>
      </c>
      <c r="N929" t="s">
        <v>35</v>
      </c>
      <c r="O929">
        <v>11</v>
      </c>
      <c r="P929">
        <v>169</v>
      </c>
      <c r="Q929">
        <v>1</v>
      </c>
      <c r="R929">
        <v>163</v>
      </c>
      <c r="S929">
        <v>231.7</v>
      </c>
      <c r="T929" t="s">
        <v>4237</v>
      </c>
      <c r="U929" s="7">
        <f t="shared" si="56"/>
        <v>61</v>
      </c>
      <c r="V929" s="7">
        <f t="shared" si="57"/>
        <v>11</v>
      </c>
      <c r="W929" s="6">
        <f t="shared" si="58"/>
        <v>9913.7799999999988</v>
      </c>
      <c r="X929" t="str">
        <f t="shared" si="59"/>
        <v>Senior</v>
      </c>
    </row>
    <row r="930" spans="1:24">
      <c r="A930" t="s">
        <v>4155</v>
      </c>
      <c r="B930" t="s">
        <v>1101</v>
      </c>
      <c r="C930" t="s">
        <v>40</v>
      </c>
      <c r="D930" s="5">
        <v>25999</v>
      </c>
      <c r="E930" s="5" t="s">
        <v>4237</v>
      </c>
      <c r="F930" s="5">
        <v>45207</v>
      </c>
      <c r="G930" t="s">
        <v>152</v>
      </c>
      <c r="H930" t="s">
        <v>113</v>
      </c>
      <c r="I930" t="s">
        <v>25</v>
      </c>
      <c r="J930" t="s">
        <v>179</v>
      </c>
      <c r="K930" t="s">
        <v>120</v>
      </c>
      <c r="L930" s="6">
        <v>66906.53</v>
      </c>
      <c r="M930">
        <v>64005.47</v>
      </c>
      <c r="N930" t="s">
        <v>56</v>
      </c>
      <c r="O930">
        <v>14</v>
      </c>
      <c r="P930">
        <v>151</v>
      </c>
      <c r="Q930">
        <v>2</v>
      </c>
      <c r="R930">
        <v>98</v>
      </c>
      <c r="S930">
        <v>81.400000000000006</v>
      </c>
      <c r="T930" t="s">
        <v>47</v>
      </c>
      <c r="U930" s="7" t="s">
        <v>4237</v>
      </c>
      <c r="V930" s="7" t="s">
        <v>4237</v>
      </c>
      <c r="W930" s="6">
        <f t="shared" si="58"/>
        <v>2901.0599999999977</v>
      </c>
      <c r="X930" t="s">
        <v>4237</v>
      </c>
    </row>
    <row r="931" spans="1:24">
      <c r="A931" t="s">
        <v>2231</v>
      </c>
      <c r="B931" t="s">
        <v>159</v>
      </c>
      <c r="C931" t="s">
        <v>40</v>
      </c>
      <c r="D931" s="5">
        <v>30065</v>
      </c>
      <c r="E931" s="5">
        <v>45844</v>
      </c>
      <c r="F931" s="5">
        <v>45853</v>
      </c>
      <c r="G931" t="s">
        <v>161</v>
      </c>
      <c r="H931" t="s">
        <v>44</v>
      </c>
      <c r="I931" t="s">
        <v>96</v>
      </c>
      <c r="J931" t="s">
        <v>34</v>
      </c>
      <c r="K931" t="s">
        <v>55</v>
      </c>
      <c r="L931" s="6">
        <v>113547.63</v>
      </c>
      <c r="M931">
        <v>96880.88</v>
      </c>
      <c r="N931" t="s">
        <v>56</v>
      </c>
      <c r="O931">
        <v>9</v>
      </c>
      <c r="P931">
        <v>200</v>
      </c>
      <c r="Q931">
        <v>4</v>
      </c>
      <c r="R931">
        <v>155</v>
      </c>
      <c r="S931">
        <v>162.5</v>
      </c>
      <c r="T931" t="s">
        <v>37</v>
      </c>
      <c r="U931" s="7">
        <f t="shared" si="56"/>
        <v>43</v>
      </c>
      <c r="V931" s="7">
        <f t="shared" si="57"/>
        <v>9</v>
      </c>
      <c r="W931" s="6">
        <f t="shared" si="58"/>
        <v>16666.75</v>
      </c>
      <c r="X931" t="str">
        <f t="shared" si="59"/>
        <v>Middle Age</v>
      </c>
    </row>
    <row r="932" spans="1:24">
      <c r="A932" t="s">
        <v>2234</v>
      </c>
      <c r="B932" t="s">
        <v>1256</v>
      </c>
      <c r="C932" t="s">
        <v>133</v>
      </c>
      <c r="D932" s="5">
        <v>26225</v>
      </c>
      <c r="E932" s="5">
        <v>45694</v>
      </c>
      <c r="F932" s="5">
        <v>45695</v>
      </c>
      <c r="G932" t="s">
        <v>117</v>
      </c>
      <c r="H932" t="s">
        <v>52</v>
      </c>
      <c r="I932" t="s">
        <v>96</v>
      </c>
      <c r="J932" t="s">
        <v>97</v>
      </c>
      <c r="K932" t="s">
        <v>161</v>
      </c>
      <c r="L932" s="6">
        <v>176092.45</v>
      </c>
      <c r="M932">
        <v>115172.76</v>
      </c>
      <c r="N932" t="s">
        <v>192</v>
      </c>
      <c r="O932">
        <v>1</v>
      </c>
      <c r="P932">
        <v>191</v>
      </c>
      <c r="Q932">
        <v>3</v>
      </c>
      <c r="R932">
        <v>163</v>
      </c>
      <c r="S932">
        <v>203.8</v>
      </c>
      <c r="T932" t="s">
        <v>37</v>
      </c>
      <c r="U932" s="7">
        <f t="shared" si="56"/>
        <v>53</v>
      </c>
      <c r="V932" s="7">
        <f t="shared" si="57"/>
        <v>1</v>
      </c>
      <c r="W932" s="6">
        <f t="shared" si="58"/>
        <v>60919.690000000017</v>
      </c>
      <c r="X932" t="str">
        <f t="shared" si="59"/>
        <v>Middle Age</v>
      </c>
    </row>
    <row r="933" spans="1:24">
      <c r="A933" t="s">
        <v>2235</v>
      </c>
      <c r="B933" t="s">
        <v>972</v>
      </c>
      <c r="C933" t="s">
        <v>40</v>
      </c>
      <c r="D933" s="5">
        <v>30876</v>
      </c>
      <c r="E933" s="5">
        <v>45141</v>
      </c>
      <c r="F933" s="5">
        <v>45003</v>
      </c>
      <c r="G933" t="s">
        <v>77</v>
      </c>
      <c r="H933" t="s">
        <v>4236</v>
      </c>
      <c r="I933" t="s">
        <v>33</v>
      </c>
      <c r="J933" t="s">
        <v>80</v>
      </c>
      <c r="K933" t="s">
        <v>161</v>
      </c>
      <c r="L933" s="6">
        <v>139061.42000000001</v>
      </c>
      <c r="M933">
        <v>107911.54</v>
      </c>
      <c r="N933" t="s">
        <v>56</v>
      </c>
      <c r="O933">
        <v>10</v>
      </c>
      <c r="P933">
        <v>192</v>
      </c>
      <c r="Q933">
        <v>4</v>
      </c>
      <c r="R933">
        <v>133</v>
      </c>
      <c r="S933">
        <v>101.9</v>
      </c>
      <c r="T933" t="s">
        <v>37</v>
      </c>
      <c r="U933" s="7">
        <f t="shared" si="56"/>
        <v>39</v>
      </c>
      <c r="V933" s="7">
        <f t="shared" si="57"/>
        <v>-138</v>
      </c>
      <c r="W933" s="6">
        <f t="shared" si="58"/>
        <v>31149.880000000019</v>
      </c>
      <c r="X933" t="str">
        <f t="shared" si="59"/>
        <v>Adult</v>
      </c>
    </row>
    <row r="934" spans="1:24">
      <c r="A934" t="s">
        <v>2237</v>
      </c>
      <c r="B934" t="s">
        <v>527</v>
      </c>
      <c r="C934" t="s">
        <v>40</v>
      </c>
      <c r="D934" s="5">
        <v>29533</v>
      </c>
      <c r="E934" s="5">
        <v>45658</v>
      </c>
      <c r="F934" s="5">
        <v>45661</v>
      </c>
      <c r="G934" t="s">
        <v>161</v>
      </c>
      <c r="H934" t="s">
        <v>113</v>
      </c>
      <c r="I934" t="s">
        <v>79</v>
      </c>
      <c r="J934" t="s">
        <v>34</v>
      </c>
      <c r="K934" t="s">
        <v>27</v>
      </c>
      <c r="L934" s="6">
        <v>79248.210000000006</v>
      </c>
      <c r="M934">
        <v>63520.12</v>
      </c>
      <c r="N934" t="s">
        <v>73</v>
      </c>
      <c r="O934">
        <v>3</v>
      </c>
      <c r="P934">
        <v>29</v>
      </c>
      <c r="Q934">
        <v>4</v>
      </c>
      <c r="R934">
        <v>101</v>
      </c>
      <c r="S934">
        <v>254.2</v>
      </c>
      <c r="T934" t="s">
        <v>65</v>
      </c>
      <c r="U934" s="7">
        <f t="shared" si="56"/>
        <v>44</v>
      </c>
      <c r="V934" s="7">
        <f t="shared" si="57"/>
        <v>3</v>
      </c>
      <c r="W934" s="6">
        <f t="shared" si="58"/>
        <v>15728.090000000004</v>
      </c>
      <c r="X934" t="str">
        <f t="shared" si="59"/>
        <v>Middle Age</v>
      </c>
    </row>
    <row r="935" spans="1:24">
      <c r="A935" t="s">
        <v>2239</v>
      </c>
      <c r="B935" t="s">
        <v>604</v>
      </c>
      <c r="C935" t="s">
        <v>133</v>
      </c>
      <c r="D935" s="5">
        <v>36415</v>
      </c>
      <c r="E935" s="5">
        <v>45270</v>
      </c>
      <c r="F935" s="5">
        <v>45274</v>
      </c>
      <c r="G935" t="s">
        <v>117</v>
      </c>
      <c r="H935" t="s">
        <v>63</v>
      </c>
      <c r="I935" t="s">
        <v>119</v>
      </c>
      <c r="J935" t="s">
        <v>64</v>
      </c>
      <c r="K935" t="s">
        <v>55</v>
      </c>
      <c r="L935" s="6">
        <v>202165.96</v>
      </c>
      <c r="M935">
        <v>190572.51</v>
      </c>
      <c r="N935" t="s">
        <v>192</v>
      </c>
      <c r="O935">
        <v>4</v>
      </c>
      <c r="P935">
        <v>138</v>
      </c>
      <c r="Q935">
        <v>5</v>
      </c>
      <c r="R935">
        <v>180</v>
      </c>
      <c r="S935">
        <v>238.4</v>
      </c>
      <c r="T935" t="s">
        <v>37</v>
      </c>
      <c r="U935" s="7">
        <f t="shared" si="56"/>
        <v>24</v>
      </c>
      <c r="V935" s="7">
        <f t="shared" si="57"/>
        <v>4</v>
      </c>
      <c r="W935" s="6">
        <f t="shared" si="58"/>
        <v>11593.449999999983</v>
      </c>
      <c r="X935" t="str">
        <f t="shared" si="59"/>
        <v>Adult</v>
      </c>
    </row>
    <row r="936" spans="1:24">
      <c r="A936" t="s">
        <v>2241</v>
      </c>
      <c r="B936" t="s">
        <v>1830</v>
      </c>
      <c r="C936" t="s">
        <v>40</v>
      </c>
      <c r="D936" s="5" t="s">
        <v>4237</v>
      </c>
      <c r="E936" s="5">
        <v>45114</v>
      </c>
      <c r="F936" s="5">
        <v>45132</v>
      </c>
      <c r="G936" t="s">
        <v>94</v>
      </c>
      <c r="H936" t="s">
        <v>24</v>
      </c>
      <c r="I936" t="s">
        <v>25</v>
      </c>
      <c r="J936" t="s">
        <v>80</v>
      </c>
      <c r="K936" t="s">
        <v>161</v>
      </c>
      <c r="L936" s="6">
        <v>240228.04</v>
      </c>
      <c r="M936">
        <v>227192.61</v>
      </c>
      <c r="N936" t="s">
        <v>192</v>
      </c>
      <c r="O936">
        <v>18</v>
      </c>
      <c r="P936">
        <v>226</v>
      </c>
      <c r="Q936">
        <v>4</v>
      </c>
      <c r="R936">
        <v>114</v>
      </c>
      <c r="S936">
        <v>119.2</v>
      </c>
      <c r="T936" t="s">
        <v>4237</v>
      </c>
      <c r="U936" s="7" t="s">
        <v>4237</v>
      </c>
      <c r="V936" s="7">
        <f t="shared" si="57"/>
        <v>18</v>
      </c>
      <c r="W936" s="6">
        <f t="shared" si="58"/>
        <v>13035.430000000022</v>
      </c>
      <c r="X936" t="s">
        <v>4237</v>
      </c>
    </row>
    <row r="937" spans="1:24">
      <c r="A937" t="s">
        <v>2244</v>
      </c>
      <c r="B937" t="s">
        <v>368</v>
      </c>
      <c r="C937" t="s">
        <v>40</v>
      </c>
      <c r="D937" s="5">
        <v>30107</v>
      </c>
      <c r="E937" s="5">
        <v>45894</v>
      </c>
      <c r="F937" s="5">
        <v>45901</v>
      </c>
      <c r="G937" t="s">
        <v>161</v>
      </c>
      <c r="H937" t="s">
        <v>44</v>
      </c>
      <c r="I937" t="s">
        <v>79</v>
      </c>
      <c r="J937" t="s">
        <v>26</v>
      </c>
      <c r="K937" t="s">
        <v>120</v>
      </c>
      <c r="L937" s="6">
        <v>51168.85</v>
      </c>
      <c r="M937">
        <v>40919.83</v>
      </c>
      <c r="N937" t="s">
        <v>73</v>
      </c>
      <c r="O937">
        <v>7</v>
      </c>
      <c r="P937">
        <v>169</v>
      </c>
      <c r="Q937">
        <v>5</v>
      </c>
      <c r="R937">
        <v>136</v>
      </c>
      <c r="S937">
        <v>107.2</v>
      </c>
      <c r="T937" t="s">
        <v>37</v>
      </c>
      <c r="U937" s="7">
        <f t="shared" si="56"/>
        <v>43</v>
      </c>
      <c r="V937" s="7">
        <f t="shared" si="57"/>
        <v>7</v>
      </c>
      <c r="W937" s="6">
        <f t="shared" si="58"/>
        <v>10249.019999999997</v>
      </c>
      <c r="X937" t="str">
        <f t="shared" si="59"/>
        <v>Middle Age</v>
      </c>
    </row>
    <row r="938" spans="1:24">
      <c r="A938" t="s">
        <v>2246</v>
      </c>
      <c r="B938" t="s">
        <v>1101</v>
      </c>
      <c r="C938" t="s">
        <v>133</v>
      </c>
      <c r="D938" s="5">
        <v>31189</v>
      </c>
      <c r="E938" s="5">
        <v>45567</v>
      </c>
      <c r="F938" s="5">
        <v>45578</v>
      </c>
      <c r="G938" t="s">
        <v>161</v>
      </c>
      <c r="H938" t="s">
        <v>134</v>
      </c>
      <c r="I938" t="s">
        <v>79</v>
      </c>
      <c r="J938" t="s">
        <v>80</v>
      </c>
      <c r="K938" t="s">
        <v>120</v>
      </c>
      <c r="L938" s="6">
        <v>187954.81</v>
      </c>
      <c r="M938">
        <v>149924.20000000001</v>
      </c>
      <c r="N938" t="s">
        <v>192</v>
      </c>
      <c r="O938">
        <v>11</v>
      </c>
      <c r="P938">
        <v>231</v>
      </c>
      <c r="Q938">
        <v>5</v>
      </c>
      <c r="R938">
        <v>105</v>
      </c>
      <c r="S938">
        <v>218.8</v>
      </c>
      <c r="T938" t="s">
        <v>4237</v>
      </c>
      <c r="U938" s="7">
        <f t="shared" si="56"/>
        <v>39</v>
      </c>
      <c r="V938" s="7">
        <f t="shared" si="57"/>
        <v>11</v>
      </c>
      <c r="W938" s="6">
        <f t="shared" si="58"/>
        <v>38030.609999999986</v>
      </c>
      <c r="X938" t="str">
        <f t="shared" si="59"/>
        <v>Adult</v>
      </c>
    </row>
    <row r="939" spans="1:24">
      <c r="A939" t="s">
        <v>2247</v>
      </c>
      <c r="B939" t="s">
        <v>21</v>
      </c>
      <c r="C939" t="s">
        <v>133</v>
      </c>
      <c r="D939" s="5">
        <v>20813</v>
      </c>
      <c r="E939" s="5">
        <v>45710</v>
      </c>
      <c r="F939" s="5">
        <v>45723</v>
      </c>
      <c r="G939" t="s">
        <v>161</v>
      </c>
      <c r="H939" t="s">
        <v>24</v>
      </c>
      <c r="I939" t="s">
        <v>25</v>
      </c>
      <c r="J939" t="s">
        <v>64</v>
      </c>
      <c r="K939" t="s">
        <v>110</v>
      </c>
      <c r="L939" s="6">
        <v>160020.94</v>
      </c>
      <c r="M939">
        <v>143898.21</v>
      </c>
      <c r="N939" t="s">
        <v>192</v>
      </c>
      <c r="O939">
        <v>13</v>
      </c>
      <c r="P939">
        <v>39</v>
      </c>
      <c r="Q939">
        <v>2</v>
      </c>
      <c r="R939">
        <v>141</v>
      </c>
      <c r="S939">
        <v>171.8</v>
      </c>
      <c r="T939" t="s">
        <v>37</v>
      </c>
      <c r="U939" s="7">
        <f t="shared" si="56"/>
        <v>68</v>
      </c>
      <c r="V939" s="7">
        <f t="shared" si="57"/>
        <v>13</v>
      </c>
      <c r="W939" s="6">
        <f t="shared" si="58"/>
        <v>16122.73000000001</v>
      </c>
      <c r="X939" t="str">
        <f t="shared" si="59"/>
        <v>Senior</v>
      </c>
    </row>
    <row r="940" spans="1:24">
      <c r="A940" t="s">
        <v>4156</v>
      </c>
      <c r="B940" t="s">
        <v>2249</v>
      </c>
      <c r="C940" t="s">
        <v>40</v>
      </c>
      <c r="D940" s="5">
        <v>22959</v>
      </c>
      <c r="E940" s="5">
        <v>45943</v>
      </c>
      <c r="F940" s="5">
        <v>45946</v>
      </c>
      <c r="G940" t="s">
        <v>152</v>
      </c>
      <c r="H940" t="s">
        <v>63</v>
      </c>
      <c r="I940" t="s">
        <v>45</v>
      </c>
      <c r="J940" t="s">
        <v>64</v>
      </c>
      <c r="K940" t="s">
        <v>55</v>
      </c>
      <c r="L940" s="6">
        <v>166357.06</v>
      </c>
      <c r="M940">
        <v>125849.92</v>
      </c>
      <c r="N940" t="s">
        <v>4237</v>
      </c>
      <c r="O940">
        <v>3</v>
      </c>
      <c r="P940">
        <v>167</v>
      </c>
      <c r="Q940">
        <v>5</v>
      </c>
      <c r="R940">
        <v>153</v>
      </c>
      <c r="S940">
        <v>94.6</v>
      </c>
      <c r="T940" t="s">
        <v>47</v>
      </c>
      <c r="U940" s="7">
        <f t="shared" si="56"/>
        <v>62</v>
      </c>
      <c r="V940" s="7">
        <f t="shared" si="57"/>
        <v>3</v>
      </c>
      <c r="W940" s="6">
        <f t="shared" si="58"/>
        <v>40507.14</v>
      </c>
      <c r="X940" t="str">
        <f t="shared" si="59"/>
        <v>Senior</v>
      </c>
    </row>
    <row r="941" spans="1:24">
      <c r="A941" t="s">
        <v>2250</v>
      </c>
      <c r="B941" t="s">
        <v>563</v>
      </c>
      <c r="C941" t="s">
        <v>40</v>
      </c>
      <c r="D941" s="5">
        <v>31263</v>
      </c>
      <c r="E941" s="5">
        <v>45223</v>
      </c>
      <c r="F941" s="5">
        <v>45235</v>
      </c>
      <c r="G941" t="s">
        <v>105</v>
      </c>
      <c r="H941" t="s">
        <v>124</v>
      </c>
      <c r="I941" t="s">
        <v>25</v>
      </c>
      <c r="J941" t="s">
        <v>46</v>
      </c>
      <c r="K941" t="s">
        <v>55</v>
      </c>
      <c r="L941" s="6">
        <v>170030.63</v>
      </c>
      <c r="M941">
        <v>147729.01999999999</v>
      </c>
      <c r="N941" t="s">
        <v>192</v>
      </c>
      <c r="O941">
        <v>12</v>
      </c>
      <c r="P941">
        <v>121</v>
      </c>
      <c r="Q941">
        <v>1</v>
      </c>
      <c r="R941">
        <v>180</v>
      </c>
      <c r="S941">
        <v>246.7</v>
      </c>
      <c r="T941" t="s">
        <v>4237</v>
      </c>
      <c r="U941" s="7">
        <f t="shared" si="56"/>
        <v>38</v>
      </c>
      <c r="V941" s="7">
        <f t="shared" si="57"/>
        <v>12</v>
      </c>
      <c r="W941" s="6">
        <f t="shared" si="58"/>
        <v>22301.610000000015</v>
      </c>
      <c r="X941" t="str">
        <f t="shared" si="59"/>
        <v>Adult</v>
      </c>
    </row>
    <row r="942" spans="1:24">
      <c r="A942" t="s">
        <v>2251</v>
      </c>
      <c r="B942" t="s">
        <v>2033</v>
      </c>
      <c r="C942" t="s">
        <v>40</v>
      </c>
      <c r="D942" s="5">
        <v>37095</v>
      </c>
      <c r="E942" s="5">
        <v>45625</v>
      </c>
      <c r="F942" s="5">
        <v>45627</v>
      </c>
      <c r="G942" t="s">
        <v>152</v>
      </c>
      <c r="H942" t="s">
        <v>44</v>
      </c>
      <c r="I942" t="s">
        <v>33</v>
      </c>
      <c r="J942" t="s">
        <v>64</v>
      </c>
      <c r="K942" t="s">
        <v>55</v>
      </c>
      <c r="L942" s="6">
        <v>243082.96</v>
      </c>
      <c r="M942">
        <v>186290.53</v>
      </c>
      <c r="N942" t="s">
        <v>73</v>
      </c>
      <c r="O942">
        <v>2</v>
      </c>
      <c r="P942">
        <v>116</v>
      </c>
      <c r="Q942">
        <v>4</v>
      </c>
      <c r="R942">
        <v>178</v>
      </c>
      <c r="S942">
        <v>119.3</v>
      </c>
      <c r="T942" t="s">
        <v>37</v>
      </c>
      <c r="U942" s="7">
        <f t="shared" si="56"/>
        <v>23</v>
      </c>
      <c r="V942" s="7">
        <f t="shared" si="57"/>
        <v>2</v>
      </c>
      <c r="W942" s="6">
        <f t="shared" si="58"/>
        <v>56792.429999999993</v>
      </c>
      <c r="X942" t="str">
        <f t="shared" si="59"/>
        <v>Adult</v>
      </c>
    </row>
    <row r="943" spans="1:24">
      <c r="A943" t="s">
        <v>2252</v>
      </c>
      <c r="B943" t="s">
        <v>253</v>
      </c>
      <c r="C943" t="s">
        <v>133</v>
      </c>
      <c r="D943" s="5" t="s">
        <v>4237</v>
      </c>
      <c r="E943" s="5">
        <v>45413</v>
      </c>
      <c r="F943" s="5">
        <v>45416</v>
      </c>
      <c r="G943" t="s">
        <v>152</v>
      </c>
      <c r="H943" t="s">
        <v>24</v>
      </c>
      <c r="I943" t="s">
        <v>79</v>
      </c>
      <c r="J943" t="s">
        <v>97</v>
      </c>
      <c r="K943" t="s">
        <v>55</v>
      </c>
      <c r="L943" s="6">
        <v>221549.65</v>
      </c>
      <c r="M943">
        <v>211137.65</v>
      </c>
      <c r="N943" t="s">
        <v>192</v>
      </c>
      <c r="O943">
        <v>3</v>
      </c>
      <c r="P943">
        <v>10</v>
      </c>
      <c r="Q943">
        <v>2</v>
      </c>
      <c r="R943">
        <v>102</v>
      </c>
      <c r="S943">
        <v>221.9</v>
      </c>
      <c r="T943" t="s">
        <v>47</v>
      </c>
      <c r="U943" s="7" t="s">
        <v>4237</v>
      </c>
      <c r="V943" s="7">
        <f t="shared" si="57"/>
        <v>3</v>
      </c>
      <c r="W943" s="6">
        <f t="shared" si="58"/>
        <v>10412</v>
      </c>
      <c r="X943" t="s">
        <v>4237</v>
      </c>
    </row>
    <row r="944" spans="1:24">
      <c r="A944" t="s">
        <v>2255</v>
      </c>
      <c r="B944" t="s">
        <v>304</v>
      </c>
      <c r="C944" t="s">
        <v>40</v>
      </c>
      <c r="D944" s="5">
        <v>21178</v>
      </c>
      <c r="E944" s="5">
        <v>45452</v>
      </c>
      <c r="F944" s="5">
        <v>45469</v>
      </c>
      <c r="G944" t="s">
        <v>94</v>
      </c>
      <c r="H944" t="s">
        <v>63</v>
      </c>
      <c r="I944" t="s">
        <v>45</v>
      </c>
      <c r="J944" t="s">
        <v>64</v>
      </c>
      <c r="K944" t="s">
        <v>55</v>
      </c>
      <c r="L944" s="6">
        <v>44200.89</v>
      </c>
      <c r="M944">
        <v>32718.92</v>
      </c>
      <c r="N944" t="s">
        <v>56</v>
      </c>
      <c r="O944">
        <v>17</v>
      </c>
      <c r="P944">
        <v>83</v>
      </c>
      <c r="Q944">
        <v>2</v>
      </c>
      <c r="R944">
        <v>165</v>
      </c>
      <c r="S944">
        <v>205.1</v>
      </c>
      <c r="T944" t="s">
        <v>37</v>
      </c>
      <c r="U944" s="7">
        <f t="shared" si="56"/>
        <v>66</v>
      </c>
      <c r="V944" s="7">
        <f t="shared" si="57"/>
        <v>17</v>
      </c>
      <c r="W944" s="6">
        <f t="shared" si="58"/>
        <v>11481.970000000001</v>
      </c>
      <c r="X944" t="str">
        <f t="shared" si="59"/>
        <v>Senior</v>
      </c>
    </row>
    <row r="945" spans="1:24">
      <c r="A945" t="s">
        <v>2257</v>
      </c>
      <c r="B945" t="s">
        <v>451</v>
      </c>
      <c r="C945" t="s">
        <v>40</v>
      </c>
      <c r="D945" s="5">
        <v>32900</v>
      </c>
      <c r="E945" s="5">
        <v>45605</v>
      </c>
      <c r="F945" s="5">
        <v>45613</v>
      </c>
      <c r="G945" t="s">
        <v>161</v>
      </c>
      <c r="H945" t="s">
        <v>134</v>
      </c>
      <c r="I945" t="s">
        <v>33</v>
      </c>
      <c r="J945" t="s">
        <v>179</v>
      </c>
      <c r="K945" t="s">
        <v>120</v>
      </c>
      <c r="L945" s="6">
        <v>202437.53</v>
      </c>
      <c r="M945">
        <v>194210.36</v>
      </c>
      <c r="N945" t="s">
        <v>192</v>
      </c>
      <c r="O945">
        <v>8</v>
      </c>
      <c r="P945">
        <v>199</v>
      </c>
      <c r="Q945">
        <v>4</v>
      </c>
      <c r="R945">
        <v>141</v>
      </c>
      <c r="S945">
        <v>224.8</v>
      </c>
      <c r="T945" t="s">
        <v>37</v>
      </c>
      <c r="U945" s="7">
        <f t="shared" si="56"/>
        <v>34</v>
      </c>
      <c r="V945" s="7">
        <f t="shared" si="57"/>
        <v>8</v>
      </c>
      <c r="W945" s="6">
        <f t="shared" si="58"/>
        <v>8227.1700000000128</v>
      </c>
      <c r="X945" t="str">
        <f t="shared" si="59"/>
        <v>Adult</v>
      </c>
    </row>
    <row r="946" spans="1:24">
      <c r="A946" t="s">
        <v>2259</v>
      </c>
      <c r="B946" t="s">
        <v>1734</v>
      </c>
      <c r="C946" t="s">
        <v>133</v>
      </c>
      <c r="D946" s="5">
        <v>34943</v>
      </c>
      <c r="E946" s="5">
        <v>45153</v>
      </c>
      <c r="F946" s="5">
        <v>45170</v>
      </c>
      <c r="G946" t="s">
        <v>94</v>
      </c>
      <c r="H946" t="s">
        <v>63</v>
      </c>
      <c r="I946" t="s">
        <v>45</v>
      </c>
      <c r="J946" t="s">
        <v>179</v>
      </c>
      <c r="K946" t="s">
        <v>55</v>
      </c>
      <c r="L946" s="6">
        <v>110605.42</v>
      </c>
      <c r="M946">
        <v>85038.38</v>
      </c>
      <c r="N946" t="s">
        <v>35</v>
      </c>
      <c r="O946">
        <v>17</v>
      </c>
      <c r="P946">
        <v>114</v>
      </c>
      <c r="Q946">
        <v>4</v>
      </c>
      <c r="R946">
        <v>183</v>
      </c>
      <c r="S946">
        <v>126.6</v>
      </c>
      <c r="T946" t="s">
        <v>37</v>
      </c>
      <c r="U946" s="7">
        <f t="shared" si="56"/>
        <v>27</v>
      </c>
      <c r="V946" s="7">
        <f t="shared" si="57"/>
        <v>17</v>
      </c>
      <c r="W946" s="6">
        <f t="shared" si="58"/>
        <v>25567.039999999994</v>
      </c>
      <c r="X946" t="str">
        <f t="shared" si="59"/>
        <v>Adult</v>
      </c>
    </row>
    <row r="947" spans="1:24">
      <c r="A947" t="s">
        <v>2261</v>
      </c>
      <c r="B947" t="s">
        <v>843</v>
      </c>
      <c r="C947" t="s">
        <v>40</v>
      </c>
      <c r="D947" s="5">
        <v>29377</v>
      </c>
      <c r="E947" s="5">
        <v>45089</v>
      </c>
      <c r="F947" s="5">
        <v>45097</v>
      </c>
      <c r="G947" t="s">
        <v>94</v>
      </c>
      <c r="H947" t="s">
        <v>52</v>
      </c>
      <c r="I947" t="s">
        <v>33</v>
      </c>
      <c r="J947" t="s">
        <v>46</v>
      </c>
      <c r="K947" t="s">
        <v>55</v>
      </c>
      <c r="L947" s="6">
        <v>224562.72</v>
      </c>
      <c r="M947">
        <v>178697.89</v>
      </c>
      <c r="N947" t="s">
        <v>56</v>
      </c>
      <c r="O947">
        <v>8</v>
      </c>
      <c r="P947">
        <v>89</v>
      </c>
      <c r="Q947">
        <v>3</v>
      </c>
      <c r="R947">
        <v>154</v>
      </c>
      <c r="S947">
        <v>203</v>
      </c>
      <c r="T947" t="s">
        <v>37</v>
      </c>
      <c r="U947" s="7">
        <f t="shared" si="56"/>
        <v>43</v>
      </c>
      <c r="V947" s="7">
        <f t="shared" si="57"/>
        <v>8</v>
      </c>
      <c r="W947" s="6">
        <f t="shared" si="58"/>
        <v>45864.829999999987</v>
      </c>
      <c r="X947" t="str">
        <f t="shared" si="59"/>
        <v>Middle Age</v>
      </c>
    </row>
    <row r="948" spans="1:24">
      <c r="A948" t="s">
        <v>2263</v>
      </c>
      <c r="B948" t="s">
        <v>108</v>
      </c>
      <c r="C948" t="s">
        <v>40</v>
      </c>
      <c r="D948" s="5">
        <v>37976</v>
      </c>
      <c r="E948" s="5">
        <v>45168</v>
      </c>
      <c r="F948" s="5">
        <v>45184</v>
      </c>
      <c r="G948" t="s">
        <v>105</v>
      </c>
      <c r="H948" t="s">
        <v>24</v>
      </c>
      <c r="I948" t="s">
        <v>96</v>
      </c>
      <c r="J948" t="s">
        <v>64</v>
      </c>
      <c r="K948" t="s">
        <v>55</v>
      </c>
      <c r="L948" s="6">
        <v>103049.14</v>
      </c>
      <c r="M948">
        <v>74358.45</v>
      </c>
      <c r="N948" t="s">
        <v>192</v>
      </c>
      <c r="O948">
        <v>16</v>
      </c>
      <c r="P948">
        <v>96</v>
      </c>
      <c r="Q948">
        <v>4</v>
      </c>
      <c r="R948">
        <v>129</v>
      </c>
      <c r="S948">
        <v>238.5</v>
      </c>
      <c r="T948" t="s">
        <v>37</v>
      </c>
      <c r="U948" s="7">
        <f t="shared" si="56"/>
        <v>19</v>
      </c>
      <c r="V948" s="7">
        <f t="shared" si="57"/>
        <v>16</v>
      </c>
      <c r="W948" s="6">
        <f t="shared" si="58"/>
        <v>28690.690000000002</v>
      </c>
      <c r="X948" t="str">
        <f t="shared" si="59"/>
        <v>Adult</v>
      </c>
    </row>
    <row r="949" spans="1:24">
      <c r="A949" t="s">
        <v>2264</v>
      </c>
      <c r="B949" t="s">
        <v>752</v>
      </c>
      <c r="C949" t="s">
        <v>40</v>
      </c>
      <c r="D949" s="5">
        <v>27511</v>
      </c>
      <c r="E949" s="5">
        <v>45004</v>
      </c>
      <c r="F949" s="5">
        <v>45007</v>
      </c>
      <c r="G949" t="s">
        <v>105</v>
      </c>
      <c r="H949" t="s">
        <v>118</v>
      </c>
      <c r="I949" t="s">
        <v>53</v>
      </c>
      <c r="J949" t="s">
        <v>97</v>
      </c>
      <c r="K949" t="s">
        <v>161</v>
      </c>
      <c r="L949" s="6">
        <v>45206.61</v>
      </c>
      <c r="M949">
        <v>33605.47</v>
      </c>
      <c r="N949" t="s">
        <v>91</v>
      </c>
      <c r="O949">
        <v>3</v>
      </c>
      <c r="P949">
        <v>139</v>
      </c>
      <c r="Q949">
        <v>5</v>
      </c>
      <c r="R949">
        <v>187</v>
      </c>
      <c r="S949">
        <v>172.9</v>
      </c>
      <c r="T949" t="s">
        <v>4237</v>
      </c>
      <c r="U949" s="7">
        <f t="shared" si="56"/>
        <v>47</v>
      </c>
      <c r="V949" s="7">
        <f t="shared" si="57"/>
        <v>3</v>
      </c>
      <c r="W949" s="6">
        <f t="shared" si="58"/>
        <v>11601.14</v>
      </c>
      <c r="X949" t="str">
        <f t="shared" si="59"/>
        <v>Middle Age</v>
      </c>
    </row>
    <row r="950" spans="1:24">
      <c r="A950" t="s">
        <v>2266</v>
      </c>
      <c r="B950" t="s">
        <v>850</v>
      </c>
      <c r="C950" t="s">
        <v>40</v>
      </c>
      <c r="D950" s="5">
        <v>19115</v>
      </c>
      <c r="E950" s="5" t="s">
        <v>4237</v>
      </c>
      <c r="F950" s="5">
        <v>45351</v>
      </c>
      <c r="G950" t="s">
        <v>89</v>
      </c>
      <c r="H950" t="s">
        <v>24</v>
      </c>
      <c r="I950" t="s">
        <v>33</v>
      </c>
      <c r="J950" t="s">
        <v>46</v>
      </c>
      <c r="K950" t="s">
        <v>120</v>
      </c>
      <c r="L950" s="6">
        <v>217940.58</v>
      </c>
      <c r="M950">
        <v>191375.59</v>
      </c>
      <c r="N950" t="s">
        <v>35</v>
      </c>
      <c r="O950">
        <v>7</v>
      </c>
      <c r="P950">
        <v>100</v>
      </c>
      <c r="Q950">
        <v>4</v>
      </c>
      <c r="R950">
        <v>141</v>
      </c>
      <c r="S950">
        <v>146</v>
      </c>
      <c r="T950" t="s">
        <v>4237</v>
      </c>
      <c r="U950" s="7" t="s">
        <v>4237</v>
      </c>
      <c r="V950" s="7" t="s">
        <v>4237</v>
      </c>
      <c r="W950" s="6">
        <f t="shared" si="58"/>
        <v>26564.989999999991</v>
      </c>
      <c r="X950" t="s">
        <v>4237</v>
      </c>
    </row>
    <row r="951" spans="1:24">
      <c r="A951" t="s">
        <v>2269</v>
      </c>
      <c r="B951" t="s">
        <v>2270</v>
      </c>
      <c r="C951" t="s">
        <v>133</v>
      </c>
      <c r="D951" s="5">
        <v>40174</v>
      </c>
      <c r="E951" s="5">
        <v>45752</v>
      </c>
      <c r="F951" s="5">
        <v>45757</v>
      </c>
      <c r="G951" t="s">
        <v>152</v>
      </c>
      <c r="H951" t="s">
        <v>113</v>
      </c>
      <c r="I951" t="s">
        <v>119</v>
      </c>
      <c r="J951" t="s">
        <v>80</v>
      </c>
      <c r="K951" t="s">
        <v>55</v>
      </c>
      <c r="L951" s="6">
        <v>100284.21</v>
      </c>
      <c r="M951">
        <v>81471.33</v>
      </c>
      <c r="N951" t="s">
        <v>73</v>
      </c>
      <c r="O951">
        <v>5</v>
      </c>
      <c r="P951">
        <v>81</v>
      </c>
      <c r="Q951">
        <v>2</v>
      </c>
      <c r="R951">
        <v>103</v>
      </c>
      <c r="S951">
        <v>183.9</v>
      </c>
      <c r="T951" t="s">
        <v>47</v>
      </c>
      <c r="U951" s="7">
        <f t="shared" si="56"/>
        <v>15</v>
      </c>
      <c r="V951" s="7">
        <f t="shared" si="57"/>
        <v>5</v>
      </c>
      <c r="W951" s="6">
        <f t="shared" si="58"/>
        <v>18812.880000000005</v>
      </c>
      <c r="X951" t="str">
        <f t="shared" si="59"/>
        <v>Child</v>
      </c>
    </row>
    <row r="952" spans="1:24">
      <c r="A952" t="s">
        <v>4157</v>
      </c>
      <c r="B952" t="s">
        <v>622</v>
      </c>
      <c r="C952" t="s">
        <v>40</v>
      </c>
      <c r="D952" s="5">
        <v>31165</v>
      </c>
      <c r="E952" s="5">
        <v>44967</v>
      </c>
      <c r="F952" s="5" t="s">
        <v>4237</v>
      </c>
      <c r="G952" t="s">
        <v>117</v>
      </c>
      <c r="H952" t="s">
        <v>63</v>
      </c>
      <c r="I952" t="s">
        <v>33</v>
      </c>
      <c r="J952" t="s">
        <v>26</v>
      </c>
      <c r="K952" t="s">
        <v>161</v>
      </c>
      <c r="L952" s="6">
        <v>123663.9</v>
      </c>
      <c r="M952">
        <v>164017.51</v>
      </c>
      <c r="N952" t="s">
        <v>56</v>
      </c>
      <c r="O952">
        <v>16</v>
      </c>
      <c r="P952">
        <v>71</v>
      </c>
      <c r="Q952">
        <v>4</v>
      </c>
      <c r="R952">
        <v>167</v>
      </c>
      <c r="S952">
        <v>140.4</v>
      </c>
      <c r="T952" t="s">
        <v>37</v>
      </c>
      <c r="U952" s="7">
        <f t="shared" si="56"/>
        <v>37</v>
      </c>
      <c r="V952" s="7" t="s">
        <v>4237</v>
      </c>
      <c r="W952" s="6">
        <f t="shared" si="58"/>
        <v>-40353.610000000015</v>
      </c>
      <c r="X952" t="str">
        <f t="shared" si="59"/>
        <v>Adult</v>
      </c>
    </row>
    <row r="953" spans="1:24">
      <c r="A953" t="s">
        <v>2273</v>
      </c>
      <c r="B953" t="s">
        <v>967</v>
      </c>
      <c r="C953" t="s">
        <v>40</v>
      </c>
      <c r="D953" s="5">
        <v>29997</v>
      </c>
      <c r="E953" s="5">
        <v>45916</v>
      </c>
      <c r="F953" s="5">
        <v>45928</v>
      </c>
      <c r="G953" t="s">
        <v>62</v>
      </c>
      <c r="H953" t="s">
        <v>118</v>
      </c>
      <c r="I953" t="s">
        <v>96</v>
      </c>
      <c r="J953" t="s">
        <v>71</v>
      </c>
      <c r="K953" t="s">
        <v>110</v>
      </c>
      <c r="L953" s="6">
        <v>26254.39</v>
      </c>
      <c r="M953">
        <v>23135.49</v>
      </c>
      <c r="N953" t="s">
        <v>56</v>
      </c>
      <c r="O953">
        <v>12</v>
      </c>
      <c r="P953">
        <v>47</v>
      </c>
      <c r="Q953">
        <v>5</v>
      </c>
      <c r="R953">
        <v>116</v>
      </c>
      <c r="S953">
        <v>197.7</v>
      </c>
      <c r="T953" t="s">
        <v>37</v>
      </c>
      <c r="U953" s="7">
        <f t="shared" si="56"/>
        <v>43</v>
      </c>
      <c r="V953" s="7">
        <f t="shared" si="57"/>
        <v>12</v>
      </c>
      <c r="W953" s="6">
        <f t="shared" si="58"/>
        <v>3118.8999999999978</v>
      </c>
      <c r="X953" t="str">
        <f t="shared" si="59"/>
        <v>Middle Age</v>
      </c>
    </row>
    <row r="954" spans="1:24">
      <c r="A954" t="s">
        <v>2274</v>
      </c>
      <c r="B954" t="s">
        <v>406</v>
      </c>
      <c r="C954" t="s">
        <v>133</v>
      </c>
      <c r="D954" s="5">
        <v>29232</v>
      </c>
      <c r="E954" s="5">
        <v>45594</v>
      </c>
      <c r="F954" s="5">
        <v>45604</v>
      </c>
      <c r="G954" t="s">
        <v>109</v>
      </c>
      <c r="H954" t="s">
        <v>113</v>
      </c>
      <c r="I954" t="s">
        <v>45</v>
      </c>
      <c r="J954" t="s">
        <v>71</v>
      </c>
      <c r="K954" t="s">
        <v>110</v>
      </c>
      <c r="L954" s="6">
        <v>57607.14</v>
      </c>
      <c r="M954">
        <v>47125.95</v>
      </c>
      <c r="N954" t="s">
        <v>192</v>
      </c>
      <c r="O954">
        <v>10</v>
      </c>
      <c r="P954">
        <v>173</v>
      </c>
      <c r="Q954">
        <v>4</v>
      </c>
      <c r="R954">
        <v>103</v>
      </c>
      <c r="S954">
        <v>133.9</v>
      </c>
      <c r="T954" t="s">
        <v>37</v>
      </c>
      <c r="U954" s="7">
        <f t="shared" si="56"/>
        <v>44</v>
      </c>
      <c r="V954" s="7">
        <f t="shared" si="57"/>
        <v>10</v>
      </c>
      <c r="W954" s="6">
        <f t="shared" si="58"/>
        <v>10481.190000000002</v>
      </c>
      <c r="X954" t="str">
        <f t="shared" si="59"/>
        <v>Middle Age</v>
      </c>
    </row>
    <row r="955" spans="1:24">
      <c r="A955" t="s">
        <v>2275</v>
      </c>
      <c r="B955" t="s">
        <v>2008</v>
      </c>
      <c r="C955" t="s">
        <v>40</v>
      </c>
      <c r="D955" s="5">
        <v>26952</v>
      </c>
      <c r="E955" s="5">
        <v>45882</v>
      </c>
      <c r="F955" s="5">
        <v>45886</v>
      </c>
      <c r="G955" t="s">
        <v>152</v>
      </c>
      <c r="H955" t="s">
        <v>24</v>
      </c>
      <c r="I955" t="s">
        <v>33</v>
      </c>
      <c r="J955" t="s">
        <v>26</v>
      </c>
      <c r="K955" t="s">
        <v>120</v>
      </c>
      <c r="L955" s="6">
        <v>237562.29</v>
      </c>
      <c r="M955">
        <v>156631.13</v>
      </c>
      <c r="N955" t="s">
        <v>91</v>
      </c>
      <c r="O955">
        <v>4</v>
      </c>
      <c r="P955">
        <v>121</v>
      </c>
      <c r="Q955">
        <v>4</v>
      </c>
      <c r="R955">
        <v>188</v>
      </c>
      <c r="S955">
        <v>124.7</v>
      </c>
      <c r="T955" t="s">
        <v>65</v>
      </c>
      <c r="U955" s="7">
        <f t="shared" si="56"/>
        <v>51</v>
      </c>
      <c r="V955" s="7">
        <f t="shared" si="57"/>
        <v>4</v>
      </c>
      <c r="W955" s="6">
        <f t="shared" si="58"/>
        <v>80931.16</v>
      </c>
      <c r="X955" t="str">
        <f t="shared" si="59"/>
        <v>Middle Age</v>
      </c>
    </row>
    <row r="956" spans="1:24">
      <c r="A956" t="s">
        <v>2277</v>
      </c>
      <c r="B956" t="s">
        <v>1350</v>
      </c>
      <c r="C956" t="s">
        <v>40</v>
      </c>
      <c r="D956" s="5">
        <v>24800</v>
      </c>
      <c r="E956" s="5">
        <v>45926</v>
      </c>
      <c r="F956" s="5">
        <v>45936</v>
      </c>
      <c r="G956" t="s">
        <v>89</v>
      </c>
      <c r="H956" t="s">
        <v>63</v>
      </c>
      <c r="I956" t="s">
        <v>119</v>
      </c>
      <c r="J956" t="s">
        <v>34</v>
      </c>
      <c r="K956" t="s">
        <v>55</v>
      </c>
      <c r="L956" s="6">
        <v>55464.18</v>
      </c>
      <c r="M956">
        <v>37443.25</v>
      </c>
      <c r="N956" t="s">
        <v>73</v>
      </c>
      <c r="O956">
        <v>10</v>
      </c>
      <c r="P956">
        <v>65</v>
      </c>
      <c r="Q956">
        <v>3</v>
      </c>
      <c r="R956">
        <v>158</v>
      </c>
      <c r="S956">
        <v>139.69999999999999</v>
      </c>
      <c r="T956" t="s">
        <v>65</v>
      </c>
      <c r="U956" s="7">
        <f t="shared" si="56"/>
        <v>57</v>
      </c>
      <c r="V956" s="7">
        <f t="shared" si="57"/>
        <v>10</v>
      </c>
      <c r="W956" s="6">
        <f t="shared" si="58"/>
        <v>18020.93</v>
      </c>
      <c r="X956" t="str">
        <f t="shared" si="59"/>
        <v>Middle Age</v>
      </c>
    </row>
    <row r="957" spans="1:24">
      <c r="A957" t="s">
        <v>2278</v>
      </c>
      <c r="B957" t="s">
        <v>676</v>
      </c>
      <c r="C957" t="s">
        <v>133</v>
      </c>
      <c r="D957" s="5">
        <v>27399</v>
      </c>
      <c r="E957" s="5">
        <v>46014</v>
      </c>
      <c r="F957" s="5">
        <v>46023</v>
      </c>
      <c r="G957" t="s">
        <v>161</v>
      </c>
      <c r="H957" t="s">
        <v>78</v>
      </c>
      <c r="I957" t="s">
        <v>45</v>
      </c>
      <c r="J957" t="s">
        <v>34</v>
      </c>
      <c r="K957" t="s">
        <v>120</v>
      </c>
      <c r="L957" s="6">
        <v>43991.96</v>
      </c>
      <c r="M957">
        <v>40582.54</v>
      </c>
      <c r="N957" t="s">
        <v>4237</v>
      </c>
      <c r="O957">
        <v>9</v>
      </c>
      <c r="P957">
        <v>172</v>
      </c>
      <c r="Q957">
        <v>5</v>
      </c>
      <c r="R957">
        <v>146</v>
      </c>
      <c r="S957">
        <v>70.400000000000006</v>
      </c>
      <c r="T957" t="s">
        <v>37</v>
      </c>
      <c r="U957" s="7">
        <f t="shared" si="56"/>
        <v>50</v>
      </c>
      <c r="V957" s="7">
        <f t="shared" si="57"/>
        <v>9</v>
      </c>
      <c r="W957" s="6">
        <f t="shared" si="58"/>
        <v>3409.4199999999983</v>
      </c>
      <c r="X957" t="str">
        <f t="shared" si="59"/>
        <v>Middle Age</v>
      </c>
    </row>
    <row r="958" spans="1:24">
      <c r="A958" t="s">
        <v>2279</v>
      </c>
      <c r="B958" t="s">
        <v>553</v>
      </c>
      <c r="C958" t="s">
        <v>40</v>
      </c>
      <c r="D958" s="5">
        <v>31221</v>
      </c>
      <c r="E958" s="5">
        <v>45581</v>
      </c>
      <c r="F958" s="5">
        <v>45592</v>
      </c>
      <c r="G958" t="s">
        <v>89</v>
      </c>
      <c r="H958" t="s">
        <v>153</v>
      </c>
      <c r="I958" t="s">
        <v>45</v>
      </c>
      <c r="J958" t="s">
        <v>34</v>
      </c>
      <c r="K958" t="s">
        <v>120</v>
      </c>
      <c r="L958" s="6">
        <v>234860.44</v>
      </c>
      <c r="M958">
        <v>214701.29</v>
      </c>
      <c r="N958" t="s">
        <v>192</v>
      </c>
      <c r="O958">
        <v>11</v>
      </c>
      <c r="P958">
        <v>108</v>
      </c>
      <c r="Q958">
        <v>1</v>
      </c>
      <c r="R958">
        <v>105</v>
      </c>
      <c r="S958">
        <v>163.5</v>
      </c>
      <c r="T958" t="s">
        <v>47</v>
      </c>
      <c r="U958" s="7">
        <f t="shared" si="56"/>
        <v>39</v>
      </c>
      <c r="V958" s="7">
        <f t="shared" si="57"/>
        <v>11</v>
      </c>
      <c r="W958" s="6">
        <f t="shared" si="58"/>
        <v>20159.149999999994</v>
      </c>
      <c r="X958" t="str">
        <f t="shared" si="59"/>
        <v>Adult</v>
      </c>
    </row>
    <row r="959" spans="1:24">
      <c r="A959" t="s">
        <v>2280</v>
      </c>
      <c r="B959" t="s">
        <v>224</v>
      </c>
      <c r="C959" t="s">
        <v>133</v>
      </c>
      <c r="D959" s="5">
        <v>31428</v>
      </c>
      <c r="E959" s="5">
        <v>45812</v>
      </c>
      <c r="F959" s="5">
        <v>45818</v>
      </c>
      <c r="G959" t="s">
        <v>105</v>
      </c>
      <c r="H959" t="s">
        <v>63</v>
      </c>
      <c r="I959" t="s">
        <v>33</v>
      </c>
      <c r="J959" t="s">
        <v>34</v>
      </c>
      <c r="K959" t="s">
        <v>55</v>
      </c>
      <c r="L959" s="6">
        <v>226206.69</v>
      </c>
      <c r="M959">
        <v>165798.78</v>
      </c>
      <c r="N959" t="s">
        <v>192</v>
      </c>
      <c r="O959">
        <v>6</v>
      </c>
      <c r="P959">
        <v>209</v>
      </c>
      <c r="Q959">
        <v>5</v>
      </c>
      <c r="R959">
        <v>164</v>
      </c>
      <c r="S959">
        <v>224</v>
      </c>
      <c r="T959" t="s">
        <v>47</v>
      </c>
      <c r="U959" s="7">
        <f t="shared" si="56"/>
        <v>39</v>
      </c>
      <c r="V959" s="7">
        <f t="shared" si="57"/>
        <v>6</v>
      </c>
      <c r="W959" s="6">
        <f t="shared" si="58"/>
        <v>60407.91</v>
      </c>
      <c r="X959" t="str">
        <f t="shared" si="59"/>
        <v>Adult</v>
      </c>
    </row>
    <row r="960" spans="1:24">
      <c r="A960" t="s">
        <v>2281</v>
      </c>
      <c r="B960" t="s">
        <v>1293</v>
      </c>
      <c r="C960" t="s">
        <v>133</v>
      </c>
      <c r="D960" s="5">
        <v>29601</v>
      </c>
      <c r="E960" s="5">
        <v>45189</v>
      </c>
      <c r="F960" s="5">
        <v>45194</v>
      </c>
      <c r="G960" t="s">
        <v>94</v>
      </c>
      <c r="H960" t="s">
        <v>44</v>
      </c>
      <c r="I960" t="s">
        <v>33</v>
      </c>
      <c r="J960" t="s">
        <v>80</v>
      </c>
      <c r="K960" t="s">
        <v>55</v>
      </c>
      <c r="L960" s="6">
        <v>59544.77</v>
      </c>
      <c r="M960">
        <v>56334.23</v>
      </c>
      <c r="N960" t="s">
        <v>91</v>
      </c>
      <c r="O960">
        <v>5</v>
      </c>
      <c r="P960">
        <v>197</v>
      </c>
      <c r="Q960">
        <v>4</v>
      </c>
      <c r="R960">
        <v>168</v>
      </c>
      <c r="S960">
        <v>71.400000000000006</v>
      </c>
      <c r="T960" t="s">
        <v>65</v>
      </c>
      <c r="U960" s="7">
        <f t="shared" si="56"/>
        <v>42</v>
      </c>
      <c r="V960" s="7">
        <f t="shared" si="57"/>
        <v>5</v>
      </c>
      <c r="W960" s="6">
        <f t="shared" si="58"/>
        <v>3210.5399999999936</v>
      </c>
      <c r="X960" t="str">
        <f t="shared" si="59"/>
        <v>Middle Age</v>
      </c>
    </row>
    <row r="961" spans="1:24">
      <c r="A961" t="s">
        <v>2284</v>
      </c>
      <c r="B961" t="s">
        <v>2093</v>
      </c>
      <c r="C961" t="s">
        <v>40</v>
      </c>
      <c r="D961" s="5">
        <v>27997</v>
      </c>
      <c r="E961" s="5">
        <v>45055</v>
      </c>
      <c r="F961" s="5">
        <v>45064</v>
      </c>
      <c r="G961" t="s">
        <v>152</v>
      </c>
      <c r="H961" t="s">
        <v>86</v>
      </c>
      <c r="I961" t="s">
        <v>25</v>
      </c>
      <c r="J961" t="s">
        <v>179</v>
      </c>
      <c r="K961" t="s">
        <v>55</v>
      </c>
      <c r="L961" s="6">
        <v>228757.81</v>
      </c>
      <c r="M961">
        <v>178164.3</v>
      </c>
      <c r="N961" t="s">
        <v>192</v>
      </c>
      <c r="O961">
        <v>9</v>
      </c>
      <c r="P961">
        <v>210</v>
      </c>
      <c r="Q961">
        <v>5</v>
      </c>
      <c r="R961">
        <v>189</v>
      </c>
      <c r="S961">
        <v>189.5</v>
      </c>
      <c r="T961" t="s">
        <v>65</v>
      </c>
      <c r="U961" s="7">
        <f t="shared" si="56"/>
        <v>46</v>
      </c>
      <c r="V961" s="7">
        <f t="shared" si="57"/>
        <v>9</v>
      </c>
      <c r="W961" s="6">
        <f t="shared" si="58"/>
        <v>50593.510000000009</v>
      </c>
      <c r="X961" t="str">
        <f t="shared" si="59"/>
        <v>Middle Age</v>
      </c>
    </row>
    <row r="962" spans="1:24">
      <c r="A962" t="s">
        <v>2286</v>
      </c>
      <c r="B962" t="s">
        <v>39</v>
      </c>
      <c r="C962" t="s">
        <v>40</v>
      </c>
      <c r="D962" s="5">
        <v>21821</v>
      </c>
      <c r="E962" s="5">
        <v>45998</v>
      </c>
      <c r="F962" s="5">
        <v>46011</v>
      </c>
      <c r="G962" t="s">
        <v>117</v>
      </c>
      <c r="H962" t="s">
        <v>52</v>
      </c>
      <c r="I962" t="s">
        <v>33</v>
      </c>
      <c r="J962" t="s">
        <v>97</v>
      </c>
      <c r="K962" t="s">
        <v>110</v>
      </c>
      <c r="L962" s="6">
        <v>168874.23999999999</v>
      </c>
      <c r="M962">
        <v>158577.84</v>
      </c>
      <c r="N962" t="s">
        <v>73</v>
      </c>
      <c r="O962">
        <v>13</v>
      </c>
      <c r="P962">
        <v>47</v>
      </c>
      <c r="Q962">
        <v>2</v>
      </c>
      <c r="R962">
        <v>123</v>
      </c>
      <c r="S962">
        <v>189.1</v>
      </c>
      <c r="T962" t="s">
        <v>47</v>
      </c>
      <c r="U962" s="7">
        <f t="shared" ref="U962:U1025" si="60">DATEDIF(D962,E962,"Y")</f>
        <v>66</v>
      </c>
      <c r="V962" s="7">
        <f t="shared" ref="V962:V1025" si="61">IF(OR(E962=" ",F962=" ",E962="Unknown",F962="Unknown")," ",F962-E962)</f>
        <v>13</v>
      </c>
      <c r="W962" s="6">
        <f t="shared" ref="W962:W1025" si="62">L962-M962</f>
        <v>10296.399999999994</v>
      </c>
      <c r="X962" t="str">
        <f t="shared" ref="X962:X1025" si="63">IF(OR(U962="",U962="Unknown"),"",IF(U962&lt;18,"Child",IF(U962&lt;40,"Adult",IF(U962&lt;60,"Middle Age","Senior"))))</f>
        <v>Senior</v>
      </c>
    </row>
    <row r="963" spans="1:24">
      <c r="A963" t="s">
        <v>2287</v>
      </c>
      <c r="B963" t="s">
        <v>864</v>
      </c>
      <c r="C963" t="s">
        <v>40</v>
      </c>
      <c r="D963" s="5" t="s">
        <v>4237</v>
      </c>
      <c r="E963" s="5">
        <v>45485</v>
      </c>
      <c r="F963" s="5">
        <v>45498</v>
      </c>
      <c r="G963" t="s">
        <v>161</v>
      </c>
      <c r="H963" t="s">
        <v>86</v>
      </c>
      <c r="I963" t="s">
        <v>53</v>
      </c>
      <c r="J963" t="s">
        <v>46</v>
      </c>
      <c r="K963" t="s">
        <v>120</v>
      </c>
      <c r="L963" s="6">
        <v>172394.1</v>
      </c>
      <c r="M963">
        <v>135165.46</v>
      </c>
      <c r="N963" t="s">
        <v>73</v>
      </c>
      <c r="O963">
        <v>13</v>
      </c>
      <c r="P963">
        <v>24</v>
      </c>
      <c r="Q963">
        <v>2</v>
      </c>
      <c r="R963">
        <v>156</v>
      </c>
      <c r="S963">
        <v>88.5</v>
      </c>
      <c r="T963" t="s">
        <v>4237</v>
      </c>
      <c r="U963" s="7" t="s">
        <v>4237</v>
      </c>
      <c r="V963" s="7">
        <f t="shared" si="61"/>
        <v>13</v>
      </c>
      <c r="W963" s="6">
        <f t="shared" si="62"/>
        <v>37228.640000000014</v>
      </c>
      <c r="X963" t="s">
        <v>4237</v>
      </c>
    </row>
    <row r="964" spans="1:24">
      <c r="A964" t="s">
        <v>2289</v>
      </c>
      <c r="B964" t="s">
        <v>1200</v>
      </c>
      <c r="C964" t="s">
        <v>133</v>
      </c>
      <c r="D964" s="5">
        <v>23250</v>
      </c>
      <c r="E964" s="5">
        <v>45805</v>
      </c>
      <c r="F964" s="5">
        <v>45822</v>
      </c>
      <c r="G964" t="s">
        <v>161</v>
      </c>
      <c r="H964" t="s">
        <v>95</v>
      </c>
      <c r="I964" t="s">
        <v>96</v>
      </c>
      <c r="J964" t="s">
        <v>34</v>
      </c>
      <c r="K964" t="s">
        <v>27</v>
      </c>
      <c r="L964" s="6">
        <v>234927.16</v>
      </c>
      <c r="M964">
        <v>191371.79</v>
      </c>
      <c r="N964" t="s">
        <v>91</v>
      </c>
      <c r="O964">
        <v>17</v>
      </c>
      <c r="P964">
        <v>39</v>
      </c>
      <c r="Q964">
        <v>3</v>
      </c>
      <c r="R964">
        <v>93</v>
      </c>
      <c r="S964">
        <v>249.8</v>
      </c>
      <c r="T964" t="s">
        <v>65</v>
      </c>
      <c r="U964" s="7">
        <f t="shared" si="60"/>
        <v>61</v>
      </c>
      <c r="V964" s="7">
        <f t="shared" si="61"/>
        <v>17</v>
      </c>
      <c r="W964" s="6">
        <f t="shared" si="62"/>
        <v>43555.369999999995</v>
      </c>
      <c r="X964" t="str">
        <f t="shared" si="63"/>
        <v>Senior</v>
      </c>
    </row>
    <row r="965" spans="1:24">
      <c r="A965" t="s">
        <v>2291</v>
      </c>
      <c r="B965" t="s">
        <v>288</v>
      </c>
      <c r="C965" t="s">
        <v>133</v>
      </c>
      <c r="D965" s="5">
        <v>39583</v>
      </c>
      <c r="E965" s="5">
        <v>45915</v>
      </c>
      <c r="F965" s="5">
        <v>45917</v>
      </c>
      <c r="G965" t="s">
        <v>152</v>
      </c>
      <c r="H965" t="s">
        <v>134</v>
      </c>
      <c r="I965" t="s">
        <v>33</v>
      </c>
      <c r="J965" t="s">
        <v>34</v>
      </c>
      <c r="K965" t="s">
        <v>55</v>
      </c>
      <c r="L965" s="6">
        <v>29330.83</v>
      </c>
      <c r="M965">
        <v>20357.189999999999</v>
      </c>
      <c r="N965" t="s">
        <v>35</v>
      </c>
      <c r="O965">
        <v>2</v>
      </c>
      <c r="P965">
        <v>124</v>
      </c>
      <c r="Q965">
        <v>4</v>
      </c>
      <c r="R965">
        <v>108</v>
      </c>
      <c r="S965">
        <v>210.7</v>
      </c>
      <c r="T965" t="s">
        <v>65</v>
      </c>
      <c r="U965" s="7">
        <f t="shared" si="60"/>
        <v>17</v>
      </c>
      <c r="V965" s="7">
        <f t="shared" si="61"/>
        <v>2</v>
      </c>
      <c r="W965" s="6">
        <f t="shared" si="62"/>
        <v>8973.6400000000031</v>
      </c>
      <c r="X965" t="str">
        <f t="shared" si="63"/>
        <v>Child</v>
      </c>
    </row>
    <row r="966" spans="1:24">
      <c r="A966" t="s">
        <v>2292</v>
      </c>
      <c r="B966" t="s">
        <v>394</v>
      </c>
      <c r="C966" t="s">
        <v>40</v>
      </c>
      <c r="D966" s="5">
        <v>19673</v>
      </c>
      <c r="E966" s="5">
        <v>45137</v>
      </c>
      <c r="F966" s="5">
        <v>45154</v>
      </c>
      <c r="G966" t="s">
        <v>117</v>
      </c>
      <c r="H966" t="s">
        <v>86</v>
      </c>
      <c r="I966" t="s">
        <v>25</v>
      </c>
      <c r="J966" t="s">
        <v>80</v>
      </c>
      <c r="K966" t="s">
        <v>55</v>
      </c>
      <c r="L966" s="6">
        <v>221796.93</v>
      </c>
      <c r="M966">
        <v>141122.29</v>
      </c>
      <c r="N966" t="s">
        <v>56</v>
      </c>
      <c r="O966">
        <v>17</v>
      </c>
      <c r="P966">
        <v>221</v>
      </c>
      <c r="Q966">
        <v>5</v>
      </c>
      <c r="R966">
        <v>141</v>
      </c>
      <c r="S966">
        <v>132.4</v>
      </c>
      <c r="T966" t="s">
        <v>37</v>
      </c>
      <c r="U966" s="7">
        <f t="shared" si="60"/>
        <v>69</v>
      </c>
      <c r="V966" s="7">
        <f t="shared" si="61"/>
        <v>17</v>
      </c>
      <c r="W966" s="6">
        <f t="shared" si="62"/>
        <v>80674.639999999985</v>
      </c>
      <c r="X966" t="str">
        <f t="shared" si="63"/>
        <v>Senior</v>
      </c>
    </row>
    <row r="967" spans="1:24">
      <c r="A967" t="s">
        <v>2295</v>
      </c>
      <c r="B967" t="s">
        <v>173</v>
      </c>
      <c r="C967" t="s">
        <v>40</v>
      </c>
      <c r="D967" s="5">
        <v>19291</v>
      </c>
      <c r="E967" s="5">
        <v>45923</v>
      </c>
      <c r="F967" s="5">
        <v>45924</v>
      </c>
      <c r="G967" t="s">
        <v>62</v>
      </c>
      <c r="H967" t="s">
        <v>63</v>
      </c>
      <c r="I967" t="s">
        <v>33</v>
      </c>
      <c r="J967" t="s">
        <v>64</v>
      </c>
      <c r="K967" t="s">
        <v>110</v>
      </c>
      <c r="L967" s="6">
        <v>114030.57</v>
      </c>
      <c r="M967">
        <v>84042.22</v>
      </c>
      <c r="N967" t="s">
        <v>192</v>
      </c>
      <c r="O967">
        <v>1</v>
      </c>
      <c r="P967">
        <v>22</v>
      </c>
      <c r="Q967">
        <v>5</v>
      </c>
      <c r="R967">
        <v>161</v>
      </c>
      <c r="S967">
        <v>179</v>
      </c>
      <c r="T967" t="s">
        <v>47</v>
      </c>
      <c r="U967" s="7">
        <f t="shared" si="60"/>
        <v>72</v>
      </c>
      <c r="V967" s="7">
        <f t="shared" si="61"/>
        <v>1</v>
      </c>
      <c r="W967" s="6">
        <f t="shared" si="62"/>
        <v>29988.350000000006</v>
      </c>
      <c r="X967" t="str">
        <f t="shared" si="63"/>
        <v>Senior</v>
      </c>
    </row>
    <row r="968" spans="1:24">
      <c r="A968" t="s">
        <v>2296</v>
      </c>
      <c r="B968" t="s">
        <v>249</v>
      </c>
      <c r="C968" t="s">
        <v>133</v>
      </c>
      <c r="D968" s="5">
        <v>36317</v>
      </c>
      <c r="E968" s="5">
        <v>45749</v>
      </c>
      <c r="F968" s="5">
        <v>45750</v>
      </c>
      <c r="G968" t="s">
        <v>161</v>
      </c>
      <c r="H968" t="s">
        <v>134</v>
      </c>
      <c r="I968" t="s">
        <v>25</v>
      </c>
      <c r="J968" t="s">
        <v>64</v>
      </c>
      <c r="K968" t="s">
        <v>27</v>
      </c>
      <c r="L968" s="6">
        <v>177690.15</v>
      </c>
      <c r="M968">
        <v>136741.26999999999</v>
      </c>
      <c r="N968" t="s">
        <v>91</v>
      </c>
      <c r="O968">
        <v>1</v>
      </c>
      <c r="P968">
        <v>75</v>
      </c>
      <c r="Q968">
        <v>4</v>
      </c>
      <c r="R968">
        <v>91</v>
      </c>
      <c r="S968">
        <v>96.9</v>
      </c>
      <c r="T968" t="s">
        <v>37</v>
      </c>
      <c r="U968" s="7">
        <f t="shared" si="60"/>
        <v>25</v>
      </c>
      <c r="V968" s="7">
        <f t="shared" si="61"/>
        <v>1</v>
      </c>
      <c r="W968" s="6">
        <f t="shared" si="62"/>
        <v>40948.880000000005</v>
      </c>
      <c r="X968" t="str">
        <f t="shared" si="63"/>
        <v>Adult</v>
      </c>
    </row>
    <row r="969" spans="1:24">
      <c r="A969" t="s">
        <v>2297</v>
      </c>
      <c r="B969" t="s">
        <v>845</v>
      </c>
      <c r="C969" t="s">
        <v>40</v>
      </c>
      <c r="D969" s="5">
        <v>38033</v>
      </c>
      <c r="E969" s="5">
        <v>45564</v>
      </c>
      <c r="F969" s="5">
        <v>45575</v>
      </c>
      <c r="G969" t="s">
        <v>43</v>
      </c>
      <c r="H969" t="s">
        <v>118</v>
      </c>
      <c r="I969" t="s">
        <v>45</v>
      </c>
      <c r="J969" t="s">
        <v>46</v>
      </c>
      <c r="K969" t="s">
        <v>27</v>
      </c>
      <c r="L969" s="6">
        <v>32724.14</v>
      </c>
      <c r="M969">
        <v>30116.73</v>
      </c>
      <c r="N969" t="s">
        <v>91</v>
      </c>
      <c r="O969">
        <v>11</v>
      </c>
      <c r="P969">
        <v>121</v>
      </c>
      <c r="Q969">
        <v>1</v>
      </c>
      <c r="R969">
        <v>187</v>
      </c>
      <c r="S969">
        <v>86.8</v>
      </c>
      <c r="T969" t="s">
        <v>37</v>
      </c>
      <c r="U969" s="7">
        <f t="shared" si="60"/>
        <v>20</v>
      </c>
      <c r="V969" s="7">
        <f t="shared" si="61"/>
        <v>11</v>
      </c>
      <c r="W969" s="6">
        <f t="shared" si="62"/>
        <v>2607.41</v>
      </c>
      <c r="X969" t="str">
        <f t="shared" si="63"/>
        <v>Adult</v>
      </c>
    </row>
    <row r="970" spans="1:24">
      <c r="A970" t="s">
        <v>2300</v>
      </c>
      <c r="B970" t="s">
        <v>1678</v>
      </c>
      <c r="C970" t="s">
        <v>40</v>
      </c>
      <c r="D970" s="5">
        <v>29801</v>
      </c>
      <c r="E970" s="5">
        <v>45922</v>
      </c>
      <c r="F970" s="5">
        <v>45923</v>
      </c>
      <c r="G970" t="s">
        <v>105</v>
      </c>
      <c r="H970" t="s">
        <v>134</v>
      </c>
      <c r="I970" t="s">
        <v>33</v>
      </c>
      <c r="J970" t="s">
        <v>179</v>
      </c>
      <c r="K970" t="s">
        <v>27</v>
      </c>
      <c r="L970" s="6">
        <v>223579.8</v>
      </c>
      <c r="M970">
        <v>161450.14000000001</v>
      </c>
      <c r="N970" t="s">
        <v>56</v>
      </c>
      <c r="O970">
        <v>1</v>
      </c>
      <c r="P970">
        <v>69</v>
      </c>
      <c r="Q970">
        <v>4</v>
      </c>
      <c r="R970">
        <v>90</v>
      </c>
      <c r="S970">
        <v>132.69999999999999</v>
      </c>
      <c r="T970" t="s">
        <v>37</v>
      </c>
      <c r="U970" s="7">
        <f t="shared" si="60"/>
        <v>44</v>
      </c>
      <c r="V970" s="7">
        <f t="shared" si="61"/>
        <v>1</v>
      </c>
      <c r="W970" s="6">
        <f t="shared" si="62"/>
        <v>62129.659999999974</v>
      </c>
      <c r="X970" t="str">
        <f t="shared" si="63"/>
        <v>Middle Age</v>
      </c>
    </row>
    <row r="971" spans="1:24">
      <c r="A971" t="s">
        <v>2301</v>
      </c>
      <c r="B971" t="s">
        <v>1153</v>
      </c>
      <c r="C971" t="s">
        <v>40</v>
      </c>
      <c r="D971" s="5">
        <v>38670</v>
      </c>
      <c r="E971" s="5">
        <v>45051</v>
      </c>
      <c r="F971" s="5">
        <v>45052</v>
      </c>
      <c r="G971" t="s">
        <v>94</v>
      </c>
      <c r="H971" t="s">
        <v>44</v>
      </c>
      <c r="I971" t="s">
        <v>119</v>
      </c>
      <c r="J971" t="s">
        <v>64</v>
      </c>
      <c r="K971" t="s">
        <v>55</v>
      </c>
      <c r="L971" s="6">
        <v>200261.93</v>
      </c>
      <c r="M971">
        <v>171775.04</v>
      </c>
      <c r="N971" t="s">
        <v>91</v>
      </c>
      <c r="O971">
        <v>1</v>
      </c>
      <c r="P971">
        <v>176</v>
      </c>
      <c r="Q971">
        <v>4</v>
      </c>
      <c r="R971">
        <v>100</v>
      </c>
      <c r="S971">
        <v>191.4</v>
      </c>
      <c r="T971" t="s">
        <v>37</v>
      </c>
      <c r="U971" s="7">
        <f t="shared" si="60"/>
        <v>17</v>
      </c>
      <c r="V971" s="7">
        <f t="shared" si="61"/>
        <v>1</v>
      </c>
      <c r="W971" s="6">
        <f t="shared" si="62"/>
        <v>28486.889999999985</v>
      </c>
      <c r="X971" t="str">
        <f t="shared" si="63"/>
        <v>Child</v>
      </c>
    </row>
    <row r="972" spans="1:24">
      <c r="A972" t="s">
        <v>2302</v>
      </c>
      <c r="B972" t="s">
        <v>2303</v>
      </c>
      <c r="C972" t="s">
        <v>40</v>
      </c>
      <c r="D972" s="5">
        <v>20830</v>
      </c>
      <c r="E972" s="5">
        <v>45502</v>
      </c>
      <c r="F972" s="5">
        <v>45520</v>
      </c>
      <c r="G972" t="s">
        <v>117</v>
      </c>
      <c r="H972" t="s">
        <v>44</v>
      </c>
      <c r="I972" t="s">
        <v>33</v>
      </c>
      <c r="J972" t="s">
        <v>80</v>
      </c>
      <c r="K972" t="s">
        <v>55</v>
      </c>
      <c r="L972" s="6">
        <v>211315.08</v>
      </c>
      <c r="M972">
        <v>138419.20000000001</v>
      </c>
      <c r="N972" t="s">
        <v>192</v>
      </c>
      <c r="O972">
        <v>18</v>
      </c>
      <c r="P972">
        <v>93</v>
      </c>
      <c r="Q972">
        <v>4</v>
      </c>
      <c r="R972">
        <v>92</v>
      </c>
      <c r="S972">
        <v>232.7</v>
      </c>
      <c r="T972" t="s">
        <v>65</v>
      </c>
      <c r="U972" s="7">
        <f t="shared" si="60"/>
        <v>67</v>
      </c>
      <c r="V972" s="7">
        <f t="shared" si="61"/>
        <v>18</v>
      </c>
      <c r="W972" s="6">
        <f t="shared" si="62"/>
        <v>72895.879999999976</v>
      </c>
      <c r="X972" t="str">
        <f t="shared" si="63"/>
        <v>Senior</v>
      </c>
    </row>
    <row r="973" spans="1:24">
      <c r="A973" t="s">
        <v>2304</v>
      </c>
      <c r="B973" t="s">
        <v>29</v>
      </c>
      <c r="C973" t="s">
        <v>40</v>
      </c>
      <c r="D973" s="5">
        <v>19590</v>
      </c>
      <c r="E973" s="5">
        <v>45895</v>
      </c>
      <c r="F973" s="5">
        <v>45908</v>
      </c>
      <c r="G973" t="s">
        <v>77</v>
      </c>
      <c r="H973" t="s">
        <v>24</v>
      </c>
      <c r="I973" t="s">
        <v>96</v>
      </c>
      <c r="J973" t="s">
        <v>46</v>
      </c>
      <c r="K973" t="s">
        <v>161</v>
      </c>
      <c r="L973" s="6">
        <v>106036.08</v>
      </c>
      <c r="M973">
        <v>98646.34</v>
      </c>
      <c r="N973" t="s">
        <v>91</v>
      </c>
      <c r="O973">
        <v>13</v>
      </c>
      <c r="P973">
        <v>149</v>
      </c>
      <c r="Q973">
        <v>4</v>
      </c>
      <c r="R973">
        <v>109</v>
      </c>
      <c r="S973">
        <v>101.6</v>
      </c>
      <c r="T973" t="s">
        <v>4237</v>
      </c>
      <c r="U973" s="7">
        <f t="shared" si="60"/>
        <v>72</v>
      </c>
      <c r="V973" s="7">
        <f t="shared" si="61"/>
        <v>13</v>
      </c>
      <c r="W973" s="6">
        <f t="shared" si="62"/>
        <v>7389.7400000000052</v>
      </c>
      <c r="X973" t="str">
        <f t="shared" si="63"/>
        <v>Senior</v>
      </c>
    </row>
    <row r="974" spans="1:24">
      <c r="A974" t="s">
        <v>2307</v>
      </c>
      <c r="B974" t="s">
        <v>1305</v>
      </c>
      <c r="C974" t="s">
        <v>133</v>
      </c>
      <c r="D974" s="5">
        <v>18457</v>
      </c>
      <c r="E974" s="5">
        <v>45299</v>
      </c>
      <c r="F974" s="5" t="s">
        <v>4237</v>
      </c>
      <c r="G974" t="s">
        <v>89</v>
      </c>
      <c r="H974" t="s">
        <v>124</v>
      </c>
      <c r="I974" t="s">
        <v>79</v>
      </c>
      <c r="J974" t="s">
        <v>64</v>
      </c>
      <c r="K974" t="s">
        <v>55</v>
      </c>
      <c r="L974" s="6">
        <v>120398.56</v>
      </c>
      <c r="M974">
        <v>100801.65</v>
      </c>
      <c r="N974" t="s">
        <v>4237</v>
      </c>
      <c r="O974">
        <v>14</v>
      </c>
      <c r="P974">
        <v>118</v>
      </c>
      <c r="Q974">
        <v>4</v>
      </c>
      <c r="R974">
        <v>148</v>
      </c>
      <c r="S974">
        <v>153.4</v>
      </c>
      <c r="T974" t="s">
        <v>65</v>
      </c>
      <c r="U974" s="7">
        <f t="shared" si="60"/>
        <v>73</v>
      </c>
      <c r="V974" s="7" t="s">
        <v>4237</v>
      </c>
      <c r="W974" s="6">
        <f t="shared" si="62"/>
        <v>19596.910000000003</v>
      </c>
      <c r="X974" t="str">
        <f t="shared" si="63"/>
        <v>Senior</v>
      </c>
    </row>
    <row r="975" spans="1:24">
      <c r="A975" t="s">
        <v>2308</v>
      </c>
      <c r="B975" t="s">
        <v>728</v>
      </c>
      <c r="C975" t="s">
        <v>40</v>
      </c>
      <c r="D975" s="5">
        <v>19596</v>
      </c>
      <c r="E975" s="5">
        <v>45415</v>
      </c>
      <c r="F975" s="5">
        <v>45427</v>
      </c>
      <c r="G975" t="s">
        <v>89</v>
      </c>
      <c r="H975" t="s">
        <v>118</v>
      </c>
      <c r="I975" t="s">
        <v>79</v>
      </c>
      <c r="J975" t="s">
        <v>97</v>
      </c>
      <c r="K975" t="s">
        <v>27</v>
      </c>
      <c r="L975" s="6">
        <v>48889.26</v>
      </c>
      <c r="M975">
        <v>40189.9</v>
      </c>
      <c r="N975" t="s">
        <v>91</v>
      </c>
      <c r="O975">
        <v>12</v>
      </c>
      <c r="P975">
        <v>235</v>
      </c>
      <c r="Q975">
        <v>3</v>
      </c>
      <c r="R975">
        <v>126</v>
      </c>
      <c r="S975">
        <v>108.3</v>
      </c>
      <c r="T975" t="s">
        <v>47</v>
      </c>
      <c r="U975" s="7">
        <f t="shared" si="60"/>
        <v>70</v>
      </c>
      <c r="V975" s="7">
        <f t="shared" si="61"/>
        <v>12</v>
      </c>
      <c r="W975" s="6">
        <f t="shared" si="62"/>
        <v>8699.36</v>
      </c>
      <c r="X975" t="str">
        <f t="shared" si="63"/>
        <v>Senior</v>
      </c>
    </row>
    <row r="976" spans="1:24">
      <c r="A976" t="s">
        <v>2310</v>
      </c>
      <c r="B976" t="s">
        <v>522</v>
      </c>
      <c r="C976" t="s">
        <v>133</v>
      </c>
      <c r="D976" s="5" t="s">
        <v>4237</v>
      </c>
      <c r="E976" s="5">
        <v>44931</v>
      </c>
      <c r="F976" s="5">
        <v>44944</v>
      </c>
      <c r="G976" t="s">
        <v>152</v>
      </c>
      <c r="H976" t="s">
        <v>124</v>
      </c>
      <c r="I976" t="s">
        <v>45</v>
      </c>
      <c r="J976" t="s">
        <v>46</v>
      </c>
      <c r="K976" t="s">
        <v>55</v>
      </c>
      <c r="L976" s="6">
        <v>110817.39</v>
      </c>
      <c r="M976">
        <v>83898.61</v>
      </c>
      <c r="N976" t="s">
        <v>91</v>
      </c>
      <c r="O976">
        <v>13</v>
      </c>
      <c r="P976">
        <v>40</v>
      </c>
      <c r="Q976">
        <v>5</v>
      </c>
      <c r="R976">
        <v>101</v>
      </c>
      <c r="S976">
        <v>95.9</v>
      </c>
      <c r="T976" t="s">
        <v>65</v>
      </c>
      <c r="U976" s="7" t="s">
        <v>4237</v>
      </c>
      <c r="V976" s="7">
        <f t="shared" si="61"/>
        <v>13</v>
      </c>
      <c r="W976" s="6">
        <f t="shared" si="62"/>
        <v>26918.78</v>
      </c>
      <c r="X976" t="s">
        <v>4237</v>
      </c>
    </row>
    <row r="977" spans="1:24">
      <c r="A977" t="s">
        <v>2313</v>
      </c>
      <c r="B977" t="s">
        <v>202</v>
      </c>
      <c r="C977" t="s">
        <v>40</v>
      </c>
      <c r="D977" s="5">
        <v>21114</v>
      </c>
      <c r="E977" s="5">
        <v>45992</v>
      </c>
      <c r="F977" s="5">
        <v>45993</v>
      </c>
      <c r="G977" t="s">
        <v>105</v>
      </c>
      <c r="H977" t="s">
        <v>63</v>
      </c>
      <c r="I977" t="s">
        <v>96</v>
      </c>
      <c r="J977" t="s">
        <v>97</v>
      </c>
      <c r="K977" t="s">
        <v>120</v>
      </c>
      <c r="L977" s="6">
        <v>133528.29999999999</v>
      </c>
      <c r="M977">
        <v>106448.1</v>
      </c>
      <c r="N977" t="s">
        <v>73</v>
      </c>
      <c r="O977">
        <v>1</v>
      </c>
      <c r="P977">
        <v>118</v>
      </c>
      <c r="Q977">
        <v>4</v>
      </c>
      <c r="R977">
        <v>187</v>
      </c>
      <c r="S977">
        <v>258.7</v>
      </c>
      <c r="T977" t="s">
        <v>47</v>
      </c>
      <c r="U977" s="7">
        <f t="shared" si="60"/>
        <v>68</v>
      </c>
      <c r="V977" s="7">
        <f t="shared" si="61"/>
        <v>1</v>
      </c>
      <c r="W977" s="6">
        <f t="shared" si="62"/>
        <v>27080.199999999983</v>
      </c>
      <c r="X977" t="str">
        <f t="shared" si="63"/>
        <v>Senior</v>
      </c>
    </row>
    <row r="978" spans="1:24">
      <c r="A978" t="s">
        <v>2314</v>
      </c>
      <c r="B978" t="s">
        <v>1391</v>
      </c>
      <c r="C978" t="s">
        <v>133</v>
      </c>
      <c r="D978" s="5">
        <v>40243</v>
      </c>
      <c r="E978" s="5">
        <v>45177</v>
      </c>
      <c r="F978" s="5">
        <v>45185</v>
      </c>
      <c r="G978" t="s">
        <v>77</v>
      </c>
      <c r="H978" t="s">
        <v>24</v>
      </c>
      <c r="I978" t="s">
        <v>33</v>
      </c>
      <c r="J978" t="s">
        <v>64</v>
      </c>
      <c r="K978" t="s">
        <v>55</v>
      </c>
      <c r="L978" s="6">
        <v>242287.61</v>
      </c>
      <c r="M978">
        <v>210318.92</v>
      </c>
      <c r="N978" t="s">
        <v>192</v>
      </c>
      <c r="O978">
        <v>8</v>
      </c>
      <c r="P978">
        <v>111</v>
      </c>
      <c r="Q978">
        <v>4</v>
      </c>
      <c r="R978">
        <v>165</v>
      </c>
      <c r="S978">
        <v>217.4</v>
      </c>
      <c r="T978" t="s">
        <v>4237</v>
      </c>
      <c r="U978" s="7">
        <f t="shared" si="60"/>
        <v>13</v>
      </c>
      <c r="V978" s="7">
        <f t="shared" si="61"/>
        <v>8</v>
      </c>
      <c r="W978" s="6">
        <f t="shared" si="62"/>
        <v>31968.689999999973</v>
      </c>
      <c r="X978" t="str">
        <f t="shared" si="63"/>
        <v>Child</v>
      </c>
    </row>
    <row r="979" spans="1:24">
      <c r="A979" t="s">
        <v>2315</v>
      </c>
      <c r="B979" t="s">
        <v>99</v>
      </c>
      <c r="C979" t="s">
        <v>133</v>
      </c>
      <c r="D979" s="5">
        <v>37078</v>
      </c>
      <c r="E979" s="5">
        <v>45158</v>
      </c>
      <c r="F979" s="5">
        <v>45174</v>
      </c>
      <c r="G979" t="s">
        <v>117</v>
      </c>
      <c r="H979" t="s">
        <v>134</v>
      </c>
      <c r="I979" t="s">
        <v>96</v>
      </c>
      <c r="J979" t="s">
        <v>71</v>
      </c>
      <c r="K979" t="s">
        <v>55</v>
      </c>
      <c r="L979" s="6">
        <v>30926.68</v>
      </c>
      <c r="M979">
        <v>23823.95</v>
      </c>
      <c r="N979" t="s">
        <v>35</v>
      </c>
      <c r="O979">
        <v>16</v>
      </c>
      <c r="P979">
        <v>199</v>
      </c>
      <c r="Q979">
        <v>3</v>
      </c>
      <c r="R979">
        <v>159</v>
      </c>
      <c r="S979">
        <v>163.5</v>
      </c>
      <c r="T979" t="s">
        <v>37</v>
      </c>
      <c r="U979" s="7">
        <f t="shared" si="60"/>
        <v>22</v>
      </c>
      <c r="V979" s="7">
        <f t="shared" si="61"/>
        <v>16</v>
      </c>
      <c r="W979" s="6">
        <f t="shared" si="62"/>
        <v>7102.73</v>
      </c>
      <c r="X979" t="str">
        <f t="shared" si="63"/>
        <v>Adult</v>
      </c>
    </row>
    <row r="980" spans="1:24">
      <c r="A980" t="s">
        <v>2317</v>
      </c>
      <c r="B980" t="s">
        <v>147</v>
      </c>
      <c r="C980" t="s">
        <v>40</v>
      </c>
      <c r="D980" s="5">
        <v>26796</v>
      </c>
      <c r="E980" s="5">
        <v>45483</v>
      </c>
      <c r="F980" s="5" t="s">
        <v>4237</v>
      </c>
      <c r="G980" t="s">
        <v>89</v>
      </c>
      <c r="H980" t="s">
        <v>32</v>
      </c>
      <c r="I980" t="s">
        <v>53</v>
      </c>
      <c r="J980" t="s">
        <v>26</v>
      </c>
      <c r="K980" t="s">
        <v>120</v>
      </c>
      <c r="L980" s="6">
        <v>16249.53</v>
      </c>
      <c r="M980">
        <v>13352.84</v>
      </c>
      <c r="N980" t="s">
        <v>73</v>
      </c>
      <c r="O980">
        <v>3</v>
      </c>
      <c r="P980">
        <v>38</v>
      </c>
      <c r="Q980">
        <v>4</v>
      </c>
      <c r="R980">
        <v>130</v>
      </c>
      <c r="S980">
        <v>193.5</v>
      </c>
      <c r="T980" t="s">
        <v>37</v>
      </c>
      <c r="U980" s="7">
        <f t="shared" si="60"/>
        <v>51</v>
      </c>
      <c r="V980" s="7" t="s">
        <v>4237</v>
      </c>
      <c r="W980" s="6">
        <f t="shared" si="62"/>
        <v>2896.6900000000005</v>
      </c>
      <c r="X980" t="str">
        <f t="shared" si="63"/>
        <v>Middle Age</v>
      </c>
    </row>
    <row r="981" spans="1:24">
      <c r="A981" t="s">
        <v>2319</v>
      </c>
      <c r="B981" t="s">
        <v>292</v>
      </c>
      <c r="C981" t="s">
        <v>40</v>
      </c>
      <c r="D981" s="5">
        <v>39910</v>
      </c>
      <c r="E981" s="5">
        <v>44954</v>
      </c>
      <c r="F981" s="5">
        <v>44966</v>
      </c>
      <c r="G981" t="s">
        <v>77</v>
      </c>
      <c r="H981" t="s">
        <v>124</v>
      </c>
      <c r="I981" t="s">
        <v>45</v>
      </c>
      <c r="J981" t="s">
        <v>64</v>
      </c>
      <c r="K981" t="s">
        <v>55</v>
      </c>
      <c r="L981" s="6">
        <v>56001.43</v>
      </c>
      <c r="M981">
        <v>45974.31</v>
      </c>
      <c r="N981" t="s">
        <v>73</v>
      </c>
      <c r="O981">
        <v>12</v>
      </c>
      <c r="P981">
        <v>7</v>
      </c>
      <c r="Q981">
        <v>4</v>
      </c>
      <c r="R981">
        <v>96</v>
      </c>
      <c r="S981">
        <v>221.2</v>
      </c>
      <c r="T981" t="s">
        <v>65</v>
      </c>
      <c r="U981" s="7">
        <f t="shared" si="60"/>
        <v>13</v>
      </c>
      <c r="V981" s="7">
        <f t="shared" si="61"/>
        <v>12</v>
      </c>
      <c r="W981" s="6">
        <f t="shared" si="62"/>
        <v>10027.120000000003</v>
      </c>
      <c r="X981" t="str">
        <f t="shared" si="63"/>
        <v>Child</v>
      </c>
    </row>
    <row r="982" spans="1:24">
      <c r="A982" t="s">
        <v>2321</v>
      </c>
      <c r="B982" t="s">
        <v>584</v>
      </c>
      <c r="C982" t="s">
        <v>40</v>
      </c>
      <c r="D982" s="5">
        <v>26688</v>
      </c>
      <c r="E982" s="5">
        <v>45145</v>
      </c>
      <c r="F982" s="5">
        <v>45159</v>
      </c>
      <c r="G982" t="s">
        <v>94</v>
      </c>
      <c r="H982" t="s">
        <v>32</v>
      </c>
      <c r="I982" t="s">
        <v>53</v>
      </c>
      <c r="J982" t="s">
        <v>179</v>
      </c>
      <c r="K982" t="s">
        <v>110</v>
      </c>
      <c r="L982" s="6">
        <v>123663.9</v>
      </c>
      <c r="M982">
        <v>112148.87</v>
      </c>
      <c r="N982" t="s">
        <v>73</v>
      </c>
      <c r="O982">
        <v>14</v>
      </c>
      <c r="P982">
        <v>38</v>
      </c>
      <c r="Q982">
        <v>1</v>
      </c>
      <c r="R982">
        <v>105</v>
      </c>
      <c r="S982">
        <v>231.2</v>
      </c>
      <c r="T982" t="s">
        <v>47</v>
      </c>
      <c r="U982" s="7">
        <f t="shared" si="60"/>
        <v>50</v>
      </c>
      <c r="V982" s="7">
        <f t="shared" si="61"/>
        <v>14</v>
      </c>
      <c r="W982" s="6">
        <f t="shared" si="62"/>
        <v>11515.029999999999</v>
      </c>
      <c r="X982" t="str">
        <f t="shared" si="63"/>
        <v>Middle Age</v>
      </c>
    </row>
    <row r="983" spans="1:24">
      <c r="A983" t="s">
        <v>2324</v>
      </c>
      <c r="B983" t="s">
        <v>1094</v>
      </c>
      <c r="C983" t="s">
        <v>133</v>
      </c>
      <c r="D983" s="5">
        <v>31819</v>
      </c>
      <c r="E983" s="5">
        <v>45688</v>
      </c>
      <c r="F983" s="5">
        <v>45699</v>
      </c>
      <c r="G983" t="s">
        <v>161</v>
      </c>
      <c r="H983" t="s">
        <v>134</v>
      </c>
      <c r="I983" t="s">
        <v>45</v>
      </c>
      <c r="J983" t="s">
        <v>64</v>
      </c>
      <c r="K983" t="s">
        <v>120</v>
      </c>
      <c r="L983" s="6">
        <v>162366.29999999999</v>
      </c>
      <c r="M983">
        <v>127413.17</v>
      </c>
      <c r="N983" t="s">
        <v>56</v>
      </c>
      <c r="O983">
        <v>11</v>
      </c>
      <c r="P983">
        <v>47</v>
      </c>
      <c r="Q983">
        <v>1</v>
      </c>
      <c r="R983">
        <v>190</v>
      </c>
      <c r="S983">
        <v>158.69999999999999</v>
      </c>
      <c r="T983" t="s">
        <v>37</v>
      </c>
      <c r="U983" s="7">
        <f t="shared" si="60"/>
        <v>37</v>
      </c>
      <c r="V983" s="7">
        <f t="shared" si="61"/>
        <v>11</v>
      </c>
      <c r="W983" s="6">
        <f t="shared" si="62"/>
        <v>34953.12999999999</v>
      </c>
      <c r="X983" t="str">
        <f t="shared" si="63"/>
        <v>Adult</v>
      </c>
    </row>
    <row r="984" spans="1:24">
      <c r="A984" t="s">
        <v>2327</v>
      </c>
      <c r="B984" t="s">
        <v>1061</v>
      </c>
      <c r="C984" t="s">
        <v>133</v>
      </c>
      <c r="D984" s="5">
        <v>40064</v>
      </c>
      <c r="E984" s="5">
        <v>45070</v>
      </c>
      <c r="F984" s="5">
        <v>45076</v>
      </c>
      <c r="G984" t="s">
        <v>117</v>
      </c>
      <c r="H984" t="s">
        <v>78</v>
      </c>
      <c r="I984" t="s">
        <v>33</v>
      </c>
      <c r="J984" t="s">
        <v>34</v>
      </c>
      <c r="K984" t="s">
        <v>27</v>
      </c>
      <c r="L984" s="6">
        <v>60819.519999999997</v>
      </c>
      <c r="M984">
        <v>42922.28</v>
      </c>
      <c r="N984" t="s">
        <v>56</v>
      </c>
      <c r="O984">
        <v>6</v>
      </c>
      <c r="P984">
        <v>207</v>
      </c>
      <c r="Q984">
        <v>4</v>
      </c>
      <c r="R984">
        <v>151</v>
      </c>
      <c r="S984">
        <v>102.7</v>
      </c>
      <c r="T984" t="s">
        <v>65</v>
      </c>
      <c r="U984" s="7">
        <f t="shared" si="60"/>
        <v>13</v>
      </c>
      <c r="V984" s="7">
        <f t="shared" si="61"/>
        <v>6</v>
      </c>
      <c r="W984" s="6">
        <f t="shared" si="62"/>
        <v>17897.239999999998</v>
      </c>
      <c r="X984" t="str">
        <f t="shared" si="63"/>
        <v>Child</v>
      </c>
    </row>
    <row r="985" spans="1:24">
      <c r="A985" t="s">
        <v>2328</v>
      </c>
      <c r="B985" t="s">
        <v>697</v>
      </c>
      <c r="C985" t="s">
        <v>40</v>
      </c>
      <c r="D985" s="5" t="s">
        <v>4237</v>
      </c>
      <c r="E985" s="5">
        <v>45556</v>
      </c>
      <c r="F985" s="5">
        <v>45564</v>
      </c>
      <c r="G985" t="s">
        <v>43</v>
      </c>
      <c r="H985" t="s">
        <v>113</v>
      </c>
      <c r="I985" t="s">
        <v>25</v>
      </c>
      <c r="J985" t="s">
        <v>97</v>
      </c>
      <c r="K985" t="s">
        <v>161</v>
      </c>
      <c r="L985" s="6">
        <v>154312.38</v>
      </c>
      <c r="M985">
        <v>99169.83</v>
      </c>
      <c r="N985" t="s">
        <v>35</v>
      </c>
      <c r="O985">
        <v>8</v>
      </c>
      <c r="P985">
        <v>211</v>
      </c>
      <c r="Q985">
        <v>4</v>
      </c>
      <c r="R985">
        <v>124</v>
      </c>
      <c r="S985">
        <v>163.5</v>
      </c>
      <c r="T985" t="s">
        <v>4237</v>
      </c>
      <c r="U985" s="7" t="s">
        <v>4237</v>
      </c>
      <c r="V985" s="7">
        <f t="shared" si="61"/>
        <v>8</v>
      </c>
      <c r="W985" s="6">
        <f t="shared" si="62"/>
        <v>55142.55</v>
      </c>
      <c r="X985" t="s">
        <v>4237</v>
      </c>
    </row>
    <row r="986" spans="1:24">
      <c r="A986" t="s">
        <v>2331</v>
      </c>
      <c r="B986" t="s">
        <v>697</v>
      </c>
      <c r="C986" t="s">
        <v>40</v>
      </c>
      <c r="D986" s="5">
        <v>29407</v>
      </c>
      <c r="E986" s="5">
        <v>45516</v>
      </c>
      <c r="F986" s="5">
        <v>45522</v>
      </c>
      <c r="G986" t="s">
        <v>161</v>
      </c>
      <c r="H986" t="s">
        <v>78</v>
      </c>
      <c r="I986" t="s">
        <v>53</v>
      </c>
      <c r="J986" t="s">
        <v>97</v>
      </c>
      <c r="K986" t="s">
        <v>120</v>
      </c>
      <c r="L986" s="6">
        <v>93076.92</v>
      </c>
      <c r="M986">
        <v>62503.31</v>
      </c>
      <c r="N986" t="s">
        <v>35</v>
      </c>
      <c r="O986">
        <v>6</v>
      </c>
      <c r="P986">
        <v>13</v>
      </c>
      <c r="Q986">
        <v>4</v>
      </c>
      <c r="R986">
        <v>142</v>
      </c>
      <c r="S986">
        <v>218.6</v>
      </c>
      <c r="T986" t="s">
        <v>47</v>
      </c>
      <c r="U986" s="7">
        <f t="shared" si="60"/>
        <v>44</v>
      </c>
      <c r="V986" s="7">
        <f t="shared" si="61"/>
        <v>6</v>
      </c>
      <c r="W986" s="6">
        <f t="shared" si="62"/>
        <v>30573.61</v>
      </c>
      <c r="X986" t="str">
        <f t="shared" si="63"/>
        <v>Middle Age</v>
      </c>
    </row>
    <row r="987" spans="1:24">
      <c r="A987" t="s">
        <v>2334</v>
      </c>
      <c r="B987" t="s">
        <v>796</v>
      </c>
      <c r="C987" t="s">
        <v>40</v>
      </c>
      <c r="D987" s="5">
        <v>22353</v>
      </c>
      <c r="E987" s="5">
        <v>45563</v>
      </c>
      <c r="F987" s="5">
        <v>45566</v>
      </c>
      <c r="G987" t="s">
        <v>161</v>
      </c>
      <c r="H987" t="s">
        <v>63</v>
      </c>
      <c r="I987" t="s">
        <v>79</v>
      </c>
      <c r="J987" t="s">
        <v>64</v>
      </c>
      <c r="K987" t="s">
        <v>27</v>
      </c>
      <c r="L987" s="6">
        <v>242490.46</v>
      </c>
      <c r="M987">
        <v>233673.65</v>
      </c>
      <c r="N987" t="s">
        <v>91</v>
      </c>
      <c r="O987">
        <v>3</v>
      </c>
      <c r="P987">
        <v>167</v>
      </c>
      <c r="Q987">
        <v>2</v>
      </c>
      <c r="R987">
        <v>156</v>
      </c>
      <c r="S987">
        <v>120.5</v>
      </c>
      <c r="T987" t="s">
        <v>37</v>
      </c>
      <c r="U987" s="7">
        <f t="shared" si="60"/>
        <v>63</v>
      </c>
      <c r="V987" s="7">
        <f t="shared" si="61"/>
        <v>3</v>
      </c>
      <c r="W987" s="6">
        <f t="shared" si="62"/>
        <v>8816.8099999999977</v>
      </c>
      <c r="X987" t="str">
        <f t="shared" si="63"/>
        <v>Senior</v>
      </c>
    </row>
    <row r="988" spans="1:24">
      <c r="A988" t="s">
        <v>2335</v>
      </c>
      <c r="B988" t="s">
        <v>406</v>
      </c>
      <c r="C988" t="s">
        <v>133</v>
      </c>
      <c r="D988" s="5">
        <v>34173</v>
      </c>
      <c r="E988" s="5">
        <v>45912</v>
      </c>
      <c r="F988" s="5">
        <v>45928</v>
      </c>
      <c r="G988" t="s">
        <v>161</v>
      </c>
      <c r="H988" t="s">
        <v>63</v>
      </c>
      <c r="I988" t="s">
        <v>45</v>
      </c>
      <c r="J988" t="s">
        <v>64</v>
      </c>
      <c r="K988" t="s">
        <v>55</v>
      </c>
      <c r="L988" s="6">
        <v>123663.9</v>
      </c>
      <c r="M988">
        <v>5563.93</v>
      </c>
      <c r="N988" t="s">
        <v>91</v>
      </c>
      <c r="O988">
        <v>16</v>
      </c>
      <c r="P988">
        <v>201</v>
      </c>
      <c r="Q988">
        <v>3</v>
      </c>
      <c r="R988">
        <v>184</v>
      </c>
      <c r="S988">
        <v>127.2</v>
      </c>
      <c r="T988" t="s">
        <v>4237</v>
      </c>
      <c r="U988" s="7">
        <f t="shared" si="60"/>
        <v>32</v>
      </c>
      <c r="V988" s="7">
        <f t="shared" si="61"/>
        <v>16</v>
      </c>
      <c r="W988" s="6">
        <f t="shared" si="62"/>
        <v>118099.97</v>
      </c>
      <c r="X988" t="str">
        <f t="shared" si="63"/>
        <v>Adult</v>
      </c>
    </row>
    <row r="989" spans="1:24">
      <c r="A989" t="s">
        <v>2336</v>
      </c>
      <c r="B989" t="s">
        <v>1104</v>
      </c>
      <c r="C989" t="s">
        <v>40</v>
      </c>
      <c r="D989" s="5">
        <v>38666</v>
      </c>
      <c r="E989" s="5">
        <v>45543</v>
      </c>
      <c r="F989" s="5">
        <v>45548</v>
      </c>
      <c r="G989" t="s">
        <v>77</v>
      </c>
      <c r="H989" t="s">
        <v>86</v>
      </c>
      <c r="I989" t="s">
        <v>119</v>
      </c>
      <c r="J989" t="s">
        <v>46</v>
      </c>
      <c r="K989" t="s">
        <v>110</v>
      </c>
      <c r="L989" s="6">
        <v>66802.38</v>
      </c>
      <c r="M989">
        <v>61078.720000000001</v>
      </c>
      <c r="N989" t="s">
        <v>35</v>
      </c>
      <c r="O989">
        <v>5</v>
      </c>
      <c r="P989">
        <v>77</v>
      </c>
      <c r="Q989">
        <v>3</v>
      </c>
      <c r="R989">
        <v>172</v>
      </c>
      <c r="S989">
        <v>117.2</v>
      </c>
      <c r="T989" t="s">
        <v>37</v>
      </c>
      <c r="U989" s="7">
        <f t="shared" si="60"/>
        <v>18</v>
      </c>
      <c r="V989" s="7">
        <f t="shared" si="61"/>
        <v>5</v>
      </c>
      <c r="W989" s="6">
        <f t="shared" si="62"/>
        <v>5723.6600000000035</v>
      </c>
      <c r="X989" t="str">
        <f t="shared" si="63"/>
        <v>Adult</v>
      </c>
    </row>
    <row r="990" spans="1:24">
      <c r="A990" t="s">
        <v>2337</v>
      </c>
      <c r="B990" t="s">
        <v>1598</v>
      </c>
      <c r="C990" t="s">
        <v>40</v>
      </c>
      <c r="D990" s="5">
        <v>27668</v>
      </c>
      <c r="E990" s="5">
        <v>45494</v>
      </c>
      <c r="F990" s="5">
        <v>45505</v>
      </c>
      <c r="G990" t="s">
        <v>161</v>
      </c>
      <c r="H990" t="s">
        <v>78</v>
      </c>
      <c r="I990" t="s">
        <v>53</v>
      </c>
      <c r="J990" t="s">
        <v>46</v>
      </c>
      <c r="K990" t="s">
        <v>27</v>
      </c>
      <c r="L990" s="6">
        <v>45693.08</v>
      </c>
      <c r="M990">
        <v>37651.629999999997</v>
      </c>
      <c r="N990" t="s">
        <v>73</v>
      </c>
      <c r="O990">
        <v>11</v>
      </c>
      <c r="P990">
        <v>61</v>
      </c>
      <c r="Q990">
        <v>5</v>
      </c>
      <c r="R990">
        <v>148</v>
      </c>
      <c r="S990">
        <v>107.6</v>
      </c>
      <c r="T990" t="s">
        <v>37</v>
      </c>
      <c r="U990" s="7">
        <f t="shared" si="60"/>
        <v>48</v>
      </c>
      <c r="V990" s="7">
        <f t="shared" si="61"/>
        <v>11</v>
      </c>
      <c r="W990" s="6">
        <f t="shared" si="62"/>
        <v>8041.4500000000044</v>
      </c>
      <c r="X990" t="str">
        <f t="shared" si="63"/>
        <v>Middle Age</v>
      </c>
    </row>
    <row r="991" spans="1:24">
      <c r="A991" t="s">
        <v>2339</v>
      </c>
      <c r="B991" t="s">
        <v>806</v>
      </c>
      <c r="C991" t="s">
        <v>133</v>
      </c>
      <c r="D991" s="5">
        <v>21695</v>
      </c>
      <c r="E991" s="5">
        <v>45901</v>
      </c>
      <c r="F991" s="5" t="s">
        <v>4237</v>
      </c>
      <c r="G991" t="s">
        <v>117</v>
      </c>
      <c r="H991" t="s">
        <v>95</v>
      </c>
      <c r="I991" t="s">
        <v>119</v>
      </c>
      <c r="J991" t="s">
        <v>80</v>
      </c>
      <c r="K991" t="s">
        <v>55</v>
      </c>
      <c r="L991" s="6">
        <v>179358.39</v>
      </c>
      <c r="M991">
        <v>127313.16</v>
      </c>
      <c r="N991" t="s">
        <v>192</v>
      </c>
      <c r="O991">
        <v>9</v>
      </c>
      <c r="P991">
        <v>66</v>
      </c>
      <c r="Q991">
        <v>4</v>
      </c>
      <c r="R991">
        <v>134</v>
      </c>
      <c r="S991">
        <v>78.5</v>
      </c>
      <c r="T991" t="s">
        <v>37</v>
      </c>
      <c r="U991" s="7">
        <f t="shared" si="60"/>
        <v>66</v>
      </c>
      <c r="V991" s="7" t="s">
        <v>4237</v>
      </c>
      <c r="W991" s="6">
        <f t="shared" si="62"/>
        <v>52045.23000000001</v>
      </c>
      <c r="X991" t="str">
        <f t="shared" si="63"/>
        <v>Senior</v>
      </c>
    </row>
    <row r="992" spans="1:24">
      <c r="A992" t="s">
        <v>2340</v>
      </c>
      <c r="B992" t="s">
        <v>321</v>
      </c>
      <c r="C992" t="s">
        <v>133</v>
      </c>
      <c r="D992" s="5">
        <v>24799</v>
      </c>
      <c r="E992" s="5">
        <v>45034</v>
      </c>
      <c r="F992" s="5">
        <v>45043</v>
      </c>
      <c r="G992" t="s">
        <v>152</v>
      </c>
      <c r="H992" t="s">
        <v>124</v>
      </c>
      <c r="I992" t="s">
        <v>96</v>
      </c>
      <c r="J992" t="s">
        <v>46</v>
      </c>
      <c r="K992" t="s">
        <v>120</v>
      </c>
      <c r="L992" s="6">
        <v>99834.39</v>
      </c>
      <c r="M992">
        <v>72241.05</v>
      </c>
      <c r="N992" t="s">
        <v>192</v>
      </c>
      <c r="O992">
        <v>9</v>
      </c>
      <c r="P992">
        <v>163</v>
      </c>
      <c r="Q992">
        <v>3</v>
      </c>
      <c r="R992">
        <v>137</v>
      </c>
      <c r="S992">
        <v>224.5</v>
      </c>
      <c r="T992" t="s">
        <v>37</v>
      </c>
      <c r="U992" s="7">
        <f t="shared" si="60"/>
        <v>55</v>
      </c>
      <c r="V992" s="7">
        <f t="shared" si="61"/>
        <v>9</v>
      </c>
      <c r="W992" s="6">
        <f t="shared" si="62"/>
        <v>27593.339999999997</v>
      </c>
      <c r="X992" t="str">
        <f t="shared" si="63"/>
        <v>Middle Age</v>
      </c>
    </row>
    <row r="993" spans="1:24">
      <c r="A993" t="s">
        <v>2342</v>
      </c>
      <c r="B993" t="s">
        <v>2343</v>
      </c>
      <c r="C993" t="s">
        <v>133</v>
      </c>
      <c r="D993" s="5">
        <v>26657</v>
      </c>
      <c r="E993" s="5">
        <v>45384</v>
      </c>
      <c r="F993" s="5">
        <v>45394</v>
      </c>
      <c r="G993" t="s">
        <v>109</v>
      </c>
      <c r="H993" t="s">
        <v>78</v>
      </c>
      <c r="I993" t="s">
        <v>33</v>
      </c>
      <c r="J993" t="s">
        <v>64</v>
      </c>
      <c r="K993" t="s">
        <v>55</v>
      </c>
      <c r="L993" s="6">
        <v>178955.28</v>
      </c>
      <c r="M993">
        <v>124619.34</v>
      </c>
      <c r="N993" t="s">
        <v>73</v>
      </c>
      <c r="O993">
        <v>10</v>
      </c>
      <c r="P993">
        <v>182</v>
      </c>
      <c r="Q993">
        <v>4</v>
      </c>
      <c r="R993">
        <v>186</v>
      </c>
      <c r="S993">
        <v>129.69999999999999</v>
      </c>
      <c r="T993" t="s">
        <v>37</v>
      </c>
      <c r="U993" s="7">
        <f t="shared" si="60"/>
        <v>51</v>
      </c>
      <c r="V993" s="7">
        <f t="shared" si="61"/>
        <v>10</v>
      </c>
      <c r="W993" s="6">
        <f t="shared" si="62"/>
        <v>54335.94</v>
      </c>
      <c r="X993" t="str">
        <f t="shared" si="63"/>
        <v>Middle Age</v>
      </c>
    </row>
    <row r="994" spans="1:24">
      <c r="A994" t="s">
        <v>2344</v>
      </c>
      <c r="B994" t="s">
        <v>980</v>
      </c>
      <c r="C994" t="s">
        <v>40</v>
      </c>
      <c r="D994" s="5">
        <v>33936</v>
      </c>
      <c r="E994" s="5">
        <v>45673</v>
      </c>
      <c r="F994" s="5" t="s">
        <v>4237</v>
      </c>
      <c r="G994" t="s">
        <v>62</v>
      </c>
      <c r="H994" t="s">
        <v>24</v>
      </c>
      <c r="I994" t="s">
        <v>25</v>
      </c>
      <c r="J994" t="s">
        <v>34</v>
      </c>
      <c r="K994" t="s">
        <v>120</v>
      </c>
      <c r="L994" s="6">
        <v>110365.06</v>
      </c>
      <c r="M994">
        <v>87607.59</v>
      </c>
      <c r="N994" t="s">
        <v>192</v>
      </c>
      <c r="O994">
        <v>14</v>
      </c>
      <c r="P994">
        <v>79</v>
      </c>
      <c r="Q994">
        <v>3</v>
      </c>
      <c r="R994">
        <v>97</v>
      </c>
      <c r="S994">
        <v>129.69999999999999</v>
      </c>
      <c r="T994" t="s">
        <v>37</v>
      </c>
      <c r="U994" s="7">
        <f t="shared" si="60"/>
        <v>32</v>
      </c>
      <c r="V994" s="7" t="s">
        <v>4237</v>
      </c>
      <c r="W994" s="6">
        <f t="shared" si="62"/>
        <v>22757.47</v>
      </c>
      <c r="X994" t="str">
        <f t="shared" si="63"/>
        <v>Adult</v>
      </c>
    </row>
    <row r="995" spans="1:24">
      <c r="A995" t="s">
        <v>2346</v>
      </c>
      <c r="B995" t="s">
        <v>587</v>
      </c>
      <c r="C995" t="s">
        <v>40</v>
      </c>
      <c r="D995" s="5">
        <v>19026</v>
      </c>
      <c r="E995" s="5">
        <v>45088</v>
      </c>
      <c r="F995" s="5">
        <v>45098</v>
      </c>
      <c r="G995" t="s">
        <v>43</v>
      </c>
      <c r="H995" t="s">
        <v>153</v>
      </c>
      <c r="I995" t="s">
        <v>33</v>
      </c>
      <c r="J995" t="s">
        <v>179</v>
      </c>
      <c r="K995" t="s">
        <v>55</v>
      </c>
      <c r="L995" s="6">
        <v>183838.19</v>
      </c>
      <c r="M995">
        <v>123203.92</v>
      </c>
      <c r="N995" t="s">
        <v>91</v>
      </c>
      <c r="O995">
        <v>10</v>
      </c>
      <c r="P995">
        <v>217</v>
      </c>
      <c r="Q995">
        <v>4</v>
      </c>
      <c r="R995">
        <v>157</v>
      </c>
      <c r="S995">
        <v>165.2</v>
      </c>
      <c r="T995" t="s">
        <v>37</v>
      </c>
      <c r="U995" s="7">
        <f t="shared" si="60"/>
        <v>71</v>
      </c>
      <c r="V995" s="7">
        <f t="shared" si="61"/>
        <v>10</v>
      </c>
      <c r="W995" s="6">
        <f t="shared" si="62"/>
        <v>60634.270000000004</v>
      </c>
      <c r="X995" t="str">
        <f t="shared" si="63"/>
        <v>Senior</v>
      </c>
    </row>
    <row r="996" spans="1:24">
      <c r="A996" t="s">
        <v>2349</v>
      </c>
      <c r="B996" t="s">
        <v>541</v>
      </c>
      <c r="C996" t="s">
        <v>40</v>
      </c>
      <c r="D996" s="5" t="s">
        <v>4237</v>
      </c>
      <c r="E996" s="5">
        <v>45650</v>
      </c>
      <c r="F996" s="5">
        <v>45664</v>
      </c>
      <c r="G996" t="s">
        <v>152</v>
      </c>
      <c r="H996" t="s">
        <v>63</v>
      </c>
      <c r="I996" t="s">
        <v>25</v>
      </c>
      <c r="J996" t="s">
        <v>64</v>
      </c>
      <c r="K996" t="s">
        <v>55</v>
      </c>
      <c r="L996" s="6">
        <v>96997.84</v>
      </c>
      <c r="M996">
        <v>85478.61</v>
      </c>
      <c r="N996" t="s">
        <v>35</v>
      </c>
      <c r="O996">
        <v>14</v>
      </c>
      <c r="P996">
        <v>142</v>
      </c>
      <c r="Q996">
        <v>3</v>
      </c>
      <c r="R996">
        <v>138</v>
      </c>
      <c r="S996">
        <v>160.9</v>
      </c>
      <c r="T996" t="s">
        <v>37</v>
      </c>
      <c r="U996" s="7" t="s">
        <v>4237</v>
      </c>
      <c r="V996" s="7">
        <f t="shared" si="61"/>
        <v>14</v>
      </c>
      <c r="W996" s="6">
        <f t="shared" si="62"/>
        <v>11519.229999999996</v>
      </c>
      <c r="X996" t="s">
        <v>4237</v>
      </c>
    </row>
    <row r="997" spans="1:24">
      <c r="A997" t="s">
        <v>2351</v>
      </c>
      <c r="B997" t="s">
        <v>1667</v>
      </c>
      <c r="C997" t="s">
        <v>40</v>
      </c>
      <c r="D997" s="5">
        <v>28957</v>
      </c>
      <c r="E997" s="5">
        <v>45935</v>
      </c>
      <c r="F997" s="5" t="s">
        <v>4237</v>
      </c>
      <c r="G997" t="s">
        <v>89</v>
      </c>
      <c r="H997" t="s">
        <v>86</v>
      </c>
      <c r="I997" t="s">
        <v>25</v>
      </c>
      <c r="J997" t="s">
        <v>64</v>
      </c>
      <c r="K997" t="s">
        <v>120</v>
      </c>
      <c r="L997" s="6">
        <v>57431.41</v>
      </c>
      <c r="M997">
        <v>48072.57</v>
      </c>
      <c r="N997" t="s">
        <v>73</v>
      </c>
      <c r="O997">
        <v>10</v>
      </c>
      <c r="P997">
        <v>231</v>
      </c>
      <c r="Q997">
        <v>4</v>
      </c>
      <c r="R997">
        <v>187</v>
      </c>
      <c r="S997">
        <v>183.7</v>
      </c>
      <c r="T997" t="s">
        <v>4237</v>
      </c>
      <c r="U997" s="7">
        <f t="shared" si="60"/>
        <v>46</v>
      </c>
      <c r="V997" s="7" t="s">
        <v>4237</v>
      </c>
      <c r="W997" s="6">
        <f t="shared" si="62"/>
        <v>9358.8400000000038</v>
      </c>
      <c r="X997" t="str">
        <f t="shared" si="63"/>
        <v>Middle Age</v>
      </c>
    </row>
    <row r="998" spans="1:24">
      <c r="A998" t="s">
        <v>2355</v>
      </c>
      <c r="B998" t="s">
        <v>444</v>
      </c>
      <c r="C998" t="s">
        <v>133</v>
      </c>
      <c r="D998" s="5">
        <v>30299</v>
      </c>
      <c r="E998" s="5">
        <v>45847</v>
      </c>
      <c r="F998" s="5" t="s">
        <v>4237</v>
      </c>
      <c r="G998" t="s">
        <v>89</v>
      </c>
      <c r="H998" t="s">
        <v>63</v>
      </c>
      <c r="I998" t="s">
        <v>33</v>
      </c>
      <c r="J998" t="s">
        <v>26</v>
      </c>
      <c r="K998" t="s">
        <v>27</v>
      </c>
      <c r="L998" s="6">
        <v>23290.27</v>
      </c>
      <c r="M998">
        <v>18778.88</v>
      </c>
      <c r="N998" t="s">
        <v>192</v>
      </c>
      <c r="O998">
        <v>12</v>
      </c>
      <c r="P998">
        <v>16</v>
      </c>
      <c r="Q998">
        <v>5</v>
      </c>
      <c r="R998">
        <v>141</v>
      </c>
      <c r="S998">
        <v>185.4</v>
      </c>
      <c r="T998" t="s">
        <v>65</v>
      </c>
      <c r="U998" s="7">
        <f t="shared" si="60"/>
        <v>42</v>
      </c>
      <c r="V998" s="7" t="s">
        <v>4237</v>
      </c>
      <c r="W998" s="6">
        <f t="shared" si="62"/>
        <v>4511.3899999999994</v>
      </c>
      <c r="X998" t="str">
        <f t="shared" si="63"/>
        <v>Middle Age</v>
      </c>
    </row>
    <row r="999" spans="1:24">
      <c r="A999" t="s">
        <v>2356</v>
      </c>
      <c r="B999" t="s">
        <v>926</v>
      </c>
      <c r="C999" t="s">
        <v>40</v>
      </c>
      <c r="D999" s="5">
        <v>30481</v>
      </c>
      <c r="E999" s="5">
        <v>45605</v>
      </c>
      <c r="F999" s="5">
        <v>45612</v>
      </c>
      <c r="G999" t="s">
        <v>77</v>
      </c>
      <c r="H999" t="s">
        <v>153</v>
      </c>
      <c r="I999" t="s">
        <v>33</v>
      </c>
      <c r="J999" t="s">
        <v>34</v>
      </c>
      <c r="K999" t="s">
        <v>110</v>
      </c>
      <c r="L999" s="6">
        <v>199163.97</v>
      </c>
      <c r="M999">
        <v>179865.39</v>
      </c>
      <c r="N999" t="s">
        <v>73</v>
      </c>
      <c r="O999">
        <v>7</v>
      </c>
      <c r="P999">
        <v>30</v>
      </c>
      <c r="Q999">
        <v>4</v>
      </c>
      <c r="R999">
        <v>153</v>
      </c>
      <c r="S999">
        <v>200.6</v>
      </c>
      <c r="T999" t="s">
        <v>37</v>
      </c>
      <c r="U999" s="7">
        <f t="shared" si="60"/>
        <v>41</v>
      </c>
      <c r="V999" s="7">
        <f t="shared" si="61"/>
        <v>7</v>
      </c>
      <c r="W999" s="6">
        <f t="shared" si="62"/>
        <v>19298.579999999987</v>
      </c>
      <c r="X999" t="str">
        <f t="shared" si="63"/>
        <v>Middle Age</v>
      </c>
    </row>
    <row r="1000" spans="1:24">
      <c r="A1000" t="s">
        <v>2357</v>
      </c>
      <c r="B1000" t="s">
        <v>1026</v>
      </c>
      <c r="C1000" t="s">
        <v>133</v>
      </c>
      <c r="D1000" s="5">
        <v>26085</v>
      </c>
      <c r="E1000" s="5">
        <v>45045</v>
      </c>
      <c r="F1000" s="5">
        <v>45056</v>
      </c>
      <c r="G1000" t="s">
        <v>152</v>
      </c>
      <c r="H1000" t="s">
        <v>95</v>
      </c>
      <c r="I1000" t="s">
        <v>25</v>
      </c>
      <c r="J1000" t="s">
        <v>64</v>
      </c>
      <c r="K1000" t="s">
        <v>110</v>
      </c>
      <c r="L1000" s="6">
        <v>147571.92000000001</v>
      </c>
      <c r="M1000">
        <v>126556.41</v>
      </c>
      <c r="N1000" t="s">
        <v>4237</v>
      </c>
      <c r="O1000">
        <v>11</v>
      </c>
      <c r="P1000">
        <v>150</v>
      </c>
      <c r="Q1000">
        <v>4</v>
      </c>
      <c r="R1000">
        <v>141</v>
      </c>
      <c r="S1000">
        <v>189.9</v>
      </c>
      <c r="T1000" t="s">
        <v>47</v>
      </c>
      <c r="U1000" s="7">
        <f t="shared" si="60"/>
        <v>51</v>
      </c>
      <c r="V1000" s="7">
        <f t="shared" si="61"/>
        <v>11</v>
      </c>
      <c r="W1000" s="6">
        <f t="shared" si="62"/>
        <v>21015.510000000009</v>
      </c>
      <c r="X1000" t="str">
        <f t="shared" si="63"/>
        <v>Middle Age</v>
      </c>
    </row>
    <row r="1001" spans="1:24">
      <c r="A1001" t="s">
        <v>2359</v>
      </c>
      <c r="B1001" t="s">
        <v>517</v>
      </c>
      <c r="C1001" t="s">
        <v>40</v>
      </c>
      <c r="D1001" s="5">
        <v>24939</v>
      </c>
      <c r="E1001" s="5">
        <v>45249</v>
      </c>
      <c r="F1001" s="5">
        <v>45259</v>
      </c>
      <c r="G1001" t="s">
        <v>94</v>
      </c>
      <c r="H1001" t="s">
        <v>24</v>
      </c>
      <c r="I1001" t="s">
        <v>33</v>
      </c>
      <c r="J1001" t="s">
        <v>71</v>
      </c>
      <c r="K1001" t="s">
        <v>110</v>
      </c>
      <c r="L1001" s="6">
        <v>28823.26</v>
      </c>
      <c r="M1001">
        <v>22566.49</v>
      </c>
      <c r="N1001" t="s">
        <v>192</v>
      </c>
      <c r="O1001">
        <v>10</v>
      </c>
      <c r="P1001">
        <v>169</v>
      </c>
      <c r="Q1001">
        <v>4</v>
      </c>
      <c r="R1001">
        <v>130</v>
      </c>
      <c r="S1001">
        <v>258.2</v>
      </c>
      <c r="T1001" t="s">
        <v>37</v>
      </c>
      <c r="U1001" s="7">
        <f t="shared" si="60"/>
        <v>55</v>
      </c>
      <c r="V1001" s="7">
        <f t="shared" si="61"/>
        <v>10</v>
      </c>
      <c r="W1001" s="6">
        <f t="shared" si="62"/>
        <v>6256.7699999999968</v>
      </c>
      <c r="X1001" t="str">
        <f t="shared" si="63"/>
        <v>Middle Age</v>
      </c>
    </row>
    <row r="1002" spans="1:24">
      <c r="A1002" t="s">
        <v>2361</v>
      </c>
      <c r="B1002" t="s">
        <v>1276</v>
      </c>
      <c r="C1002" t="s">
        <v>133</v>
      </c>
      <c r="D1002" s="5">
        <v>21983</v>
      </c>
      <c r="E1002" s="5">
        <v>45003</v>
      </c>
      <c r="F1002" s="5">
        <v>45008</v>
      </c>
      <c r="G1002" t="s">
        <v>109</v>
      </c>
      <c r="H1002" t="s">
        <v>24</v>
      </c>
      <c r="I1002" t="s">
        <v>119</v>
      </c>
      <c r="J1002" t="s">
        <v>34</v>
      </c>
      <c r="K1002" t="s">
        <v>161</v>
      </c>
      <c r="L1002" s="6">
        <v>186530.62</v>
      </c>
      <c r="M1002">
        <v>169395.53</v>
      </c>
      <c r="N1002" t="s">
        <v>35</v>
      </c>
      <c r="O1002">
        <v>5</v>
      </c>
      <c r="P1002">
        <v>31</v>
      </c>
      <c r="Q1002">
        <v>3</v>
      </c>
      <c r="R1002">
        <v>136</v>
      </c>
      <c r="S1002">
        <v>85</v>
      </c>
      <c r="T1002" t="s">
        <v>65</v>
      </c>
      <c r="U1002" s="7">
        <f t="shared" si="60"/>
        <v>63</v>
      </c>
      <c r="V1002" s="7">
        <f t="shared" si="61"/>
        <v>5</v>
      </c>
      <c r="W1002" s="6">
        <f t="shared" si="62"/>
        <v>17135.089999999997</v>
      </c>
      <c r="X1002" t="str">
        <f t="shared" si="63"/>
        <v>Senior</v>
      </c>
    </row>
    <row r="1003" spans="1:24">
      <c r="A1003" t="s">
        <v>2362</v>
      </c>
      <c r="B1003" t="s">
        <v>1140</v>
      </c>
      <c r="C1003" t="s">
        <v>40</v>
      </c>
      <c r="D1003" s="5">
        <v>38171</v>
      </c>
      <c r="E1003" s="5">
        <v>45187</v>
      </c>
      <c r="F1003" s="5">
        <v>45203</v>
      </c>
      <c r="G1003" t="s">
        <v>109</v>
      </c>
      <c r="H1003" t="s">
        <v>78</v>
      </c>
      <c r="I1003" t="s">
        <v>96</v>
      </c>
      <c r="J1003" t="s">
        <v>34</v>
      </c>
      <c r="K1003" t="s">
        <v>55</v>
      </c>
      <c r="L1003" s="6">
        <v>159634.19</v>
      </c>
      <c r="M1003">
        <v>139697.63</v>
      </c>
      <c r="N1003" t="s">
        <v>4237</v>
      </c>
      <c r="O1003">
        <v>16</v>
      </c>
      <c r="P1003">
        <v>121</v>
      </c>
      <c r="Q1003">
        <v>4</v>
      </c>
      <c r="R1003">
        <v>143</v>
      </c>
      <c r="S1003">
        <v>85.8</v>
      </c>
      <c r="T1003" t="s">
        <v>47</v>
      </c>
      <c r="U1003" s="7">
        <f t="shared" si="60"/>
        <v>19</v>
      </c>
      <c r="V1003" s="7">
        <f t="shared" si="61"/>
        <v>16</v>
      </c>
      <c r="W1003" s="6">
        <f t="shared" si="62"/>
        <v>19936.559999999998</v>
      </c>
      <c r="X1003" t="str">
        <f t="shared" si="63"/>
        <v>Adult</v>
      </c>
    </row>
    <row r="1004" spans="1:24">
      <c r="A1004" t="s">
        <v>2364</v>
      </c>
      <c r="B1004" t="s">
        <v>301</v>
      </c>
      <c r="C1004" t="s">
        <v>133</v>
      </c>
      <c r="D1004" s="5" t="s">
        <v>4237</v>
      </c>
      <c r="E1004" s="5">
        <v>45731</v>
      </c>
      <c r="F1004" s="5">
        <v>45738</v>
      </c>
      <c r="G1004" t="s">
        <v>94</v>
      </c>
      <c r="H1004" t="s">
        <v>4236</v>
      </c>
      <c r="I1004" t="s">
        <v>33</v>
      </c>
      <c r="J1004" t="s">
        <v>80</v>
      </c>
      <c r="K1004" t="s">
        <v>55</v>
      </c>
      <c r="L1004" s="6">
        <v>116850.84</v>
      </c>
      <c r="M1004">
        <v>94660.56</v>
      </c>
      <c r="N1004" t="s">
        <v>192</v>
      </c>
      <c r="O1004">
        <v>7</v>
      </c>
      <c r="P1004">
        <v>62</v>
      </c>
      <c r="Q1004">
        <v>2</v>
      </c>
      <c r="R1004">
        <v>141</v>
      </c>
      <c r="S1004">
        <v>243.5</v>
      </c>
      <c r="T1004" t="s">
        <v>37</v>
      </c>
      <c r="U1004" s="7" t="s">
        <v>4237</v>
      </c>
      <c r="V1004" s="7">
        <f t="shared" si="61"/>
        <v>7</v>
      </c>
      <c r="W1004" s="6">
        <f t="shared" si="62"/>
        <v>22190.28</v>
      </c>
      <c r="X1004" t="s">
        <v>4237</v>
      </c>
    </row>
    <row r="1005" spans="1:24">
      <c r="A1005" t="s">
        <v>2367</v>
      </c>
      <c r="B1005" t="s">
        <v>1839</v>
      </c>
      <c r="C1005" t="s">
        <v>133</v>
      </c>
      <c r="D1005" s="5">
        <v>28914</v>
      </c>
      <c r="E1005" s="5">
        <v>45953</v>
      </c>
      <c r="F1005" s="5">
        <v>45957</v>
      </c>
      <c r="G1005" t="s">
        <v>94</v>
      </c>
      <c r="H1005" t="s">
        <v>118</v>
      </c>
      <c r="I1005" t="s">
        <v>53</v>
      </c>
      <c r="J1005" t="s">
        <v>46</v>
      </c>
      <c r="K1005" t="s">
        <v>161</v>
      </c>
      <c r="L1005" s="6">
        <v>212132.23</v>
      </c>
      <c r="M1005">
        <v>198890.45</v>
      </c>
      <c r="N1005" t="s">
        <v>91</v>
      </c>
      <c r="O1005">
        <v>4</v>
      </c>
      <c r="P1005">
        <v>178</v>
      </c>
      <c r="Q1005">
        <v>3</v>
      </c>
      <c r="R1005">
        <v>128</v>
      </c>
      <c r="S1005">
        <v>208</v>
      </c>
      <c r="T1005" t="s">
        <v>37</v>
      </c>
      <c r="U1005" s="7">
        <f t="shared" si="60"/>
        <v>46</v>
      </c>
      <c r="V1005" s="7">
        <f t="shared" si="61"/>
        <v>4</v>
      </c>
      <c r="W1005" s="6">
        <f t="shared" si="62"/>
        <v>13241.779999999999</v>
      </c>
      <c r="X1005" t="str">
        <f t="shared" si="63"/>
        <v>Middle Age</v>
      </c>
    </row>
    <row r="1006" spans="1:24">
      <c r="A1006" t="s">
        <v>2368</v>
      </c>
      <c r="B1006" t="s">
        <v>1452</v>
      </c>
      <c r="C1006" t="s">
        <v>40</v>
      </c>
      <c r="D1006" s="5">
        <v>25214</v>
      </c>
      <c r="E1006" s="5">
        <v>45102</v>
      </c>
      <c r="F1006" s="5">
        <v>45110</v>
      </c>
      <c r="G1006" t="s">
        <v>152</v>
      </c>
      <c r="H1006" t="s">
        <v>52</v>
      </c>
      <c r="I1006" t="s">
        <v>33</v>
      </c>
      <c r="J1006" t="s">
        <v>64</v>
      </c>
      <c r="K1006" t="s">
        <v>55</v>
      </c>
      <c r="L1006" s="6">
        <v>167957.82</v>
      </c>
      <c r="M1006">
        <v>133282.21</v>
      </c>
      <c r="N1006" t="s">
        <v>56</v>
      </c>
      <c r="O1006">
        <v>8</v>
      </c>
      <c r="P1006">
        <v>14</v>
      </c>
      <c r="Q1006">
        <v>4</v>
      </c>
      <c r="R1006">
        <v>136</v>
      </c>
      <c r="S1006">
        <v>163.5</v>
      </c>
      <c r="T1006" t="s">
        <v>37</v>
      </c>
      <c r="U1006" s="7">
        <f t="shared" si="60"/>
        <v>54</v>
      </c>
      <c r="V1006" s="7">
        <f t="shared" si="61"/>
        <v>8</v>
      </c>
      <c r="W1006" s="6">
        <f t="shared" si="62"/>
        <v>34675.610000000015</v>
      </c>
      <c r="X1006" t="str">
        <f t="shared" si="63"/>
        <v>Middle Age</v>
      </c>
    </row>
    <row r="1007" spans="1:24">
      <c r="A1007" t="s">
        <v>2369</v>
      </c>
      <c r="B1007" t="s">
        <v>1079</v>
      </c>
      <c r="C1007" t="s">
        <v>133</v>
      </c>
      <c r="D1007" s="5">
        <v>24639</v>
      </c>
      <c r="E1007" s="5">
        <v>45183</v>
      </c>
      <c r="F1007" s="5">
        <v>45188</v>
      </c>
      <c r="G1007" t="s">
        <v>152</v>
      </c>
      <c r="H1007" t="s">
        <v>32</v>
      </c>
      <c r="I1007" t="s">
        <v>96</v>
      </c>
      <c r="J1007" t="s">
        <v>179</v>
      </c>
      <c r="K1007" t="s">
        <v>55</v>
      </c>
      <c r="L1007" s="6">
        <v>115111</v>
      </c>
      <c r="M1007">
        <v>81521.2</v>
      </c>
      <c r="N1007" t="s">
        <v>35</v>
      </c>
      <c r="O1007">
        <v>5</v>
      </c>
      <c r="P1007">
        <v>59</v>
      </c>
      <c r="Q1007">
        <v>4</v>
      </c>
      <c r="R1007">
        <v>123</v>
      </c>
      <c r="S1007">
        <v>119.1</v>
      </c>
      <c r="T1007" t="s">
        <v>4237</v>
      </c>
      <c r="U1007" s="7">
        <f t="shared" si="60"/>
        <v>56</v>
      </c>
      <c r="V1007" s="7">
        <f t="shared" si="61"/>
        <v>5</v>
      </c>
      <c r="W1007" s="6">
        <f t="shared" si="62"/>
        <v>33589.800000000003</v>
      </c>
      <c r="X1007" t="str">
        <f t="shared" si="63"/>
        <v>Middle Age</v>
      </c>
    </row>
    <row r="1008" spans="1:24">
      <c r="A1008" t="s">
        <v>2372</v>
      </c>
      <c r="B1008" t="s">
        <v>164</v>
      </c>
      <c r="C1008" t="s">
        <v>40</v>
      </c>
      <c r="D1008" s="5">
        <v>18445</v>
      </c>
      <c r="E1008" s="5">
        <v>45386</v>
      </c>
      <c r="F1008" s="5">
        <v>45392</v>
      </c>
      <c r="G1008" t="s">
        <v>94</v>
      </c>
      <c r="H1008" t="s">
        <v>32</v>
      </c>
      <c r="I1008" t="s">
        <v>119</v>
      </c>
      <c r="J1008" t="s">
        <v>64</v>
      </c>
      <c r="K1008" t="s">
        <v>120</v>
      </c>
      <c r="L1008" s="6">
        <v>235225.03</v>
      </c>
      <c r="M1008">
        <v>178701.74</v>
      </c>
      <c r="N1008" t="s">
        <v>91</v>
      </c>
      <c r="O1008">
        <v>6</v>
      </c>
      <c r="P1008">
        <v>16</v>
      </c>
      <c r="Q1008">
        <v>5</v>
      </c>
      <c r="R1008">
        <v>152</v>
      </c>
      <c r="S1008">
        <v>245.8</v>
      </c>
      <c r="T1008" t="s">
        <v>37</v>
      </c>
      <c r="U1008" s="7">
        <f t="shared" si="60"/>
        <v>73</v>
      </c>
      <c r="V1008" s="7">
        <f t="shared" si="61"/>
        <v>6</v>
      </c>
      <c r="W1008" s="6">
        <f t="shared" si="62"/>
        <v>56523.290000000008</v>
      </c>
      <c r="X1008" t="str">
        <f t="shared" si="63"/>
        <v>Senior</v>
      </c>
    </row>
    <row r="1009" spans="1:24">
      <c r="A1009" t="s">
        <v>2374</v>
      </c>
      <c r="B1009" t="s">
        <v>1276</v>
      </c>
      <c r="C1009" t="s">
        <v>40</v>
      </c>
      <c r="D1009" s="5">
        <v>39934</v>
      </c>
      <c r="E1009" s="5">
        <v>45052</v>
      </c>
      <c r="F1009" s="5">
        <v>45061</v>
      </c>
      <c r="G1009" t="s">
        <v>89</v>
      </c>
      <c r="H1009" t="s">
        <v>134</v>
      </c>
      <c r="I1009" t="s">
        <v>33</v>
      </c>
      <c r="J1009" t="s">
        <v>64</v>
      </c>
      <c r="K1009" t="s">
        <v>55</v>
      </c>
      <c r="L1009" s="6">
        <v>76827.62</v>
      </c>
      <c r="M1009">
        <v>56254.27</v>
      </c>
      <c r="N1009" t="s">
        <v>73</v>
      </c>
      <c r="O1009">
        <v>9</v>
      </c>
      <c r="P1009">
        <v>167</v>
      </c>
      <c r="Q1009">
        <v>4</v>
      </c>
      <c r="R1009">
        <v>165</v>
      </c>
      <c r="S1009">
        <v>121.6</v>
      </c>
      <c r="T1009" t="s">
        <v>65</v>
      </c>
      <c r="U1009" s="7">
        <f t="shared" si="60"/>
        <v>14</v>
      </c>
      <c r="V1009" s="7">
        <f t="shared" si="61"/>
        <v>9</v>
      </c>
      <c r="W1009" s="6">
        <f t="shared" si="62"/>
        <v>20573.349999999999</v>
      </c>
      <c r="X1009" t="str">
        <f t="shared" si="63"/>
        <v>Child</v>
      </c>
    </row>
    <row r="1010" spans="1:24">
      <c r="A1010" t="s">
        <v>4158</v>
      </c>
      <c r="B1010" t="s">
        <v>611</v>
      </c>
      <c r="C1010" t="s">
        <v>40</v>
      </c>
      <c r="D1010" s="5">
        <v>33461</v>
      </c>
      <c r="E1010" s="5">
        <v>45561</v>
      </c>
      <c r="F1010" s="5">
        <v>45568</v>
      </c>
      <c r="G1010" t="s">
        <v>117</v>
      </c>
      <c r="H1010" t="s">
        <v>24</v>
      </c>
      <c r="I1010" t="s">
        <v>33</v>
      </c>
      <c r="J1010" t="s">
        <v>64</v>
      </c>
      <c r="K1010" t="s">
        <v>110</v>
      </c>
      <c r="L1010" s="6">
        <v>28057.7</v>
      </c>
      <c r="M1010">
        <v>23363.78</v>
      </c>
      <c r="N1010" t="s">
        <v>35</v>
      </c>
      <c r="O1010">
        <v>7</v>
      </c>
      <c r="P1010">
        <v>151</v>
      </c>
      <c r="Q1010">
        <v>4</v>
      </c>
      <c r="R1010">
        <v>96</v>
      </c>
      <c r="S1010">
        <v>258.60000000000002</v>
      </c>
      <c r="T1010" t="s">
        <v>65</v>
      </c>
      <c r="U1010" s="7">
        <f t="shared" si="60"/>
        <v>33</v>
      </c>
      <c r="V1010" s="7">
        <f t="shared" si="61"/>
        <v>7</v>
      </c>
      <c r="W1010" s="6">
        <f t="shared" si="62"/>
        <v>4693.9200000000019</v>
      </c>
      <c r="X1010" t="str">
        <f t="shared" si="63"/>
        <v>Adult</v>
      </c>
    </row>
    <row r="1011" spans="1:24">
      <c r="A1011" t="s">
        <v>2377</v>
      </c>
      <c r="B1011" t="s">
        <v>1598</v>
      </c>
      <c r="C1011" t="s">
        <v>40</v>
      </c>
      <c r="D1011" s="5">
        <v>25526</v>
      </c>
      <c r="E1011" s="5">
        <v>45760</v>
      </c>
      <c r="F1011" s="5">
        <v>45771</v>
      </c>
      <c r="G1011" t="s">
        <v>62</v>
      </c>
      <c r="H1011" t="s">
        <v>86</v>
      </c>
      <c r="I1011" t="s">
        <v>33</v>
      </c>
      <c r="J1011" t="s">
        <v>34</v>
      </c>
      <c r="K1011" t="s">
        <v>161</v>
      </c>
      <c r="L1011" s="6">
        <v>194598.34</v>
      </c>
      <c r="M1011">
        <v>184005</v>
      </c>
      <c r="N1011" t="s">
        <v>35</v>
      </c>
      <c r="O1011">
        <v>11</v>
      </c>
      <c r="P1011">
        <v>191</v>
      </c>
      <c r="Q1011">
        <v>4</v>
      </c>
      <c r="R1011">
        <v>136</v>
      </c>
      <c r="S1011">
        <v>116.3</v>
      </c>
      <c r="T1011" t="s">
        <v>37</v>
      </c>
      <c r="U1011" s="7">
        <f t="shared" si="60"/>
        <v>55</v>
      </c>
      <c r="V1011" s="7">
        <f t="shared" si="61"/>
        <v>11</v>
      </c>
      <c r="W1011" s="6">
        <f t="shared" si="62"/>
        <v>10593.339999999997</v>
      </c>
      <c r="X1011" t="str">
        <f t="shared" si="63"/>
        <v>Middle Age</v>
      </c>
    </row>
    <row r="1012" spans="1:24">
      <c r="A1012" t="s">
        <v>2378</v>
      </c>
      <c r="B1012" t="s">
        <v>1678</v>
      </c>
      <c r="C1012" t="s">
        <v>40</v>
      </c>
      <c r="D1012" s="5">
        <v>23788</v>
      </c>
      <c r="E1012" s="5">
        <v>45370</v>
      </c>
      <c r="F1012" s="5" t="s">
        <v>4237</v>
      </c>
      <c r="G1012" t="s">
        <v>161</v>
      </c>
      <c r="H1012" t="s">
        <v>124</v>
      </c>
      <c r="I1012" t="s">
        <v>96</v>
      </c>
      <c r="J1012" t="s">
        <v>64</v>
      </c>
      <c r="K1012" t="s">
        <v>120</v>
      </c>
      <c r="L1012" s="6">
        <v>125089.21</v>
      </c>
      <c r="M1012">
        <v>79284.08</v>
      </c>
      <c r="N1012" t="s">
        <v>192</v>
      </c>
      <c r="O1012">
        <v>10</v>
      </c>
      <c r="P1012">
        <v>240</v>
      </c>
      <c r="Q1012">
        <v>4</v>
      </c>
      <c r="R1012">
        <v>185</v>
      </c>
      <c r="S1012">
        <v>224.2</v>
      </c>
      <c r="T1012" t="s">
        <v>65</v>
      </c>
      <c r="U1012" s="7">
        <f t="shared" si="60"/>
        <v>59</v>
      </c>
      <c r="V1012" s="7" t="s">
        <v>4237</v>
      </c>
      <c r="W1012" s="6">
        <f t="shared" si="62"/>
        <v>45805.130000000005</v>
      </c>
      <c r="X1012" t="str">
        <f t="shared" si="63"/>
        <v>Middle Age</v>
      </c>
    </row>
    <row r="1013" spans="1:24">
      <c r="A1013" t="s">
        <v>2380</v>
      </c>
      <c r="B1013" t="s">
        <v>553</v>
      </c>
      <c r="C1013" t="s">
        <v>40</v>
      </c>
      <c r="D1013" s="5">
        <v>22702</v>
      </c>
      <c r="E1013" s="5">
        <v>45913</v>
      </c>
      <c r="F1013" s="5">
        <v>45926</v>
      </c>
      <c r="G1013" t="s">
        <v>152</v>
      </c>
      <c r="H1013" t="s">
        <v>134</v>
      </c>
      <c r="I1013" t="s">
        <v>25</v>
      </c>
      <c r="J1013" t="s">
        <v>46</v>
      </c>
      <c r="K1013" t="s">
        <v>120</v>
      </c>
      <c r="L1013" s="6">
        <v>92549.79</v>
      </c>
      <c r="M1013">
        <v>57457.07</v>
      </c>
      <c r="N1013" t="s">
        <v>73</v>
      </c>
      <c r="O1013">
        <v>13</v>
      </c>
      <c r="P1013">
        <v>228</v>
      </c>
      <c r="Q1013">
        <v>4</v>
      </c>
      <c r="R1013">
        <v>130</v>
      </c>
      <c r="S1013">
        <v>157.9</v>
      </c>
      <c r="T1013" t="s">
        <v>47</v>
      </c>
      <c r="U1013" s="7">
        <f t="shared" si="60"/>
        <v>63</v>
      </c>
      <c r="V1013" s="7">
        <f t="shared" si="61"/>
        <v>13</v>
      </c>
      <c r="W1013" s="6">
        <f t="shared" si="62"/>
        <v>35092.719999999994</v>
      </c>
      <c r="X1013" t="str">
        <f t="shared" si="63"/>
        <v>Senior</v>
      </c>
    </row>
    <row r="1014" spans="1:24">
      <c r="A1014" t="s">
        <v>2382</v>
      </c>
      <c r="B1014" t="s">
        <v>922</v>
      </c>
      <c r="C1014" t="s">
        <v>40</v>
      </c>
      <c r="D1014" s="5">
        <v>31036</v>
      </c>
      <c r="E1014" s="5">
        <v>45844</v>
      </c>
      <c r="F1014" s="5">
        <v>45845</v>
      </c>
      <c r="G1014" t="s">
        <v>109</v>
      </c>
      <c r="H1014" t="s">
        <v>113</v>
      </c>
      <c r="I1014" t="s">
        <v>119</v>
      </c>
      <c r="J1014" t="s">
        <v>46</v>
      </c>
      <c r="K1014" t="s">
        <v>55</v>
      </c>
      <c r="L1014" s="6">
        <v>122784.41</v>
      </c>
      <c r="M1014">
        <v>108024.49</v>
      </c>
      <c r="N1014" t="s">
        <v>73</v>
      </c>
      <c r="O1014">
        <v>1</v>
      </c>
      <c r="P1014">
        <v>65</v>
      </c>
      <c r="Q1014">
        <v>5</v>
      </c>
      <c r="R1014">
        <v>174</v>
      </c>
      <c r="S1014">
        <v>95.1</v>
      </c>
      <c r="T1014" t="s">
        <v>4237</v>
      </c>
      <c r="U1014" s="7">
        <f t="shared" si="60"/>
        <v>40</v>
      </c>
      <c r="V1014" s="7">
        <f t="shared" si="61"/>
        <v>1</v>
      </c>
      <c r="W1014" s="6">
        <f t="shared" si="62"/>
        <v>14759.919999999998</v>
      </c>
      <c r="X1014" t="str">
        <f t="shared" si="63"/>
        <v>Middle Age</v>
      </c>
    </row>
    <row r="1015" spans="1:24">
      <c r="A1015" t="s">
        <v>2384</v>
      </c>
      <c r="B1015" t="s">
        <v>270</v>
      </c>
      <c r="C1015" t="s">
        <v>133</v>
      </c>
      <c r="D1015" s="5">
        <v>18285</v>
      </c>
      <c r="E1015" s="5">
        <v>45091</v>
      </c>
      <c r="F1015" s="5">
        <v>45095</v>
      </c>
      <c r="G1015" t="s">
        <v>161</v>
      </c>
      <c r="H1015" t="s">
        <v>24</v>
      </c>
      <c r="I1015" t="s">
        <v>33</v>
      </c>
      <c r="J1015" t="s">
        <v>64</v>
      </c>
      <c r="K1015" t="s">
        <v>110</v>
      </c>
      <c r="L1015" s="6">
        <v>107472.77</v>
      </c>
      <c r="M1015">
        <v>73626.13</v>
      </c>
      <c r="N1015" t="s">
        <v>73</v>
      </c>
      <c r="O1015">
        <v>4</v>
      </c>
      <c r="P1015">
        <v>154</v>
      </c>
      <c r="Q1015">
        <v>4</v>
      </c>
      <c r="R1015">
        <v>114</v>
      </c>
      <c r="S1015">
        <v>176.8</v>
      </c>
      <c r="T1015" t="s">
        <v>65</v>
      </c>
      <c r="U1015" s="7">
        <f t="shared" si="60"/>
        <v>73</v>
      </c>
      <c r="V1015" s="7">
        <f t="shared" si="61"/>
        <v>4</v>
      </c>
      <c r="W1015" s="6">
        <f t="shared" si="62"/>
        <v>33846.639999999999</v>
      </c>
      <c r="X1015" t="str">
        <f t="shared" si="63"/>
        <v>Senior</v>
      </c>
    </row>
    <row r="1016" spans="1:24">
      <c r="A1016" t="s">
        <v>2385</v>
      </c>
      <c r="B1016" t="s">
        <v>1587</v>
      </c>
      <c r="C1016" t="s">
        <v>40</v>
      </c>
      <c r="D1016" s="5">
        <v>32533</v>
      </c>
      <c r="E1016" s="5">
        <v>45756</v>
      </c>
      <c r="F1016" s="5">
        <v>45772</v>
      </c>
      <c r="G1016" t="s">
        <v>152</v>
      </c>
      <c r="H1016" t="s">
        <v>86</v>
      </c>
      <c r="I1016" t="s">
        <v>33</v>
      </c>
      <c r="J1016" t="s">
        <v>179</v>
      </c>
      <c r="K1016" t="s">
        <v>120</v>
      </c>
      <c r="L1016" s="6">
        <v>67764.78</v>
      </c>
      <c r="M1016">
        <v>58194.2</v>
      </c>
      <c r="N1016" t="s">
        <v>73</v>
      </c>
      <c r="O1016">
        <v>16</v>
      </c>
      <c r="P1016">
        <v>131</v>
      </c>
      <c r="Q1016">
        <v>4</v>
      </c>
      <c r="R1016">
        <v>170</v>
      </c>
      <c r="S1016">
        <v>116.6</v>
      </c>
      <c r="T1016" t="s">
        <v>37</v>
      </c>
      <c r="U1016" s="7">
        <f t="shared" si="60"/>
        <v>36</v>
      </c>
      <c r="V1016" s="7">
        <f t="shared" si="61"/>
        <v>16</v>
      </c>
      <c r="W1016" s="6">
        <f t="shared" si="62"/>
        <v>9570.5800000000017</v>
      </c>
      <c r="X1016" t="str">
        <f t="shared" si="63"/>
        <v>Adult</v>
      </c>
    </row>
    <row r="1017" spans="1:24">
      <c r="A1017" t="s">
        <v>2387</v>
      </c>
      <c r="B1017" t="s">
        <v>332</v>
      </c>
      <c r="C1017" t="s">
        <v>133</v>
      </c>
      <c r="D1017" s="5">
        <v>37380</v>
      </c>
      <c r="E1017" s="5">
        <v>45911</v>
      </c>
      <c r="F1017" s="5" t="s">
        <v>4237</v>
      </c>
      <c r="G1017" t="s">
        <v>152</v>
      </c>
      <c r="H1017" t="s">
        <v>113</v>
      </c>
      <c r="I1017" t="s">
        <v>45</v>
      </c>
      <c r="J1017" t="s">
        <v>179</v>
      </c>
      <c r="K1017" t="s">
        <v>120</v>
      </c>
      <c r="L1017" s="6">
        <v>40996.31</v>
      </c>
      <c r="M1017">
        <v>98646.34</v>
      </c>
      <c r="N1017" t="s">
        <v>91</v>
      </c>
      <c r="O1017">
        <v>13</v>
      </c>
      <c r="P1017">
        <v>34</v>
      </c>
      <c r="Q1017">
        <v>4</v>
      </c>
      <c r="R1017">
        <v>167</v>
      </c>
      <c r="S1017">
        <v>115.4</v>
      </c>
      <c r="T1017" t="s">
        <v>37</v>
      </c>
      <c r="U1017" s="7">
        <f t="shared" si="60"/>
        <v>23</v>
      </c>
      <c r="V1017" s="7" t="s">
        <v>4237</v>
      </c>
      <c r="W1017" s="6">
        <f t="shared" si="62"/>
        <v>-57650.03</v>
      </c>
      <c r="X1017" t="str">
        <f t="shared" si="63"/>
        <v>Adult</v>
      </c>
    </row>
    <row r="1018" spans="1:24">
      <c r="A1018" t="s">
        <v>4159</v>
      </c>
      <c r="B1018" t="s">
        <v>2389</v>
      </c>
      <c r="C1018" t="s">
        <v>40</v>
      </c>
      <c r="D1018" s="5">
        <v>35177</v>
      </c>
      <c r="E1018" s="5">
        <v>45294</v>
      </c>
      <c r="F1018" s="5">
        <v>45305</v>
      </c>
      <c r="G1018" t="s">
        <v>89</v>
      </c>
      <c r="H1018" t="s">
        <v>124</v>
      </c>
      <c r="I1018" t="s">
        <v>79</v>
      </c>
      <c r="J1018" t="s">
        <v>34</v>
      </c>
      <c r="K1018" t="s">
        <v>110</v>
      </c>
      <c r="L1018" s="6">
        <v>228098.56</v>
      </c>
      <c r="M1018">
        <v>185708.79</v>
      </c>
      <c r="N1018" t="s">
        <v>73</v>
      </c>
      <c r="O1018">
        <v>11</v>
      </c>
      <c r="P1018">
        <v>159</v>
      </c>
      <c r="Q1018">
        <v>4</v>
      </c>
      <c r="R1018">
        <v>149</v>
      </c>
      <c r="S1018">
        <v>180.8</v>
      </c>
      <c r="T1018" t="s">
        <v>37</v>
      </c>
      <c r="U1018" s="7">
        <f t="shared" si="60"/>
        <v>27</v>
      </c>
      <c r="V1018" s="7">
        <f t="shared" si="61"/>
        <v>11</v>
      </c>
      <c r="W1018" s="6">
        <f t="shared" si="62"/>
        <v>42389.76999999999</v>
      </c>
      <c r="X1018" t="str">
        <f t="shared" si="63"/>
        <v>Adult</v>
      </c>
    </row>
    <row r="1019" spans="1:24">
      <c r="A1019" t="s">
        <v>2391</v>
      </c>
      <c r="B1019" t="s">
        <v>768</v>
      </c>
      <c r="C1019" t="s">
        <v>133</v>
      </c>
      <c r="D1019" s="5">
        <v>28372</v>
      </c>
      <c r="E1019" s="5">
        <v>45164</v>
      </c>
      <c r="F1019" s="5">
        <v>45167</v>
      </c>
      <c r="G1019" t="s">
        <v>94</v>
      </c>
      <c r="H1019" t="s">
        <v>86</v>
      </c>
      <c r="I1019" t="s">
        <v>25</v>
      </c>
      <c r="J1019" t="s">
        <v>34</v>
      </c>
      <c r="K1019" t="s">
        <v>120</v>
      </c>
      <c r="L1019" s="6">
        <v>66232.23</v>
      </c>
      <c r="M1019">
        <v>54378.9</v>
      </c>
      <c r="N1019" t="s">
        <v>73</v>
      </c>
      <c r="O1019">
        <v>3</v>
      </c>
      <c r="P1019">
        <v>11</v>
      </c>
      <c r="Q1019">
        <v>5</v>
      </c>
      <c r="R1019">
        <v>161</v>
      </c>
      <c r="S1019">
        <v>164.9</v>
      </c>
      <c r="T1019" t="s">
        <v>37</v>
      </c>
      <c r="U1019" s="7">
        <f t="shared" si="60"/>
        <v>45</v>
      </c>
      <c r="V1019" s="7">
        <f t="shared" si="61"/>
        <v>3</v>
      </c>
      <c r="W1019" s="6">
        <f t="shared" si="62"/>
        <v>11853.329999999994</v>
      </c>
      <c r="X1019" t="str">
        <f t="shared" si="63"/>
        <v>Middle Age</v>
      </c>
    </row>
    <row r="1020" spans="1:24">
      <c r="A1020" t="s">
        <v>2392</v>
      </c>
      <c r="B1020" t="s">
        <v>2393</v>
      </c>
      <c r="C1020" t="s">
        <v>133</v>
      </c>
      <c r="D1020" s="5">
        <v>19430</v>
      </c>
      <c r="E1020" s="5">
        <v>45127</v>
      </c>
      <c r="F1020" s="5" t="s">
        <v>4237</v>
      </c>
      <c r="G1020" t="s">
        <v>161</v>
      </c>
      <c r="H1020" t="s">
        <v>134</v>
      </c>
      <c r="I1020" t="s">
        <v>79</v>
      </c>
      <c r="J1020" t="s">
        <v>80</v>
      </c>
      <c r="K1020" t="s">
        <v>27</v>
      </c>
      <c r="L1020" s="6">
        <v>118320.61</v>
      </c>
      <c r="M1020">
        <v>97465.05</v>
      </c>
      <c r="N1020" t="s">
        <v>192</v>
      </c>
      <c r="O1020">
        <v>5</v>
      </c>
      <c r="P1020">
        <v>231</v>
      </c>
      <c r="Q1020">
        <v>4</v>
      </c>
      <c r="R1020">
        <v>140</v>
      </c>
      <c r="S1020">
        <v>207.7</v>
      </c>
      <c r="T1020" t="s">
        <v>47</v>
      </c>
      <c r="U1020" s="7">
        <f t="shared" si="60"/>
        <v>70</v>
      </c>
      <c r="V1020" s="7" t="s">
        <v>4237</v>
      </c>
      <c r="W1020" s="6">
        <f t="shared" si="62"/>
        <v>20855.559999999998</v>
      </c>
      <c r="X1020" t="str">
        <f t="shared" si="63"/>
        <v>Senior</v>
      </c>
    </row>
    <row r="1021" spans="1:24">
      <c r="A1021" t="s">
        <v>2394</v>
      </c>
      <c r="B1021" t="s">
        <v>314</v>
      </c>
      <c r="C1021" t="s">
        <v>40</v>
      </c>
      <c r="D1021" s="5">
        <v>39728</v>
      </c>
      <c r="E1021" s="5">
        <v>45662</v>
      </c>
      <c r="F1021" s="5">
        <v>45678</v>
      </c>
      <c r="G1021" t="s">
        <v>105</v>
      </c>
      <c r="H1021" t="s">
        <v>78</v>
      </c>
      <c r="I1021" t="s">
        <v>119</v>
      </c>
      <c r="J1021" t="s">
        <v>26</v>
      </c>
      <c r="K1021" t="s">
        <v>55</v>
      </c>
      <c r="L1021" s="6">
        <v>142170.45000000001</v>
      </c>
      <c r="M1021">
        <v>114178.73</v>
      </c>
      <c r="N1021" t="s">
        <v>73</v>
      </c>
      <c r="O1021">
        <v>16</v>
      </c>
      <c r="P1021">
        <v>70</v>
      </c>
      <c r="Q1021">
        <v>4</v>
      </c>
      <c r="R1021">
        <v>124</v>
      </c>
      <c r="S1021">
        <v>199.6</v>
      </c>
      <c r="T1021" t="s">
        <v>37</v>
      </c>
      <c r="U1021" s="7">
        <f t="shared" si="60"/>
        <v>16</v>
      </c>
      <c r="V1021" s="7">
        <f t="shared" si="61"/>
        <v>16</v>
      </c>
      <c r="W1021" s="6">
        <f t="shared" si="62"/>
        <v>27991.720000000016</v>
      </c>
      <c r="X1021" t="str">
        <f t="shared" si="63"/>
        <v>Child</v>
      </c>
    </row>
    <row r="1022" spans="1:24">
      <c r="A1022" t="s">
        <v>2397</v>
      </c>
      <c r="B1022" t="s">
        <v>999</v>
      </c>
      <c r="C1022" t="s">
        <v>133</v>
      </c>
      <c r="D1022" s="5">
        <v>20491</v>
      </c>
      <c r="E1022" s="5">
        <v>45674</v>
      </c>
      <c r="F1022" s="5">
        <v>45692</v>
      </c>
      <c r="G1022" t="s">
        <v>94</v>
      </c>
      <c r="H1022" t="s">
        <v>124</v>
      </c>
      <c r="I1022" t="s">
        <v>45</v>
      </c>
      <c r="J1022" t="s">
        <v>80</v>
      </c>
      <c r="K1022" t="s">
        <v>110</v>
      </c>
      <c r="L1022" s="6">
        <v>10080.73</v>
      </c>
      <c r="M1022">
        <v>8698.7800000000007</v>
      </c>
      <c r="N1022" t="s">
        <v>192</v>
      </c>
      <c r="O1022">
        <v>18</v>
      </c>
      <c r="P1022">
        <v>97</v>
      </c>
      <c r="Q1022">
        <v>4</v>
      </c>
      <c r="R1022">
        <v>121</v>
      </c>
      <c r="S1022">
        <v>76.099999999999994</v>
      </c>
      <c r="T1022" t="s">
        <v>37</v>
      </c>
      <c r="U1022" s="7">
        <f t="shared" si="60"/>
        <v>68</v>
      </c>
      <c r="V1022" s="7">
        <f t="shared" si="61"/>
        <v>18</v>
      </c>
      <c r="W1022" s="6">
        <f t="shared" si="62"/>
        <v>1381.9499999999989</v>
      </c>
      <c r="X1022" t="str">
        <f t="shared" si="63"/>
        <v>Senior</v>
      </c>
    </row>
    <row r="1023" spans="1:24">
      <c r="A1023" t="s">
        <v>2398</v>
      </c>
      <c r="B1023" t="s">
        <v>732</v>
      </c>
      <c r="C1023" t="s">
        <v>133</v>
      </c>
      <c r="D1023" s="5">
        <v>30379</v>
      </c>
      <c r="E1023" s="5">
        <v>45278</v>
      </c>
      <c r="F1023" s="5">
        <v>45323</v>
      </c>
      <c r="G1023" t="s">
        <v>43</v>
      </c>
      <c r="H1023" t="s">
        <v>63</v>
      </c>
      <c r="I1023" t="s">
        <v>96</v>
      </c>
      <c r="J1023" t="s">
        <v>64</v>
      </c>
      <c r="K1023" t="s">
        <v>110</v>
      </c>
      <c r="L1023" s="6">
        <v>88861.59</v>
      </c>
      <c r="M1023">
        <v>62274.27</v>
      </c>
      <c r="N1023" t="s">
        <v>56</v>
      </c>
      <c r="O1023">
        <v>15</v>
      </c>
      <c r="P1023">
        <v>39</v>
      </c>
      <c r="Q1023">
        <v>1</v>
      </c>
      <c r="R1023">
        <v>98</v>
      </c>
      <c r="S1023">
        <v>187.3</v>
      </c>
      <c r="T1023" t="s">
        <v>37</v>
      </c>
      <c r="U1023" s="7">
        <f t="shared" si="60"/>
        <v>40</v>
      </c>
      <c r="V1023" s="7">
        <f t="shared" si="61"/>
        <v>45</v>
      </c>
      <c r="W1023" s="6">
        <f t="shared" si="62"/>
        <v>26587.32</v>
      </c>
      <c r="X1023" t="str">
        <f t="shared" si="63"/>
        <v>Middle Age</v>
      </c>
    </row>
    <row r="1024" spans="1:24">
      <c r="A1024" t="s">
        <v>2401</v>
      </c>
      <c r="B1024" t="s">
        <v>253</v>
      </c>
      <c r="C1024" t="s">
        <v>40</v>
      </c>
      <c r="D1024" s="5">
        <v>22213</v>
      </c>
      <c r="E1024" s="5">
        <v>45597</v>
      </c>
      <c r="F1024" s="5">
        <v>45609</v>
      </c>
      <c r="G1024" t="s">
        <v>152</v>
      </c>
      <c r="H1024" t="s">
        <v>124</v>
      </c>
      <c r="I1024" t="s">
        <v>25</v>
      </c>
      <c r="J1024" t="s">
        <v>179</v>
      </c>
      <c r="K1024" t="s">
        <v>110</v>
      </c>
      <c r="L1024" s="6">
        <v>239356.28</v>
      </c>
      <c r="M1024">
        <v>169873.14</v>
      </c>
      <c r="N1024" t="s">
        <v>192</v>
      </c>
      <c r="O1024">
        <v>12</v>
      </c>
      <c r="P1024">
        <v>34</v>
      </c>
      <c r="Q1024">
        <v>5</v>
      </c>
      <c r="R1024">
        <v>178</v>
      </c>
      <c r="S1024">
        <v>172.2</v>
      </c>
      <c r="T1024" t="s">
        <v>65</v>
      </c>
      <c r="U1024" s="7">
        <f t="shared" si="60"/>
        <v>64</v>
      </c>
      <c r="V1024" s="7">
        <f t="shared" si="61"/>
        <v>12</v>
      </c>
      <c r="W1024" s="6">
        <f t="shared" si="62"/>
        <v>69483.139999999985</v>
      </c>
      <c r="X1024" t="str">
        <f t="shared" si="63"/>
        <v>Senior</v>
      </c>
    </row>
    <row r="1025" spans="1:24">
      <c r="A1025" t="s">
        <v>2403</v>
      </c>
      <c r="B1025" t="s">
        <v>76</v>
      </c>
      <c r="C1025" t="s">
        <v>133</v>
      </c>
      <c r="D1025" s="5">
        <v>34811</v>
      </c>
      <c r="E1025" s="5">
        <v>45483</v>
      </c>
      <c r="F1025" s="5">
        <v>45488</v>
      </c>
      <c r="G1025" t="s">
        <v>152</v>
      </c>
      <c r="H1025" t="s">
        <v>44</v>
      </c>
      <c r="I1025" t="s">
        <v>45</v>
      </c>
      <c r="J1025" t="s">
        <v>34</v>
      </c>
      <c r="K1025" t="s">
        <v>55</v>
      </c>
      <c r="L1025" s="6">
        <v>84396.27</v>
      </c>
      <c r="M1025">
        <v>73618.42</v>
      </c>
      <c r="N1025" t="s">
        <v>73</v>
      </c>
      <c r="O1025">
        <v>5</v>
      </c>
      <c r="P1025">
        <v>116</v>
      </c>
      <c r="Q1025">
        <v>3</v>
      </c>
      <c r="R1025">
        <v>161</v>
      </c>
      <c r="S1025">
        <v>75.7</v>
      </c>
      <c r="T1025" t="s">
        <v>37</v>
      </c>
      <c r="U1025" s="7">
        <f t="shared" si="60"/>
        <v>29</v>
      </c>
      <c r="V1025" s="7">
        <f t="shared" si="61"/>
        <v>5</v>
      </c>
      <c r="W1025" s="6">
        <f t="shared" si="62"/>
        <v>10777.850000000006</v>
      </c>
      <c r="X1025" t="str">
        <f t="shared" si="63"/>
        <v>Adult</v>
      </c>
    </row>
    <row r="1026" spans="1:24">
      <c r="A1026" t="s">
        <v>2404</v>
      </c>
      <c r="B1026" t="s">
        <v>877</v>
      </c>
      <c r="C1026" t="s">
        <v>133</v>
      </c>
      <c r="D1026" s="5">
        <v>24267</v>
      </c>
      <c r="E1026" s="5">
        <v>45444</v>
      </c>
      <c r="F1026" s="5">
        <v>45447</v>
      </c>
      <c r="G1026" t="s">
        <v>43</v>
      </c>
      <c r="H1026" t="s">
        <v>52</v>
      </c>
      <c r="I1026" t="s">
        <v>79</v>
      </c>
      <c r="J1026" t="s">
        <v>34</v>
      </c>
      <c r="K1026" t="s">
        <v>55</v>
      </c>
      <c r="L1026" s="6">
        <v>67816.039999999994</v>
      </c>
      <c r="M1026">
        <v>45180.47</v>
      </c>
      <c r="N1026" t="s">
        <v>73</v>
      </c>
      <c r="O1026">
        <v>3</v>
      </c>
      <c r="P1026">
        <v>180</v>
      </c>
      <c r="Q1026">
        <v>4</v>
      </c>
      <c r="R1026">
        <v>141</v>
      </c>
      <c r="S1026">
        <v>125.1</v>
      </c>
      <c r="T1026" t="s">
        <v>4237</v>
      </c>
      <c r="U1026" s="7">
        <f t="shared" ref="U1026:U1089" si="64">DATEDIF(D1026,E1026,"Y")</f>
        <v>57</v>
      </c>
      <c r="V1026" s="7">
        <f t="shared" ref="V1026:V1089" si="65">IF(OR(E1026=" ",F1026=" ",E1026="Unknown",F1026="Unknown")," ",F1026-E1026)</f>
        <v>3</v>
      </c>
      <c r="W1026" s="6">
        <f t="shared" ref="W1026:W1089" si="66">L1026-M1026</f>
        <v>22635.569999999992</v>
      </c>
      <c r="X1026" t="str">
        <f t="shared" ref="X1026:X1089" si="67">IF(OR(U1026="",U1026="Unknown"),"",IF(U1026&lt;18,"Child",IF(U1026&lt;40,"Adult",IF(U1026&lt;60,"Middle Age","Senior"))))</f>
        <v>Middle Age</v>
      </c>
    </row>
    <row r="1027" spans="1:24">
      <c r="A1027" t="s">
        <v>2406</v>
      </c>
      <c r="B1027" t="s">
        <v>563</v>
      </c>
      <c r="C1027" t="s">
        <v>40</v>
      </c>
      <c r="D1027" s="5">
        <v>20972</v>
      </c>
      <c r="E1027" s="5">
        <v>45577</v>
      </c>
      <c r="F1027" s="5">
        <v>45578</v>
      </c>
      <c r="G1027" t="s">
        <v>94</v>
      </c>
      <c r="H1027" t="s">
        <v>134</v>
      </c>
      <c r="I1027" t="s">
        <v>79</v>
      </c>
      <c r="J1027" t="s">
        <v>26</v>
      </c>
      <c r="K1027" t="s">
        <v>110</v>
      </c>
      <c r="L1027" s="6">
        <v>183374.95</v>
      </c>
      <c r="M1027">
        <v>135083.29</v>
      </c>
      <c r="N1027" t="s">
        <v>91</v>
      </c>
      <c r="O1027">
        <v>1</v>
      </c>
      <c r="P1027">
        <v>219</v>
      </c>
      <c r="Q1027">
        <v>3</v>
      </c>
      <c r="R1027">
        <v>180</v>
      </c>
      <c r="S1027">
        <v>133</v>
      </c>
      <c r="T1027" t="s">
        <v>47</v>
      </c>
      <c r="U1027" s="7">
        <f t="shared" si="64"/>
        <v>67</v>
      </c>
      <c r="V1027" s="7">
        <f t="shared" si="65"/>
        <v>1</v>
      </c>
      <c r="W1027" s="6">
        <f t="shared" si="66"/>
        <v>48291.66</v>
      </c>
      <c r="X1027" t="str">
        <f t="shared" si="67"/>
        <v>Senior</v>
      </c>
    </row>
    <row r="1028" spans="1:24">
      <c r="A1028" t="s">
        <v>2407</v>
      </c>
      <c r="B1028" t="s">
        <v>1097</v>
      </c>
      <c r="C1028" t="s">
        <v>133</v>
      </c>
      <c r="D1028" s="5">
        <v>35453</v>
      </c>
      <c r="E1028" s="5">
        <v>45553</v>
      </c>
      <c r="F1028" s="5">
        <v>45569</v>
      </c>
      <c r="G1028" t="s">
        <v>62</v>
      </c>
      <c r="H1028" t="s">
        <v>63</v>
      </c>
      <c r="I1028" t="s">
        <v>45</v>
      </c>
      <c r="J1028" t="s">
        <v>64</v>
      </c>
      <c r="K1028" t="s">
        <v>55</v>
      </c>
      <c r="L1028" s="6">
        <v>92622.77</v>
      </c>
      <c r="M1028">
        <v>67251.72</v>
      </c>
      <c r="N1028" t="s">
        <v>73</v>
      </c>
      <c r="O1028">
        <v>16</v>
      </c>
      <c r="P1028">
        <v>239</v>
      </c>
      <c r="Q1028">
        <v>5</v>
      </c>
      <c r="R1028">
        <v>189</v>
      </c>
      <c r="S1028">
        <v>100.2</v>
      </c>
      <c r="T1028" t="s">
        <v>65</v>
      </c>
      <c r="U1028" s="7">
        <f t="shared" si="64"/>
        <v>27</v>
      </c>
      <c r="V1028" s="7">
        <f t="shared" si="65"/>
        <v>16</v>
      </c>
      <c r="W1028" s="6">
        <f t="shared" si="66"/>
        <v>25371.050000000003</v>
      </c>
      <c r="X1028" t="str">
        <f t="shared" si="67"/>
        <v>Adult</v>
      </c>
    </row>
    <row r="1029" spans="1:24">
      <c r="A1029" t="s">
        <v>4160</v>
      </c>
      <c r="B1029" t="s">
        <v>304</v>
      </c>
      <c r="C1029" t="s">
        <v>133</v>
      </c>
      <c r="D1029" s="5">
        <v>24284</v>
      </c>
      <c r="E1029" s="5">
        <v>46019</v>
      </c>
      <c r="F1029" s="5" t="s">
        <v>4237</v>
      </c>
      <c r="G1029" t="s">
        <v>94</v>
      </c>
      <c r="H1029" t="s">
        <v>118</v>
      </c>
      <c r="I1029" t="s">
        <v>33</v>
      </c>
      <c r="J1029" t="s">
        <v>26</v>
      </c>
      <c r="K1029" t="s">
        <v>120</v>
      </c>
      <c r="L1029" s="6">
        <v>209600.58</v>
      </c>
      <c r="M1029">
        <v>143411.01999999999</v>
      </c>
      <c r="N1029" t="s">
        <v>73</v>
      </c>
      <c r="O1029">
        <v>17</v>
      </c>
      <c r="P1029">
        <v>232</v>
      </c>
      <c r="Q1029">
        <v>5</v>
      </c>
      <c r="R1029">
        <v>106</v>
      </c>
      <c r="S1029">
        <v>103.8</v>
      </c>
      <c r="T1029" t="s">
        <v>47</v>
      </c>
      <c r="U1029" s="7">
        <f t="shared" si="64"/>
        <v>59</v>
      </c>
      <c r="V1029" s="7" t="s">
        <v>4237</v>
      </c>
      <c r="W1029" s="6">
        <f t="shared" si="66"/>
        <v>66189.56</v>
      </c>
      <c r="X1029" t="str">
        <f t="shared" si="67"/>
        <v>Middle Age</v>
      </c>
    </row>
    <row r="1030" spans="1:24">
      <c r="A1030" t="s">
        <v>2410</v>
      </c>
      <c r="B1030" t="s">
        <v>2093</v>
      </c>
      <c r="C1030" t="s">
        <v>40</v>
      </c>
      <c r="D1030" s="5">
        <v>32444</v>
      </c>
      <c r="E1030" s="5">
        <v>45107</v>
      </c>
      <c r="F1030" s="5">
        <v>45111</v>
      </c>
      <c r="G1030" t="s">
        <v>94</v>
      </c>
      <c r="H1030" t="s">
        <v>32</v>
      </c>
      <c r="I1030" t="s">
        <v>33</v>
      </c>
      <c r="J1030" t="s">
        <v>179</v>
      </c>
      <c r="K1030" t="s">
        <v>120</v>
      </c>
      <c r="L1030" s="6">
        <v>177888.7</v>
      </c>
      <c r="M1030">
        <v>149483.57</v>
      </c>
      <c r="N1030" t="s">
        <v>73</v>
      </c>
      <c r="O1030">
        <v>4</v>
      </c>
      <c r="P1030">
        <v>41</v>
      </c>
      <c r="Q1030">
        <v>4</v>
      </c>
      <c r="R1030">
        <v>122</v>
      </c>
      <c r="S1030">
        <v>131.80000000000001</v>
      </c>
      <c r="T1030" t="s">
        <v>4237</v>
      </c>
      <c r="U1030" s="7">
        <f t="shared" si="64"/>
        <v>34</v>
      </c>
      <c r="V1030" s="7">
        <f t="shared" si="65"/>
        <v>4</v>
      </c>
      <c r="W1030" s="6">
        <f t="shared" si="66"/>
        <v>28405.130000000005</v>
      </c>
      <c r="X1030" t="str">
        <f t="shared" si="67"/>
        <v>Adult</v>
      </c>
    </row>
    <row r="1031" spans="1:24">
      <c r="A1031" t="s">
        <v>2412</v>
      </c>
      <c r="B1031" t="s">
        <v>328</v>
      </c>
      <c r="C1031" t="s">
        <v>40</v>
      </c>
      <c r="D1031" s="5">
        <v>33669</v>
      </c>
      <c r="E1031" s="5" t="s">
        <v>4237</v>
      </c>
      <c r="F1031" s="5">
        <v>45172</v>
      </c>
      <c r="G1031" t="s">
        <v>161</v>
      </c>
      <c r="H1031" t="s">
        <v>95</v>
      </c>
      <c r="I1031" t="s">
        <v>79</v>
      </c>
      <c r="J1031" t="s">
        <v>179</v>
      </c>
      <c r="K1031" t="s">
        <v>55</v>
      </c>
      <c r="L1031" s="6">
        <v>4421.1899999999996</v>
      </c>
      <c r="M1031">
        <v>3019.03</v>
      </c>
      <c r="N1031" t="s">
        <v>91</v>
      </c>
      <c r="O1031">
        <v>7</v>
      </c>
      <c r="P1031">
        <v>122</v>
      </c>
      <c r="Q1031">
        <v>4</v>
      </c>
      <c r="R1031">
        <v>177</v>
      </c>
      <c r="S1031">
        <v>212.2</v>
      </c>
      <c r="T1031" t="s">
        <v>47</v>
      </c>
      <c r="U1031" s="7" t="s">
        <v>4237</v>
      </c>
      <c r="V1031" s="7" t="s">
        <v>4237</v>
      </c>
      <c r="W1031" s="6">
        <f t="shared" si="66"/>
        <v>1402.1599999999994</v>
      </c>
      <c r="X1031" t="s">
        <v>4237</v>
      </c>
    </row>
    <row r="1032" spans="1:24">
      <c r="A1032" t="s">
        <v>2414</v>
      </c>
      <c r="B1032" t="s">
        <v>433</v>
      </c>
      <c r="C1032" t="s">
        <v>133</v>
      </c>
      <c r="D1032" s="5">
        <v>21401</v>
      </c>
      <c r="E1032" s="5">
        <v>45599</v>
      </c>
      <c r="F1032" s="5">
        <v>45612</v>
      </c>
      <c r="G1032" t="s">
        <v>94</v>
      </c>
      <c r="H1032" t="s">
        <v>52</v>
      </c>
      <c r="I1032" t="s">
        <v>45</v>
      </c>
      <c r="J1032" t="s">
        <v>80</v>
      </c>
      <c r="K1032" t="s">
        <v>55</v>
      </c>
      <c r="L1032" s="6">
        <v>131415.48000000001</v>
      </c>
      <c r="M1032">
        <v>115412.75</v>
      </c>
      <c r="N1032" t="s">
        <v>73</v>
      </c>
      <c r="O1032">
        <v>13</v>
      </c>
      <c r="P1032">
        <v>230</v>
      </c>
      <c r="Q1032">
        <v>4</v>
      </c>
      <c r="R1032">
        <v>176</v>
      </c>
      <c r="S1032">
        <v>137</v>
      </c>
      <c r="T1032" t="s">
        <v>47</v>
      </c>
      <c r="U1032" s="7">
        <f t="shared" si="64"/>
        <v>66</v>
      </c>
      <c r="V1032" s="7">
        <f t="shared" si="65"/>
        <v>13</v>
      </c>
      <c r="W1032" s="6">
        <f t="shared" si="66"/>
        <v>16002.73000000001</v>
      </c>
      <c r="X1032" t="str">
        <f t="shared" si="67"/>
        <v>Senior</v>
      </c>
    </row>
    <row r="1033" spans="1:24">
      <c r="A1033" t="s">
        <v>2415</v>
      </c>
      <c r="B1033" t="s">
        <v>693</v>
      </c>
      <c r="C1033" t="s">
        <v>133</v>
      </c>
      <c r="D1033" s="5">
        <v>29327</v>
      </c>
      <c r="E1033" s="5">
        <v>45509</v>
      </c>
      <c r="F1033" s="5">
        <v>45519</v>
      </c>
      <c r="G1033" t="s">
        <v>105</v>
      </c>
      <c r="H1033" t="s">
        <v>32</v>
      </c>
      <c r="I1033" t="s">
        <v>96</v>
      </c>
      <c r="J1033" t="s">
        <v>71</v>
      </c>
      <c r="K1033" t="s">
        <v>161</v>
      </c>
      <c r="L1033" s="6">
        <v>71083.19</v>
      </c>
      <c r="M1033">
        <v>59394.97</v>
      </c>
      <c r="N1033" t="s">
        <v>73</v>
      </c>
      <c r="O1033">
        <v>10</v>
      </c>
      <c r="P1033">
        <v>121</v>
      </c>
      <c r="Q1033">
        <v>3</v>
      </c>
      <c r="R1033">
        <v>185</v>
      </c>
      <c r="S1033">
        <v>150.9</v>
      </c>
      <c r="T1033" t="s">
        <v>37</v>
      </c>
      <c r="U1033" s="7">
        <f t="shared" si="64"/>
        <v>44</v>
      </c>
      <c r="V1033" s="7">
        <f t="shared" si="65"/>
        <v>10</v>
      </c>
      <c r="W1033" s="6">
        <f t="shared" si="66"/>
        <v>11688.220000000001</v>
      </c>
      <c r="X1033" t="str">
        <f t="shared" si="67"/>
        <v>Middle Age</v>
      </c>
    </row>
    <row r="1034" spans="1:24">
      <c r="A1034" t="s">
        <v>2417</v>
      </c>
      <c r="B1034" t="s">
        <v>406</v>
      </c>
      <c r="C1034" t="s">
        <v>40</v>
      </c>
      <c r="D1034" s="5">
        <v>23301</v>
      </c>
      <c r="E1034" s="5">
        <v>45423</v>
      </c>
      <c r="F1034" s="5">
        <v>45603</v>
      </c>
      <c r="G1034" t="s">
        <v>117</v>
      </c>
      <c r="H1034" t="s">
        <v>153</v>
      </c>
      <c r="I1034" t="s">
        <v>79</v>
      </c>
      <c r="J1034" t="s">
        <v>46</v>
      </c>
      <c r="K1034" t="s">
        <v>55</v>
      </c>
      <c r="L1034" s="6">
        <v>127804.69</v>
      </c>
      <c r="M1034">
        <v>106733.77</v>
      </c>
      <c r="N1034" t="s">
        <v>73</v>
      </c>
      <c r="O1034">
        <v>2</v>
      </c>
      <c r="P1034">
        <v>198</v>
      </c>
      <c r="Q1034">
        <v>4</v>
      </c>
      <c r="R1034">
        <v>176</v>
      </c>
      <c r="S1034">
        <v>164.4</v>
      </c>
      <c r="T1034" t="s">
        <v>37</v>
      </c>
      <c r="U1034" s="7">
        <f t="shared" si="64"/>
        <v>60</v>
      </c>
      <c r="V1034" s="7">
        <f t="shared" si="65"/>
        <v>180</v>
      </c>
      <c r="W1034" s="6">
        <f t="shared" si="66"/>
        <v>21070.92</v>
      </c>
      <c r="X1034" t="str">
        <f t="shared" si="67"/>
        <v>Senior</v>
      </c>
    </row>
    <row r="1035" spans="1:24">
      <c r="A1035" t="s">
        <v>2419</v>
      </c>
      <c r="B1035" t="s">
        <v>796</v>
      </c>
      <c r="C1035" t="s">
        <v>133</v>
      </c>
      <c r="D1035" s="5">
        <v>28952</v>
      </c>
      <c r="E1035" s="5">
        <v>45322</v>
      </c>
      <c r="F1035" s="5">
        <v>45333</v>
      </c>
      <c r="G1035" t="s">
        <v>152</v>
      </c>
      <c r="H1035" t="s">
        <v>113</v>
      </c>
      <c r="I1035" t="s">
        <v>25</v>
      </c>
      <c r="J1035" t="s">
        <v>34</v>
      </c>
      <c r="K1035" t="s">
        <v>161</v>
      </c>
      <c r="L1035" s="6">
        <v>128195.61</v>
      </c>
      <c r="M1035">
        <v>104655.21</v>
      </c>
      <c r="N1035" t="s">
        <v>73</v>
      </c>
      <c r="O1035">
        <v>11</v>
      </c>
      <c r="P1035">
        <v>45</v>
      </c>
      <c r="Q1035">
        <v>3</v>
      </c>
      <c r="R1035">
        <v>114</v>
      </c>
      <c r="S1035">
        <v>107.5</v>
      </c>
      <c r="T1035" t="s">
        <v>4237</v>
      </c>
      <c r="U1035" s="7">
        <f t="shared" si="64"/>
        <v>44</v>
      </c>
      <c r="V1035" s="7">
        <f t="shared" si="65"/>
        <v>11</v>
      </c>
      <c r="W1035" s="6">
        <f t="shared" si="66"/>
        <v>23540.399999999994</v>
      </c>
      <c r="X1035" t="str">
        <f t="shared" si="67"/>
        <v>Middle Age</v>
      </c>
    </row>
    <row r="1036" spans="1:24">
      <c r="A1036" t="s">
        <v>2421</v>
      </c>
      <c r="B1036" t="s">
        <v>556</v>
      </c>
      <c r="C1036" t="s">
        <v>133</v>
      </c>
      <c r="D1036" s="5">
        <v>40143</v>
      </c>
      <c r="E1036" s="5">
        <v>45731</v>
      </c>
      <c r="F1036" s="5">
        <v>45742</v>
      </c>
      <c r="G1036" t="s">
        <v>77</v>
      </c>
      <c r="H1036" t="s">
        <v>86</v>
      </c>
      <c r="I1036" t="s">
        <v>119</v>
      </c>
      <c r="J1036" t="s">
        <v>46</v>
      </c>
      <c r="K1036" t="s">
        <v>110</v>
      </c>
      <c r="L1036" s="6">
        <v>202693.35</v>
      </c>
      <c r="M1036">
        <v>179772.92</v>
      </c>
      <c r="N1036" t="s">
        <v>192</v>
      </c>
      <c r="O1036">
        <v>11</v>
      </c>
      <c r="P1036">
        <v>44</v>
      </c>
      <c r="Q1036">
        <v>5</v>
      </c>
      <c r="R1036">
        <v>166</v>
      </c>
      <c r="S1036">
        <v>201.1</v>
      </c>
      <c r="T1036" t="s">
        <v>47</v>
      </c>
      <c r="U1036" s="7">
        <f t="shared" si="64"/>
        <v>15</v>
      </c>
      <c r="V1036" s="7">
        <f t="shared" si="65"/>
        <v>11</v>
      </c>
      <c r="W1036" s="6">
        <f t="shared" si="66"/>
        <v>22920.429999999993</v>
      </c>
      <c r="X1036" t="str">
        <f t="shared" si="67"/>
        <v>Child</v>
      </c>
    </row>
    <row r="1037" spans="1:24">
      <c r="A1037" t="s">
        <v>2424</v>
      </c>
      <c r="B1037" t="s">
        <v>1305</v>
      </c>
      <c r="C1037" t="s">
        <v>40</v>
      </c>
      <c r="D1037" s="5">
        <v>19055</v>
      </c>
      <c r="E1037" s="5">
        <v>45010</v>
      </c>
      <c r="F1037" s="5">
        <v>45024</v>
      </c>
      <c r="G1037" t="s">
        <v>109</v>
      </c>
      <c r="H1037" t="s">
        <v>52</v>
      </c>
      <c r="I1037" t="s">
        <v>45</v>
      </c>
      <c r="J1037" t="s">
        <v>34</v>
      </c>
      <c r="K1037" t="s">
        <v>120</v>
      </c>
      <c r="L1037" s="6">
        <v>243657.82</v>
      </c>
      <c r="M1037">
        <v>239053.99</v>
      </c>
      <c r="N1037" t="s">
        <v>192</v>
      </c>
      <c r="O1037">
        <v>14</v>
      </c>
      <c r="P1037">
        <v>207</v>
      </c>
      <c r="Q1037">
        <v>5</v>
      </c>
      <c r="R1037">
        <v>162</v>
      </c>
      <c r="S1037">
        <v>122.1</v>
      </c>
      <c r="T1037" t="s">
        <v>37</v>
      </c>
      <c r="U1037" s="7">
        <f t="shared" si="64"/>
        <v>71</v>
      </c>
      <c r="V1037" s="7">
        <f t="shared" si="65"/>
        <v>14</v>
      </c>
      <c r="W1037" s="6">
        <f t="shared" si="66"/>
        <v>4603.8300000000163</v>
      </c>
      <c r="X1037" t="str">
        <f t="shared" si="67"/>
        <v>Senior</v>
      </c>
    </row>
    <row r="1038" spans="1:24">
      <c r="A1038" t="s">
        <v>2426</v>
      </c>
      <c r="B1038" t="s">
        <v>503</v>
      </c>
      <c r="C1038" t="s">
        <v>133</v>
      </c>
      <c r="D1038" s="5">
        <v>25583</v>
      </c>
      <c r="E1038" s="5">
        <v>45756</v>
      </c>
      <c r="F1038" s="5">
        <v>45760</v>
      </c>
      <c r="G1038" t="s">
        <v>62</v>
      </c>
      <c r="H1038" t="s">
        <v>153</v>
      </c>
      <c r="I1038" t="s">
        <v>53</v>
      </c>
      <c r="J1038" t="s">
        <v>64</v>
      </c>
      <c r="K1038" t="s">
        <v>27</v>
      </c>
      <c r="L1038" s="6">
        <v>163154.07999999999</v>
      </c>
      <c r="M1038">
        <v>126619.25</v>
      </c>
      <c r="N1038" t="s">
        <v>73</v>
      </c>
      <c r="O1038">
        <v>4</v>
      </c>
      <c r="P1038">
        <v>11</v>
      </c>
      <c r="Q1038">
        <v>5</v>
      </c>
      <c r="R1038">
        <v>139</v>
      </c>
      <c r="S1038">
        <v>126.2</v>
      </c>
      <c r="T1038" t="s">
        <v>37</v>
      </c>
      <c r="U1038" s="7">
        <f t="shared" si="64"/>
        <v>55</v>
      </c>
      <c r="V1038" s="7">
        <f t="shared" si="65"/>
        <v>4</v>
      </c>
      <c r="W1038" s="6">
        <f t="shared" si="66"/>
        <v>36534.829999999987</v>
      </c>
      <c r="X1038" t="str">
        <f t="shared" si="67"/>
        <v>Middle Age</v>
      </c>
    </row>
    <row r="1039" spans="1:24">
      <c r="A1039" t="s">
        <v>2428</v>
      </c>
      <c r="B1039" t="s">
        <v>689</v>
      </c>
      <c r="C1039" t="s">
        <v>133</v>
      </c>
      <c r="D1039" s="5">
        <v>29814</v>
      </c>
      <c r="E1039" s="5">
        <v>45565</v>
      </c>
      <c r="F1039" s="5">
        <v>45572</v>
      </c>
      <c r="G1039" t="s">
        <v>62</v>
      </c>
      <c r="H1039" t="s">
        <v>32</v>
      </c>
      <c r="I1039" t="s">
        <v>79</v>
      </c>
      <c r="J1039" t="s">
        <v>80</v>
      </c>
      <c r="K1039" t="s">
        <v>55</v>
      </c>
      <c r="L1039" s="6">
        <v>145198.19</v>
      </c>
      <c r="M1039">
        <v>93894.36</v>
      </c>
      <c r="N1039" t="s">
        <v>91</v>
      </c>
      <c r="O1039">
        <v>7</v>
      </c>
      <c r="P1039">
        <v>178</v>
      </c>
      <c r="Q1039">
        <v>4</v>
      </c>
      <c r="R1039">
        <v>94</v>
      </c>
      <c r="S1039">
        <v>163.5</v>
      </c>
      <c r="T1039" t="s">
        <v>47</v>
      </c>
      <c r="U1039" s="7">
        <f t="shared" si="64"/>
        <v>43</v>
      </c>
      <c r="V1039" s="7">
        <f t="shared" si="65"/>
        <v>7</v>
      </c>
      <c r="W1039" s="6">
        <f t="shared" si="66"/>
        <v>51303.83</v>
      </c>
      <c r="X1039" t="str">
        <f t="shared" si="67"/>
        <v>Middle Age</v>
      </c>
    </row>
    <row r="1040" spans="1:24">
      <c r="A1040" t="s">
        <v>4161</v>
      </c>
      <c r="B1040" t="s">
        <v>871</v>
      </c>
      <c r="C1040" t="s">
        <v>133</v>
      </c>
      <c r="D1040" s="5">
        <v>31636</v>
      </c>
      <c r="E1040" s="5">
        <v>45617</v>
      </c>
      <c r="F1040" s="5">
        <v>45618</v>
      </c>
      <c r="G1040" t="s">
        <v>77</v>
      </c>
      <c r="H1040" t="s">
        <v>78</v>
      </c>
      <c r="I1040" t="s">
        <v>25</v>
      </c>
      <c r="J1040" t="s">
        <v>34</v>
      </c>
      <c r="K1040" t="s">
        <v>55</v>
      </c>
      <c r="L1040" s="6">
        <v>161720.46</v>
      </c>
      <c r="M1040">
        <v>108639.07</v>
      </c>
      <c r="N1040" t="s">
        <v>35</v>
      </c>
      <c r="O1040">
        <v>1</v>
      </c>
      <c r="P1040">
        <v>189</v>
      </c>
      <c r="Q1040">
        <v>2</v>
      </c>
      <c r="R1040">
        <v>133</v>
      </c>
      <c r="S1040">
        <v>198.9</v>
      </c>
      <c r="T1040" t="s">
        <v>47</v>
      </c>
      <c r="U1040" s="7">
        <f t="shared" si="64"/>
        <v>38</v>
      </c>
      <c r="V1040" s="7">
        <f t="shared" si="65"/>
        <v>1</v>
      </c>
      <c r="W1040" s="6">
        <f t="shared" si="66"/>
        <v>53081.389999999985</v>
      </c>
      <c r="X1040" t="str">
        <f t="shared" si="67"/>
        <v>Adult</v>
      </c>
    </row>
    <row r="1041" spans="1:24">
      <c r="A1041" t="s">
        <v>2433</v>
      </c>
      <c r="B1041" t="s">
        <v>332</v>
      </c>
      <c r="C1041" t="s">
        <v>40</v>
      </c>
      <c r="D1041" s="5" t="s">
        <v>4237</v>
      </c>
      <c r="E1041" s="5">
        <v>45400</v>
      </c>
      <c r="F1041" s="5">
        <v>45403</v>
      </c>
      <c r="G1041" t="s">
        <v>62</v>
      </c>
      <c r="H1041" t="s">
        <v>118</v>
      </c>
      <c r="I1041" t="s">
        <v>79</v>
      </c>
      <c r="J1041" t="s">
        <v>64</v>
      </c>
      <c r="K1041" t="s">
        <v>55</v>
      </c>
      <c r="L1041" s="6">
        <v>38809.72</v>
      </c>
      <c r="M1041">
        <v>37064.46</v>
      </c>
      <c r="N1041" t="s">
        <v>192</v>
      </c>
      <c r="O1041">
        <v>3</v>
      </c>
      <c r="P1041">
        <v>62</v>
      </c>
      <c r="Q1041">
        <v>1</v>
      </c>
      <c r="R1041">
        <v>151</v>
      </c>
      <c r="S1041">
        <v>86.2</v>
      </c>
      <c r="T1041" t="s">
        <v>47</v>
      </c>
      <c r="U1041" s="7" t="s">
        <v>4237</v>
      </c>
      <c r="V1041" s="7">
        <f t="shared" si="65"/>
        <v>3</v>
      </c>
      <c r="W1041" s="6">
        <f t="shared" si="66"/>
        <v>1745.260000000002</v>
      </c>
      <c r="X1041" t="s">
        <v>4237</v>
      </c>
    </row>
    <row r="1042" spans="1:24">
      <c r="A1042" t="s">
        <v>2436</v>
      </c>
      <c r="B1042" t="s">
        <v>292</v>
      </c>
      <c r="C1042" t="s">
        <v>40</v>
      </c>
      <c r="D1042" s="5">
        <v>31214</v>
      </c>
      <c r="E1042" s="5">
        <v>45838</v>
      </c>
      <c r="F1042" s="5">
        <v>45844</v>
      </c>
      <c r="G1042" t="s">
        <v>62</v>
      </c>
      <c r="H1042" t="s">
        <v>24</v>
      </c>
      <c r="I1042" t="s">
        <v>79</v>
      </c>
      <c r="J1042" t="s">
        <v>80</v>
      </c>
      <c r="K1042" t="s">
        <v>55</v>
      </c>
      <c r="L1042" s="6">
        <v>39804.660000000003</v>
      </c>
      <c r="M1042">
        <v>30385.27</v>
      </c>
      <c r="N1042" t="s">
        <v>192</v>
      </c>
      <c r="O1042">
        <v>6</v>
      </c>
      <c r="P1042">
        <v>217</v>
      </c>
      <c r="Q1042">
        <v>1</v>
      </c>
      <c r="R1042">
        <v>141</v>
      </c>
      <c r="S1042">
        <v>256.39999999999998</v>
      </c>
      <c r="T1042" t="s">
        <v>47</v>
      </c>
      <c r="U1042" s="7">
        <f t="shared" si="64"/>
        <v>40</v>
      </c>
      <c r="V1042" s="7">
        <f t="shared" si="65"/>
        <v>6</v>
      </c>
      <c r="W1042" s="6">
        <f t="shared" si="66"/>
        <v>9419.3900000000031</v>
      </c>
      <c r="X1042" t="str">
        <f t="shared" si="67"/>
        <v>Middle Age</v>
      </c>
    </row>
    <row r="1043" spans="1:24">
      <c r="A1043" t="s">
        <v>2438</v>
      </c>
      <c r="B1043" t="s">
        <v>49</v>
      </c>
      <c r="C1043" t="s">
        <v>133</v>
      </c>
      <c r="D1043" s="5">
        <v>33446</v>
      </c>
      <c r="E1043" s="5">
        <v>45470</v>
      </c>
      <c r="F1043" s="5">
        <v>45485</v>
      </c>
      <c r="G1043" t="s">
        <v>152</v>
      </c>
      <c r="H1043" t="s">
        <v>44</v>
      </c>
      <c r="I1043" t="s">
        <v>119</v>
      </c>
      <c r="J1043" t="s">
        <v>97</v>
      </c>
      <c r="K1043" t="s">
        <v>55</v>
      </c>
      <c r="L1043" s="6">
        <v>92042.32</v>
      </c>
      <c r="M1043">
        <v>76939.520000000004</v>
      </c>
      <c r="N1043" t="s">
        <v>56</v>
      </c>
      <c r="O1043">
        <v>15</v>
      </c>
      <c r="P1043">
        <v>124</v>
      </c>
      <c r="Q1043">
        <v>5</v>
      </c>
      <c r="R1043">
        <v>150</v>
      </c>
      <c r="S1043">
        <v>164</v>
      </c>
      <c r="T1043" t="s">
        <v>37</v>
      </c>
      <c r="U1043" s="7">
        <f t="shared" si="64"/>
        <v>32</v>
      </c>
      <c r="V1043" s="7">
        <f t="shared" si="65"/>
        <v>15</v>
      </c>
      <c r="W1043" s="6">
        <f t="shared" si="66"/>
        <v>15102.800000000003</v>
      </c>
      <c r="X1043" t="str">
        <f t="shared" si="67"/>
        <v>Adult</v>
      </c>
    </row>
    <row r="1044" spans="1:24">
      <c r="A1044" t="s">
        <v>2440</v>
      </c>
      <c r="B1044" t="s">
        <v>199</v>
      </c>
      <c r="C1044" t="s">
        <v>40</v>
      </c>
      <c r="D1044" s="5">
        <v>30214</v>
      </c>
      <c r="E1044" s="5" t="s">
        <v>4237</v>
      </c>
      <c r="F1044" s="5">
        <v>45861</v>
      </c>
      <c r="G1044" t="s">
        <v>62</v>
      </c>
      <c r="H1044" t="s">
        <v>134</v>
      </c>
      <c r="I1044" t="s">
        <v>33</v>
      </c>
      <c r="J1044" t="s">
        <v>64</v>
      </c>
      <c r="K1044" t="s">
        <v>120</v>
      </c>
      <c r="L1044" s="6">
        <v>36241.89</v>
      </c>
      <c r="M1044">
        <v>35084.839999999997</v>
      </c>
      <c r="N1044" t="s">
        <v>56</v>
      </c>
      <c r="O1044">
        <v>5</v>
      </c>
      <c r="P1044">
        <v>121</v>
      </c>
      <c r="Q1044">
        <v>2</v>
      </c>
      <c r="R1044">
        <v>180</v>
      </c>
      <c r="S1044">
        <v>192.3</v>
      </c>
      <c r="T1044" t="s">
        <v>37</v>
      </c>
      <c r="U1044" s="7" t="s">
        <v>4237</v>
      </c>
      <c r="V1044" s="7" t="s">
        <v>4237</v>
      </c>
      <c r="W1044" s="6">
        <f t="shared" si="66"/>
        <v>1157.0500000000029</v>
      </c>
      <c r="X1044" t="s">
        <v>4237</v>
      </c>
    </row>
    <row r="1045" spans="1:24">
      <c r="A1045" t="s">
        <v>2442</v>
      </c>
      <c r="B1045" t="s">
        <v>464</v>
      </c>
      <c r="C1045" t="s">
        <v>133</v>
      </c>
      <c r="D1045" s="5">
        <v>36619</v>
      </c>
      <c r="E1045" s="5">
        <v>45749</v>
      </c>
      <c r="F1045" s="5">
        <v>45762</v>
      </c>
      <c r="G1045" t="s">
        <v>77</v>
      </c>
      <c r="H1045" t="s">
        <v>113</v>
      </c>
      <c r="I1045" t="s">
        <v>119</v>
      </c>
      <c r="J1045" t="s">
        <v>26</v>
      </c>
      <c r="K1045" t="s">
        <v>120</v>
      </c>
      <c r="L1045" s="6">
        <v>38225.449999999997</v>
      </c>
      <c r="M1045">
        <v>98646.34</v>
      </c>
      <c r="N1045" t="s">
        <v>192</v>
      </c>
      <c r="O1045">
        <v>13</v>
      </c>
      <c r="P1045">
        <v>234</v>
      </c>
      <c r="Q1045">
        <v>2</v>
      </c>
      <c r="R1045">
        <v>112</v>
      </c>
      <c r="S1045">
        <v>214.6</v>
      </c>
      <c r="T1045" t="s">
        <v>65</v>
      </c>
      <c r="U1045" s="7">
        <f t="shared" si="64"/>
        <v>24</v>
      </c>
      <c r="V1045" s="7">
        <f t="shared" si="65"/>
        <v>13</v>
      </c>
      <c r="W1045" s="6">
        <f t="shared" si="66"/>
        <v>-60420.89</v>
      </c>
      <c r="X1045" t="str">
        <f t="shared" si="67"/>
        <v>Adult</v>
      </c>
    </row>
    <row r="1046" spans="1:24">
      <c r="A1046" t="s">
        <v>2443</v>
      </c>
      <c r="B1046" t="s">
        <v>59</v>
      </c>
      <c r="C1046" t="s">
        <v>133</v>
      </c>
      <c r="D1046" s="5">
        <v>30529</v>
      </c>
      <c r="E1046" s="5">
        <v>45169</v>
      </c>
      <c r="F1046" s="5" t="s">
        <v>4237</v>
      </c>
      <c r="G1046" t="s">
        <v>89</v>
      </c>
      <c r="H1046" t="s">
        <v>78</v>
      </c>
      <c r="I1046" t="s">
        <v>79</v>
      </c>
      <c r="J1046" t="s">
        <v>34</v>
      </c>
      <c r="K1046" t="s">
        <v>55</v>
      </c>
      <c r="L1046" s="6">
        <v>218375.09</v>
      </c>
      <c r="M1046">
        <v>176906.91</v>
      </c>
      <c r="N1046" t="s">
        <v>35</v>
      </c>
      <c r="O1046">
        <v>16</v>
      </c>
      <c r="P1046">
        <v>15</v>
      </c>
      <c r="Q1046">
        <v>4</v>
      </c>
      <c r="R1046">
        <v>149</v>
      </c>
      <c r="S1046">
        <v>193.3</v>
      </c>
      <c r="T1046" t="s">
        <v>4237</v>
      </c>
      <c r="U1046" s="7">
        <f t="shared" si="64"/>
        <v>40</v>
      </c>
      <c r="V1046" s="7" t="s">
        <v>4237</v>
      </c>
      <c r="W1046" s="6">
        <f t="shared" si="66"/>
        <v>41468.179999999993</v>
      </c>
      <c r="X1046" t="str">
        <f t="shared" si="67"/>
        <v>Middle Age</v>
      </c>
    </row>
    <row r="1047" spans="1:24">
      <c r="A1047" t="s">
        <v>2444</v>
      </c>
      <c r="B1047" t="s">
        <v>864</v>
      </c>
      <c r="C1047" t="s">
        <v>40</v>
      </c>
      <c r="D1047" s="5">
        <v>33614</v>
      </c>
      <c r="E1047" s="5">
        <v>45064</v>
      </c>
      <c r="F1047" s="5" t="s">
        <v>4237</v>
      </c>
      <c r="G1047" t="s">
        <v>43</v>
      </c>
      <c r="H1047" t="s">
        <v>118</v>
      </c>
      <c r="I1047" t="s">
        <v>25</v>
      </c>
      <c r="J1047" t="s">
        <v>179</v>
      </c>
      <c r="K1047" t="s">
        <v>55</v>
      </c>
      <c r="L1047" s="6">
        <v>169880.68</v>
      </c>
      <c r="M1047">
        <v>160464.64000000001</v>
      </c>
      <c r="N1047" t="s">
        <v>192</v>
      </c>
      <c r="O1047">
        <v>3</v>
      </c>
      <c r="P1047">
        <v>132</v>
      </c>
      <c r="Q1047">
        <v>4</v>
      </c>
      <c r="R1047">
        <v>184</v>
      </c>
      <c r="S1047">
        <v>138.80000000000001</v>
      </c>
      <c r="T1047" t="s">
        <v>4237</v>
      </c>
      <c r="U1047" s="7">
        <f t="shared" si="64"/>
        <v>31</v>
      </c>
      <c r="V1047" s="7" t="s">
        <v>4237</v>
      </c>
      <c r="W1047" s="6">
        <f t="shared" si="66"/>
        <v>9416.039999999979</v>
      </c>
      <c r="X1047" t="str">
        <f t="shared" si="67"/>
        <v>Adult</v>
      </c>
    </row>
    <row r="1048" spans="1:24">
      <c r="A1048" t="s">
        <v>2445</v>
      </c>
      <c r="B1048" t="s">
        <v>1167</v>
      </c>
      <c r="C1048" t="s">
        <v>133</v>
      </c>
      <c r="D1048" s="5">
        <v>34048</v>
      </c>
      <c r="E1048" s="5">
        <v>45890</v>
      </c>
      <c r="F1048" s="5">
        <v>45902</v>
      </c>
      <c r="G1048" t="s">
        <v>94</v>
      </c>
      <c r="H1048" t="s">
        <v>118</v>
      </c>
      <c r="I1048" t="s">
        <v>33</v>
      </c>
      <c r="J1048" t="s">
        <v>71</v>
      </c>
      <c r="K1048" t="s">
        <v>120</v>
      </c>
      <c r="L1048" s="6">
        <v>162984.5</v>
      </c>
      <c r="M1048">
        <v>125770.05</v>
      </c>
      <c r="N1048" t="s">
        <v>192</v>
      </c>
      <c r="O1048">
        <v>12</v>
      </c>
      <c r="P1048">
        <v>174</v>
      </c>
      <c r="Q1048">
        <v>5</v>
      </c>
      <c r="R1048">
        <v>171</v>
      </c>
      <c r="S1048">
        <v>113.7</v>
      </c>
      <c r="T1048" t="s">
        <v>37</v>
      </c>
      <c r="U1048" s="7">
        <f t="shared" si="64"/>
        <v>32</v>
      </c>
      <c r="V1048" s="7">
        <f t="shared" si="65"/>
        <v>12</v>
      </c>
      <c r="W1048" s="6">
        <f t="shared" si="66"/>
        <v>37214.449999999997</v>
      </c>
      <c r="X1048" t="str">
        <f t="shared" si="67"/>
        <v>Adult</v>
      </c>
    </row>
    <row r="1049" spans="1:24">
      <c r="A1049" t="s">
        <v>2446</v>
      </c>
      <c r="B1049" t="s">
        <v>2447</v>
      </c>
      <c r="C1049" t="s">
        <v>133</v>
      </c>
      <c r="D1049" s="5">
        <v>19482</v>
      </c>
      <c r="E1049" s="5">
        <v>45873</v>
      </c>
      <c r="F1049" s="5">
        <v>45765</v>
      </c>
      <c r="G1049" t="s">
        <v>94</v>
      </c>
      <c r="H1049" t="s">
        <v>153</v>
      </c>
      <c r="I1049" t="s">
        <v>45</v>
      </c>
      <c r="J1049" t="s">
        <v>34</v>
      </c>
      <c r="K1049" t="s">
        <v>55</v>
      </c>
      <c r="L1049" s="6">
        <v>74700.88</v>
      </c>
      <c r="M1049">
        <v>60653.440000000002</v>
      </c>
      <c r="N1049" t="s">
        <v>91</v>
      </c>
      <c r="O1049">
        <v>10</v>
      </c>
      <c r="P1049">
        <v>28</v>
      </c>
      <c r="Q1049">
        <v>4</v>
      </c>
      <c r="R1049">
        <v>120</v>
      </c>
      <c r="S1049">
        <v>157.1</v>
      </c>
      <c r="T1049" t="s">
        <v>37</v>
      </c>
      <c r="U1049" s="7">
        <f t="shared" si="64"/>
        <v>72</v>
      </c>
      <c r="V1049" s="7">
        <f t="shared" si="65"/>
        <v>-108</v>
      </c>
      <c r="W1049" s="6">
        <f t="shared" si="66"/>
        <v>14047.440000000002</v>
      </c>
      <c r="X1049" t="str">
        <f t="shared" si="67"/>
        <v>Senior</v>
      </c>
    </row>
    <row r="1050" spans="1:24">
      <c r="A1050" t="s">
        <v>4162</v>
      </c>
      <c r="B1050" t="s">
        <v>560</v>
      </c>
      <c r="C1050" t="s">
        <v>133</v>
      </c>
      <c r="D1050" s="5">
        <v>37934</v>
      </c>
      <c r="E1050" s="5">
        <v>45630</v>
      </c>
      <c r="F1050" s="5">
        <v>45646</v>
      </c>
      <c r="G1050" t="s">
        <v>94</v>
      </c>
      <c r="H1050" t="s">
        <v>78</v>
      </c>
      <c r="I1050" t="s">
        <v>33</v>
      </c>
      <c r="J1050" t="s">
        <v>71</v>
      </c>
      <c r="K1050" t="s">
        <v>161</v>
      </c>
      <c r="L1050" s="6">
        <v>150681.14000000001</v>
      </c>
      <c r="M1050">
        <v>141637.49</v>
      </c>
      <c r="N1050" t="s">
        <v>73</v>
      </c>
      <c r="O1050">
        <v>16</v>
      </c>
      <c r="P1050">
        <v>138</v>
      </c>
      <c r="Q1050">
        <v>5</v>
      </c>
      <c r="R1050">
        <v>168</v>
      </c>
      <c r="S1050">
        <v>207.5</v>
      </c>
      <c r="T1050" t="s">
        <v>37</v>
      </c>
      <c r="U1050" s="7">
        <f t="shared" si="64"/>
        <v>21</v>
      </c>
      <c r="V1050" s="7">
        <f t="shared" si="65"/>
        <v>16</v>
      </c>
      <c r="W1050" s="6">
        <f t="shared" si="66"/>
        <v>9043.6500000000233</v>
      </c>
      <c r="X1050" t="str">
        <f t="shared" si="67"/>
        <v>Adult</v>
      </c>
    </row>
    <row r="1051" spans="1:24">
      <c r="A1051" t="s">
        <v>2453</v>
      </c>
      <c r="B1051" t="s">
        <v>697</v>
      </c>
      <c r="C1051" t="s">
        <v>133</v>
      </c>
      <c r="D1051" s="5">
        <v>24259</v>
      </c>
      <c r="E1051" s="5">
        <v>45821</v>
      </c>
      <c r="F1051" s="5">
        <v>45828</v>
      </c>
      <c r="G1051" t="s">
        <v>105</v>
      </c>
      <c r="H1051" t="s">
        <v>78</v>
      </c>
      <c r="I1051" t="s">
        <v>45</v>
      </c>
      <c r="J1051" t="s">
        <v>46</v>
      </c>
      <c r="K1051" t="s">
        <v>120</v>
      </c>
      <c r="L1051" s="6">
        <v>38475.89</v>
      </c>
      <c r="M1051">
        <v>33664.160000000003</v>
      </c>
      <c r="N1051" t="s">
        <v>73</v>
      </c>
      <c r="O1051">
        <v>7</v>
      </c>
      <c r="P1051">
        <v>32</v>
      </c>
      <c r="Q1051">
        <v>2</v>
      </c>
      <c r="R1051">
        <v>104</v>
      </c>
      <c r="S1051">
        <v>87.2</v>
      </c>
      <c r="T1051" t="s">
        <v>37</v>
      </c>
      <c r="U1051" s="7">
        <f t="shared" si="64"/>
        <v>59</v>
      </c>
      <c r="V1051" s="7">
        <f t="shared" si="65"/>
        <v>7</v>
      </c>
      <c r="W1051" s="6">
        <f t="shared" si="66"/>
        <v>4811.7299999999959</v>
      </c>
      <c r="X1051" t="str">
        <f t="shared" si="67"/>
        <v>Middle Age</v>
      </c>
    </row>
    <row r="1052" spans="1:24">
      <c r="A1052" t="s">
        <v>2456</v>
      </c>
      <c r="B1052" t="s">
        <v>972</v>
      </c>
      <c r="C1052" t="s">
        <v>40</v>
      </c>
      <c r="D1052" s="5">
        <v>37543</v>
      </c>
      <c r="E1052" s="5">
        <v>45168</v>
      </c>
      <c r="F1052" s="5">
        <v>45185</v>
      </c>
      <c r="G1052" t="s">
        <v>152</v>
      </c>
      <c r="H1052" t="s">
        <v>124</v>
      </c>
      <c r="I1052" t="s">
        <v>33</v>
      </c>
      <c r="J1052" t="s">
        <v>80</v>
      </c>
      <c r="K1052" t="s">
        <v>55</v>
      </c>
      <c r="L1052" s="6">
        <v>163581.51</v>
      </c>
      <c r="M1052">
        <v>98646.34</v>
      </c>
      <c r="N1052" t="s">
        <v>192</v>
      </c>
      <c r="O1052">
        <v>17</v>
      </c>
      <c r="P1052">
        <v>141</v>
      </c>
      <c r="Q1052">
        <v>1</v>
      </c>
      <c r="R1052">
        <v>187</v>
      </c>
      <c r="S1052">
        <v>77.599999999999994</v>
      </c>
      <c r="T1052" t="s">
        <v>47</v>
      </c>
      <c r="U1052" s="7">
        <f t="shared" si="64"/>
        <v>20</v>
      </c>
      <c r="V1052" s="7">
        <f t="shared" si="65"/>
        <v>17</v>
      </c>
      <c r="W1052" s="6">
        <f t="shared" si="66"/>
        <v>64935.170000000013</v>
      </c>
      <c r="X1052" t="str">
        <f t="shared" si="67"/>
        <v>Adult</v>
      </c>
    </row>
    <row r="1053" spans="1:24">
      <c r="A1053" t="s">
        <v>2457</v>
      </c>
      <c r="B1053" t="s">
        <v>1480</v>
      </c>
      <c r="C1053" t="s">
        <v>40</v>
      </c>
      <c r="D1053" s="5">
        <v>39719</v>
      </c>
      <c r="E1053" s="5">
        <v>45135</v>
      </c>
      <c r="F1053" s="5">
        <v>45140</v>
      </c>
      <c r="G1053" t="s">
        <v>109</v>
      </c>
      <c r="H1053" t="s">
        <v>78</v>
      </c>
      <c r="I1053" t="s">
        <v>96</v>
      </c>
      <c r="J1053" t="s">
        <v>34</v>
      </c>
      <c r="K1053" t="s">
        <v>110</v>
      </c>
      <c r="L1053" s="6">
        <v>243006.34</v>
      </c>
      <c r="M1053">
        <v>214490.78</v>
      </c>
      <c r="N1053" t="s">
        <v>56</v>
      </c>
      <c r="O1053">
        <v>5</v>
      </c>
      <c r="P1053">
        <v>143</v>
      </c>
      <c r="Q1053">
        <v>5</v>
      </c>
      <c r="R1053">
        <v>147</v>
      </c>
      <c r="S1053">
        <v>128</v>
      </c>
      <c r="T1053" t="s">
        <v>37</v>
      </c>
      <c r="U1053" s="7">
        <f t="shared" si="64"/>
        <v>14</v>
      </c>
      <c r="V1053" s="7">
        <f t="shared" si="65"/>
        <v>5</v>
      </c>
      <c r="W1053" s="6">
        <f t="shared" si="66"/>
        <v>28515.559999999998</v>
      </c>
      <c r="X1053" t="str">
        <f t="shared" si="67"/>
        <v>Child</v>
      </c>
    </row>
    <row r="1054" spans="1:24">
      <c r="A1054" t="s">
        <v>2458</v>
      </c>
      <c r="B1054" t="s">
        <v>1263</v>
      </c>
      <c r="C1054" t="s">
        <v>40</v>
      </c>
      <c r="D1054" s="5">
        <v>28930</v>
      </c>
      <c r="E1054" s="5">
        <v>45615</v>
      </c>
      <c r="F1054" s="5" t="s">
        <v>4237</v>
      </c>
      <c r="G1054" t="s">
        <v>109</v>
      </c>
      <c r="H1054" t="s">
        <v>63</v>
      </c>
      <c r="I1054" t="s">
        <v>53</v>
      </c>
      <c r="J1054" t="s">
        <v>64</v>
      </c>
      <c r="K1054" t="s">
        <v>55</v>
      </c>
      <c r="L1054" s="6">
        <v>208464.49</v>
      </c>
      <c r="M1054">
        <v>172430.77</v>
      </c>
      <c r="N1054" t="s">
        <v>4237</v>
      </c>
      <c r="O1054">
        <v>18</v>
      </c>
      <c r="P1054">
        <v>226</v>
      </c>
      <c r="Q1054">
        <v>4</v>
      </c>
      <c r="R1054">
        <v>141</v>
      </c>
      <c r="S1054">
        <v>244.7</v>
      </c>
      <c r="T1054" t="s">
        <v>37</v>
      </c>
      <c r="U1054" s="7">
        <f t="shared" si="64"/>
        <v>45</v>
      </c>
      <c r="V1054" s="7" t="s">
        <v>4237</v>
      </c>
      <c r="W1054" s="6">
        <f t="shared" si="66"/>
        <v>36033.72</v>
      </c>
      <c r="X1054" t="str">
        <f t="shared" si="67"/>
        <v>Middle Age</v>
      </c>
    </row>
    <row r="1055" spans="1:24">
      <c r="A1055" t="s">
        <v>2459</v>
      </c>
      <c r="B1055" t="s">
        <v>604</v>
      </c>
      <c r="C1055" t="s">
        <v>133</v>
      </c>
      <c r="D1055" s="5" t="s">
        <v>4237</v>
      </c>
      <c r="E1055" s="5">
        <v>45363</v>
      </c>
      <c r="F1055" s="5" t="s">
        <v>4237</v>
      </c>
      <c r="G1055" t="s">
        <v>152</v>
      </c>
      <c r="H1055" t="s">
        <v>153</v>
      </c>
      <c r="I1055" t="s">
        <v>33</v>
      </c>
      <c r="J1055" t="s">
        <v>64</v>
      </c>
      <c r="K1055" t="s">
        <v>27</v>
      </c>
      <c r="L1055" s="6">
        <v>110153.64</v>
      </c>
      <c r="M1055">
        <v>78284.87</v>
      </c>
      <c r="N1055" t="s">
        <v>192</v>
      </c>
      <c r="O1055">
        <v>14</v>
      </c>
      <c r="P1055">
        <v>174</v>
      </c>
      <c r="Q1055">
        <v>2</v>
      </c>
      <c r="R1055">
        <v>179</v>
      </c>
      <c r="S1055">
        <v>180.5</v>
      </c>
      <c r="T1055" t="s">
        <v>65</v>
      </c>
      <c r="U1055" s="7" t="s">
        <v>4237</v>
      </c>
      <c r="V1055" s="7" t="s">
        <v>4237</v>
      </c>
      <c r="W1055" s="6">
        <f t="shared" si="66"/>
        <v>31868.770000000004</v>
      </c>
      <c r="X1055" t="s">
        <v>4237</v>
      </c>
    </row>
    <row r="1056" spans="1:24">
      <c r="A1056" t="s">
        <v>2462</v>
      </c>
      <c r="B1056" t="s">
        <v>909</v>
      </c>
      <c r="C1056" t="s">
        <v>40</v>
      </c>
      <c r="D1056" s="5">
        <v>39490</v>
      </c>
      <c r="E1056" s="5">
        <v>45765</v>
      </c>
      <c r="F1056" s="5">
        <v>45783</v>
      </c>
      <c r="G1056" t="s">
        <v>62</v>
      </c>
      <c r="H1056" t="s">
        <v>153</v>
      </c>
      <c r="I1056" t="s">
        <v>53</v>
      </c>
      <c r="J1056" t="s">
        <v>80</v>
      </c>
      <c r="K1056" t="s">
        <v>55</v>
      </c>
      <c r="L1056" s="6">
        <v>217283.31</v>
      </c>
      <c r="M1056">
        <v>215072.75</v>
      </c>
      <c r="N1056" t="s">
        <v>56</v>
      </c>
      <c r="O1056">
        <v>18</v>
      </c>
      <c r="P1056">
        <v>212</v>
      </c>
      <c r="Q1056">
        <v>4</v>
      </c>
      <c r="R1056">
        <v>93</v>
      </c>
      <c r="S1056">
        <v>194.9</v>
      </c>
      <c r="T1056" t="s">
        <v>65</v>
      </c>
      <c r="U1056" s="7">
        <f t="shared" si="64"/>
        <v>17</v>
      </c>
      <c r="V1056" s="7">
        <f t="shared" si="65"/>
        <v>18</v>
      </c>
      <c r="W1056" s="6">
        <f t="shared" si="66"/>
        <v>2210.5599999999977</v>
      </c>
      <c r="X1056" t="str">
        <f t="shared" si="67"/>
        <v>Child</v>
      </c>
    </row>
    <row r="1057" spans="1:24">
      <c r="A1057" t="s">
        <v>2464</v>
      </c>
      <c r="B1057" t="s">
        <v>373</v>
      </c>
      <c r="C1057" t="s">
        <v>133</v>
      </c>
      <c r="D1057" s="5">
        <v>37218</v>
      </c>
      <c r="E1057" s="5">
        <v>45934</v>
      </c>
      <c r="F1057" s="5">
        <v>45937</v>
      </c>
      <c r="G1057" t="s">
        <v>152</v>
      </c>
      <c r="H1057" t="s">
        <v>113</v>
      </c>
      <c r="I1057" t="s">
        <v>53</v>
      </c>
      <c r="J1057" t="s">
        <v>71</v>
      </c>
      <c r="K1057" t="s">
        <v>55</v>
      </c>
      <c r="L1057" s="6">
        <v>76317.240000000005</v>
      </c>
      <c r="M1057">
        <v>63000.72</v>
      </c>
      <c r="N1057" t="s">
        <v>91</v>
      </c>
      <c r="O1057">
        <v>3</v>
      </c>
      <c r="P1057">
        <v>225</v>
      </c>
      <c r="Q1057">
        <v>2</v>
      </c>
      <c r="R1057">
        <v>103</v>
      </c>
      <c r="S1057">
        <v>94.7</v>
      </c>
      <c r="T1057" t="s">
        <v>37</v>
      </c>
      <c r="U1057" s="7">
        <f t="shared" si="64"/>
        <v>23</v>
      </c>
      <c r="V1057" s="7">
        <f t="shared" si="65"/>
        <v>3</v>
      </c>
      <c r="W1057" s="6">
        <f t="shared" si="66"/>
        <v>13316.520000000004</v>
      </c>
      <c r="X1057" t="str">
        <f t="shared" si="67"/>
        <v>Adult</v>
      </c>
    </row>
    <row r="1058" spans="1:24">
      <c r="A1058" t="s">
        <v>2465</v>
      </c>
      <c r="B1058" t="s">
        <v>283</v>
      </c>
      <c r="C1058" t="s">
        <v>133</v>
      </c>
      <c r="D1058" s="5">
        <v>38606</v>
      </c>
      <c r="E1058" s="5">
        <v>45978</v>
      </c>
      <c r="F1058" s="5">
        <v>45991</v>
      </c>
      <c r="G1058" t="s">
        <v>105</v>
      </c>
      <c r="H1058" t="s">
        <v>134</v>
      </c>
      <c r="I1058" t="s">
        <v>119</v>
      </c>
      <c r="J1058" t="s">
        <v>71</v>
      </c>
      <c r="K1058" t="s">
        <v>120</v>
      </c>
      <c r="L1058" s="6">
        <v>22276.46</v>
      </c>
      <c r="M1058">
        <v>16697.86</v>
      </c>
      <c r="N1058" t="s">
        <v>192</v>
      </c>
      <c r="O1058">
        <v>13</v>
      </c>
      <c r="P1058">
        <v>223</v>
      </c>
      <c r="Q1058">
        <v>4</v>
      </c>
      <c r="R1058">
        <v>177</v>
      </c>
      <c r="S1058">
        <v>169.2</v>
      </c>
      <c r="T1058" t="s">
        <v>65</v>
      </c>
      <c r="U1058" s="7">
        <f t="shared" si="64"/>
        <v>20</v>
      </c>
      <c r="V1058" s="7">
        <f t="shared" si="65"/>
        <v>13</v>
      </c>
      <c r="W1058" s="6">
        <f t="shared" si="66"/>
        <v>5578.5999999999985</v>
      </c>
      <c r="X1058" t="str">
        <f t="shared" si="67"/>
        <v>Adult</v>
      </c>
    </row>
    <row r="1059" spans="1:24">
      <c r="A1059" t="s">
        <v>2466</v>
      </c>
      <c r="B1059" t="s">
        <v>522</v>
      </c>
      <c r="C1059" t="s">
        <v>40</v>
      </c>
      <c r="D1059" s="5">
        <v>30442</v>
      </c>
      <c r="E1059" s="5">
        <v>45954</v>
      </c>
      <c r="F1059" s="5" t="s">
        <v>4237</v>
      </c>
      <c r="G1059" t="s">
        <v>109</v>
      </c>
      <c r="H1059" t="s">
        <v>95</v>
      </c>
      <c r="I1059" t="s">
        <v>96</v>
      </c>
      <c r="J1059" t="s">
        <v>34</v>
      </c>
      <c r="K1059" t="s">
        <v>55</v>
      </c>
      <c r="L1059" s="6">
        <v>221148.51</v>
      </c>
      <c r="M1059">
        <v>98646.34</v>
      </c>
      <c r="N1059" t="s">
        <v>192</v>
      </c>
      <c r="O1059">
        <v>6</v>
      </c>
      <c r="P1059">
        <v>67</v>
      </c>
      <c r="Q1059">
        <v>2</v>
      </c>
      <c r="R1059">
        <v>175</v>
      </c>
      <c r="S1059">
        <v>111.8</v>
      </c>
      <c r="T1059" t="s">
        <v>4237</v>
      </c>
      <c r="U1059" s="7">
        <f t="shared" si="64"/>
        <v>42</v>
      </c>
      <c r="V1059" s="7" t="s">
        <v>4237</v>
      </c>
      <c r="W1059" s="6">
        <f t="shared" si="66"/>
        <v>122502.17000000001</v>
      </c>
      <c r="X1059" t="str">
        <f t="shared" si="67"/>
        <v>Middle Age</v>
      </c>
    </row>
    <row r="1060" spans="1:24">
      <c r="A1060" t="s">
        <v>2468</v>
      </c>
      <c r="B1060" t="s">
        <v>1888</v>
      </c>
      <c r="C1060" t="s">
        <v>40</v>
      </c>
      <c r="D1060" s="5">
        <v>40163</v>
      </c>
      <c r="E1060" s="5">
        <v>45724</v>
      </c>
      <c r="F1060" s="5">
        <v>45729</v>
      </c>
      <c r="G1060" t="s">
        <v>89</v>
      </c>
      <c r="H1060" t="s">
        <v>153</v>
      </c>
      <c r="I1060" t="s">
        <v>119</v>
      </c>
      <c r="J1060" t="s">
        <v>97</v>
      </c>
      <c r="K1060" t="s">
        <v>55</v>
      </c>
      <c r="L1060" s="6">
        <v>119121.57</v>
      </c>
      <c r="M1060">
        <v>89930.53</v>
      </c>
      <c r="N1060" t="s">
        <v>35</v>
      </c>
      <c r="O1060">
        <v>5</v>
      </c>
      <c r="P1060">
        <v>101</v>
      </c>
      <c r="Q1060">
        <v>1</v>
      </c>
      <c r="R1060">
        <v>182</v>
      </c>
      <c r="S1060">
        <v>116.2</v>
      </c>
      <c r="T1060" t="s">
        <v>37</v>
      </c>
      <c r="U1060" s="7">
        <f t="shared" si="64"/>
        <v>15</v>
      </c>
      <c r="V1060" s="7">
        <f t="shared" si="65"/>
        <v>5</v>
      </c>
      <c r="W1060" s="6">
        <f t="shared" si="66"/>
        <v>29191.040000000008</v>
      </c>
      <c r="X1060" t="str">
        <f t="shared" si="67"/>
        <v>Child</v>
      </c>
    </row>
    <row r="1061" spans="1:24">
      <c r="A1061" t="s">
        <v>2469</v>
      </c>
      <c r="B1061" t="s">
        <v>1026</v>
      </c>
      <c r="C1061" t="s">
        <v>40</v>
      </c>
      <c r="D1061" s="5">
        <v>29322</v>
      </c>
      <c r="E1061" s="5">
        <v>45797</v>
      </c>
      <c r="F1061" s="5">
        <v>45803</v>
      </c>
      <c r="G1061" t="s">
        <v>152</v>
      </c>
      <c r="H1061" t="s">
        <v>124</v>
      </c>
      <c r="I1061" t="s">
        <v>33</v>
      </c>
      <c r="J1061" t="s">
        <v>34</v>
      </c>
      <c r="K1061" t="s">
        <v>27</v>
      </c>
      <c r="L1061" s="6">
        <v>161968.38</v>
      </c>
      <c r="M1061">
        <v>116095.76</v>
      </c>
      <c r="N1061" t="s">
        <v>4237</v>
      </c>
      <c r="O1061">
        <v>6</v>
      </c>
      <c r="P1061">
        <v>89</v>
      </c>
      <c r="Q1061">
        <v>4</v>
      </c>
      <c r="R1061">
        <v>133</v>
      </c>
      <c r="S1061">
        <v>170.8</v>
      </c>
      <c r="T1061" t="s">
        <v>4237</v>
      </c>
      <c r="U1061" s="7">
        <f t="shared" si="64"/>
        <v>45</v>
      </c>
      <c r="V1061" s="7">
        <f t="shared" si="65"/>
        <v>6</v>
      </c>
      <c r="W1061" s="6">
        <f t="shared" si="66"/>
        <v>45872.62000000001</v>
      </c>
      <c r="X1061" t="str">
        <f t="shared" si="67"/>
        <v>Middle Age</v>
      </c>
    </row>
    <row r="1062" spans="1:24">
      <c r="A1062" t="s">
        <v>2470</v>
      </c>
      <c r="B1062" t="s">
        <v>2594</v>
      </c>
      <c r="C1062" t="s">
        <v>133</v>
      </c>
      <c r="D1062" s="5">
        <v>36648</v>
      </c>
      <c r="E1062" s="5">
        <v>45239</v>
      </c>
      <c r="F1062" s="5">
        <v>45250</v>
      </c>
      <c r="G1062" t="s">
        <v>109</v>
      </c>
      <c r="H1062" t="s">
        <v>134</v>
      </c>
      <c r="I1062" t="s">
        <v>45</v>
      </c>
      <c r="J1062" t="s">
        <v>64</v>
      </c>
      <c r="K1062" t="s">
        <v>120</v>
      </c>
      <c r="L1062" s="6">
        <v>199451.54</v>
      </c>
      <c r="M1062">
        <v>169540.41</v>
      </c>
      <c r="N1062" t="s">
        <v>73</v>
      </c>
      <c r="O1062">
        <v>11</v>
      </c>
      <c r="P1062">
        <v>80</v>
      </c>
      <c r="Q1062">
        <v>2</v>
      </c>
      <c r="R1062">
        <v>103</v>
      </c>
      <c r="S1062">
        <v>149</v>
      </c>
      <c r="T1062" t="s">
        <v>37</v>
      </c>
      <c r="U1062" s="7">
        <f t="shared" si="64"/>
        <v>23</v>
      </c>
      <c r="V1062" s="7">
        <f t="shared" si="65"/>
        <v>11</v>
      </c>
      <c r="W1062" s="6">
        <f t="shared" si="66"/>
        <v>29911.130000000005</v>
      </c>
      <c r="X1062" t="str">
        <f t="shared" si="67"/>
        <v>Adult</v>
      </c>
    </row>
    <row r="1063" spans="1:24">
      <c r="A1063" t="s">
        <v>2473</v>
      </c>
      <c r="B1063" t="s">
        <v>689</v>
      </c>
      <c r="C1063" t="s">
        <v>40</v>
      </c>
      <c r="D1063" s="5">
        <v>18392</v>
      </c>
      <c r="E1063" s="5">
        <v>45981</v>
      </c>
      <c r="F1063" s="5">
        <v>45990</v>
      </c>
      <c r="G1063" t="s">
        <v>43</v>
      </c>
      <c r="H1063" t="s">
        <v>32</v>
      </c>
      <c r="I1063" t="s">
        <v>45</v>
      </c>
      <c r="J1063" t="s">
        <v>64</v>
      </c>
      <c r="K1063" t="s">
        <v>55</v>
      </c>
      <c r="L1063" s="6">
        <v>48884.55</v>
      </c>
      <c r="M1063">
        <v>43364.5</v>
      </c>
      <c r="N1063" t="s">
        <v>73</v>
      </c>
      <c r="O1063">
        <v>9</v>
      </c>
      <c r="P1063">
        <v>23</v>
      </c>
      <c r="Q1063">
        <v>3</v>
      </c>
      <c r="R1063">
        <v>126</v>
      </c>
      <c r="S1063">
        <v>173.4</v>
      </c>
      <c r="T1063" t="s">
        <v>65</v>
      </c>
      <c r="U1063" s="7">
        <f t="shared" si="64"/>
        <v>75</v>
      </c>
      <c r="V1063" s="7">
        <f t="shared" si="65"/>
        <v>9</v>
      </c>
      <c r="W1063" s="6">
        <f t="shared" si="66"/>
        <v>5520.0500000000029</v>
      </c>
      <c r="X1063" t="str">
        <f t="shared" si="67"/>
        <v>Senior</v>
      </c>
    </row>
    <row r="1064" spans="1:24">
      <c r="A1064" t="s">
        <v>2476</v>
      </c>
      <c r="B1064" t="s">
        <v>458</v>
      </c>
      <c r="C1064" t="s">
        <v>133</v>
      </c>
      <c r="D1064" s="5">
        <v>22106</v>
      </c>
      <c r="E1064" s="5">
        <v>44992</v>
      </c>
      <c r="F1064" s="5">
        <v>45008</v>
      </c>
      <c r="G1064" t="s">
        <v>152</v>
      </c>
      <c r="H1064" t="s">
        <v>95</v>
      </c>
      <c r="I1064" t="s">
        <v>119</v>
      </c>
      <c r="J1064" t="s">
        <v>80</v>
      </c>
      <c r="K1064" t="s">
        <v>27</v>
      </c>
      <c r="L1064" s="6">
        <v>17141.330000000002</v>
      </c>
      <c r="M1064">
        <v>16853.64</v>
      </c>
      <c r="N1064" t="s">
        <v>73</v>
      </c>
      <c r="O1064">
        <v>16</v>
      </c>
      <c r="P1064">
        <v>17</v>
      </c>
      <c r="Q1064">
        <v>4</v>
      </c>
      <c r="R1064">
        <v>121</v>
      </c>
      <c r="S1064">
        <v>179.4</v>
      </c>
      <c r="T1064" t="s">
        <v>37</v>
      </c>
      <c r="U1064" s="7">
        <f t="shared" si="64"/>
        <v>62</v>
      </c>
      <c r="V1064" s="7">
        <f t="shared" si="65"/>
        <v>16</v>
      </c>
      <c r="W1064" s="6">
        <f t="shared" si="66"/>
        <v>287.69000000000233</v>
      </c>
      <c r="X1064" t="str">
        <f t="shared" si="67"/>
        <v>Senior</v>
      </c>
    </row>
    <row r="1065" spans="1:24">
      <c r="A1065" t="s">
        <v>2478</v>
      </c>
      <c r="B1065" t="s">
        <v>1140</v>
      </c>
      <c r="C1065" t="s">
        <v>40</v>
      </c>
      <c r="D1065" s="5">
        <v>19259</v>
      </c>
      <c r="E1065" s="5">
        <v>44961</v>
      </c>
      <c r="F1065" s="5">
        <v>44965</v>
      </c>
      <c r="G1065" t="s">
        <v>94</v>
      </c>
      <c r="H1065" t="s">
        <v>86</v>
      </c>
      <c r="I1065" t="s">
        <v>33</v>
      </c>
      <c r="J1065" t="s">
        <v>71</v>
      </c>
      <c r="K1065" t="s">
        <v>110</v>
      </c>
      <c r="L1065" s="6">
        <v>209832.04</v>
      </c>
      <c r="M1065">
        <v>167408.87</v>
      </c>
      <c r="N1065" t="s">
        <v>35</v>
      </c>
      <c r="O1065">
        <v>4</v>
      </c>
      <c r="P1065">
        <v>122</v>
      </c>
      <c r="Q1065">
        <v>1</v>
      </c>
      <c r="R1065">
        <v>106</v>
      </c>
      <c r="S1065">
        <v>190.8</v>
      </c>
      <c r="T1065" t="s">
        <v>37</v>
      </c>
      <c r="U1065" s="7">
        <f t="shared" si="64"/>
        <v>70</v>
      </c>
      <c r="V1065" s="7">
        <f t="shared" si="65"/>
        <v>4</v>
      </c>
      <c r="W1065" s="6">
        <f t="shared" si="66"/>
        <v>42423.170000000013</v>
      </c>
      <c r="X1065" t="str">
        <f t="shared" si="67"/>
        <v>Senior</v>
      </c>
    </row>
    <row r="1066" spans="1:24">
      <c r="A1066" t="s">
        <v>2479</v>
      </c>
      <c r="B1066" t="s">
        <v>283</v>
      </c>
      <c r="C1066" t="s">
        <v>40</v>
      </c>
      <c r="D1066" s="5">
        <v>26217</v>
      </c>
      <c r="E1066" s="5">
        <v>45686</v>
      </c>
      <c r="F1066" s="5" t="s">
        <v>4237</v>
      </c>
      <c r="G1066" t="s">
        <v>105</v>
      </c>
      <c r="H1066" t="s">
        <v>63</v>
      </c>
      <c r="I1066" t="s">
        <v>45</v>
      </c>
      <c r="J1066" t="s">
        <v>34</v>
      </c>
      <c r="K1066" t="s">
        <v>27</v>
      </c>
      <c r="L1066" s="6">
        <v>35665.93</v>
      </c>
      <c r="M1066">
        <v>26964.98</v>
      </c>
      <c r="N1066" t="s">
        <v>73</v>
      </c>
      <c r="O1066">
        <v>12</v>
      </c>
      <c r="P1066">
        <v>118</v>
      </c>
      <c r="Q1066">
        <v>2</v>
      </c>
      <c r="R1066">
        <v>128</v>
      </c>
      <c r="S1066">
        <v>167.6</v>
      </c>
      <c r="T1066" t="s">
        <v>65</v>
      </c>
      <c r="U1066" s="7">
        <f t="shared" si="64"/>
        <v>53</v>
      </c>
      <c r="V1066" s="7" t="s">
        <v>4237</v>
      </c>
      <c r="W1066" s="6">
        <f t="shared" si="66"/>
        <v>8700.9500000000007</v>
      </c>
      <c r="X1066" t="str">
        <f t="shared" si="67"/>
        <v>Middle Age</v>
      </c>
    </row>
    <row r="1067" spans="1:24">
      <c r="A1067" t="s">
        <v>2480</v>
      </c>
      <c r="B1067" t="s">
        <v>1050</v>
      </c>
      <c r="C1067" t="s">
        <v>40</v>
      </c>
      <c r="D1067" s="5">
        <v>21959</v>
      </c>
      <c r="E1067" s="5">
        <v>45568</v>
      </c>
      <c r="F1067" s="5">
        <v>45572</v>
      </c>
      <c r="G1067" t="s">
        <v>117</v>
      </c>
      <c r="H1067" t="s">
        <v>113</v>
      </c>
      <c r="I1067" t="s">
        <v>53</v>
      </c>
      <c r="J1067" t="s">
        <v>26</v>
      </c>
      <c r="K1067" t="s">
        <v>110</v>
      </c>
      <c r="L1067" s="6">
        <v>76593.929999999993</v>
      </c>
      <c r="M1067">
        <v>64907.83</v>
      </c>
      <c r="N1067" t="s">
        <v>35</v>
      </c>
      <c r="O1067">
        <v>4</v>
      </c>
      <c r="P1067">
        <v>186</v>
      </c>
      <c r="Q1067">
        <v>5</v>
      </c>
      <c r="R1067">
        <v>130</v>
      </c>
      <c r="S1067">
        <v>98.3</v>
      </c>
      <c r="T1067" t="s">
        <v>47</v>
      </c>
      <c r="U1067" s="7">
        <f t="shared" si="64"/>
        <v>64</v>
      </c>
      <c r="V1067" s="7">
        <f t="shared" si="65"/>
        <v>4</v>
      </c>
      <c r="W1067" s="6">
        <f t="shared" si="66"/>
        <v>11686.099999999991</v>
      </c>
      <c r="X1067" t="str">
        <f t="shared" si="67"/>
        <v>Senior</v>
      </c>
    </row>
    <row r="1068" spans="1:24">
      <c r="A1068" t="s">
        <v>2482</v>
      </c>
      <c r="B1068" t="s">
        <v>2483</v>
      </c>
      <c r="C1068" t="s">
        <v>40</v>
      </c>
      <c r="D1068" s="5">
        <v>34065</v>
      </c>
      <c r="E1068" s="5">
        <v>45114</v>
      </c>
      <c r="F1068" s="5">
        <v>45120</v>
      </c>
      <c r="G1068" t="s">
        <v>109</v>
      </c>
      <c r="H1068" t="s">
        <v>44</v>
      </c>
      <c r="I1068" t="s">
        <v>25</v>
      </c>
      <c r="J1068" t="s">
        <v>97</v>
      </c>
      <c r="K1068" t="s">
        <v>55</v>
      </c>
      <c r="L1068" s="6">
        <v>146730.51</v>
      </c>
      <c r="M1068">
        <v>107342.5</v>
      </c>
      <c r="N1068" t="s">
        <v>73</v>
      </c>
      <c r="O1068">
        <v>6</v>
      </c>
      <c r="P1068">
        <v>169</v>
      </c>
      <c r="Q1068">
        <v>1</v>
      </c>
      <c r="R1068">
        <v>163</v>
      </c>
      <c r="S1068">
        <v>117.6</v>
      </c>
      <c r="T1068" t="s">
        <v>47</v>
      </c>
      <c r="U1068" s="7">
        <f t="shared" si="64"/>
        <v>30</v>
      </c>
      <c r="V1068" s="7">
        <f t="shared" si="65"/>
        <v>6</v>
      </c>
      <c r="W1068" s="6">
        <f t="shared" si="66"/>
        <v>39388.010000000009</v>
      </c>
      <c r="X1068" t="str">
        <f t="shared" si="67"/>
        <v>Adult</v>
      </c>
    </row>
    <row r="1069" spans="1:24">
      <c r="A1069" t="s">
        <v>2484</v>
      </c>
      <c r="B1069" t="s">
        <v>604</v>
      </c>
      <c r="C1069" t="s">
        <v>133</v>
      </c>
      <c r="D1069" s="5">
        <v>20174</v>
      </c>
      <c r="E1069" s="5">
        <v>45411</v>
      </c>
      <c r="F1069" s="5">
        <v>45416</v>
      </c>
      <c r="G1069" t="s">
        <v>43</v>
      </c>
      <c r="H1069" t="s">
        <v>24</v>
      </c>
      <c r="I1069" t="s">
        <v>33</v>
      </c>
      <c r="J1069" t="s">
        <v>64</v>
      </c>
      <c r="K1069" t="s">
        <v>161</v>
      </c>
      <c r="L1069" s="6">
        <v>225260.99</v>
      </c>
      <c r="M1069">
        <v>222207.25</v>
      </c>
      <c r="N1069" t="s">
        <v>91</v>
      </c>
      <c r="O1069">
        <v>5</v>
      </c>
      <c r="P1069">
        <v>205</v>
      </c>
      <c r="Q1069">
        <v>2</v>
      </c>
      <c r="R1069">
        <v>116</v>
      </c>
      <c r="S1069">
        <v>222</v>
      </c>
      <c r="T1069" t="s">
        <v>4237</v>
      </c>
      <c r="U1069" s="7">
        <f t="shared" si="64"/>
        <v>69</v>
      </c>
      <c r="V1069" s="7">
        <f t="shared" si="65"/>
        <v>5</v>
      </c>
      <c r="W1069" s="6">
        <f t="shared" si="66"/>
        <v>3053.7399999999907</v>
      </c>
      <c r="X1069" t="str">
        <f t="shared" si="67"/>
        <v>Senior</v>
      </c>
    </row>
    <row r="1070" spans="1:24">
      <c r="A1070" t="s">
        <v>2485</v>
      </c>
      <c r="B1070" t="s">
        <v>1408</v>
      </c>
      <c r="C1070" t="s">
        <v>40</v>
      </c>
      <c r="D1070" s="5">
        <v>22501</v>
      </c>
      <c r="E1070" s="5">
        <v>45521</v>
      </c>
      <c r="F1070" s="5">
        <v>45526</v>
      </c>
      <c r="G1070" t="s">
        <v>161</v>
      </c>
      <c r="H1070" t="s">
        <v>124</v>
      </c>
      <c r="I1070" t="s">
        <v>25</v>
      </c>
      <c r="J1070" t="s">
        <v>97</v>
      </c>
      <c r="K1070" t="s">
        <v>55</v>
      </c>
      <c r="L1070" s="6">
        <v>155763.34</v>
      </c>
      <c r="M1070">
        <v>120790.75</v>
      </c>
      <c r="N1070" t="s">
        <v>56</v>
      </c>
      <c r="O1070">
        <v>5</v>
      </c>
      <c r="P1070">
        <v>133</v>
      </c>
      <c r="Q1070">
        <v>2</v>
      </c>
      <c r="R1070">
        <v>118</v>
      </c>
      <c r="S1070">
        <v>77.5</v>
      </c>
      <c r="T1070" t="s">
        <v>65</v>
      </c>
      <c r="U1070" s="7">
        <f t="shared" si="64"/>
        <v>63</v>
      </c>
      <c r="V1070" s="7">
        <f t="shared" si="65"/>
        <v>5</v>
      </c>
      <c r="W1070" s="6">
        <f t="shared" si="66"/>
        <v>34972.589999999997</v>
      </c>
      <c r="X1070" t="str">
        <f t="shared" si="67"/>
        <v>Senior</v>
      </c>
    </row>
    <row r="1071" spans="1:24">
      <c r="A1071" t="s">
        <v>2486</v>
      </c>
      <c r="B1071" t="s">
        <v>576</v>
      </c>
      <c r="C1071" t="s">
        <v>40</v>
      </c>
      <c r="D1071" s="5">
        <v>21097</v>
      </c>
      <c r="E1071" s="5">
        <v>45000</v>
      </c>
      <c r="F1071" s="5">
        <v>45017</v>
      </c>
      <c r="G1071" t="s">
        <v>152</v>
      </c>
      <c r="H1071" t="s">
        <v>86</v>
      </c>
      <c r="I1071" t="s">
        <v>45</v>
      </c>
      <c r="J1071" t="s">
        <v>46</v>
      </c>
      <c r="K1071" t="s">
        <v>55</v>
      </c>
      <c r="L1071" s="6">
        <v>99657.38</v>
      </c>
      <c r="M1071">
        <v>82347.509999999995</v>
      </c>
      <c r="N1071" t="s">
        <v>91</v>
      </c>
      <c r="O1071">
        <v>17</v>
      </c>
      <c r="P1071">
        <v>183</v>
      </c>
      <c r="Q1071">
        <v>4</v>
      </c>
      <c r="R1071">
        <v>102</v>
      </c>
      <c r="S1071">
        <v>154</v>
      </c>
      <c r="T1071" t="s">
        <v>47</v>
      </c>
      <c r="U1071" s="7">
        <f t="shared" si="64"/>
        <v>65</v>
      </c>
      <c r="V1071" s="7">
        <f t="shared" si="65"/>
        <v>17</v>
      </c>
      <c r="W1071" s="6">
        <f t="shared" si="66"/>
        <v>17309.87000000001</v>
      </c>
      <c r="X1071" t="str">
        <f t="shared" si="67"/>
        <v>Senior</v>
      </c>
    </row>
    <row r="1072" spans="1:24">
      <c r="A1072" t="s">
        <v>4163</v>
      </c>
      <c r="B1072" t="s">
        <v>503</v>
      </c>
      <c r="C1072" t="s">
        <v>40</v>
      </c>
      <c r="D1072" s="5">
        <v>34596</v>
      </c>
      <c r="E1072" s="5">
        <v>45115</v>
      </c>
      <c r="F1072" s="5">
        <v>45119</v>
      </c>
      <c r="G1072" t="s">
        <v>94</v>
      </c>
      <c r="H1072" t="s">
        <v>78</v>
      </c>
      <c r="I1072" t="s">
        <v>33</v>
      </c>
      <c r="J1072" t="s">
        <v>71</v>
      </c>
      <c r="K1072" t="s">
        <v>161</v>
      </c>
      <c r="L1072" s="6">
        <v>11351.77</v>
      </c>
      <c r="M1072">
        <v>8327.7099999999991</v>
      </c>
      <c r="N1072" t="s">
        <v>56</v>
      </c>
      <c r="O1072">
        <v>4</v>
      </c>
      <c r="P1072">
        <v>189</v>
      </c>
      <c r="Q1072">
        <v>4</v>
      </c>
      <c r="R1072">
        <v>190</v>
      </c>
      <c r="S1072">
        <v>100.2</v>
      </c>
      <c r="T1072" t="s">
        <v>47</v>
      </c>
      <c r="U1072" s="7">
        <f t="shared" si="64"/>
        <v>28</v>
      </c>
      <c r="V1072" s="7">
        <f t="shared" si="65"/>
        <v>4</v>
      </c>
      <c r="W1072" s="6">
        <f t="shared" si="66"/>
        <v>3024.0600000000013</v>
      </c>
      <c r="X1072" t="str">
        <f t="shared" si="67"/>
        <v>Adult</v>
      </c>
    </row>
    <row r="1073" spans="1:24">
      <c r="A1073" t="s">
        <v>2490</v>
      </c>
      <c r="B1073" t="s">
        <v>108</v>
      </c>
      <c r="C1073" t="s">
        <v>133</v>
      </c>
      <c r="D1073" s="5">
        <v>26661</v>
      </c>
      <c r="E1073" s="5">
        <v>45867</v>
      </c>
      <c r="F1073" s="5">
        <v>45872</v>
      </c>
      <c r="G1073" t="s">
        <v>94</v>
      </c>
      <c r="H1073" t="s">
        <v>134</v>
      </c>
      <c r="I1073" t="s">
        <v>45</v>
      </c>
      <c r="J1073" t="s">
        <v>26</v>
      </c>
      <c r="K1073" t="s">
        <v>120</v>
      </c>
      <c r="L1073" s="6">
        <v>100107.55</v>
      </c>
      <c r="M1073">
        <v>89960.76</v>
      </c>
      <c r="N1073" t="s">
        <v>35</v>
      </c>
      <c r="O1073">
        <v>5</v>
      </c>
      <c r="P1073">
        <v>169</v>
      </c>
      <c r="Q1073">
        <v>4</v>
      </c>
      <c r="R1073">
        <v>183</v>
      </c>
      <c r="S1073">
        <v>84.6</v>
      </c>
      <c r="T1073" t="s">
        <v>4237</v>
      </c>
      <c r="U1073" s="7">
        <f t="shared" si="64"/>
        <v>52</v>
      </c>
      <c r="V1073" s="7">
        <f t="shared" si="65"/>
        <v>5</v>
      </c>
      <c r="W1073" s="6">
        <f t="shared" si="66"/>
        <v>10146.790000000008</v>
      </c>
      <c r="X1073" t="str">
        <f t="shared" si="67"/>
        <v>Middle Age</v>
      </c>
    </row>
    <row r="1074" spans="1:24">
      <c r="A1074" t="s">
        <v>2491</v>
      </c>
      <c r="B1074" t="s">
        <v>891</v>
      </c>
      <c r="C1074" t="s">
        <v>133</v>
      </c>
      <c r="D1074" s="5">
        <v>27607</v>
      </c>
      <c r="E1074" s="5">
        <v>44954</v>
      </c>
      <c r="F1074" s="5">
        <v>44966</v>
      </c>
      <c r="G1074" t="s">
        <v>109</v>
      </c>
      <c r="H1074" t="s">
        <v>134</v>
      </c>
      <c r="I1074" t="s">
        <v>79</v>
      </c>
      <c r="J1074" t="s">
        <v>34</v>
      </c>
      <c r="K1074" t="s">
        <v>55</v>
      </c>
      <c r="L1074" s="6">
        <v>172388.67</v>
      </c>
      <c r="M1074">
        <v>165215.41</v>
      </c>
      <c r="N1074" t="s">
        <v>35</v>
      </c>
      <c r="O1074">
        <v>12</v>
      </c>
      <c r="P1074">
        <v>40</v>
      </c>
      <c r="Q1074">
        <v>4</v>
      </c>
      <c r="R1074">
        <v>117</v>
      </c>
      <c r="S1074">
        <v>201.1</v>
      </c>
      <c r="T1074" t="s">
        <v>37</v>
      </c>
      <c r="U1074" s="7">
        <f t="shared" si="64"/>
        <v>47</v>
      </c>
      <c r="V1074" s="7">
        <f t="shared" si="65"/>
        <v>12</v>
      </c>
      <c r="W1074" s="6">
        <f t="shared" si="66"/>
        <v>7173.2600000000093</v>
      </c>
      <c r="X1074" t="str">
        <f t="shared" si="67"/>
        <v>Middle Age</v>
      </c>
    </row>
    <row r="1075" spans="1:24">
      <c r="A1075" t="s">
        <v>4164</v>
      </c>
      <c r="B1075" t="s">
        <v>756</v>
      </c>
      <c r="C1075" t="s">
        <v>40</v>
      </c>
      <c r="D1075" s="5">
        <v>22381</v>
      </c>
      <c r="E1075" s="5">
        <v>45368</v>
      </c>
      <c r="F1075" s="5">
        <v>45369</v>
      </c>
      <c r="G1075" t="s">
        <v>43</v>
      </c>
      <c r="H1075" t="s">
        <v>63</v>
      </c>
      <c r="I1075" t="s">
        <v>33</v>
      </c>
      <c r="J1075" t="s">
        <v>64</v>
      </c>
      <c r="K1075" t="s">
        <v>27</v>
      </c>
      <c r="L1075" s="6">
        <v>73115.259999999995</v>
      </c>
      <c r="M1075">
        <v>53603.46</v>
      </c>
      <c r="N1075" t="s">
        <v>192</v>
      </c>
      <c r="O1075">
        <v>1</v>
      </c>
      <c r="P1075">
        <v>139</v>
      </c>
      <c r="Q1075">
        <v>4</v>
      </c>
      <c r="R1075">
        <v>114</v>
      </c>
      <c r="S1075">
        <v>188.4</v>
      </c>
      <c r="T1075" t="s">
        <v>4237</v>
      </c>
      <c r="U1075" s="7">
        <f t="shared" si="64"/>
        <v>62</v>
      </c>
      <c r="V1075" s="7">
        <f t="shared" si="65"/>
        <v>1</v>
      </c>
      <c r="W1075" s="6">
        <f t="shared" si="66"/>
        <v>19511.799999999996</v>
      </c>
      <c r="X1075" t="str">
        <f t="shared" si="67"/>
        <v>Senior</v>
      </c>
    </row>
    <row r="1076" spans="1:24">
      <c r="A1076" t="s">
        <v>2495</v>
      </c>
      <c r="B1076" t="s">
        <v>785</v>
      </c>
      <c r="C1076" t="s">
        <v>40</v>
      </c>
      <c r="D1076" s="5">
        <v>31222</v>
      </c>
      <c r="E1076" s="5">
        <v>45488</v>
      </c>
      <c r="F1076" s="5">
        <v>45500</v>
      </c>
      <c r="G1076" t="s">
        <v>94</v>
      </c>
      <c r="H1076" t="s">
        <v>52</v>
      </c>
      <c r="I1076" t="s">
        <v>45</v>
      </c>
      <c r="J1076" t="s">
        <v>64</v>
      </c>
      <c r="K1076" t="s">
        <v>27</v>
      </c>
      <c r="L1076" s="6">
        <v>192900.75</v>
      </c>
      <c r="M1076">
        <v>171257.31</v>
      </c>
      <c r="N1076" t="s">
        <v>192</v>
      </c>
      <c r="O1076">
        <v>12</v>
      </c>
      <c r="P1076">
        <v>205</v>
      </c>
      <c r="Q1076">
        <v>1</v>
      </c>
      <c r="R1076">
        <v>117</v>
      </c>
      <c r="S1076">
        <v>244.7</v>
      </c>
      <c r="T1076" t="s">
        <v>37</v>
      </c>
      <c r="U1076" s="7">
        <f t="shared" si="64"/>
        <v>39</v>
      </c>
      <c r="V1076" s="7">
        <f t="shared" si="65"/>
        <v>12</v>
      </c>
      <c r="W1076" s="6">
        <f t="shared" si="66"/>
        <v>21643.440000000002</v>
      </c>
      <c r="X1076" t="str">
        <f t="shared" si="67"/>
        <v>Adult</v>
      </c>
    </row>
    <row r="1077" spans="1:24">
      <c r="A1077" t="s">
        <v>2496</v>
      </c>
      <c r="B1077" t="s">
        <v>1748</v>
      </c>
      <c r="C1077" t="s">
        <v>133</v>
      </c>
      <c r="D1077" s="5">
        <v>19137</v>
      </c>
      <c r="E1077" s="5">
        <v>45409</v>
      </c>
      <c r="F1077" s="5">
        <v>45423</v>
      </c>
      <c r="G1077" t="s">
        <v>105</v>
      </c>
      <c r="H1077" t="s">
        <v>95</v>
      </c>
      <c r="I1077" t="s">
        <v>96</v>
      </c>
      <c r="J1077" t="s">
        <v>34</v>
      </c>
      <c r="K1077" t="s">
        <v>55</v>
      </c>
      <c r="L1077" s="6">
        <v>106720.18</v>
      </c>
      <c r="M1077">
        <v>91264.77</v>
      </c>
      <c r="N1077" t="s">
        <v>91</v>
      </c>
      <c r="O1077">
        <v>14</v>
      </c>
      <c r="P1077">
        <v>193</v>
      </c>
      <c r="Q1077">
        <v>4</v>
      </c>
      <c r="R1077">
        <v>181</v>
      </c>
      <c r="S1077">
        <v>120.5</v>
      </c>
      <c r="T1077" t="s">
        <v>37</v>
      </c>
      <c r="U1077" s="7">
        <f t="shared" si="64"/>
        <v>71</v>
      </c>
      <c r="V1077" s="7">
        <f t="shared" si="65"/>
        <v>14</v>
      </c>
      <c r="W1077" s="6">
        <f t="shared" si="66"/>
        <v>15455.409999999989</v>
      </c>
      <c r="X1077" t="str">
        <f t="shared" si="67"/>
        <v>Senior</v>
      </c>
    </row>
    <row r="1078" spans="1:24">
      <c r="A1078" t="s">
        <v>2497</v>
      </c>
      <c r="B1078" t="s">
        <v>143</v>
      </c>
      <c r="C1078" t="s">
        <v>40</v>
      </c>
      <c r="D1078" s="5">
        <v>25220</v>
      </c>
      <c r="E1078" s="5">
        <v>45138</v>
      </c>
      <c r="F1078" s="5">
        <v>45142</v>
      </c>
      <c r="G1078" t="s">
        <v>109</v>
      </c>
      <c r="H1078" t="s">
        <v>44</v>
      </c>
      <c r="I1078" t="s">
        <v>33</v>
      </c>
      <c r="J1078" t="s">
        <v>46</v>
      </c>
      <c r="K1078" t="s">
        <v>55</v>
      </c>
      <c r="L1078" s="6">
        <v>111254.56</v>
      </c>
      <c r="M1078">
        <v>73476.929999999993</v>
      </c>
      <c r="N1078" t="s">
        <v>73</v>
      </c>
      <c r="O1078">
        <v>4</v>
      </c>
      <c r="P1078">
        <v>84</v>
      </c>
      <c r="Q1078">
        <v>4</v>
      </c>
      <c r="R1078">
        <v>179</v>
      </c>
      <c r="S1078">
        <v>142.1</v>
      </c>
      <c r="T1078" t="s">
        <v>37</v>
      </c>
      <c r="U1078" s="7">
        <f t="shared" si="64"/>
        <v>54</v>
      </c>
      <c r="V1078" s="7">
        <f t="shared" si="65"/>
        <v>4</v>
      </c>
      <c r="W1078" s="6">
        <f t="shared" si="66"/>
        <v>37777.630000000005</v>
      </c>
      <c r="X1078" t="str">
        <f t="shared" si="67"/>
        <v>Middle Age</v>
      </c>
    </row>
    <row r="1079" spans="1:24">
      <c r="A1079" t="s">
        <v>2498</v>
      </c>
      <c r="B1079" t="s">
        <v>427</v>
      </c>
      <c r="C1079" t="s">
        <v>40</v>
      </c>
      <c r="D1079" s="5">
        <v>26107</v>
      </c>
      <c r="E1079" s="5">
        <v>45479</v>
      </c>
      <c r="F1079" s="5">
        <v>45492</v>
      </c>
      <c r="G1079" t="s">
        <v>109</v>
      </c>
      <c r="H1079" t="s">
        <v>124</v>
      </c>
      <c r="I1079" t="s">
        <v>79</v>
      </c>
      <c r="J1079" t="s">
        <v>64</v>
      </c>
      <c r="K1079" t="s">
        <v>27</v>
      </c>
      <c r="L1079" s="6">
        <v>242519.72</v>
      </c>
      <c r="M1079">
        <v>196287.89</v>
      </c>
      <c r="N1079" t="s">
        <v>35</v>
      </c>
      <c r="O1079">
        <v>13</v>
      </c>
      <c r="P1079">
        <v>70</v>
      </c>
      <c r="Q1079">
        <v>4</v>
      </c>
      <c r="R1079">
        <v>153</v>
      </c>
      <c r="S1079">
        <v>155.9</v>
      </c>
      <c r="T1079" t="s">
        <v>65</v>
      </c>
      <c r="U1079" s="7">
        <f t="shared" si="64"/>
        <v>53</v>
      </c>
      <c r="V1079" s="7">
        <f t="shared" si="65"/>
        <v>13</v>
      </c>
      <c r="W1079" s="6">
        <f t="shared" si="66"/>
        <v>46231.829999999987</v>
      </c>
      <c r="X1079" t="str">
        <f t="shared" si="67"/>
        <v>Middle Age</v>
      </c>
    </row>
    <row r="1080" spans="1:24">
      <c r="A1080" t="s">
        <v>2501</v>
      </c>
      <c r="B1080" t="s">
        <v>875</v>
      </c>
      <c r="C1080" t="s">
        <v>40</v>
      </c>
      <c r="D1080" s="5">
        <v>18297</v>
      </c>
      <c r="E1080" s="5" t="s">
        <v>4237</v>
      </c>
      <c r="F1080" s="5">
        <v>45779</v>
      </c>
      <c r="G1080" t="s">
        <v>94</v>
      </c>
      <c r="H1080" t="s">
        <v>124</v>
      </c>
      <c r="I1080" t="s">
        <v>45</v>
      </c>
      <c r="J1080" t="s">
        <v>64</v>
      </c>
      <c r="K1080" t="s">
        <v>27</v>
      </c>
      <c r="L1080" s="6">
        <v>95660.800000000003</v>
      </c>
      <c r="M1080">
        <v>72446.38</v>
      </c>
      <c r="N1080" t="s">
        <v>4237</v>
      </c>
      <c r="O1080">
        <v>5</v>
      </c>
      <c r="P1080">
        <v>73</v>
      </c>
      <c r="Q1080">
        <v>3</v>
      </c>
      <c r="R1080">
        <v>178</v>
      </c>
      <c r="S1080">
        <v>88.8</v>
      </c>
      <c r="T1080" t="s">
        <v>4237</v>
      </c>
      <c r="U1080" s="7" t="s">
        <v>4237</v>
      </c>
      <c r="V1080" s="7" t="s">
        <v>4237</v>
      </c>
      <c r="W1080" s="6">
        <f t="shared" si="66"/>
        <v>23214.42</v>
      </c>
      <c r="X1080" t="s">
        <v>4237</v>
      </c>
    </row>
    <row r="1081" spans="1:24">
      <c r="A1081" t="s">
        <v>2504</v>
      </c>
      <c r="B1081" t="s">
        <v>112</v>
      </c>
      <c r="C1081" t="s">
        <v>133</v>
      </c>
      <c r="D1081" s="5">
        <v>18982</v>
      </c>
      <c r="E1081" s="5">
        <v>45101</v>
      </c>
      <c r="F1081" s="5">
        <v>45115</v>
      </c>
      <c r="G1081" t="s">
        <v>105</v>
      </c>
      <c r="H1081" t="s">
        <v>24</v>
      </c>
      <c r="I1081" t="s">
        <v>33</v>
      </c>
      <c r="J1081" t="s">
        <v>26</v>
      </c>
      <c r="K1081" t="s">
        <v>161</v>
      </c>
      <c r="L1081" s="6">
        <v>123663.9</v>
      </c>
      <c r="M1081">
        <v>39251.370000000003</v>
      </c>
      <c r="N1081" t="s">
        <v>56</v>
      </c>
      <c r="O1081">
        <v>14</v>
      </c>
      <c r="P1081">
        <v>224</v>
      </c>
      <c r="Q1081">
        <v>1</v>
      </c>
      <c r="R1081">
        <v>120</v>
      </c>
      <c r="S1081">
        <v>122.3</v>
      </c>
      <c r="T1081" t="s">
        <v>37</v>
      </c>
      <c r="U1081" s="7">
        <f t="shared" si="64"/>
        <v>71</v>
      </c>
      <c r="V1081" s="7">
        <f t="shared" si="65"/>
        <v>14</v>
      </c>
      <c r="W1081" s="6">
        <f t="shared" si="66"/>
        <v>84412.53</v>
      </c>
      <c r="X1081" t="str">
        <f t="shared" si="67"/>
        <v>Senior</v>
      </c>
    </row>
    <row r="1082" spans="1:24">
      <c r="A1082" t="s">
        <v>2505</v>
      </c>
      <c r="B1082" t="s">
        <v>684</v>
      </c>
      <c r="C1082" t="s">
        <v>40</v>
      </c>
      <c r="D1082" s="5">
        <v>25282</v>
      </c>
      <c r="E1082" s="5">
        <v>45654</v>
      </c>
      <c r="F1082" s="5">
        <v>45663</v>
      </c>
      <c r="G1082" t="s">
        <v>161</v>
      </c>
      <c r="H1082" t="s">
        <v>134</v>
      </c>
      <c r="I1082" t="s">
        <v>79</v>
      </c>
      <c r="J1082" t="s">
        <v>64</v>
      </c>
      <c r="K1082" t="s">
        <v>110</v>
      </c>
      <c r="L1082" s="6">
        <v>84002.51</v>
      </c>
      <c r="M1082">
        <v>79852.12</v>
      </c>
      <c r="N1082" t="s">
        <v>192</v>
      </c>
      <c r="O1082">
        <v>9</v>
      </c>
      <c r="P1082">
        <v>194</v>
      </c>
      <c r="Q1082">
        <v>4</v>
      </c>
      <c r="R1082">
        <v>179</v>
      </c>
      <c r="S1082">
        <v>202.7</v>
      </c>
      <c r="T1082" t="s">
        <v>65</v>
      </c>
      <c r="U1082" s="7">
        <f t="shared" si="64"/>
        <v>55</v>
      </c>
      <c r="V1082" s="7">
        <f t="shared" si="65"/>
        <v>9</v>
      </c>
      <c r="W1082" s="6">
        <f t="shared" si="66"/>
        <v>4150.3899999999994</v>
      </c>
      <c r="X1082" t="str">
        <f t="shared" si="67"/>
        <v>Middle Age</v>
      </c>
    </row>
    <row r="1083" spans="1:24">
      <c r="A1083" t="s">
        <v>2506</v>
      </c>
      <c r="B1083" t="s">
        <v>2507</v>
      </c>
      <c r="C1083" t="s">
        <v>40</v>
      </c>
      <c r="D1083" s="5">
        <v>23141</v>
      </c>
      <c r="E1083" s="5">
        <v>45871</v>
      </c>
      <c r="F1083" s="5">
        <v>45881</v>
      </c>
      <c r="G1083" t="s">
        <v>105</v>
      </c>
      <c r="H1083" t="s">
        <v>118</v>
      </c>
      <c r="I1083" t="s">
        <v>53</v>
      </c>
      <c r="J1083" t="s">
        <v>80</v>
      </c>
      <c r="K1083" t="s">
        <v>161</v>
      </c>
      <c r="L1083" s="6">
        <v>79978.52</v>
      </c>
      <c r="M1083">
        <v>75566.460000000006</v>
      </c>
      <c r="N1083" t="s">
        <v>192</v>
      </c>
      <c r="O1083">
        <v>10</v>
      </c>
      <c r="P1083">
        <v>187</v>
      </c>
      <c r="Q1083">
        <v>4</v>
      </c>
      <c r="R1083">
        <v>160</v>
      </c>
      <c r="S1083">
        <v>113.3</v>
      </c>
      <c r="T1083" t="s">
        <v>47</v>
      </c>
      <c r="U1083" s="7">
        <f t="shared" si="64"/>
        <v>62</v>
      </c>
      <c r="V1083" s="7">
        <f t="shared" si="65"/>
        <v>10</v>
      </c>
      <c r="W1083" s="6">
        <f t="shared" si="66"/>
        <v>4412.0599999999977</v>
      </c>
      <c r="X1083" t="str">
        <f t="shared" si="67"/>
        <v>Senior</v>
      </c>
    </row>
    <row r="1084" spans="1:24">
      <c r="A1084" t="s">
        <v>2509</v>
      </c>
      <c r="B1084" t="s">
        <v>368</v>
      </c>
      <c r="C1084" t="s">
        <v>133</v>
      </c>
      <c r="D1084" s="5">
        <v>25163</v>
      </c>
      <c r="E1084" s="5">
        <v>45618</v>
      </c>
      <c r="F1084" s="5">
        <v>45633</v>
      </c>
      <c r="G1084" t="s">
        <v>161</v>
      </c>
      <c r="H1084" t="s">
        <v>153</v>
      </c>
      <c r="I1084" t="s">
        <v>45</v>
      </c>
      <c r="J1084" t="s">
        <v>179</v>
      </c>
      <c r="K1084" t="s">
        <v>27</v>
      </c>
      <c r="L1084" s="6">
        <v>214467.64</v>
      </c>
      <c r="M1084">
        <v>152586.99</v>
      </c>
      <c r="N1084" t="s">
        <v>192</v>
      </c>
      <c r="O1084">
        <v>15</v>
      </c>
      <c r="P1084">
        <v>77</v>
      </c>
      <c r="Q1084">
        <v>2</v>
      </c>
      <c r="R1084">
        <v>179</v>
      </c>
      <c r="S1084">
        <v>245</v>
      </c>
      <c r="T1084" t="s">
        <v>65</v>
      </c>
      <c r="U1084" s="7">
        <f t="shared" si="64"/>
        <v>56</v>
      </c>
      <c r="V1084" s="7">
        <f t="shared" si="65"/>
        <v>15</v>
      </c>
      <c r="W1084" s="6">
        <f t="shared" si="66"/>
        <v>61880.650000000023</v>
      </c>
      <c r="X1084" t="str">
        <f t="shared" si="67"/>
        <v>Middle Age</v>
      </c>
    </row>
    <row r="1085" spans="1:24">
      <c r="A1085" t="s">
        <v>2511</v>
      </c>
      <c r="B1085" t="s">
        <v>700</v>
      </c>
      <c r="C1085" t="s">
        <v>40</v>
      </c>
      <c r="D1085" s="5">
        <v>38555</v>
      </c>
      <c r="E1085" s="5">
        <v>45934</v>
      </c>
      <c r="F1085" s="5">
        <v>45952</v>
      </c>
      <c r="G1085" t="s">
        <v>94</v>
      </c>
      <c r="H1085" t="s">
        <v>24</v>
      </c>
      <c r="I1085" t="s">
        <v>53</v>
      </c>
      <c r="J1085" t="s">
        <v>34</v>
      </c>
      <c r="K1085" t="s">
        <v>120</v>
      </c>
      <c r="L1085" s="6">
        <v>221601.93</v>
      </c>
      <c r="M1085">
        <v>164665.04999999999</v>
      </c>
      <c r="N1085" t="s">
        <v>192</v>
      </c>
      <c r="O1085">
        <v>18</v>
      </c>
      <c r="P1085">
        <v>121</v>
      </c>
      <c r="Q1085">
        <v>4</v>
      </c>
      <c r="R1085">
        <v>102</v>
      </c>
      <c r="S1085">
        <v>227.3</v>
      </c>
      <c r="T1085" t="s">
        <v>65</v>
      </c>
      <c r="U1085" s="7">
        <f t="shared" si="64"/>
        <v>20</v>
      </c>
      <c r="V1085" s="7">
        <f t="shared" si="65"/>
        <v>18</v>
      </c>
      <c r="W1085" s="6">
        <f t="shared" si="66"/>
        <v>56936.880000000005</v>
      </c>
      <c r="X1085" t="str">
        <f t="shared" si="67"/>
        <v>Adult</v>
      </c>
    </row>
    <row r="1086" spans="1:24">
      <c r="A1086" t="s">
        <v>2512</v>
      </c>
      <c r="B1086" t="s">
        <v>218</v>
      </c>
      <c r="C1086" t="s">
        <v>133</v>
      </c>
      <c r="D1086" s="5">
        <v>20865</v>
      </c>
      <c r="E1086" s="5">
        <v>45171</v>
      </c>
      <c r="F1086" s="5">
        <v>45174</v>
      </c>
      <c r="G1086" t="s">
        <v>43</v>
      </c>
      <c r="H1086" t="s">
        <v>44</v>
      </c>
      <c r="I1086" t="s">
        <v>96</v>
      </c>
      <c r="J1086" t="s">
        <v>34</v>
      </c>
      <c r="K1086" t="s">
        <v>120</v>
      </c>
      <c r="L1086" s="6">
        <v>178859.59</v>
      </c>
      <c r="M1086">
        <v>177133.78</v>
      </c>
      <c r="N1086" t="s">
        <v>4237</v>
      </c>
      <c r="O1086">
        <v>3</v>
      </c>
      <c r="P1086">
        <v>154</v>
      </c>
      <c r="Q1086">
        <v>4</v>
      </c>
      <c r="R1086">
        <v>120</v>
      </c>
      <c r="S1086">
        <v>81.5</v>
      </c>
      <c r="T1086" t="s">
        <v>37</v>
      </c>
      <c r="U1086" s="7">
        <f t="shared" si="64"/>
        <v>66</v>
      </c>
      <c r="V1086" s="7">
        <f t="shared" si="65"/>
        <v>3</v>
      </c>
      <c r="W1086" s="6">
        <f t="shared" si="66"/>
        <v>1725.8099999999977</v>
      </c>
      <c r="X1086" t="str">
        <f t="shared" si="67"/>
        <v>Senior</v>
      </c>
    </row>
    <row r="1087" spans="1:24">
      <c r="A1087" t="s">
        <v>2514</v>
      </c>
      <c r="B1087" t="s">
        <v>622</v>
      </c>
      <c r="C1087" t="s">
        <v>133</v>
      </c>
      <c r="D1087" s="5">
        <v>23978</v>
      </c>
      <c r="E1087" s="5" t="s">
        <v>4237</v>
      </c>
      <c r="F1087" s="5">
        <v>45925</v>
      </c>
      <c r="G1087" t="s">
        <v>117</v>
      </c>
      <c r="H1087" t="s">
        <v>153</v>
      </c>
      <c r="I1087" t="s">
        <v>33</v>
      </c>
      <c r="J1087" t="s">
        <v>34</v>
      </c>
      <c r="K1087" t="s">
        <v>120</v>
      </c>
      <c r="L1087" s="6">
        <v>3671.14</v>
      </c>
      <c r="M1087">
        <v>3027.55</v>
      </c>
      <c r="N1087" t="s">
        <v>192</v>
      </c>
      <c r="O1087">
        <v>10</v>
      </c>
      <c r="P1087">
        <v>232</v>
      </c>
      <c r="Q1087">
        <v>2</v>
      </c>
      <c r="R1087">
        <v>170</v>
      </c>
      <c r="S1087">
        <v>97.9</v>
      </c>
      <c r="T1087" t="s">
        <v>47</v>
      </c>
      <c r="U1087" s="7" t="s">
        <v>4237</v>
      </c>
      <c r="V1087" s="7" t="s">
        <v>4237</v>
      </c>
      <c r="W1087" s="6">
        <f t="shared" si="66"/>
        <v>643.58999999999969</v>
      </c>
      <c r="X1087" t="s">
        <v>4237</v>
      </c>
    </row>
    <row r="1088" spans="1:24">
      <c r="A1088" t="s">
        <v>2516</v>
      </c>
      <c r="B1088" t="s">
        <v>132</v>
      </c>
      <c r="C1088" t="s">
        <v>133</v>
      </c>
      <c r="D1088" s="5">
        <v>32711</v>
      </c>
      <c r="E1088" s="5">
        <v>45758</v>
      </c>
      <c r="F1088" s="5">
        <v>45772</v>
      </c>
      <c r="G1088" t="s">
        <v>62</v>
      </c>
      <c r="H1088" t="s">
        <v>134</v>
      </c>
      <c r="I1088" t="s">
        <v>79</v>
      </c>
      <c r="J1088" t="s">
        <v>64</v>
      </c>
      <c r="K1088" t="s">
        <v>110</v>
      </c>
      <c r="L1088" s="6">
        <v>227864.72</v>
      </c>
      <c r="M1088">
        <v>197056.07</v>
      </c>
      <c r="N1088" t="s">
        <v>192</v>
      </c>
      <c r="O1088">
        <v>14</v>
      </c>
      <c r="P1088">
        <v>121</v>
      </c>
      <c r="Q1088">
        <v>5</v>
      </c>
      <c r="R1088">
        <v>148</v>
      </c>
      <c r="S1088">
        <v>82</v>
      </c>
      <c r="T1088" t="s">
        <v>65</v>
      </c>
      <c r="U1088" s="7">
        <f t="shared" si="64"/>
        <v>35</v>
      </c>
      <c r="V1088" s="7">
        <f t="shared" si="65"/>
        <v>14</v>
      </c>
      <c r="W1088" s="6">
        <f t="shared" si="66"/>
        <v>30808.649999999994</v>
      </c>
      <c r="X1088" t="str">
        <f t="shared" si="67"/>
        <v>Adult</v>
      </c>
    </row>
    <row r="1089" spans="1:24">
      <c r="A1089" t="s">
        <v>2518</v>
      </c>
      <c r="B1089" t="s">
        <v>218</v>
      </c>
      <c r="C1089" t="s">
        <v>133</v>
      </c>
      <c r="D1089" s="5">
        <v>36997</v>
      </c>
      <c r="E1089" s="5">
        <v>45992</v>
      </c>
      <c r="F1089" s="5">
        <v>45728</v>
      </c>
      <c r="G1089" t="s">
        <v>89</v>
      </c>
      <c r="H1089" t="s">
        <v>78</v>
      </c>
      <c r="I1089" t="s">
        <v>79</v>
      </c>
      <c r="J1089" t="s">
        <v>34</v>
      </c>
      <c r="K1089" t="s">
        <v>161</v>
      </c>
      <c r="L1089" s="6">
        <v>188486.38</v>
      </c>
      <c r="M1089">
        <v>130186.6</v>
      </c>
      <c r="N1089" t="s">
        <v>91</v>
      </c>
      <c r="O1089">
        <v>2</v>
      </c>
      <c r="P1089">
        <v>14</v>
      </c>
      <c r="Q1089">
        <v>4</v>
      </c>
      <c r="R1089">
        <v>186</v>
      </c>
      <c r="S1089">
        <v>204.2</v>
      </c>
      <c r="T1089" t="s">
        <v>37</v>
      </c>
      <c r="U1089" s="7">
        <f t="shared" si="64"/>
        <v>24</v>
      </c>
      <c r="V1089" s="7">
        <f t="shared" si="65"/>
        <v>-264</v>
      </c>
      <c r="W1089" s="6">
        <f t="shared" si="66"/>
        <v>58299.78</v>
      </c>
      <c r="X1089" t="str">
        <f t="shared" si="67"/>
        <v>Adult</v>
      </c>
    </row>
    <row r="1090" spans="1:24">
      <c r="A1090" t="s">
        <v>2520</v>
      </c>
      <c r="B1090" t="s">
        <v>1293</v>
      </c>
      <c r="C1090" t="s">
        <v>40</v>
      </c>
      <c r="D1090" s="5">
        <v>19597</v>
      </c>
      <c r="E1090" s="5">
        <v>45513</v>
      </c>
      <c r="F1090" s="5">
        <v>45522</v>
      </c>
      <c r="G1090" t="s">
        <v>43</v>
      </c>
      <c r="H1090" t="s">
        <v>63</v>
      </c>
      <c r="I1090" t="s">
        <v>33</v>
      </c>
      <c r="J1090" t="s">
        <v>97</v>
      </c>
      <c r="K1090" t="s">
        <v>55</v>
      </c>
      <c r="L1090" s="6">
        <v>108199.95</v>
      </c>
      <c r="M1090">
        <v>83068.179999999993</v>
      </c>
      <c r="N1090" t="s">
        <v>73</v>
      </c>
      <c r="O1090">
        <v>9</v>
      </c>
      <c r="P1090">
        <v>75</v>
      </c>
      <c r="Q1090">
        <v>2</v>
      </c>
      <c r="R1090">
        <v>188</v>
      </c>
      <c r="S1090">
        <v>183.6</v>
      </c>
      <c r="T1090" t="s">
        <v>47</v>
      </c>
      <c r="U1090" s="7">
        <f t="shared" ref="U1090:U1152" si="68">DATEDIF(D1090,E1090,"Y")</f>
        <v>70</v>
      </c>
      <c r="V1090" s="7">
        <f t="shared" ref="V1090:V1152" si="69">IF(OR(E1090=" ",F1090=" ",E1090="Unknown",F1090="Unknown")," ",F1090-E1090)</f>
        <v>9</v>
      </c>
      <c r="W1090" s="6">
        <f t="shared" ref="W1090:W1153" si="70">L1090-M1090</f>
        <v>25131.770000000004</v>
      </c>
      <c r="X1090" t="str">
        <f t="shared" ref="X1090:X1152" si="71">IF(OR(U1090="",U1090="Unknown"),"",IF(U1090&lt;18,"Child",IF(U1090&lt;40,"Adult",IF(U1090&lt;60,"Middle Age","Senior"))))</f>
        <v>Senior</v>
      </c>
    </row>
    <row r="1091" spans="1:24">
      <c r="A1091" t="s">
        <v>2521</v>
      </c>
      <c r="B1091" t="s">
        <v>2249</v>
      </c>
      <c r="C1091" t="s">
        <v>133</v>
      </c>
      <c r="D1091" s="5">
        <v>28197</v>
      </c>
      <c r="E1091" s="5">
        <v>45389</v>
      </c>
      <c r="F1091" s="5">
        <v>45391</v>
      </c>
      <c r="G1091" t="s">
        <v>161</v>
      </c>
      <c r="H1091" t="s">
        <v>153</v>
      </c>
      <c r="I1091" t="s">
        <v>79</v>
      </c>
      <c r="J1091" t="s">
        <v>71</v>
      </c>
      <c r="K1091" t="s">
        <v>55</v>
      </c>
      <c r="L1091" s="6">
        <v>87965.03</v>
      </c>
      <c r="M1091">
        <v>86710.12</v>
      </c>
      <c r="N1091" t="s">
        <v>35</v>
      </c>
      <c r="O1091">
        <v>2</v>
      </c>
      <c r="P1091">
        <v>62</v>
      </c>
      <c r="Q1091">
        <v>4</v>
      </c>
      <c r="R1091">
        <v>91</v>
      </c>
      <c r="S1091">
        <v>186.2</v>
      </c>
      <c r="T1091" t="s">
        <v>4237</v>
      </c>
      <c r="U1091" s="7">
        <f t="shared" si="68"/>
        <v>47</v>
      </c>
      <c r="V1091" s="7">
        <f t="shared" si="69"/>
        <v>2</v>
      </c>
      <c r="W1091" s="6">
        <f t="shared" si="70"/>
        <v>1254.9100000000035</v>
      </c>
      <c r="X1091" t="str">
        <f t="shared" si="71"/>
        <v>Middle Age</v>
      </c>
    </row>
    <row r="1092" spans="1:24">
      <c r="A1092" t="s">
        <v>2524</v>
      </c>
      <c r="B1092" t="s">
        <v>992</v>
      </c>
      <c r="C1092" t="s">
        <v>133</v>
      </c>
      <c r="D1092" s="5">
        <v>35654</v>
      </c>
      <c r="E1092" s="5">
        <v>45177</v>
      </c>
      <c r="F1092" s="5">
        <v>45182</v>
      </c>
      <c r="G1092" t="s">
        <v>89</v>
      </c>
      <c r="H1092" t="s">
        <v>86</v>
      </c>
      <c r="I1092" t="s">
        <v>33</v>
      </c>
      <c r="J1092" t="s">
        <v>64</v>
      </c>
      <c r="K1092" t="s">
        <v>27</v>
      </c>
      <c r="L1092" s="6">
        <v>149404.79</v>
      </c>
      <c r="M1092">
        <v>107355.5</v>
      </c>
      <c r="N1092" t="s">
        <v>91</v>
      </c>
      <c r="O1092">
        <v>5</v>
      </c>
      <c r="P1092">
        <v>209</v>
      </c>
      <c r="Q1092">
        <v>5</v>
      </c>
      <c r="R1092">
        <v>116</v>
      </c>
      <c r="S1092">
        <v>145.9</v>
      </c>
      <c r="T1092" t="s">
        <v>37</v>
      </c>
      <c r="U1092" s="7">
        <f t="shared" si="68"/>
        <v>26</v>
      </c>
      <c r="V1092" s="7">
        <f t="shared" si="69"/>
        <v>5</v>
      </c>
      <c r="W1092" s="6">
        <f t="shared" si="70"/>
        <v>42049.290000000008</v>
      </c>
      <c r="X1092" t="str">
        <f t="shared" si="71"/>
        <v>Adult</v>
      </c>
    </row>
    <row r="1093" spans="1:24">
      <c r="A1093" t="s">
        <v>4165</v>
      </c>
      <c r="B1093" t="s">
        <v>76</v>
      </c>
      <c r="C1093" t="s">
        <v>40</v>
      </c>
      <c r="D1093" s="5">
        <v>21291</v>
      </c>
      <c r="E1093" s="5">
        <v>45288</v>
      </c>
      <c r="F1093" s="5">
        <v>45294</v>
      </c>
      <c r="G1093" t="s">
        <v>117</v>
      </c>
      <c r="H1093" t="s">
        <v>86</v>
      </c>
      <c r="I1093" t="s">
        <v>33</v>
      </c>
      <c r="J1093" t="s">
        <v>179</v>
      </c>
      <c r="K1093" t="s">
        <v>110</v>
      </c>
      <c r="L1093" s="6">
        <v>60186.71</v>
      </c>
      <c r="M1093">
        <v>55085.18</v>
      </c>
      <c r="N1093" t="s">
        <v>56</v>
      </c>
      <c r="O1093">
        <v>6</v>
      </c>
      <c r="P1093">
        <v>216</v>
      </c>
      <c r="Q1093">
        <v>1</v>
      </c>
      <c r="R1093">
        <v>90</v>
      </c>
      <c r="S1093">
        <v>173.2</v>
      </c>
      <c r="T1093" t="s">
        <v>37</v>
      </c>
      <c r="U1093" s="7">
        <f t="shared" si="68"/>
        <v>65</v>
      </c>
      <c r="V1093" s="7">
        <f t="shared" si="69"/>
        <v>6</v>
      </c>
      <c r="W1093" s="6">
        <f t="shared" si="70"/>
        <v>5101.5299999999988</v>
      </c>
      <c r="X1093" t="str">
        <f t="shared" si="71"/>
        <v>Senior</v>
      </c>
    </row>
    <row r="1094" spans="1:24">
      <c r="A1094" t="s">
        <v>4166</v>
      </c>
      <c r="B1094" t="s">
        <v>676</v>
      </c>
      <c r="C1094" t="s">
        <v>133</v>
      </c>
      <c r="D1094" s="5">
        <v>38967</v>
      </c>
      <c r="E1094" s="5">
        <v>46019</v>
      </c>
      <c r="F1094" s="5">
        <v>46028</v>
      </c>
      <c r="G1094" t="s">
        <v>152</v>
      </c>
      <c r="H1094" t="s">
        <v>78</v>
      </c>
      <c r="I1094" t="s">
        <v>33</v>
      </c>
      <c r="J1094" t="s">
        <v>97</v>
      </c>
      <c r="K1094" t="s">
        <v>120</v>
      </c>
      <c r="L1094" s="6">
        <v>91611.72</v>
      </c>
      <c r="M1094">
        <v>84181.35</v>
      </c>
      <c r="N1094" t="s">
        <v>73</v>
      </c>
      <c r="O1094">
        <v>9</v>
      </c>
      <c r="P1094">
        <v>121</v>
      </c>
      <c r="Q1094">
        <v>1</v>
      </c>
      <c r="R1094">
        <v>124</v>
      </c>
      <c r="S1094">
        <v>158.30000000000001</v>
      </c>
      <c r="T1094" t="s">
        <v>37</v>
      </c>
      <c r="U1094" s="7">
        <f t="shared" si="68"/>
        <v>19</v>
      </c>
      <c r="V1094" s="7">
        <f t="shared" si="69"/>
        <v>9</v>
      </c>
      <c r="W1094" s="6">
        <f t="shared" si="70"/>
        <v>7430.3699999999953</v>
      </c>
      <c r="X1094" t="str">
        <f t="shared" si="71"/>
        <v>Adult</v>
      </c>
    </row>
    <row r="1095" spans="1:24">
      <c r="A1095" t="s">
        <v>2531</v>
      </c>
      <c r="B1095" t="s">
        <v>283</v>
      </c>
      <c r="C1095" t="s">
        <v>40</v>
      </c>
      <c r="D1095" s="5">
        <v>25347</v>
      </c>
      <c r="E1095" s="5">
        <v>45222</v>
      </c>
      <c r="F1095" s="5">
        <v>45226</v>
      </c>
      <c r="G1095" t="s">
        <v>152</v>
      </c>
      <c r="H1095" t="s">
        <v>153</v>
      </c>
      <c r="I1095" t="s">
        <v>45</v>
      </c>
      <c r="J1095" t="s">
        <v>34</v>
      </c>
      <c r="K1095" t="s">
        <v>27</v>
      </c>
      <c r="L1095" s="6">
        <v>156129.20000000001</v>
      </c>
      <c r="M1095">
        <v>129668.87</v>
      </c>
      <c r="N1095" t="s">
        <v>4237</v>
      </c>
      <c r="O1095">
        <v>4</v>
      </c>
      <c r="P1095">
        <v>12</v>
      </c>
      <c r="Q1095">
        <v>5</v>
      </c>
      <c r="R1095">
        <v>116</v>
      </c>
      <c r="S1095">
        <v>205.5</v>
      </c>
      <c r="T1095" t="s">
        <v>4237</v>
      </c>
      <c r="U1095" s="7">
        <f t="shared" si="68"/>
        <v>54</v>
      </c>
      <c r="V1095" s="7">
        <f t="shared" si="69"/>
        <v>4</v>
      </c>
      <c r="W1095" s="6">
        <f t="shared" si="70"/>
        <v>26460.330000000016</v>
      </c>
      <c r="X1095" t="str">
        <f t="shared" si="71"/>
        <v>Middle Age</v>
      </c>
    </row>
    <row r="1096" spans="1:24">
      <c r="A1096" t="s">
        <v>2532</v>
      </c>
      <c r="B1096" t="s">
        <v>1230</v>
      </c>
      <c r="C1096" t="s">
        <v>40</v>
      </c>
      <c r="D1096" s="5">
        <v>19104</v>
      </c>
      <c r="E1096" s="5">
        <v>45862</v>
      </c>
      <c r="F1096" s="5">
        <v>45877</v>
      </c>
      <c r="G1096" t="s">
        <v>152</v>
      </c>
      <c r="H1096" t="s">
        <v>113</v>
      </c>
      <c r="I1096" t="s">
        <v>45</v>
      </c>
      <c r="J1096" t="s">
        <v>80</v>
      </c>
      <c r="K1096" t="s">
        <v>120</v>
      </c>
      <c r="L1096" s="6">
        <v>22374.91</v>
      </c>
      <c r="M1096">
        <v>98646.34</v>
      </c>
      <c r="N1096" t="s">
        <v>192</v>
      </c>
      <c r="O1096">
        <v>15</v>
      </c>
      <c r="P1096">
        <v>47</v>
      </c>
      <c r="Q1096">
        <v>2</v>
      </c>
      <c r="R1096">
        <v>166</v>
      </c>
      <c r="S1096">
        <v>166.9</v>
      </c>
      <c r="T1096" t="s">
        <v>37</v>
      </c>
      <c r="U1096" s="7">
        <f t="shared" si="68"/>
        <v>73</v>
      </c>
      <c r="V1096" s="7">
        <f t="shared" si="69"/>
        <v>15</v>
      </c>
      <c r="W1096" s="6">
        <f t="shared" si="70"/>
        <v>-76271.429999999993</v>
      </c>
      <c r="X1096" t="str">
        <f t="shared" si="71"/>
        <v>Senior</v>
      </c>
    </row>
    <row r="1097" spans="1:24">
      <c r="A1097" t="s">
        <v>2534</v>
      </c>
      <c r="B1097" t="s">
        <v>394</v>
      </c>
      <c r="C1097" t="s">
        <v>133</v>
      </c>
      <c r="D1097" s="5">
        <v>27713</v>
      </c>
      <c r="E1097" s="5">
        <v>45384</v>
      </c>
      <c r="F1097" s="5">
        <v>45394</v>
      </c>
      <c r="G1097" t="s">
        <v>77</v>
      </c>
      <c r="H1097" t="s">
        <v>52</v>
      </c>
      <c r="I1097" t="s">
        <v>96</v>
      </c>
      <c r="J1097" t="s">
        <v>64</v>
      </c>
      <c r="K1097" t="s">
        <v>55</v>
      </c>
      <c r="L1097" s="6">
        <v>145309</v>
      </c>
      <c r="M1097">
        <v>108358.63</v>
      </c>
      <c r="N1097" t="s">
        <v>73</v>
      </c>
      <c r="O1097">
        <v>10</v>
      </c>
      <c r="P1097">
        <v>41</v>
      </c>
      <c r="Q1097">
        <v>4</v>
      </c>
      <c r="R1097">
        <v>164</v>
      </c>
      <c r="S1097">
        <v>138.1</v>
      </c>
      <c r="T1097" t="s">
        <v>37</v>
      </c>
      <c r="U1097" s="7">
        <f t="shared" si="68"/>
        <v>48</v>
      </c>
      <c r="V1097" s="7">
        <f t="shared" si="69"/>
        <v>10</v>
      </c>
      <c r="W1097" s="6">
        <f t="shared" si="70"/>
        <v>36950.369999999995</v>
      </c>
      <c r="X1097" t="str">
        <f t="shared" si="71"/>
        <v>Middle Age</v>
      </c>
    </row>
    <row r="1098" spans="1:24">
      <c r="A1098" t="s">
        <v>2536</v>
      </c>
      <c r="B1098" t="s">
        <v>550</v>
      </c>
      <c r="C1098" t="s">
        <v>40</v>
      </c>
      <c r="D1098" s="5">
        <v>31730</v>
      </c>
      <c r="E1098" s="5">
        <v>45393</v>
      </c>
      <c r="F1098" s="5">
        <v>45402</v>
      </c>
      <c r="G1098" t="s">
        <v>117</v>
      </c>
      <c r="H1098" t="s">
        <v>44</v>
      </c>
      <c r="I1098" t="s">
        <v>25</v>
      </c>
      <c r="J1098" t="s">
        <v>80</v>
      </c>
      <c r="K1098" t="s">
        <v>27</v>
      </c>
      <c r="L1098" s="6">
        <v>140192.03</v>
      </c>
      <c r="M1098">
        <v>111609.05</v>
      </c>
      <c r="N1098" t="s">
        <v>73</v>
      </c>
      <c r="O1098">
        <v>9</v>
      </c>
      <c r="P1098">
        <v>121</v>
      </c>
      <c r="Q1098">
        <v>5</v>
      </c>
      <c r="R1098">
        <v>143</v>
      </c>
      <c r="S1098">
        <v>138.80000000000001</v>
      </c>
      <c r="T1098" t="s">
        <v>4237</v>
      </c>
      <c r="U1098" s="7">
        <f t="shared" si="68"/>
        <v>37</v>
      </c>
      <c r="V1098" s="7">
        <f t="shared" si="69"/>
        <v>9</v>
      </c>
      <c r="W1098" s="6">
        <f t="shared" si="70"/>
        <v>28582.979999999996</v>
      </c>
      <c r="X1098" t="str">
        <f t="shared" si="71"/>
        <v>Adult</v>
      </c>
    </row>
    <row r="1099" spans="1:24">
      <c r="A1099" t="s">
        <v>2538</v>
      </c>
      <c r="B1099" t="s">
        <v>845</v>
      </c>
      <c r="C1099" t="s">
        <v>133</v>
      </c>
      <c r="D1099" s="5">
        <v>33793</v>
      </c>
      <c r="E1099" s="5">
        <v>45270</v>
      </c>
      <c r="F1099" s="5">
        <v>45282</v>
      </c>
      <c r="G1099" t="s">
        <v>152</v>
      </c>
      <c r="H1099" t="s">
        <v>124</v>
      </c>
      <c r="I1099" t="s">
        <v>33</v>
      </c>
      <c r="J1099" t="s">
        <v>80</v>
      </c>
      <c r="K1099" t="s">
        <v>27</v>
      </c>
      <c r="L1099" s="6">
        <v>180654.56</v>
      </c>
      <c r="M1099">
        <v>135672.22</v>
      </c>
      <c r="N1099" t="s">
        <v>56</v>
      </c>
      <c r="O1099">
        <v>12</v>
      </c>
      <c r="P1099">
        <v>191</v>
      </c>
      <c r="Q1099">
        <v>4</v>
      </c>
      <c r="R1099">
        <v>126</v>
      </c>
      <c r="S1099">
        <v>244.4</v>
      </c>
      <c r="T1099" t="s">
        <v>37</v>
      </c>
      <c r="U1099" s="7">
        <f t="shared" si="68"/>
        <v>31</v>
      </c>
      <c r="V1099" s="7">
        <f t="shared" si="69"/>
        <v>12</v>
      </c>
      <c r="W1099" s="6">
        <f t="shared" si="70"/>
        <v>44982.34</v>
      </c>
      <c r="X1099" t="str">
        <f t="shared" si="71"/>
        <v>Adult</v>
      </c>
    </row>
    <row r="1100" spans="1:24">
      <c r="A1100" t="s">
        <v>2540</v>
      </c>
      <c r="B1100" t="s">
        <v>249</v>
      </c>
      <c r="C1100" t="s">
        <v>133</v>
      </c>
      <c r="D1100" s="5">
        <v>35649</v>
      </c>
      <c r="E1100" s="5">
        <v>45242</v>
      </c>
      <c r="F1100" s="5">
        <v>45256</v>
      </c>
      <c r="G1100" t="s">
        <v>94</v>
      </c>
      <c r="H1100" t="s">
        <v>32</v>
      </c>
      <c r="I1100" t="s">
        <v>45</v>
      </c>
      <c r="J1100" t="s">
        <v>34</v>
      </c>
      <c r="K1100" t="s">
        <v>27</v>
      </c>
      <c r="L1100" s="6">
        <v>129739.26</v>
      </c>
      <c r="M1100">
        <v>94453.84</v>
      </c>
      <c r="N1100" t="s">
        <v>35</v>
      </c>
      <c r="O1100">
        <v>14</v>
      </c>
      <c r="P1100">
        <v>76</v>
      </c>
      <c r="Q1100">
        <v>2</v>
      </c>
      <c r="R1100">
        <v>141</v>
      </c>
      <c r="S1100">
        <v>258.39999999999998</v>
      </c>
      <c r="T1100" t="s">
        <v>37</v>
      </c>
      <c r="U1100" s="7">
        <f t="shared" si="68"/>
        <v>26</v>
      </c>
      <c r="V1100" s="7">
        <f t="shared" si="69"/>
        <v>14</v>
      </c>
      <c r="W1100" s="6">
        <f t="shared" si="70"/>
        <v>35285.42</v>
      </c>
      <c r="X1100" t="str">
        <f t="shared" si="71"/>
        <v>Adult</v>
      </c>
    </row>
    <row r="1101" spans="1:24">
      <c r="A1101" t="s">
        <v>2542</v>
      </c>
      <c r="B1101" t="s">
        <v>1079</v>
      </c>
      <c r="C1101" t="s">
        <v>40</v>
      </c>
      <c r="D1101" s="5">
        <v>37369</v>
      </c>
      <c r="E1101" s="5">
        <v>45483</v>
      </c>
      <c r="F1101" s="5">
        <v>45497</v>
      </c>
      <c r="G1101" t="s">
        <v>117</v>
      </c>
      <c r="H1101" t="s">
        <v>24</v>
      </c>
      <c r="I1101" t="s">
        <v>96</v>
      </c>
      <c r="J1101" t="s">
        <v>71</v>
      </c>
      <c r="K1101" t="s">
        <v>110</v>
      </c>
      <c r="L1101" s="6">
        <v>228756.23</v>
      </c>
      <c r="M1101">
        <v>207390.36</v>
      </c>
      <c r="N1101" t="s">
        <v>73</v>
      </c>
      <c r="O1101">
        <v>14</v>
      </c>
      <c r="P1101">
        <v>64</v>
      </c>
      <c r="Q1101">
        <v>4</v>
      </c>
      <c r="R1101">
        <v>146</v>
      </c>
      <c r="S1101">
        <v>215.9</v>
      </c>
      <c r="T1101" t="s">
        <v>37</v>
      </c>
      <c r="U1101" s="7">
        <f t="shared" si="68"/>
        <v>22</v>
      </c>
      <c r="V1101" s="7">
        <f t="shared" si="69"/>
        <v>14</v>
      </c>
      <c r="W1101" s="6">
        <f t="shared" si="70"/>
        <v>21365.870000000024</v>
      </c>
      <c r="X1101" t="str">
        <f t="shared" si="71"/>
        <v>Adult</v>
      </c>
    </row>
    <row r="1102" spans="1:24">
      <c r="A1102" t="s">
        <v>2543</v>
      </c>
      <c r="B1102" t="s">
        <v>436</v>
      </c>
      <c r="C1102" t="s">
        <v>40</v>
      </c>
      <c r="D1102" s="5">
        <v>28540</v>
      </c>
      <c r="E1102" s="5">
        <v>46009</v>
      </c>
      <c r="F1102" s="5">
        <v>46027</v>
      </c>
      <c r="G1102" t="s">
        <v>77</v>
      </c>
      <c r="H1102" t="s">
        <v>44</v>
      </c>
      <c r="I1102" t="s">
        <v>45</v>
      </c>
      <c r="J1102" t="s">
        <v>71</v>
      </c>
      <c r="K1102" t="s">
        <v>110</v>
      </c>
      <c r="L1102" s="6">
        <v>90303.15</v>
      </c>
      <c r="M1102">
        <v>76869.740000000005</v>
      </c>
      <c r="N1102" t="s">
        <v>192</v>
      </c>
      <c r="O1102">
        <v>18</v>
      </c>
      <c r="P1102">
        <v>135</v>
      </c>
      <c r="Q1102">
        <v>5</v>
      </c>
      <c r="R1102">
        <v>169</v>
      </c>
      <c r="S1102">
        <v>110.7</v>
      </c>
      <c r="T1102" t="s">
        <v>37</v>
      </c>
      <c r="U1102" s="7">
        <f t="shared" si="68"/>
        <v>47</v>
      </c>
      <c r="V1102" s="7">
        <f t="shared" si="69"/>
        <v>18</v>
      </c>
      <c r="W1102" s="6">
        <f t="shared" si="70"/>
        <v>13433.409999999989</v>
      </c>
      <c r="X1102" t="str">
        <f t="shared" si="71"/>
        <v>Middle Age</v>
      </c>
    </row>
    <row r="1103" spans="1:24">
      <c r="A1103" t="s">
        <v>2544</v>
      </c>
      <c r="B1103" t="s">
        <v>661</v>
      </c>
      <c r="C1103" t="s">
        <v>40</v>
      </c>
      <c r="D1103" s="5">
        <v>25305</v>
      </c>
      <c r="E1103" s="5">
        <v>45441</v>
      </c>
      <c r="F1103" s="5">
        <v>45458</v>
      </c>
      <c r="G1103" t="s">
        <v>105</v>
      </c>
      <c r="H1103" t="s">
        <v>124</v>
      </c>
      <c r="I1103" t="s">
        <v>33</v>
      </c>
      <c r="J1103" t="s">
        <v>97</v>
      </c>
      <c r="K1103" t="s">
        <v>27</v>
      </c>
      <c r="L1103" s="6">
        <v>123663.9</v>
      </c>
      <c r="M1103">
        <v>140918.21</v>
      </c>
      <c r="N1103" t="s">
        <v>35</v>
      </c>
      <c r="O1103">
        <v>17</v>
      </c>
      <c r="P1103">
        <v>13</v>
      </c>
      <c r="Q1103">
        <v>4</v>
      </c>
      <c r="R1103">
        <v>154</v>
      </c>
      <c r="S1103">
        <v>155.9</v>
      </c>
      <c r="T1103" t="s">
        <v>37</v>
      </c>
      <c r="U1103" s="7">
        <f t="shared" si="68"/>
        <v>55</v>
      </c>
      <c r="V1103" s="7">
        <f t="shared" si="69"/>
        <v>17</v>
      </c>
      <c r="W1103" s="6">
        <f t="shared" si="70"/>
        <v>-17254.309999999998</v>
      </c>
      <c r="X1103" t="str">
        <f t="shared" si="71"/>
        <v>Middle Age</v>
      </c>
    </row>
    <row r="1104" spans="1:24">
      <c r="A1104" t="s">
        <v>2546</v>
      </c>
      <c r="B1104" t="s">
        <v>550</v>
      </c>
      <c r="C1104" t="s">
        <v>40</v>
      </c>
      <c r="D1104" s="5">
        <v>28478</v>
      </c>
      <c r="E1104" s="5">
        <v>45177</v>
      </c>
      <c r="F1104" s="5">
        <v>45180</v>
      </c>
      <c r="G1104" t="s">
        <v>62</v>
      </c>
      <c r="H1104" t="s">
        <v>124</v>
      </c>
      <c r="I1104" t="s">
        <v>33</v>
      </c>
      <c r="J1104" t="s">
        <v>46</v>
      </c>
      <c r="K1104" t="s">
        <v>120</v>
      </c>
      <c r="L1104" s="6">
        <v>13459.23</v>
      </c>
      <c r="M1104">
        <v>12357.02</v>
      </c>
      <c r="N1104" t="s">
        <v>192</v>
      </c>
      <c r="O1104">
        <v>3</v>
      </c>
      <c r="P1104">
        <v>213</v>
      </c>
      <c r="Q1104">
        <v>4</v>
      </c>
      <c r="R1104">
        <v>179</v>
      </c>
      <c r="S1104">
        <v>129.5</v>
      </c>
      <c r="T1104" t="s">
        <v>65</v>
      </c>
      <c r="U1104" s="7">
        <f t="shared" si="68"/>
        <v>45</v>
      </c>
      <c r="V1104" s="7">
        <f t="shared" si="69"/>
        <v>3</v>
      </c>
      <c r="W1104" s="6">
        <f t="shared" si="70"/>
        <v>1102.2099999999991</v>
      </c>
      <c r="X1104" t="str">
        <f t="shared" si="71"/>
        <v>Middle Age</v>
      </c>
    </row>
    <row r="1105" spans="1:24">
      <c r="A1105" t="s">
        <v>2548</v>
      </c>
      <c r="B1105" t="s">
        <v>1408</v>
      </c>
      <c r="C1105" t="s">
        <v>133</v>
      </c>
      <c r="D1105" s="5">
        <v>18321</v>
      </c>
      <c r="E1105" s="5">
        <v>45384</v>
      </c>
      <c r="F1105" s="5">
        <v>45401</v>
      </c>
      <c r="G1105" t="s">
        <v>161</v>
      </c>
      <c r="H1105" t="s">
        <v>24</v>
      </c>
      <c r="I1105" t="s">
        <v>25</v>
      </c>
      <c r="J1105" t="s">
        <v>97</v>
      </c>
      <c r="K1105" t="s">
        <v>110</v>
      </c>
      <c r="L1105" s="6">
        <v>147564.94</v>
      </c>
      <c r="M1105">
        <v>106248.46</v>
      </c>
      <c r="N1105" t="s">
        <v>73</v>
      </c>
      <c r="O1105">
        <v>17</v>
      </c>
      <c r="P1105">
        <v>137</v>
      </c>
      <c r="Q1105">
        <v>1</v>
      </c>
      <c r="R1105">
        <v>103</v>
      </c>
      <c r="S1105">
        <v>258.39999999999998</v>
      </c>
      <c r="T1105" t="s">
        <v>37</v>
      </c>
      <c r="U1105" s="7">
        <f t="shared" si="68"/>
        <v>74</v>
      </c>
      <c r="V1105" s="7">
        <f t="shared" si="69"/>
        <v>17</v>
      </c>
      <c r="W1105" s="6">
        <f t="shared" si="70"/>
        <v>41316.479999999996</v>
      </c>
      <c r="X1105" t="str">
        <f t="shared" si="71"/>
        <v>Senior</v>
      </c>
    </row>
    <row r="1106" spans="1:24">
      <c r="A1106" t="s">
        <v>2550</v>
      </c>
      <c r="B1106" t="s">
        <v>155</v>
      </c>
      <c r="C1106" t="s">
        <v>133</v>
      </c>
      <c r="D1106" s="5">
        <v>32441</v>
      </c>
      <c r="E1106" s="5">
        <v>45164</v>
      </c>
      <c r="F1106" s="5">
        <v>45171</v>
      </c>
      <c r="G1106" t="s">
        <v>152</v>
      </c>
      <c r="H1106" t="s">
        <v>78</v>
      </c>
      <c r="I1106" t="s">
        <v>119</v>
      </c>
      <c r="J1106" t="s">
        <v>179</v>
      </c>
      <c r="K1106" t="s">
        <v>55</v>
      </c>
      <c r="L1106" s="6">
        <v>219579.08</v>
      </c>
      <c r="M1106">
        <v>161663.82999999999</v>
      </c>
      <c r="N1106" t="s">
        <v>73</v>
      </c>
      <c r="O1106">
        <v>7</v>
      </c>
      <c r="P1106">
        <v>29</v>
      </c>
      <c r="Q1106">
        <v>4</v>
      </c>
      <c r="R1106">
        <v>163</v>
      </c>
      <c r="S1106">
        <v>148.19999999999999</v>
      </c>
      <c r="T1106" t="s">
        <v>37</v>
      </c>
      <c r="U1106" s="7">
        <f t="shared" si="68"/>
        <v>34</v>
      </c>
      <c r="V1106" s="7">
        <f t="shared" si="69"/>
        <v>7</v>
      </c>
      <c r="W1106" s="6">
        <f t="shared" si="70"/>
        <v>57915.25</v>
      </c>
      <c r="X1106" t="str">
        <f t="shared" si="71"/>
        <v>Adult</v>
      </c>
    </row>
    <row r="1107" spans="1:24">
      <c r="A1107" t="s">
        <v>2553</v>
      </c>
      <c r="B1107" t="s">
        <v>591</v>
      </c>
      <c r="C1107" t="s">
        <v>40</v>
      </c>
      <c r="D1107" s="5">
        <v>18863</v>
      </c>
      <c r="E1107" s="5">
        <v>45134</v>
      </c>
      <c r="F1107" s="5">
        <v>45148</v>
      </c>
      <c r="G1107" t="s">
        <v>117</v>
      </c>
      <c r="H1107" t="s">
        <v>86</v>
      </c>
      <c r="I1107" t="s">
        <v>45</v>
      </c>
      <c r="J1107" t="s">
        <v>97</v>
      </c>
      <c r="K1107" t="s">
        <v>55</v>
      </c>
      <c r="L1107" s="6">
        <v>20870.88</v>
      </c>
      <c r="M1107">
        <v>16359.32</v>
      </c>
      <c r="N1107" t="s">
        <v>35</v>
      </c>
      <c r="O1107">
        <v>14</v>
      </c>
      <c r="P1107">
        <v>95</v>
      </c>
      <c r="Q1107">
        <v>3</v>
      </c>
      <c r="R1107">
        <v>107</v>
      </c>
      <c r="S1107">
        <v>78</v>
      </c>
      <c r="T1107" t="s">
        <v>65</v>
      </c>
      <c r="U1107" s="7">
        <f t="shared" si="68"/>
        <v>71</v>
      </c>
      <c r="V1107" s="7">
        <f t="shared" si="69"/>
        <v>14</v>
      </c>
      <c r="W1107" s="6">
        <f t="shared" si="70"/>
        <v>4511.5600000000013</v>
      </c>
      <c r="X1107" t="str">
        <f t="shared" si="71"/>
        <v>Senior</v>
      </c>
    </row>
    <row r="1108" spans="1:24">
      <c r="A1108" t="s">
        <v>2554</v>
      </c>
      <c r="B1108" t="s">
        <v>550</v>
      </c>
      <c r="C1108" t="s">
        <v>40</v>
      </c>
      <c r="D1108" s="5">
        <v>18457</v>
      </c>
      <c r="E1108" s="5">
        <v>45144</v>
      </c>
      <c r="F1108" s="5">
        <v>45147</v>
      </c>
      <c r="G1108" t="s">
        <v>62</v>
      </c>
      <c r="H1108" t="s">
        <v>134</v>
      </c>
      <c r="I1108" t="s">
        <v>53</v>
      </c>
      <c r="J1108" t="s">
        <v>179</v>
      </c>
      <c r="K1108" t="s">
        <v>110</v>
      </c>
      <c r="L1108" s="6">
        <v>163292.47</v>
      </c>
      <c r="M1108">
        <v>163031.72</v>
      </c>
      <c r="N1108" t="s">
        <v>73</v>
      </c>
      <c r="O1108">
        <v>3</v>
      </c>
      <c r="P1108">
        <v>156</v>
      </c>
      <c r="Q1108">
        <v>5</v>
      </c>
      <c r="R1108">
        <v>99</v>
      </c>
      <c r="S1108">
        <v>151.6</v>
      </c>
      <c r="T1108" t="s">
        <v>37</v>
      </c>
      <c r="U1108" s="7">
        <f t="shared" si="68"/>
        <v>73</v>
      </c>
      <c r="V1108" s="7">
        <f t="shared" si="69"/>
        <v>3</v>
      </c>
      <c r="W1108" s="6">
        <f t="shared" si="70"/>
        <v>260.75</v>
      </c>
      <c r="X1108" t="str">
        <f t="shared" si="71"/>
        <v>Senior</v>
      </c>
    </row>
    <row r="1109" spans="1:24">
      <c r="A1109" t="s">
        <v>2555</v>
      </c>
      <c r="B1109" t="s">
        <v>1509</v>
      </c>
      <c r="C1109" t="s">
        <v>40</v>
      </c>
      <c r="D1109" s="5">
        <v>38268</v>
      </c>
      <c r="E1109" s="5">
        <v>45327</v>
      </c>
      <c r="F1109" s="5">
        <v>45329</v>
      </c>
      <c r="G1109" t="s">
        <v>105</v>
      </c>
      <c r="H1109" t="s">
        <v>118</v>
      </c>
      <c r="I1109" t="s">
        <v>45</v>
      </c>
      <c r="J1109" t="s">
        <v>64</v>
      </c>
      <c r="K1109" t="s">
        <v>55</v>
      </c>
      <c r="L1109" s="6">
        <v>180859.22</v>
      </c>
      <c r="M1109">
        <v>129833.46</v>
      </c>
      <c r="N1109" t="s">
        <v>73</v>
      </c>
      <c r="O1109">
        <v>2</v>
      </c>
      <c r="P1109">
        <v>206</v>
      </c>
      <c r="Q1109">
        <v>3</v>
      </c>
      <c r="R1109">
        <v>118</v>
      </c>
      <c r="S1109">
        <v>91.9</v>
      </c>
      <c r="T1109" t="s">
        <v>65</v>
      </c>
      <c r="U1109" s="7">
        <f t="shared" si="68"/>
        <v>19</v>
      </c>
      <c r="V1109" s="7">
        <f t="shared" si="69"/>
        <v>2</v>
      </c>
      <c r="W1109" s="6">
        <f t="shared" si="70"/>
        <v>51025.759999999995</v>
      </c>
      <c r="X1109" t="str">
        <f t="shared" si="71"/>
        <v>Adult</v>
      </c>
    </row>
    <row r="1110" spans="1:24">
      <c r="A1110" t="s">
        <v>2556</v>
      </c>
      <c r="B1110" t="s">
        <v>224</v>
      </c>
      <c r="C1110" t="s">
        <v>133</v>
      </c>
      <c r="D1110" s="5">
        <v>38597</v>
      </c>
      <c r="E1110" s="5">
        <v>45517</v>
      </c>
      <c r="F1110" s="5" t="s">
        <v>4237</v>
      </c>
      <c r="G1110" t="s">
        <v>62</v>
      </c>
      <c r="H1110" t="s">
        <v>52</v>
      </c>
      <c r="I1110" t="s">
        <v>33</v>
      </c>
      <c r="J1110" t="s">
        <v>97</v>
      </c>
      <c r="K1110" t="s">
        <v>55</v>
      </c>
      <c r="L1110" s="6">
        <v>189247.26</v>
      </c>
      <c r="M1110">
        <v>177472.67</v>
      </c>
      <c r="N1110" t="s">
        <v>73</v>
      </c>
      <c r="O1110">
        <v>12</v>
      </c>
      <c r="P1110">
        <v>6</v>
      </c>
      <c r="Q1110">
        <v>4</v>
      </c>
      <c r="R1110">
        <v>105</v>
      </c>
      <c r="S1110">
        <v>146.9</v>
      </c>
      <c r="T1110" t="s">
        <v>65</v>
      </c>
      <c r="U1110" s="7">
        <f t="shared" si="68"/>
        <v>18</v>
      </c>
      <c r="V1110" s="7" t="s">
        <v>4237</v>
      </c>
      <c r="W1110" s="6">
        <f t="shared" si="70"/>
        <v>11774.589999999997</v>
      </c>
      <c r="X1110" t="str">
        <f t="shared" si="71"/>
        <v>Adult</v>
      </c>
    </row>
    <row r="1111" spans="1:24">
      <c r="A1111" t="s">
        <v>2559</v>
      </c>
      <c r="B1111" t="s">
        <v>321</v>
      </c>
      <c r="C1111" t="s">
        <v>133</v>
      </c>
      <c r="D1111" s="5">
        <v>37720</v>
      </c>
      <c r="E1111" s="5">
        <v>45797</v>
      </c>
      <c r="F1111" s="5">
        <v>45808</v>
      </c>
      <c r="G1111" t="s">
        <v>117</v>
      </c>
      <c r="H1111" t="s">
        <v>63</v>
      </c>
      <c r="I1111" t="s">
        <v>25</v>
      </c>
      <c r="J1111" t="s">
        <v>34</v>
      </c>
      <c r="K1111" t="s">
        <v>161</v>
      </c>
      <c r="L1111" s="6">
        <v>5359.83</v>
      </c>
      <c r="M1111">
        <v>4298.3</v>
      </c>
      <c r="N1111" t="s">
        <v>4237</v>
      </c>
      <c r="O1111">
        <v>11</v>
      </c>
      <c r="P1111">
        <v>194</v>
      </c>
      <c r="Q1111">
        <v>5</v>
      </c>
      <c r="R1111">
        <v>154</v>
      </c>
      <c r="S1111">
        <v>76.599999999999994</v>
      </c>
      <c r="T1111" t="s">
        <v>47</v>
      </c>
      <c r="U1111" s="7">
        <f t="shared" si="68"/>
        <v>22</v>
      </c>
      <c r="V1111" s="7">
        <f t="shared" si="69"/>
        <v>11</v>
      </c>
      <c r="W1111" s="6">
        <f t="shared" si="70"/>
        <v>1061.5299999999997</v>
      </c>
      <c r="X1111" t="str">
        <f t="shared" si="71"/>
        <v>Adult</v>
      </c>
    </row>
    <row r="1112" spans="1:24">
      <c r="A1112" t="s">
        <v>2562</v>
      </c>
      <c r="B1112" t="s">
        <v>1099</v>
      </c>
      <c r="C1112" t="s">
        <v>133</v>
      </c>
      <c r="D1112" s="5">
        <v>20214</v>
      </c>
      <c r="E1112" s="5">
        <v>44959</v>
      </c>
      <c r="F1112" s="5">
        <v>44969</v>
      </c>
      <c r="G1112" t="s">
        <v>77</v>
      </c>
      <c r="H1112" t="s">
        <v>4236</v>
      </c>
      <c r="I1112" t="s">
        <v>33</v>
      </c>
      <c r="J1112" t="s">
        <v>34</v>
      </c>
      <c r="K1112" t="s">
        <v>120</v>
      </c>
      <c r="L1112" s="6">
        <v>46837.54</v>
      </c>
      <c r="M1112">
        <v>42263.61</v>
      </c>
      <c r="N1112" t="s">
        <v>73</v>
      </c>
      <c r="O1112">
        <v>10</v>
      </c>
      <c r="P1112">
        <v>165</v>
      </c>
      <c r="Q1112">
        <v>4</v>
      </c>
      <c r="R1112">
        <v>126</v>
      </c>
      <c r="S1112">
        <v>156.30000000000001</v>
      </c>
      <c r="T1112" t="s">
        <v>37</v>
      </c>
      <c r="U1112" s="7">
        <f t="shared" si="68"/>
        <v>67</v>
      </c>
      <c r="V1112" s="7">
        <f t="shared" si="69"/>
        <v>10</v>
      </c>
      <c r="W1112" s="6">
        <f t="shared" si="70"/>
        <v>4573.93</v>
      </c>
      <c r="X1112" t="str">
        <f t="shared" si="71"/>
        <v>Senior</v>
      </c>
    </row>
    <row r="1113" spans="1:24">
      <c r="A1113" t="s">
        <v>2565</v>
      </c>
      <c r="B1113" t="s">
        <v>129</v>
      </c>
      <c r="C1113" t="s">
        <v>40</v>
      </c>
      <c r="D1113" s="5">
        <v>25578</v>
      </c>
      <c r="E1113" s="5">
        <v>45202</v>
      </c>
      <c r="F1113" s="5">
        <v>45215</v>
      </c>
      <c r="G1113" t="s">
        <v>94</v>
      </c>
      <c r="H1113" t="s">
        <v>32</v>
      </c>
      <c r="I1113" t="s">
        <v>79</v>
      </c>
      <c r="J1113" t="s">
        <v>26</v>
      </c>
      <c r="K1113" t="s">
        <v>110</v>
      </c>
      <c r="L1113" s="6">
        <v>32437.53</v>
      </c>
      <c r="M1113">
        <v>25148.16</v>
      </c>
      <c r="N1113" t="s">
        <v>56</v>
      </c>
      <c r="O1113">
        <v>13</v>
      </c>
      <c r="P1113">
        <v>201</v>
      </c>
      <c r="Q1113">
        <v>4</v>
      </c>
      <c r="R1113">
        <v>141</v>
      </c>
      <c r="S1113">
        <v>152.69999999999999</v>
      </c>
      <c r="T1113" t="s">
        <v>47</v>
      </c>
      <c r="U1113" s="7">
        <f t="shared" si="68"/>
        <v>53</v>
      </c>
      <c r="V1113" s="7">
        <f t="shared" si="69"/>
        <v>13</v>
      </c>
      <c r="W1113" s="6">
        <f t="shared" si="70"/>
        <v>7289.369999999999</v>
      </c>
      <c r="X1113" t="str">
        <f t="shared" si="71"/>
        <v>Middle Age</v>
      </c>
    </row>
    <row r="1114" spans="1:24">
      <c r="A1114" t="s">
        <v>2568</v>
      </c>
      <c r="B1114" t="s">
        <v>909</v>
      </c>
      <c r="C1114" t="s">
        <v>133</v>
      </c>
      <c r="D1114" s="5">
        <v>37857</v>
      </c>
      <c r="E1114" s="5">
        <v>45932</v>
      </c>
      <c r="F1114" s="5" t="s">
        <v>4237</v>
      </c>
      <c r="G1114" t="s">
        <v>161</v>
      </c>
      <c r="H1114" t="s">
        <v>4236</v>
      </c>
      <c r="I1114" t="s">
        <v>33</v>
      </c>
      <c r="J1114" t="s">
        <v>97</v>
      </c>
      <c r="K1114" t="s">
        <v>110</v>
      </c>
      <c r="L1114" s="6">
        <v>53554.73</v>
      </c>
      <c r="M1114">
        <v>44672.25</v>
      </c>
      <c r="N1114" t="s">
        <v>73</v>
      </c>
      <c r="O1114">
        <v>10</v>
      </c>
      <c r="P1114">
        <v>87</v>
      </c>
      <c r="Q1114">
        <v>3</v>
      </c>
      <c r="R1114">
        <v>125</v>
      </c>
      <c r="S1114">
        <v>104.1</v>
      </c>
      <c r="T1114" t="s">
        <v>47</v>
      </c>
      <c r="U1114" s="7">
        <f t="shared" si="68"/>
        <v>22</v>
      </c>
      <c r="V1114" s="7" t="s">
        <v>4237</v>
      </c>
      <c r="W1114" s="6">
        <f t="shared" si="70"/>
        <v>8882.4800000000032</v>
      </c>
      <c r="X1114" t="str">
        <f t="shared" si="71"/>
        <v>Adult</v>
      </c>
    </row>
    <row r="1115" spans="1:24">
      <c r="A1115" t="s">
        <v>2569</v>
      </c>
      <c r="B1115" t="s">
        <v>83</v>
      </c>
      <c r="C1115" t="s">
        <v>133</v>
      </c>
      <c r="D1115" s="5">
        <v>20634</v>
      </c>
      <c r="E1115" s="5">
        <v>45042</v>
      </c>
      <c r="F1115" s="5">
        <v>45053</v>
      </c>
      <c r="G1115" t="s">
        <v>152</v>
      </c>
      <c r="H1115" t="s">
        <v>113</v>
      </c>
      <c r="I1115" t="s">
        <v>119</v>
      </c>
      <c r="J1115" t="s">
        <v>80</v>
      </c>
      <c r="K1115" t="s">
        <v>120</v>
      </c>
      <c r="L1115" s="6">
        <v>84288.34</v>
      </c>
      <c r="M1115">
        <v>63766.27</v>
      </c>
      <c r="N1115" t="s">
        <v>35</v>
      </c>
      <c r="O1115">
        <v>11</v>
      </c>
      <c r="P1115">
        <v>35</v>
      </c>
      <c r="Q1115">
        <v>4</v>
      </c>
      <c r="R1115">
        <v>124</v>
      </c>
      <c r="S1115">
        <v>140.6</v>
      </c>
      <c r="T1115" t="s">
        <v>37</v>
      </c>
      <c r="U1115" s="7">
        <f t="shared" si="68"/>
        <v>66</v>
      </c>
      <c r="V1115" s="7">
        <f t="shared" si="69"/>
        <v>11</v>
      </c>
      <c r="W1115" s="6">
        <f t="shared" si="70"/>
        <v>20522.07</v>
      </c>
      <c r="X1115" t="str">
        <f t="shared" si="71"/>
        <v>Senior</v>
      </c>
    </row>
    <row r="1116" spans="1:24">
      <c r="A1116" t="s">
        <v>2571</v>
      </c>
      <c r="B1116" t="s">
        <v>199</v>
      </c>
      <c r="C1116" t="s">
        <v>40</v>
      </c>
      <c r="D1116" s="5">
        <v>24616</v>
      </c>
      <c r="E1116" s="5">
        <v>45390</v>
      </c>
      <c r="F1116" s="5">
        <v>45394</v>
      </c>
      <c r="G1116" t="s">
        <v>109</v>
      </c>
      <c r="H1116" t="s">
        <v>153</v>
      </c>
      <c r="I1116" t="s">
        <v>33</v>
      </c>
      <c r="J1116" t="s">
        <v>71</v>
      </c>
      <c r="K1116" t="s">
        <v>55</v>
      </c>
      <c r="L1116" s="6">
        <v>215874.6</v>
      </c>
      <c r="M1116">
        <v>189987.83</v>
      </c>
      <c r="N1116" t="s">
        <v>35</v>
      </c>
      <c r="O1116">
        <v>4</v>
      </c>
      <c r="P1116">
        <v>129</v>
      </c>
      <c r="Q1116">
        <v>4</v>
      </c>
      <c r="R1116">
        <v>118</v>
      </c>
      <c r="S1116">
        <v>120.4</v>
      </c>
      <c r="T1116" t="s">
        <v>47</v>
      </c>
      <c r="U1116" s="7">
        <f t="shared" si="68"/>
        <v>56</v>
      </c>
      <c r="V1116" s="7">
        <f t="shared" si="69"/>
        <v>4</v>
      </c>
      <c r="W1116" s="6">
        <f t="shared" si="70"/>
        <v>25886.770000000019</v>
      </c>
      <c r="X1116" t="str">
        <f t="shared" si="71"/>
        <v>Middle Age</v>
      </c>
    </row>
    <row r="1117" spans="1:24">
      <c r="A1117" t="s">
        <v>2574</v>
      </c>
      <c r="B1117" t="s">
        <v>972</v>
      </c>
      <c r="C1117" t="s">
        <v>40</v>
      </c>
      <c r="D1117" s="5">
        <v>32809</v>
      </c>
      <c r="E1117" s="5">
        <v>45985</v>
      </c>
      <c r="F1117" s="5">
        <v>45988</v>
      </c>
      <c r="G1117" t="s">
        <v>152</v>
      </c>
      <c r="H1117" t="s">
        <v>24</v>
      </c>
      <c r="I1117" t="s">
        <v>25</v>
      </c>
      <c r="J1117" t="s">
        <v>64</v>
      </c>
      <c r="K1117" t="s">
        <v>27</v>
      </c>
      <c r="L1117" s="6">
        <v>97259.42</v>
      </c>
      <c r="M1117">
        <v>72826.63</v>
      </c>
      <c r="N1117" t="s">
        <v>192</v>
      </c>
      <c r="O1117">
        <v>3</v>
      </c>
      <c r="P1117">
        <v>109</v>
      </c>
      <c r="Q1117">
        <v>5</v>
      </c>
      <c r="R1117">
        <v>149</v>
      </c>
      <c r="S1117">
        <v>168.7</v>
      </c>
      <c r="T1117" t="s">
        <v>37</v>
      </c>
      <c r="U1117" s="7">
        <f t="shared" si="68"/>
        <v>36</v>
      </c>
      <c r="V1117" s="7">
        <f t="shared" si="69"/>
        <v>3</v>
      </c>
      <c r="W1117" s="6">
        <f t="shared" si="70"/>
        <v>24432.789999999994</v>
      </c>
      <c r="X1117" t="str">
        <f t="shared" si="71"/>
        <v>Adult</v>
      </c>
    </row>
    <row r="1118" spans="1:24">
      <c r="A1118" t="s">
        <v>2575</v>
      </c>
      <c r="B1118" t="s">
        <v>1464</v>
      </c>
      <c r="C1118" t="s">
        <v>133</v>
      </c>
      <c r="D1118" s="5">
        <v>40426</v>
      </c>
      <c r="E1118" s="5">
        <v>45327</v>
      </c>
      <c r="F1118" s="5">
        <v>45343</v>
      </c>
      <c r="G1118" t="s">
        <v>62</v>
      </c>
      <c r="H1118" t="s">
        <v>63</v>
      </c>
      <c r="I1118" t="s">
        <v>96</v>
      </c>
      <c r="J1118" t="s">
        <v>71</v>
      </c>
      <c r="K1118" t="s">
        <v>55</v>
      </c>
      <c r="L1118" s="6">
        <v>187593.38</v>
      </c>
      <c r="M1118">
        <v>167299.22</v>
      </c>
      <c r="N1118" t="s">
        <v>192</v>
      </c>
      <c r="O1118">
        <v>16</v>
      </c>
      <c r="P1118">
        <v>56</v>
      </c>
      <c r="Q1118">
        <v>5</v>
      </c>
      <c r="R1118">
        <v>141</v>
      </c>
      <c r="S1118">
        <v>82.8</v>
      </c>
      <c r="T1118" t="s">
        <v>37</v>
      </c>
      <c r="U1118" s="7">
        <f t="shared" si="68"/>
        <v>13</v>
      </c>
      <c r="V1118" s="7">
        <f t="shared" si="69"/>
        <v>16</v>
      </c>
      <c r="W1118" s="6">
        <f t="shared" si="70"/>
        <v>20294.160000000003</v>
      </c>
      <c r="X1118" t="str">
        <f t="shared" si="71"/>
        <v>Child</v>
      </c>
    </row>
    <row r="1119" spans="1:24">
      <c r="A1119" t="s">
        <v>2577</v>
      </c>
      <c r="B1119" t="s">
        <v>992</v>
      </c>
      <c r="C1119" t="s">
        <v>133</v>
      </c>
      <c r="D1119" s="5">
        <v>29415</v>
      </c>
      <c r="E1119" s="5">
        <v>45702</v>
      </c>
      <c r="F1119" s="5">
        <v>45704</v>
      </c>
      <c r="G1119" t="s">
        <v>89</v>
      </c>
      <c r="H1119" t="s">
        <v>95</v>
      </c>
      <c r="I1119" t="s">
        <v>33</v>
      </c>
      <c r="J1119" t="s">
        <v>71</v>
      </c>
      <c r="K1119" t="s">
        <v>120</v>
      </c>
      <c r="L1119" s="6">
        <v>81935.839999999997</v>
      </c>
      <c r="M1119">
        <v>66047.490000000005</v>
      </c>
      <c r="N1119" t="s">
        <v>35</v>
      </c>
      <c r="O1119">
        <v>2</v>
      </c>
      <c r="P1119">
        <v>119</v>
      </c>
      <c r="Q1119">
        <v>2</v>
      </c>
      <c r="R1119">
        <v>182</v>
      </c>
      <c r="S1119">
        <v>196.4</v>
      </c>
      <c r="T1119" t="s">
        <v>37</v>
      </c>
      <c r="U1119" s="7">
        <f t="shared" si="68"/>
        <v>44</v>
      </c>
      <c r="V1119" s="7">
        <f t="shared" si="69"/>
        <v>2</v>
      </c>
      <c r="W1119" s="6">
        <f t="shared" si="70"/>
        <v>15888.349999999991</v>
      </c>
      <c r="X1119" t="str">
        <f t="shared" si="71"/>
        <v>Middle Age</v>
      </c>
    </row>
    <row r="1120" spans="1:24">
      <c r="A1120" t="s">
        <v>2578</v>
      </c>
      <c r="B1120" t="s">
        <v>1622</v>
      </c>
      <c r="C1120" t="s">
        <v>133</v>
      </c>
      <c r="D1120" s="5">
        <v>20780</v>
      </c>
      <c r="E1120" s="5">
        <v>44997</v>
      </c>
      <c r="F1120" s="5">
        <v>45013</v>
      </c>
      <c r="G1120" t="s">
        <v>161</v>
      </c>
      <c r="H1120" t="s">
        <v>52</v>
      </c>
      <c r="I1120" t="s">
        <v>96</v>
      </c>
      <c r="J1120" t="s">
        <v>71</v>
      </c>
      <c r="K1120" t="s">
        <v>110</v>
      </c>
      <c r="L1120" s="6">
        <v>56917.26</v>
      </c>
      <c r="M1120">
        <v>45753.22</v>
      </c>
      <c r="N1120" t="s">
        <v>73</v>
      </c>
      <c r="O1120">
        <v>16</v>
      </c>
      <c r="P1120">
        <v>8</v>
      </c>
      <c r="Q1120">
        <v>4</v>
      </c>
      <c r="R1120">
        <v>100</v>
      </c>
      <c r="S1120">
        <v>122.7</v>
      </c>
      <c r="T1120" t="s">
        <v>65</v>
      </c>
      <c r="U1120" s="7">
        <f t="shared" si="68"/>
        <v>66</v>
      </c>
      <c r="V1120" s="7">
        <f t="shared" si="69"/>
        <v>16</v>
      </c>
      <c r="W1120" s="6">
        <f t="shared" si="70"/>
        <v>11164.04</v>
      </c>
      <c r="X1120" t="str">
        <f t="shared" si="71"/>
        <v>Senior</v>
      </c>
    </row>
    <row r="1121" spans="1:24">
      <c r="A1121" t="s">
        <v>2580</v>
      </c>
      <c r="B1121" t="s">
        <v>867</v>
      </c>
      <c r="C1121" t="s">
        <v>40</v>
      </c>
      <c r="D1121" s="5">
        <v>20507</v>
      </c>
      <c r="E1121" s="5">
        <v>45669</v>
      </c>
      <c r="F1121" s="5">
        <v>45677</v>
      </c>
      <c r="G1121" t="s">
        <v>94</v>
      </c>
      <c r="H1121" t="s">
        <v>44</v>
      </c>
      <c r="I1121" t="s">
        <v>33</v>
      </c>
      <c r="J1121" t="s">
        <v>97</v>
      </c>
      <c r="K1121" t="s">
        <v>27</v>
      </c>
      <c r="L1121" s="6">
        <v>156499.76</v>
      </c>
      <c r="M1121">
        <v>118344.94</v>
      </c>
      <c r="N1121" t="s">
        <v>56</v>
      </c>
      <c r="O1121">
        <v>8</v>
      </c>
      <c r="P1121">
        <v>28</v>
      </c>
      <c r="Q1121">
        <v>1</v>
      </c>
      <c r="R1121">
        <v>186</v>
      </c>
      <c r="S1121">
        <v>78.7</v>
      </c>
      <c r="T1121" t="s">
        <v>47</v>
      </c>
      <c r="U1121" s="7">
        <f t="shared" si="68"/>
        <v>68</v>
      </c>
      <c r="V1121" s="7">
        <f t="shared" si="69"/>
        <v>8</v>
      </c>
      <c r="W1121" s="6">
        <f t="shared" si="70"/>
        <v>38154.820000000007</v>
      </c>
      <c r="X1121" t="str">
        <f t="shared" si="71"/>
        <v>Senior</v>
      </c>
    </row>
    <row r="1122" spans="1:24">
      <c r="A1122" t="s">
        <v>4167</v>
      </c>
      <c r="B1122" t="s">
        <v>1505</v>
      </c>
      <c r="C1122" t="s">
        <v>40</v>
      </c>
      <c r="D1122" s="5" t="s">
        <v>4237</v>
      </c>
      <c r="E1122" s="5">
        <v>45753</v>
      </c>
      <c r="F1122" s="5">
        <v>45755</v>
      </c>
      <c r="G1122" t="s">
        <v>94</v>
      </c>
      <c r="H1122" t="s">
        <v>124</v>
      </c>
      <c r="I1122" t="s">
        <v>33</v>
      </c>
      <c r="J1122" t="s">
        <v>46</v>
      </c>
      <c r="K1122" t="s">
        <v>55</v>
      </c>
      <c r="L1122" s="6">
        <v>144240.17000000001</v>
      </c>
      <c r="M1122">
        <v>122566.98</v>
      </c>
      <c r="N1122" t="s">
        <v>192</v>
      </c>
      <c r="O1122">
        <v>2</v>
      </c>
      <c r="P1122">
        <v>70</v>
      </c>
      <c r="Q1122">
        <v>4</v>
      </c>
      <c r="R1122">
        <v>148</v>
      </c>
      <c r="S1122">
        <v>153</v>
      </c>
      <c r="T1122" t="s">
        <v>47</v>
      </c>
      <c r="U1122" s="7" t="s">
        <v>4237</v>
      </c>
      <c r="V1122" s="7">
        <f t="shared" si="69"/>
        <v>2</v>
      </c>
      <c r="W1122" s="6">
        <f t="shared" si="70"/>
        <v>21673.190000000017</v>
      </c>
      <c r="X1122" t="s">
        <v>4237</v>
      </c>
    </row>
    <row r="1123" spans="1:24">
      <c r="A1123" t="s">
        <v>2584</v>
      </c>
      <c r="B1123" t="s">
        <v>88</v>
      </c>
      <c r="C1123" t="s">
        <v>40</v>
      </c>
      <c r="D1123" s="5">
        <v>18398</v>
      </c>
      <c r="E1123" s="5" t="s">
        <v>4237</v>
      </c>
      <c r="F1123" s="5">
        <v>45354</v>
      </c>
      <c r="G1123" t="s">
        <v>161</v>
      </c>
      <c r="H1123" t="s">
        <v>153</v>
      </c>
      <c r="I1123" t="s">
        <v>45</v>
      </c>
      <c r="J1123" t="s">
        <v>34</v>
      </c>
      <c r="K1123" t="s">
        <v>55</v>
      </c>
      <c r="L1123" s="6">
        <v>123663.9</v>
      </c>
      <c r="M1123">
        <v>117317.08</v>
      </c>
      <c r="N1123" t="s">
        <v>91</v>
      </c>
      <c r="O1123">
        <v>4</v>
      </c>
      <c r="P1123">
        <v>190</v>
      </c>
      <c r="Q1123">
        <v>4</v>
      </c>
      <c r="R1123">
        <v>122</v>
      </c>
      <c r="S1123">
        <v>71.2</v>
      </c>
      <c r="T1123" t="s">
        <v>37</v>
      </c>
      <c r="U1123" s="7" t="s">
        <v>4237</v>
      </c>
      <c r="V1123" s="7" t="s">
        <v>4237</v>
      </c>
      <c r="W1123" s="6">
        <f t="shared" si="70"/>
        <v>6346.8199999999924</v>
      </c>
      <c r="X1123" t="s">
        <v>4237</v>
      </c>
    </row>
    <row r="1124" spans="1:24">
      <c r="A1124" t="s">
        <v>2587</v>
      </c>
      <c r="B1124" t="s">
        <v>472</v>
      </c>
      <c r="C1124" t="s">
        <v>133</v>
      </c>
      <c r="D1124" s="5">
        <v>20905</v>
      </c>
      <c r="E1124" s="5">
        <v>45187</v>
      </c>
      <c r="F1124" s="5">
        <v>45191</v>
      </c>
      <c r="G1124" t="s">
        <v>94</v>
      </c>
      <c r="H1124" t="s">
        <v>4236</v>
      </c>
      <c r="I1124" t="s">
        <v>33</v>
      </c>
      <c r="J1124" t="s">
        <v>64</v>
      </c>
      <c r="K1124" t="s">
        <v>27</v>
      </c>
      <c r="L1124" s="6">
        <v>43345.68</v>
      </c>
      <c r="M1124">
        <v>36555.01</v>
      </c>
      <c r="N1124" t="s">
        <v>91</v>
      </c>
      <c r="O1124">
        <v>4</v>
      </c>
      <c r="P1124">
        <v>200</v>
      </c>
      <c r="Q1124">
        <v>4</v>
      </c>
      <c r="R1124">
        <v>107</v>
      </c>
      <c r="S1124">
        <v>151.1</v>
      </c>
      <c r="T1124" t="s">
        <v>4237</v>
      </c>
      <c r="U1124" s="7">
        <f t="shared" si="68"/>
        <v>66</v>
      </c>
      <c r="V1124" s="7">
        <f t="shared" si="69"/>
        <v>4</v>
      </c>
      <c r="W1124" s="6">
        <f t="shared" si="70"/>
        <v>6790.6699999999983</v>
      </c>
      <c r="X1124" t="str">
        <f t="shared" si="71"/>
        <v>Senior</v>
      </c>
    </row>
    <row r="1125" spans="1:24">
      <c r="A1125" t="s">
        <v>2591</v>
      </c>
      <c r="B1125" t="s">
        <v>857</v>
      </c>
      <c r="C1125" t="s">
        <v>133</v>
      </c>
      <c r="D1125" s="5">
        <v>19132</v>
      </c>
      <c r="E1125" s="5">
        <v>45648</v>
      </c>
      <c r="F1125" s="5">
        <v>45656</v>
      </c>
      <c r="G1125" t="s">
        <v>94</v>
      </c>
      <c r="H1125" t="s">
        <v>44</v>
      </c>
      <c r="I1125" t="s">
        <v>96</v>
      </c>
      <c r="J1125" t="s">
        <v>80</v>
      </c>
      <c r="K1125" t="s">
        <v>55</v>
      </c>
      <c r="L1125" s="6">
        <v>249624.12</v>
      </c>
      <c r="M1125">
        <v>211948.49</v>
      </c>
      <c r="N1125" t="s">
        <v>56</v>
      </c>
      <c r="O1125">
        <v>8</v>
      </c>
      <c r="P1125">
        <v>75</v>
      </c>
      <c r="Q1125">
        <v>4</v>
      </c>
      <c r="R1125">
        <v>101</v>
      </c>
      <c r="S1125">
        <v>91.4</v>
      </c>
      <c r="T1125" t="s">
        <v>37</v>
      </c>
      <c r="U1125" s="7">
        <f t="shared" si="68"/>
        <v>72</v>
      </c>
      <c r="V1125" s="7">
        <f t="shared" si="69"/>
        <v>8</v>
      </c>
      <c r="W1125" s="6">
        <f t="shared" si="70"/>
        <v>37675.630000000005</v>
      </c>
      <c r="X1125" t="str">
        <f t="shared" si="71"/>
        <v>Senior</v>
      </c>
    </row>
    <row r="1126" spans="1:24">
      <c r="A1126" t="s">
        <v>2593</v>
      </c>
      <c r="B1126" t="s">
        <v>2594</v>
      </c>
      <c r="C1126" t="s">
        <v>133</v>
      </c>
      <c r="D1126" s="5">
        <v>35041</v>
      </c>
      <c r="E1126" s="5">
        <v>45697</v>
      </c>
      <c r="F1126" s="5">
        <v>45706</v>
      </c>
      <c r="G1126" t="s">
        <v>89</v>
      </c>
      <c r="H1126" t="s">
        <v>52</v>
      </c>
      <c r="I1126" t="s">
        <v>33</v>
      </c>
      <c r="J1126" t="s">
        <v>34</v>
      </c>
      <c r="K1126" t="s">
        <v>110</v>
      </c>
      <c r="L1126" s="6">
        <v>182336.32</v>
      </c>
      <c r="M1126">
        <v>132083.6</v>
      </c>
      <c r="N1126" t="s">
        <v>56</v>
      </c>
      <c r="O1126">
        <v>9</v>
      </c>
      <c r="P1126">
        <v>97</v>
      </c>
      <c r="Q1126">
        <v>4</v>
      </c>
      <c r="R1126">
        <v>170</v>
      </c>
      <c r="S1126">
        <v>204.9</v>
      </c>
      <c r="T1126" t="s">
        <v>37</v>
      </c>
      <c r="U1126" s="7">
        <f t="shared" si="68"/>
        <v>29</v>
      </c>
      <c r="V1126" s="7">
        <f t="shared" si="69"/>
        <v>9</v>
      </c>
      <c r="W1126" s="6">
        <f t="shared" si="70"/>
        <v>50252.72</v>
      </c>
      <c r="X1126" t="str">
        <f t="shared" si="71"/>
        <v>Adult</v>
      </c>
    </row>
    <row r="1127" spans="1:24">
      <c r="A1127" t="s">
        <v>2597</v>
      </c>
      <c r="B1127" t="s">
        <v>1031</v>
      </c>
      <c r="C1127" t="s">
        <v>133</v>
      </c>
      <c r="D1127" s="5">
        <v>29782</v>
      </c>
      <c r="E1127" s="5">
        <v>45802</v>
      </c>
      <c r="F1127" s="5">
        <v>45819</v>
      </c>
      <c r="G1127" t="s">
        <v>77</v>
      </c>
      <c r="H1127" t="s">
        <v>63</v>
      </c>
      <c r="I1127" t="s">
        <v>45</v>
      </c>
      <c r="J1127" t="s">
        <v>46</v>
      </c>
      <c r="K1127" t="s">
        <v>120</v>
      </c>
      <c r="L1127" s="6">
        <v>197607.47</v>
      </c>
      <c r="M1127">
        <v>135458.39000000001</v>
      </c>
      <c r="N1127" t="s">
        <v>73</v>
      </c>
      <c r="O1127">
        <v>17</v>
      </c>
      <c r="P1127">
        <v>218</v>
      </c>
      <c r="Q1127">
        <v>5</v>
      </c>
      <c r="R1127">
        <v>101</v>
      </c>
      <c r="S1127">
        <v>162.19999999999999</v>
      </c>
      <c r="T1127" t="s">
        <v>37</v>
      </c>
      <c r="U1127" s="7">
        <f t="shared" si="68"/>
        <v>43</v>
      </c>
      <c r="V1127" s="7">
        <f t="shared" si="69"/>
        <v>17</v>
      </c>
      <c r="W1127" s="6">
        <f t="shared" si="70"/>
        <v>62149.079999999987</v>
      </c>
      <c r="X1127" t="str">
        <f t="shared" si="71"/>
        <v>Middle Age</v>
      </c>
    </row>
    <row r="1128" spans="1:24">
      <c r="A1128" t="s">
        <v>2599</v>
      </c>
      <c r="B1128" t="s">
        <v>1206</v>
      </c>
      <c r="C1128" t="s">
        <v>40</v>
      </c>
      <c r="D1128" s="5">
        <v>32164</v>
      </c>
      <c r="E1128" s="5">
        <v>45930</v>
      </c>
      <c r="F1128" s="5">
        <v>45943</v>
      </c>
      <c r="G1128" t="s">
        <v>43</v>
      </c>
      <c r="H1128" t="s">
        <v>24</v>
      </c>
      <c r="I1128" t="s">
        <v>25</v>
      </c>
      <c r="J1128" t="s">
        <v>26</v>
      </c>
      <c r="K1128" t="s">
        <v>110</v>
      </c>
      <c r="L1128" s="6">
        <v>21061.48</v>
      </c>
      <c r="M1128">
        <v>18595.96</v>
      </c>
      <c r="N1128" t="s">
        <v>56</v>
      </c>
      <c r="O1128">
        <v>13</v>
      </c>
      <c r="P1128">
        <v>90</v>
      </c>
      <c r="Q1128">
        <v>5</v>
      </c>
      <c r="R1128">
        <v>141</v>
      </c>
      <c r="S1128">
        <v>163.5</v>
      </c>
      <c r="T1128" t="s">
        <v>65</v>
      </c>
      <c r="U1128" s="7">
        <f t="shared" si="68"/>
        <v>37</v>
      </c>
      <c r="V1128" s="7">
        <f t="shared" si="69"/>
        <v>13</v>
      </c>
      <c r="W1128" s="6">
        <f t="shared" si="70"/>
        <v>2465.5200000000004</v>
      </c>
      <c r="X1128" t="str">
        <f t="shared" si="71"/>
        <v>Adult</v>
      </c>
    </row>
    <row r="1129" spans="1:24">
      <c r="A1129" t="s">
        <v>2601</v>
      </c>
      <c r="B1129" t="s">
        <v>394</v>
      </c>
      <c r="C1129" t="s">
        <v>40</v>
      </c>
      <c r="D1129" s="5">
        <v>37097</v>
      </c>
      <c r="E1129" s="5">
        <v>45439</v>
      </c>
      <c r="F1129" s="5">
        <v>45454</v>
      </c>
      <c r="G1129" t="s">
        <v>152</v>
      </c>
      <c r="H1129" t="s">
        <v>44</v>
      </c>
      <c r="I1129" t="s">
        <v>33</v>
      </c>
      <c r="J1129" t="s">
        <v>46</v>
      </c>
      <c r="K1129" t="s">
        <v>55</v>
      </c>
      <c r="L1129" s="6">
        <v>245357.13</v>
      </c>
      <c r="M1129">
        <v>178838.1</v>
      </c>
      <c r="N1129" t="s">
        <v>192</v>
      </c>
      <c r="O1129">
        <v>15</v>
      </c>
      <c r="P1129">
        <v>174</v>
      </c>
      <c r="Q1129">
        <v>1</v>
      </c>
      <c r="R1129">
        <v>138</v>
      </c>
      <c r="S1129">
        <v>156.30000000000001</v>
      </c>
      <c r="T1129" t="s">
        <v>37</v>
      </c>
      <c r="U1129" s="7">
        <f t="shared" si="68"/>
        <v>22</v>
      </c>
      <c r="V1129" s="7">
        <f t="shared" si="69"/>
        <v>15</v>
      </c>
      <c r="W1129" s="6">
        <f t="shared" si="70"/>
        <v>66519.03</v>
      </c>
      <c r="X1129" t="str">
        <f t="shared" si="71"/>
        <v>Adult</v>
      </c>
    </row>
    <row r="1130" spans="1:24">
      <c r="A1130" t="s">
        <v>2602</v>
      </c>
      <c r="B1130" t="s">
        <v>251</v>
      </c>
      <c r="C1130" t="s">
        <v>40</v>
      </c>
      <c r="D1130" s="5">
        <v>34030</v>
      </c>
      <c r="E1130" s="5">
        <v>45672</v>
      </c>
      <c r="F1130" s="5">
        <v>45689</v>
      </c>
      <c r="G1130" t="s">
        <v>117</v>
      </c>
      <c r="H1130" t="s">
        <v>118</v>
      </c>
      <c r="I1130" t="s">
        <v>33</v>
      </c>
      <c r="J1130" t="s">
        <v>97</v>
      </c>
      <c r="K1130" t="s">
        <v>120</v>
      </c>
      <c r="L1130" s="6">
        <v>224211.77</v>
      </c>
      <c r="M1130">
        <v>98646.34</v>
      </c>
      <c r="N1130" t="s">
        <v>73</v>
      </c>
      <c r="O1130">
        <v>17</v>
      </c>
      <c r="P1130">
        <v>125</v>
      </c>
      <c r="Q1130">
        <v>2</v>
      </c>
      <c r="R1130">
        <v>175</v>
      </c>
      <c r="S1130">
        <v>230.4</v>
      </c>
      <c r="T1130" t="s">
        <v>4237</v>
      </c>
      <c r="U1130" s="7">
        <f t="shared" si="68"/>
        <v>31</v>
      </c>
      <c r="V1130" s="7">
        <f t="shared" si="69"/>
        <v>17</v>
      </c>
      <c r="W1130" s="6">
        <f t="shared" si="70"/>
        <v>125565.43</v>
      </c>
      <c r="X1130" t="str">
        <f t="shared" si="71"/>
        <v>Adult</v>
      </c>
    </row>
    <row r="1131" spans="1:24">
      <c r="A1131" t="s">
        <v>2605</v>
      </c>
      <c r="B1131" t="s">
        <v>579</v>
      </c>
      <c r="C1131" t="s">
        <v>40</v>
      </c>
      <c r="D1131" s="5">
        <v>34188</v>
      </c>
      <c r="E1131" s="5">
        <v>45301</v>
      </c>
      <c r="F1131" s="5" t="s">
        <v>4237</v>
      </c>
      <c r="G1131" t="s">
        <v>117</v>
      </c>
      <c r="H1131" t="s">
        <v>134</v>
      </c>
      <c r="I1131" t="s">
        <v>119</v>
      </c>
      <c r="J1131" t="s">
        <v>34</v>
      </c>
      <c r="K1131" t="s">
        <v>55</v>
      </c>
      <c r="L1131" s="6">
        <v>128325.57</v>
      </c>
      <c r="M1131">
        <v>93894.59</v>
      </c>
      <c r="N1131" t="s">
        <v>73</v>
      </c>
      <c r="O1131">
        <v>14</v>
      </c>
      <c r="P1131">
        <v>169</v>
      </c>
      <c r="Q1131">
        <v>4</v>
      </c>
      <c r="R1131">
        <v>143</v>
      </c>
      <c r="S1131">
        <v>213.3</v>
      </c>
      <c r="T1131" t="s">
        <v>37</v>
      </c>
      <c r="U1131" s="7">
        <f t="shared" si="68"/>
        <v>30</v>
      </c>
      <c r="V1131" s="7" t="s">
        <v>4237</v>
      </c>
      <c r="W1131" s="6">
        <f t="shared" si="70"/>
        <v>34430.98000000001</v>
      </c>
      <c r="X1131" t="str">
        <f t="shared" si="71"/>
        <v>Adult</v>
      </c>
    </row>
    <row r="1132" spans="1:24">
      <c r="A1132" t="s">
        <v>2606</v>
      </c>
      <c r="B1132" t="s">
        <v>2483</v>
      </c>
      <c r="C1132" t="s">
        <v>133</v>
      </c>
      <c r="D1132" s="5" t="s">
        <v>4237</v>
      </c>
      <c r="E1132" s="5">
        <v>45031</v>
      </c>
      <c r="F1132" s="5">
        <v>45037</v>
      </c>
      <c r="G1132" t="s">
        <v>62</v>
      </c>
      <c r="H1132" t="s">
        <v>32</v>
      </c>
      <c r="I1132" t="s">
        <v>79</v>
      </c>
      <c r="J1132" t="s">
        <v>34</v>
      </c>
      <c r="K1132" t="s">
        <v>55</v>
      </c>
      <c r="L1132" s="6">
        <v>165318.6</v>
      </c>
      <c r="M1132">
        <v>145208.98000000001</v>
      </c>
      <c r="N1132" t="s">
        <v>192</v>
      </c>
      <c r="O1132">
        <v>6</v>
      </c>
      <c r="P1132">
        <v>211</v>
      </c>
      <c r="Q1132">
        <v>5</v>
      </c>
      <c r="R1132">
        <v>184</v>
      </c>
      <c r="S1132">
        <v>133.6</v>
      </c>
      <c r="T1132" t="s">
        <v>37</v>
      </c>
      <c r="U1132" s="7" t="s">
        <v>4237</v>
      </c>
      <c r="V1132" s="7">
        <f t="shared" si="69"/>
        <v>6</v>
      </c>
      <c r="W1132" s="6">
        <f t="shared" si="70"/>
        <v>20109.619999999995</v>
      </c>
      <c r="X1132" t="s">
        <v>4237</v>
      </c>
    </row>
    <row r="1133" spans="1:24">
      <c r="A1133" t="s">
        <v>2609</v>
      </c>
      <c r="B1133" t="s">
        <v>601</v>
      </c>
      <c r="C1133" t="s">
        <v>133</v>
      </c>
      <c r="D1133" s="5">
        <v>38524</v>
      </c>
      <c r="E1133" s="5">
        <v>45000</v>
      </c>
      <c r="F1133" s="5">
        <v>45005</v>
      </c>
      <c r="G1133" t="s">
        <v>94</v>
      </c>
      <c r="H1133" t="s">
        <v>63</v>
      </c>
      <c r="I1133" t="s">
        <v>45</v>
      </c>
      <c r="J1133" t="s">
        <v>34</v>
      </c>
      <c r="K1133" t="s">
        <v>120</v>
      </c>
      <c r="L1133" s="6">
        <v>125050.86</v>
      </c>
      <c r="M1133">
        <v>100642.49</v>
      </c>
      <c r="N1133" t="s">
        <v>192</v>
      </c>
      <c r="O1133">
        <v>5</v>
      </c>
      <c r="P1133">
        <v>148</v>
      </c>
      <c r="Q1133">
        <v>5</v>
      </c>
      <c r="R1133">
        <v>176</v>
      </c>
      <c r="S1133">
        <v>228</v>
      </c>
      <c r="T1133" t="s">
        <v>37</v>
      </c>
      <c r="U1133" s="7">
        <f t="shared" si="68"/>
        <v>17</v>
      </c>
      <c r="V1133" s="7">
        <f t="shared" si="69"/>
        <v>5</v>
      </c>
      <c r="W1133" s="6">
        <f t="shared" si="70"/>
        <v>24408.369999999995</v>
      </c>
      <c r="X1133" t="str">
        <f t="shared" si="71"/>
        <v>Child</v>
      </c>
    </row>
    <row r="1134" spans="1:24">
      <c r="A1134" t="s">
        <v>2612</v>
      </c>
      <c r="B1134" t="s">
        <v>67</v>
      </c>
      <c r="C1134" t="s">
        <v>133</v>
      </c>
      <c r="D1134" s="5">
        <v>26772</v>
      </c>
      <c r="E1134" s="5">
        <v>45369</v>
      </c>
      <c r="F1134" s="5">
        <v>45376</v>
      </c>
      <c r="G1134" t="s">
        <v>105</v>
      </c>
      <c r="H1134" t="s">
        <v>134</v>
      </c>
      <c r="I1134" t="s">
        <v>33</v>
      </c>
      <c r="J1134" t="s">
        <v>97</v>
      </c>
      <c r="K1134" t="s">
        <v>161</v>
      </c>
      <c r="L1134" s="6">
        <v>181099.85</v>
      </c>
      <c r="M1134">
        <v>140226.04999999999</v>
      </c>
      <c r="N1134" t="s">
        <v>35</v>
      </c>
      <c r="O1134">
        <v>7</v>
      </c>
      <c r="P1134">
        <v>158</v>
      </c>
      <c r="Q1134">
        <v>4</v>
      </c>
      <c r="R1134">
        <v>128</v>
      </c>
      <c r="S1134">
        <v>163.5</v>
      </c>
      <c r="T1134" t="s">
        <v>37</v>
      </c>
      <c r="U1134" s="7">
        <f t="shared" si="68"/>
        <v>50</v>
      </c>
      <c r="V1134" s="7">
        <f t="shared" si="69"/>
        <v>7</v>
      </c>
      <c r="W1134" s="6">
        <f t="shared" si="70"/>
        <v>40873.800000000017</v>
      </c>
      <c r="X1134" t="str">
        <f t="shared" si="71"/>
        <v>Middle Age</v>
      </c>
    </row>
    <row r="1135" spans="1:24">
      <c r="A1135" t="s">
        <v>2614</v>
      </c>
      <c r="B1135" t="s">
        <v>438</v>
      </c>
      <c r="C1135" t="s">
        <v>133</v>
      </c>
      <c r="D1135" s="5">
        <v>37632</v>
      </c>
      <c r="E1135" s="5">
        <v>45138</v>
      </c>
      <c r="F1135" s="5">
        <v>45140</v>
      </c>
      <c r="G1135" t="s">
        <v>62</v>
      </c>
      <c r="H1135" t="s">
        <v>134</v>
      </c>
      <c r="I1135" t="s">
        <v>119</v>
      </c>
      <c r="J1135" t="s">
        <v>64</v>
      </c>
      <c r="K1135" t="s">
        <v>55</v>
      </c>
      <c r="L1135" s="6">
        <v>59539.09</v>
      </c>
      <c r="M1135">
        <v>44775.06</v>
      </c>
      <c r="N1135" t="s">
        <v>192</v>
      </c>
      <c r="O1135">
        <v>2</v>
      </c>
      <c r="P1135">
        <v>153</v>
      </c>
      <c r="Q1135">
        <v>4</v>
      </c>
      <c r="R1135">
        <v>116</v>
      </c>
      <c r="S1135">
        <v>163.5</v>
      </c>
      <c r="T1135" t="s">
        <v>65</v>
      </c>
      <c r="U1135" s="7">
        <f t="shared" si="68"/>
        <v>20</v>
      </c>
      <c r="V1135" s="7">
        <f t="shared" si="69"/>
        <v>2</v>
      </c>
      <c r="W1135" s="6">
        <f t="shared" si="70"/>
        <v>14764.029999999999</v>
      </c>
      <c r="X1135" t="str">
        <f t="shared" si="71"/>
        <v>Adult</v>
      </c>
    </row>
    <row r="1136" spans="1:24">
      <c r="A1136" t="s">
        <v>2618</v>
      </c>
      <c r="B1136" t="s">
        <v>199</v>
      </c>
      <c r="C1136" t="s">
        <v>40</v>
      </c>
      <c r="D1136" s="5">
        <v>22939</v>
      </c>
      <c r="E1136" s="5">
        <v>45898</v>
      </c>
      <c r="F1136" s="5">
        <v>45907</v>
      </c>
      <c r="G1136" t="s">
        <v>117</v>
      </c>
      <c r="H1136" t="s">
        <v>124</v>
      </c>
      <c r="I1136" t="s">
        <v>25</v>
      </c>
      <c r="J1136" t="s">
        <v>64</v>
      </c>
      <c r="K1136" t="s">
        <v>55</v>
      </c>
      <c r="L1136" s="6">
        <v>72710.100000000006</v>
      </c>
      <c r="M1136">
        <v>52061.279999999999</v>
      </c>
      <c r="N1136" t="s">
        <v>35</v>
      </c>
      <c r="O1136">
        <v>9</v>
      </c>
      <c r="P1136">
        <v>27</v>
      </c>
      <c r="Q1136">
        <v>1</v>
      </c>
      <c r="R1136">
        <v>112</v>
      </c>
      <c r="S1136">
        <v>189.4</v>
      </c>
      <c r="T1136" t="s">
        <v>37</v>
      </c>
      <c r="U1136" s="7">
        <f t="shared" si="68"/>
        <v>62</v>
      </c>
      <c r="V1136" s="7">
        <f t="shared" si="69"/>
        <v>9</v>
      </c>
      <c r="W1136" s="6">
        <f t="shared" si="70"/>
        <v>20648.820000000007</v>
      </c>
      <c r="X1136" t="str">
        <f t="shared" si="71"/>
        <v>Senior</v>
      </c>
    </row>
    <row r="1137" spans="1:24">
      <c r="A1137" t="s">
        <v>2619</v>
      </c>
      <c r="B1137" t="s">
        <v>280</v>
      </c>
      <c r="C1137" t="s">
        <v>133</v>
      </c>
      <c r="D1137" s="5">
        <v>22764</v>
      </c>
      <c r="E1137" s="5">
        <v>44971</v>
      </c>
      <c r="F1137" s="5">
        <v>44985</v>
      </c>
      <c r="G1137" t="s">
        <v>109</v>
      </c>
      <c r="H1137" t="s">
        <v>86</v>
      </c>
      <c r="I1137" t="s">
        <v>119</v>
      </c>
      <c r="J1137" t="s">
        <v>34</v>
      </c>
      <c r="K1137" t="s">
        <v>120</v>
      </c>
      <c r="L1137" s="6">
        <v>215897.23</v>
      </c>
      <c r="M1137">
        <v>168589.29</v>
      </c>
      <c r="N1137" t="s">
        <v>35</v>
      </c>
      <c r="O1137">
        <v>14</v>
      </c>
      <c r="P1137">
        <v>126</v>
      </c>
      <c r="Q1137">
        <v>4</v>
      </c>
      <c r="R1137">
        <v>165</v>
      </c>
      <c r="S1137">
        <v>110</v>
      </c>
      <c r="T1137" t="s">
        <v>65</v>
      </c>
      <c r="U1137" s="7">
        <f t="shared" si="68"/>
        <v>60</v>
      </c>
      <c r="V1137" s="7">
        <f t="shared" si="69"/>
        <v>14</v>
      </c>
      <c r="W1137" s="6">
        <f t="shared" si="70"/>
        <v>47307.94</v>
      </c>
      <c r="X1137" t="str">
        <f t="shared" si="71"/>
        <v>Senior</v>
      </c>
    </row>
    <row r="1138" spans="1:24">
      <c r="A1138" t="s">
        <v>4168</v>
      </c>
      <c r="B1138" t="s">
        <v>768</v>
      </c>
      <c r="C1138" t="s">
        <v>40</v>
      </c>
      <c r="D1138" s="5">
        <v>19574</v>
      </c>
      <c r="E1138" s="5">
        <v>45172</v>
      </c>
      <c r="F1138" s="5">
        <v>45178</v>
      </c>
      <c r="G1138" t="s">
        <v>94</v>
      </c>
      <c r="H1138" t="s">
        <v>153</v>
      </c>
      <c r="I1138" t="s">
        <v>79</v>
      </c>
      <c r="J1138" t="s">
        <v>26</v>
      </c>
      <c r="K1138" t="s">
        <v>120</v>
      </c>
      <c r="L1138" s="6">
        <v>216017.1</v>
      </c>
      <c r="M1138">
        <v>142494.07999999999</v>
      </c>
      <c r="N1138" t="s">
        <v>56</v>
      </c>
      <c r="O1138">
        <v>6</v>
      </c>
      <c r="P1138">
        <v>121</v>
      </c>
      <c r="Q1138">
        <v>4</v>
      </c>
      <c r="R1138">
        <v>149</v>
      </c>
      <c r="S1138">
        <v>118.2</v>
      </c>
      <c r="T1138" t="s">
        <v>37</v>
      </c>
      <c r="U1138" s="7">
        <f t="shared" si="68"/>
        <v>70</v>
      </c>
      <c r="V1138" s="7">
        <f t="shared" si="69"/>
        <v>6</v>
      </c>
      <c r="W1138" s="6">
        <f t="shared" si="70"/>
        <v>73523.020000000019</v>
      </c>
      <c r="X1138" t="str">
        <f t="shared" si="71"/>
        <v>Senior</v>
      </c>
    </row>
    <row r="1139" spans="1:24">
      <c r="A1139" t="s">
        <v>2621</v>
      </c>
      <c r="B1139" t="s">
        <v>218</v>
      </c>
      <c r="C1139" t="s">
        <v>133</v>
      </c>
      <c r="D1139" s="5">
        <v>19745</v>
      </c>
      <c r="E1139" s="5">
        <v>45873</v>
      </c>
      <c r="F1139" s="5">
        <v>45767</v>
      </c>
      <c r="G1139" t="s">
        <v>152</v>
      </c>
      <c r="H1139" t="s">
        <v>124</v>
      </c>
      <c r="I1139" t="s">
        <v>79</v>
      </c>
      <c r="J1139" t="s">
        <v>71</v>
      </c>
      <c r="K1139" t="s">
        <v>55</v>
      </c>
      <c r="L1139" s="6">
        <v>12605.23</v>
      </c>
      <c r="M1139">
        <v>12475.21</v>
      </c>
      <c r="N1139" t="s">
        <v>56</v>
      </c>
      <c r="O1139">
        <v>12</v>
      </c>
      <c r="P1139">
        <v>140</v>
      </c>
      <c r="Q1139">
        <v>4</v>
      </c>
      <c r="R1139">
        <v>187</v>
      </c>
      <c r="S1139">
        <v>172.2</v>
      </c>
      <c r="T1139" t="s">
        <v>4237</v>
      </c>
      <c r="U1139" s="7">
        <f t="shared" si="68"/>
        <v>71</v>
      </c>
      <c r="V1139" s="7">
        <f t="shared" si="69"/>
        <v>-106</v>
      </c>
      <c r="W1139" s="6">
        <f t="shared" si="70"/>
        <v>130.02000000000044</v>
      </c>
      <c r="X1139" t="str">
        <f t="shared" si="71"/>
        <v>Senior</v>
      </c>
    </row>
    <row r="1140" spans="1:24">
      <c r="A1140" t="s">
        <v>4101</v>
      </c>
      <c r="B1140" t="s">
        <v>879</v>
      </c>
      <c r="C1140" t="s">
        <v>133</v>
      </c>
      <c r="D1140" s="5">
        <v>34345</v>
      </c>
      <c r="E1140" s="5" t="s">
        <v>4237</v>
      </c>
      <c r="F1140" s="5">
        <v>45532</v>
      </c>
      <c r="G1140" t="s">
        <v>77</v>
      </c>
      <c r="H1140" t="s">
        <v>124</v>
      </c>
      <c r="I1140" t="s">
        <v>25</v>
      </c>
      <c r="J1140" t="s">
        <v>64</v>
      </c>
      <c r="K1140" t="s">
        <v>27</v>
      </c>
      <c r="L1140" s="6">
        <v>4948</v>
      </c>
      <c r="M1140">
        <v>4750.38</v>
      </c>
      <c r="N1140" t="s">
        <v>56</v>
      </c>
      <c r="O1140">
        <v>9</v>
      </c>
      <c r="P1140">
        <v>146</v>
      </c>
      <c r="Q1140">
        <v>4</v>
      </c>
      <c r="R1140">
        <v>121</v>
      </c>
      <c r="S1140">
        <v>220.5</v>
      </c>
      <c r="T1140" t="s">
        <v>37</v>
      </c>
      <c r="U1140" s="7" t="s">
        <v>4237</v>
      </c>
      <c r="V1140" s="7" t="s">
        <v>4237</v>
      </c>
      <c r="W1140" s="6">
        <f t="shared" si="70"/>
        <v>197.61999999999989</v>
      </c>
      <c r="X1140" t="s">
        <v>4237</v>
      </c>
    </row>
    <row r="1141" spans="1:24">
      <c r="A1141" t="s">
        <v>2627</v>
      </c>
      <c r="B1141" t="s">
        <v>390</v>
      </c>
      <c r="C1141" t="s">
        <v>133</v>
      </c>
      <c r="D1141" s="5">
        <v>33888</v>
      </c>
      <c r="E1141" s="5">
        <v>45368</v>
      </c>
      <c r="F1141" s="5">
        <v>45369</v>
      </c>
      <c r="G1141" t="s">
        <v>62</v>
      </c>
      <c r="H1141" t="s">
        <v>113</v>
      </c>
      <c r="I1141" t="s">
        <v>25</v>
      </c>
      <c r="J1141" t="s">
        <v>34</v>
      </c>
      <c r="K1141" t="s">
        <v>120</v>
      </c>
      <c r="L1141" s="6">
        <v>157517.49</v>
      </c>
      <c r="M1141">
        <v>130852.01</v>
      </c>
      <c r="N1141" t="s">
        <v>35</v>
      </c>
      <c r="O1141">
        <v>1</v>
      </c>
      <c r="P1141">
        <v>221</v>
      </c>
      <c r="Q1141">
        <v>5</v>
      </c>
      <c r="R1141">
        <v>109</v>
      </c>
      <c r="S1141">
        <v>150.4</v>
      </c>
      <c r="T1141" t="s">
        <v>37</v>
      </c>
      <c r="U1141" s="7">
        <f t="shared" si="68"/>
        <v>31</v>
      </c>
      <c r="V1141" s="7">
        <f t="shared" si="69"/>
        <v>1</v>
      </c>
      <c r="W1141" s="6">
        <f t="shared" si="70"/>
        <v>26665.479999999996</v>
      </c>
      <c r="X1141" t="str">
        <f t="shared" si="71"/>
        <v>Adult</v>
      </c>
    </row>
    <row r="1142" spans="1:24">
      <c r="A1142" t="s">
        <v>2628</v>
      </c>
      <c r="B1142" t="s">
        <v>429</v>
      </c>
      <c r="C1142" t="s">
        <v>40</v>
      </c>
      <c r="D1142" s="5">
        <v>37471</v>
      </c>
      <c r="E1142" s="5">
        <v>45660</v>
      </c>
      <c r="F1142" s="5">
        <v>45673</v>
      </c>
      <c r="G1142" t="s">
        <v>152</v>
      </c>
      <c r="H1142" t="s">
        <v>86</v>
      </c>
      <c r="I1142" t="s">
        <v>33</v>
      </c>
      <c r="J1142" t="s">
        <v>34</v>
      </c>
      <c r="K1142" t="s">
        <v>27</v>
      </c>
      <c r="L1142" s="6">
        <v>150317.43</v>
      </c>
      <c r="M1142">
        <v>99462.29</v>
      </c>
      <c r="N1142" t="s">
        <v>4237</v>
      </c>
      <c r="O1142">
        <v>13</v>
      </c>
      <c r="P1142">
        <v>95</v>
      </c>
      <c r="Q1142">
        <v>5</v>
      </c>
      <c r="R1142">
        <v>141</v>
      </c>
      <c r="S1142">
        <v>222.8</v>
      </c>
      <c r="T1142" t="s">
        <v>4237</v>
      </c>
      <c r="U1142" s="7">
        <f t="shared" si="68"/>
        <v>22</v>
      </c>
      <c r="V1142" s="7">
        <f t="shared" si="69"/>
        <v>13</v>
      </c>
      <c r="W1142" s="6">
        <f t="shared" si="70"/>
        <v>50855.14</v>
      </c>
      <c r="X1142" t="str">
        <f t="shared" si="71"/>
        <v>Adult</v>
      </c>
    </row>
    <row r="1143" spans="1:24">
      <c r="A1143" t="s">
        <v>2630</v>
      </c>
      <c r="B1143" t="s">
        <v>1888</v>
      </c>
      <c r="C1143" t="s">
        <v>40</v>
      </c>
      <c r="D1143" s="5">
        <v>20411</v>
      </c>
      <c r="E1143" s="5">
        <v>45213</v>
      </c>
      <c r="F1143" s="5">
        <v>45215</v>
      </c>
      <c r="G1143" t="s">
        <v>161</v>
      </c>
      <c r="H1143" t="s">
        <v>134</v>
      </c>
      <c r="I1143" t="s">
        <v>79</v>
      </c>
      <c r="J1143" t="s">
        <v>64</v>
      </c>
      <c r="K1143" t="s">
        <v>55</v>
      </c>
      <c r="L1143" s="6">
        <v>33763.01</v>
      </c>
      <c r="M1143">
        <v>26682.47</v>
      </c>
      <c r="N1143" t="s">
        <v>91</v>
      </c>
      <c r="O1143">
        <v>2</v>
      </c>
      <c r="P1143">
        <v>228</v>
      </c>
      <c r="Q1143">
        <v>2</v>
      </c>
      <c r="R1143">
        <v>190</v>
      </c>
      <c r="S1143">
        <v>201.7</v>
      </c>
      <c r="T1143" t="s">
        <v>37</v>
      </c>
      <c r="U1143" s="7">
        <f t="shared" si="68"/>
        <v>67</v>
      </c>
      <c r="V1143" s="7">
        <f t="shared" si="69"/>
        <v>2</v>
      </c>
      <c r="W1143" s="6">
        <f t="shared" si="70"/>
        <v>7080.5400000000009</v>
      </c>
      <c r="X1143" t="str">
        <f t="shared" si="71"/>
        <v>Senior</v>
      </c>
    </row>
    <row r="1144" spans="1:24">
      <c r="A1144" t="s">
        <v>2632</v>
      </c>
      <c r="B1144" t="s">
        <v>1471</v>
      </c>
      <c r="C1144" t="s">
        <v>40</v>
      </c>
      <c r="D1144" s="5">
        <v>40310</v>
      </c>
      <c r="E1144" s="5">
        <v>45481</v>
      </c>
      <c r="F1144" s="5">
        <v>45492</v>
      </c>
      <c r="G1144" t="s">
        <v>105</v>
      </c>
      <c r="H1144" t="s">
        <v>86</v>
      </c>
      <c r="I1144" t="s">
        <v>33</v>
      </c>
      <c r="J1144" t="s">
        <v>46</v>
      </c>
      <c r="K1144" t="s">
        <v>161</v>
      </c>
      <c r="L1144" s="6">
        <v>214860.27</v>
      </c>
      <c r="M1144">
        <v>144459.10999999999</v>
      </c>
      <c r="N1144" t="s">
        <v>192</v>
      </c>
      <c r="O1144">
        <v>11</v>
      </c>
      <c r="P1144">
        <v>42</v>
      </c>
      <c r="Q1144">
        <v>4</v>
      </c>
      <c r="R1144">
        <v>187</v>
      </c>
      <c r="S1144">
        <v>167.9</v>
      </c>
      <c r="T1144" t="s">
        <v>47</v>
      </c>
      <c r="U1144" s="7">
        <f t="shared" si="68"/>
        <v>14</v>
      </c>
      <c r="V1144" s="7">
        <f t="shared" si="69"/>
        <v>11</v>
      </c>
      <c r="W1144" s="6">
        <f t="shared" si="70"/>
        <v>70401.16</v>
      </c>
      <c r="X1144" t="str">
        <f t="shared" si="71"/>
        <v>Child</v>
      </c>
    </row>
    <row r="1145" spans="1:24">
      <c r="A1145" t="s">
        <v>2634</v>
      </c>
      <c r="B1145" t="s">
        <v>1438</v>
      </c>
      <c r="C1145" t="s">
        <v>40</v>
      </c>
      <c r="D1145" s="5">
        <v>33941</v>
      </c>
      <c r="E1145" s="5" t="s">
        <v>4237</v>
      </c>
      <c r="F1145" s="5">
        <v>45627</v>
      </c>
      <c r="G1145" t="s">
        <v>94</v>
      </c>
      <c r="H1145" t="s">
        <v>24</v>
      </c>
      <c r="I1145" t="s">
        <v>33</v>
      </c>
      <c r="J1145" t="s">
        <v>64</v>
      </c>
      <c r="K1145" t="s">
        <v>55</v>
      </c>
      <c r="L1145" s="6">
        <v>107247.42</v>
      </c>
      <c r="M1145">
        <v>87123.51</v>
      </c>
      <c r="N1145" t="s">
        <v>4237</v>
      </c>
      <c r="O1145">
        <v>11</v>
      </c>
      <c r="P1145">
        <v>163</v>
      </c>
      <c r="Q1145">
        <v>5</v>
      </c>
      <c r="R1145">
        <v>128</v>
      </c>
      <c r="S1145">
        <v>119.7</v>
      </c>
      <c r="T1145" t="s">
        <v>37</v>
      </c>
      <c r="U1145" s="7" t="s">
        <v>4237</v>
      </c>
      <c r="V1145" s="7" t="s">
        <v>4237</v>
      </c>
      <c r="W1145" s="6">
        <f t="shared" si="70"/>
        <v>20123.910000000003</v>
      </c>
      <c r="X1145" t="s">
        <v>4237</v>
      </c>
    </row>
    <row r="1146" spans="1:24">
      <c r="A1146" t="s">
        <v>4169</v>
      </c>
      <c r="B1146" t="s">
        <v>622</v>
      </c>
      <c r="C1146" t="s">
        <v>133</v>
      </c>
      <c r="D1146" s="5">
        <v>30229</v>
      </c>
      <c r="E1146" s="5">
        <v>45449</v>
      </c>
      <c r="F1146" s="5">
        <v>45459</v>
      </c>
      <c r="G1146" t="s">
        <v>109</v>
      </c>
      <c r="H1146" t="s">
        <v>24</v>
      </c>
      <c r="I1146" t="s">
        <v>45</v>
      </c>
      <c r="J1146" t="s">
        <v>46</v>
      </c>
      <c r="K1146" t="s">
        <v>120</v>
      </c>
      <c r="L1146" s="6">
        <v>9123.64</v>
      </c>
      <c r="M1146">
        <v>7616.08</v>
      </c>
      <c r="N1146" t="s">
        <v>91</v>
      </c>
      <c r="O1146">
        <v>10</v>
      </c>
      <c r="P1146">
        <v>97</v>
      </c>
      <c r="Q1146">
        <v>5</v>
      </c>
      <c r="R1146">
        <v>190</v>
      </c>
      <c r="S1146">
        <v>136.9</v>
      </c>
      <c r="T1146" t="s">
        <v>4237</v>
      </c>
      <c r="U1146" s="7">
        <f t="shared" si="68"/>
        <v>41</v>
      </c>
      <c r="V1146" s="7">
        <f t="shared" si="69"/>
        <v>10</v>
      </c>
      <c r="W1146" s="6">
        <f t="shared" si="70"/>
        <v>1507.5599999999995</v>
      </c>
      <c r="X1146" t="str">
        <f t="shared" si="71"/>
        <v>Middle Age</v>
      </c>
    </row>
    <row r="1147" spans="1:24">
      <c r="A1147" t="s">
        <v>2640</v>
      </c>
      <c r="B1147" t="s">
        <v>545</v>
      </c>
      <c r="C1147" t="s">
        <v>40</v>
      </c>
      <c r="D1147" s="5">
        <v>33101</v>
      </c>
      <c r="E1147" s="5">
        <v>45483</v>
      </c>
      <c r="F1147" s="5" t="s">
        <v>4237</v>
      </c>
      <c r="G1147" t="s">
        <v>62</v>
      </c>
      <c r="H1147" t="s">
        <v>63</v>
      </c>
      <c r="I1147" t="s">
        <v>33</v>
      </c>
      <c r="J1147" t="s">
        <v>26</v>
      </c>
      <c r="K1147" t="s">
        <v>55</v>
      </c>
      <c r="L1147" s="6">
        <v>33732.28</v>
      </c>
      <c r="M1147">
        <v>25325.919999999998</v>
      </c>
      <c r="N1147" t="s">
        <v>35</v>
      </c>
      <c r="O1147">
        <v>12</v>
      </c>
      <c r="P1147">
        <v>222</v>
      </c>
      <c r="Q1147">
        <v>5</v>
      </c>
      <c r="R1147">
        <v>184</v>
      </c>
      <c r="S1147">
        <v>181.5</v>
      </c>
      <c r="T1147" t="s">
        <v>47</v>
      </c>
      <c r="U1147" s="7">
        <f t="shared" si="68"/>
        <v>33</v>
      </c>
      <c r="V1147" s="7" t="s">
        <v>4237</v>
      </c>
      <c r="W1147" s="6">
        <f t="shared" si="70"/>
        <v>8406.36</v>
      </c>
      <c r="X1147" t="str">
        <f t="shared" si="71"/>
        <v>Adult</v>
      </c>
    </row>
    <row r="1148" spans="1:24">
      <c r="A1148" t="s">
        <v>2642</v>
      </c>
      <c r="B1148" t="s">
        <v>451</v>
      </c>
      <c r="C1148" t="s">
        <v>133</v>
      </c>
      <c r="D1148" s="5">
        <v>40175</v>
      </c>
      <c r="E1148" s="5">
        <v>45143</v>
      </c>
      <c r="F1148" s="5" t="s">
        <v>4237</v>
      </c>
      <c r="G1148" t="s">
        <v>94</v>
      </c>
      <c r="H1148" t="s">
        <v>113</v>
      </c>
      <c r="I1148" t="s">
        <v>119</v>
      </c>
      <c r="J1148" t="s">
        <v>34</v>
      </c>
      <c r="K1148" t="s">
        <v>55</v>
      </c>
      <c r="L1148" s="6">
        <v>165600.28</v>
      </c>
      <c r="M1148">
        <v>115665.61</v>
      </c>
      <c r="N1148" t="s">
        <v>192</v>
      </c>
      <c r="O1148">
        <v>14</v>
      </c>
      <c r="P1148">
        <v>89</v>
      </c>
      <c r="Q1148">
        <v>5</v>
      </c>
      <c r="R1148">
        <v>165</v>
      </c>
      <c r="S1148">
        <v>112</v>
      </c>
      <c r="T1148" t="s">
        <v>37</v>
      </c>
      <c r="U1148" s="7">
        <f t="shared" si="68"/>
        <v>13</v>
      </c>
      <c r="V1148" s="7" t="s">
        <v>4237</v>
      </c>
      <c r="W1148" s="6">
        <f t="shared" si="70"/>
        <v>49934.67</v>
      </c>
      <c r="X1148" t="str">
        <f t="shared" si="71"/>
        <v>Child</v>
      </c>
    </row>
    <row r="1149" spans="1:24">
      <c r="A1149" t="s">
        <v>2645</v>
      </c>
      <c r="B1149" t="s">
        <v>1393</v>
      </c>
      <c r="C1149" t="s">
        <v>40</v>
      </c>
      <c r="D1149" s="5">
        <v>22687</v>
      </c>
      <c r="E1149" s="5">
        <v>45680</v>
      </c>
      <c r="F1149" s="5">
        <v>45684</v>
      </c>
      <c r="G1149" t="s">
        <v>94</v>
      </c>
      <c r="H1149" t="s">
        <v>44</v>
      </c>
      <c r="I1149" t="s">
        <v>33</v>
      </c>
      <c r="J1149" t="s">
        <v>34</v>
      </c>
      <c r="K1149" t="s">
        <v>161</v>
      </c>
      <c r="L1149" s="6">
        <v>226834.51</v>
      </c>
      <c r="M1149">
        <v>182346.96</v>
      </c>
      <c r="N1149" t="s">
        <v>91</v>
      </c>
      <c r="O1149">
        <v>4</v>
      </c>
      <c r="P1149">
        <v>19</v>
      </c>
      <c r="Q1149">
        <v>5</v>
      </c>
      <c r="R1149">
        <v>126</v>
      </c>
      <c r="S1149">
        <v>252.5</v>
      </c>
      <c r="T1149" t="s">
        <v>65</v>
      </c>
      <c r="U1149" s="7">
        <f t="shared" si="68"/>
        <v>62</v>
      </c>
      <c r="V1149" s="7">
        <f t="shared" si="69"/>
        <v>4</v>
      </c>
      <c r="W1149" s="6">
        <f t="shared" si="70"/>
        <v>44487.550000000017</v>
      </c>
      <c r="X1149" t="str">
        <f t="shared" si="71"/>
        <v>Senior</v>
      </c>
    </row>
    <row r="1150" spans="1:24">
      <c r="A1150" t="s">
        <v>2647</v>
      </c>
      <c r="B1150" t="s">
        <v>1206</v>
      </c>
      <c r="C1150" t="s">
        <v>40</v>
      </c>
      <c r="D1150" s="5">
        <v>36846</v>
      </c>
      <c r="E1150" s="5">
        <v>45776</v>
      </c>
      <c r="F1150" s="5">
        <v>45790</v>
      </c>
      <c r="G1150" t="s">
        <v>89</v>
      </c>
      <c r="H1150" t="s">
        <v>113</v>
      </c>
      <c r="I1150" t="s">
        <v>119</v>
      </c>
      <c r="J1150" t="s">
        <v>179</v>
      </c>
      <c r="K1150" t="s">
        <v>27</v>
      </c>
      <c r="L1150" s="6">
        <v>77126.75</v>
      </c>
      <c r="M1150">
        <v>57307.87</v>
      </c>
      <c r="N1150" t="s">
        <v>56</v>
      </c>
      <c r="O1150">
        <v>14</v>
      </c>
      <c r="P1150">
        <v>12</v>
      </c>
      <c r="Q1150">
        <v>4</v>
      </c>
      <c r="R1150">
        <v>143</v>
      </c>
      <c r="S1150">
        <v>214.2</v>
      </c>
      <c r="T1150" t="s">
        <v>37</v>
      </c>
      <c r="U1150" s="7">
        <f t="shared" si="68"/>
        <v>24</v>
      </c>
      <c r="V1150" s="7">
        <f t="shared" si="69"/>
        <v>14</v>
      </c>
      <c r="W1150" s="6">
        <f t="shared" si="70"/>
        <v>19818.879999999997</v>
      </c>
      <c r="X1150" t="str">
        <f t="shared" si="71"/>
        <v>Adult</v>
      </c>
    </row>
    <row r="1151" spans="1:24">
      <c r="A1151" t="s">
        <v>2648</v>
      </c>
      <c r="B1151" t="s">
        <v>877</v>
      </c>
      <c r="C1151" t="s">
        <v>133</v>
      </c>
      <c r="D1151" s="5">
        <v>31230</v>
      </c>
      <c r="E1151" s="5">
        <v>45423</v>
      </c>
      <c r="F1151" s="5">
        <v>45426</v>
      </c>
      <c r="G1151" t="s">
        <v>43</v>
      </c>
      <c r="H1151" t="s">
        <v>24</v>
      </c>
      <c r="I1151" t="s">
        <v>119</v>
      </c>
      <c r="J1151" t="s">
        <v>179</v>
      </c>
      <c r="K1151" t="s">
        <v>120</v>
      </c>
      <c r="L1151" s="6">
        <v>244930.89</v>
      </c>
      <c r="M1151">
        <v>198532.69</v>
      </c>
      <c r="N1151" t="s">
        <v>73</v>
      </c>
      <c r="O1151">
        <v>3</v>
      </c>
      <c r="P1151">
        <v>207</v>
      </c>
      <c r="Q1151">
        <v>4</v>
      </c>
      <c r="R1151">
        <v>115</v>
      </c>
      <c r="S1151">
        <v>183.5</v>
      </c>
      <c r="T1151" t="s">
        <v>37</v>
      </c>
      <c r="U1151" s="7">
        <f t="shared" si="68"/>
        <v>38</v>
      </c>
      <c r="V1151" s="7">
        <f t="shared" si="69"/>
        <v>3</v>
      </c>
      <c r="W1151" s="6">
        <f t="shared" si="70"/>
        <v>46398.200000000012</v>
      </c>
      <c r="X1151" t="str">
        <f t="shared" si="71"/>
        <v>Adult</v>
      </c>
    </row>
    <row r="1152" spans="1:24">
      <c r="A1152" t="s">
        <v>2649</v>
      </c>
      <c r="B1152" t="s">
        <v>49</v>
      </c>
      <c r="C1152" t="s">
        <v>40</v>
      </c>
      <c r="D1152" s="5">
        <v>29627</v>
      </c>
      <c r="E1152" s="5">
        <v>45305</v>
      </c>
      <c r="F1152" s="5">
        <v>45306</v>
      </c>
      <c r="G1152" t="s">
        <v>94</v>
      </c>
      <c r="H1152" t="s">
        <v>95</v>
      </c>
      <c r="I1152" t="s">
        <v>33</v>
      </c>
      <c r="J1152" t="s">
        <v>64</v>
      </c>
      <c r="K1152" t="s">
        <v>161</v>
      </c>
      <c r="L1152" s="6">
        <v>44466.03</v>
      </c>
      <c r="M1152">
        <v>37731.300000000003</v>
      </c>
      <c r="N1152" t="s">
        <v>56</v>
      </c>
      <c r="O1152">
        <v>1</v>
      </c>
      <c r="P1152">
        <v>21</v>
      </c>
      <c r="Q1152">
        <v>4</v>
      </c>
      <c r="R1152">
        <v>158</v>
      </c>
      <c r="S1152">
        <v>186.8</v>
      </c>
      <c r="T1152" t="s">
        <v>37</v>
      </c>
      <c r="U1152" s="7">
        <f t="shared" si="68"/>
        <v>42</v>
      </c>
      <c r="V1152" s="7">
        <f t="shared" si="69"/>
        <v>1</v>
      </c>
      <c r="W1152" s="6">
        <f t="shared" si="70"/>
        <v>6734.7299999999959</v>
      </c>
      <c r="X1152" t="str">
        <f t="shared" si="71"/>
        <v>Middle Age</v>
      </c>
    </row>
    <row r="1153" spans="1:24">
      <c r="A1153" t="s">
        <v>2652</v>
      </c>
      <c r="B1153" t="s">
        <v>334</v>
      </c>
      <c r="C1153" t="s">
        <v>133</v>
      </c>
      <c r="D1153" s="5">
        <v>30782</v>
      </c>
      <c r="E1153" s="5" t="s">
        <v>4237</v>
      </c>
      <c r="F1153" s="5">
        <v>45979</v>
      </c>
      <c r="G1153" t="s">
        <v>62</v>
      </c>
      <c r="H1153" t="s">
        <v>153</v>
      </c>
      <c r="I1153" t="s">
        <v>79</v>
      </c>
      <c r="J1153" t="s">
        <v>34</v>
      </c>
      <c r="K1153" t="s">
        <v>55</v>
      </c>
      <c r="L1153" s="6">
        <v>74795.25</v>
      </c>
      <c r="M1153">
        <v>55697.760000000002</v>
      </c>
      <c r="N1153" t="s">
        <v>56</v>
      </c>
      <c r="O1153">
        <v>3</v>
      </c>
      <c r="P1153">
        <v>213</v>
      </c>
      <c r="Q1153">
        <v>4</v>
      </c>
      <c r="R1153">
        <v>129</v>
      </c>
      <c r="S1153">
        <v>122.2</v>
      </c>
      <c r="T1153" t="s">
        <v>37</v>
      </c>
      <c r="U1153" s="7" t="s">
        <v>4237</v>
      </c>
      <c r="V1153" s="7" t="s">
        <v>4237</v>
      </c>
      <c r="W1153" s="6">
        <f t="shared" si="70"/>
        <v>19097.489999999998</v>
      </c>
      <c r="X1153" t="s">
        <v>4237</v>
      </c>
    </row>
    <row r="1154" spans="1:24">
      <c r="A1154" t="s">
        <v>2654</v>
      </c>
      <c r="B1154" t="s">
        <v>1094</v>
      </c>
      <c r="C1154" t="s">
        <v>40</v>
      </c>
      <c r="D1154" s="5">
        <v>34321</v>
      </c>
      <c r="E1154" s="5">
        <v>45898</v>
      </c>
      <c r="F1154" s="5">
        <v>45913</v>
      </c>
      <c r="G1154" t="s">
        <v>109</v>
      </c>
      <c r="H1154" t="s">
        <v>44</v>
      </c>
      <c r="I1154" t="s">
        <v>53</v>
      </c>
      <c r="J1154" t="s">
        <v>71</v>
      </c>
      <c r="K1154" t="s">
        <v>27</v>
      </c>
      <c r="L1154" s="6">
        <v>98572.17</v>
      </c>
      <c r="M1154">
        <v>84197.31</v>
      </c>
      <c r="N1154" t="s">
        <v>73</v>
      </c>
      <c r="O1154">
        <v>15</v>
      </c>
      <c r="P1154">
        <v>83</v>
      </c>
      <c r="Q1154">
        <v>5</v>
      </c>
      <c r="R1154">
        <v>139</v>
      </c>
      <c r="S1154">
        <v>224.9</v>
      </c>
      <c r="T1154" t="s">
        <v>47</v>
      </c>
      <c r="U1154" s="7">
        <f t="shared" ref="U1154:U1217" si="72">DATEDIF(D1154,E1154,"Y")</f>
        <v>31</v>
      </c>
      <c r="V1154" s="7">
        <f t="shared" ref="V1154:V1216" si="73">IF(OR(E1154=" ",F1154=" ",E1154="Unknown",F1154="Unknown")," ",F1154-E1154)</f>
        <v>15</v>
      </c>
      <c r="W1154" s="6">
        <f t="shared" ref="W1154:W1217" si="74">L1154-M1154</f>
        <v>14374.86</v>
      </c>
      <c r="X1154" t="str">
        <f t="shared" ref="X1154:X1217" si="75">IF(OR(U1154="",U1154="Unknown"),"",IF(U1154&lt;18,"Child",IF(U1154&lt;40,"Adult",IF(U1154&lt;60,"Middle Age","Senior"))))</f>
        <v>Adult</v>
      </c>
    </row>
    <row r="1155" spans="1:24">
      <c r="A1155" t="s">
        <v>2655</v>
      </c>
      <c r="B1155" t="s">
        <v>224</v>
      </c>
      <c r="C1155" t="s">
        <v>133</v>
      </c>
      <c r="D1155" s="5">
        <v>38249</v>
      </c>
      <c r="E1155" s="5">
        <v>45695</v>
      </c>
      <c r="F1155" s="5">
        <v>45704</v>
      </c>
      <c r="G1155" t="s">
        <v>117</v>
      </c>
      <c r="H1155" t="s">
        <v>134</v>
      </c>
      <c r="I1155" t="s">
        <v>79</v>
      </c>
      <c r="J1155" t="s">
        <v>34</v>
      </c>
      <c r="K1155" t="s">
        <v>110</v>
      </c>
      <c r="L1155" s="6">
        <v>167748.79999999999</v>
      </c>
      <c r="M1155">
        <v>108574.85</v>
      </c>
      <c r="N1155" t="s">
        <v>192</v>
      </c>
      <c r="O1155">
        <v>9</v>
      </c>
      <c r="P1155">
        <v>234</v>
      </c>
      <c r="Q1155">
        <v>2</v>
      </c>
      <c r="R1155">
        <v>174</v>
      </c>
      <c r="S1155">
        <v>257.39999999999998</v>
      </c>
      <c r="T1155" t="s">
        <v>47</v>
      </c>
      <c r="U1155" s="7">
        <f t="shared" si="72"/>
        <v>20</v>
      </c>
      <c r="V1155" s="7">
        <f t="shared" si="73"/>
        <v>9</v>
      </c>
      <c r="W1155" s="6">
        <f t="shared" si="74"/>
        <v>59173.949999999983</v>
      </c>
      <c r="X1155" t="str">
        <f t="shared" si="75"/>
        <v>Adult</v>
      </c>
    </row>
    <row r="1156" spans="1:24">
      <c r="A1156" t="s">
        <v>4170</v>
      </c>
      <c r="B1156" t="s">
        <v>845</v>
      </c>
      <c r="C1156" t="s">
        <v>40</v>
      </c>
      <c r="D1156" s="5">
        <v>29938</v>
      </c>
      <c r="E1156" s="5">
        <v>45479</v>
      </c>
      <c r="F1156" s="5">
        <v>45511</v>
      </c>
      <c r="G1156" t="s">
        <v>152</v>
      </c>
      <c r="H1156" t="s">
        <v>153</v>
      </c>
      <c r="I1156" t="s">
        <v>33</v>
      </c>
      <c r="J1156" t="s">
        <v>80</v>
      </c>
      <c r="K1156" t="s">
        <v>161</v>
      </c>
      <c r="L1156" s="6">
        <v>129883.58</v>
      </c>
      <c r="M1156">
        <v>120425</v>
      </c>
      <c r="N1156" t="s">
        <v>35</v>
      </c>
      <c r="O1156">
        <v>2</v>
      </c>
      <c r="P1156">
        <v>185</v>
      </c>
      <c r="Q1156">
        <v>4</v>
      </c>
      <c r="R1156">
        <v>131</v>
      </c>
      <c r="S1156">
        <v>164.2</v>
      </c>
      <c r="T1156" t="s">
        <v>47</v>
      </c>
      <c r="U1156" s="7">
        <f t="shared" si="72"/>
        <v>42</v>
      </c>
      <c r="V1156" s="7">
        <f t="shared" si="73"/>
        <v>32</v>
      </c>
      <c r="W1156" s="6">
        <f t="shared" si="74"/>
        <v>9458.5800000000017</v>
      </c>
      <c r="X1156" t="str">
        <f t="shared" si="75"/>
        <v>Middle Age</v>
      </c>
    </row>
    <row r="1157" spans="1:24">
      <c r="A1157" t="s">
        <v>2660</v>
      </c>
      <c r="B1157" t="s">
        <v>1026</v>
      </c>
      <c r="C1157" t="s">
        <v>40</v>
      </c>
      <c r="D1157" s="5">
        <v>30150</v>
      </c>
      <c r="E1157" s="5">
        <v>44931</v>
      </c>
      <c r="F1157" s="5">
        <v>44933</v>
      </c>
      <c r="G1157" t="s">
        <v>105</v>
      </c>
      <c r="H1157" t="s">
        <v>52</v>
      </c>
      <c r="I1157" t="s">
        <v>53</v>
      </c>
      <c r="J1157" t="s">
        <v>34</v>
      </c>
      <c r="K1157" t="s">
        <v>110</v>
      </c>
      <c r="L1157" s="6">
        <v>160207.32999999999</v>
      </c>
      <c r="M1157">
        <v>136292.01</v>
      </c>
      <c r="N1157" t="s">
        <v>91</v>
      </c>
      <c r="O1157">
        <v>2</v>
      </c>
      <c r="P1157">
        <v>71</v>
      </c>
      <c r="Q1157">
        <v>5</v>
      </c>
      <c r="R1157">
        <v>167</v>
      </c>
      <c r="S1157">
        <v>120.2</v>
      </c>
      <c r="T1157" t="s">
        <v>37</v>
      </c>
      <c r="U1157" s="7">
        <f t="shared" si="72"/>
        <v>40</v>
      </c>
      <c r="V1157" s="7">
        <f t="shared" si="73"/>
        <v>2</v>
      </c>
      <c r="W1157" s="6">
        <f t="shared" si="74"/>
        <v>23915.319999999978</v>
      </c>
      <c r="X1157" t="str">
        <f t="shared" si="75"/>
        <v>Middle Age</v>
      </c>
    </row>
    <row r="1158" spans="1:24">
      <c r="A1158" t="s">
        <v>2662</v>
      </c>
      <c r="B1158" t="s">
        <v>640</v>
      </c>
      <c r="C1158" t="s">
        <v>40</v>
      </c>
      <c r="D1158" s="5">
        <v>28346</v>
      </c>
      <c r="E1158" s="5">
        <v>45860</v>
      </c>
      <c r="F1158" s="5">
        <v>45864</v>
      </c>
      <c r="G1158" t="s">
        <v>62</v>
      </c>
      <c r="H1158" t="s">
        <v>24</v>
      </c>
      <c r="I1158" t="s">
        <v>45</v>
      </c>
      <c r="J1158" t="s">
        <v>46</v>
      </c>
      <c r="K1158" t="s">
        <v>55</v>
      </c>
      <c r="L1158" s="6">
        <v>22998.47</v>
      </c>
      <c r="M1158">
        <v>15064.59</v>
      </c>
      <c r="N1158" t="s">
        <v>73</v>
      </c>
      <c r="O1158">
        <v>4</v>
      </c>
      <c r="P1158">
        <v>140</v>
      </c>
      <c r="Q1158">
        <v>5</v>
      </c>
      <c r="R1158">
        <v>175</v>
      </c>
      <c r="S1158">
        <v>249.4</v>
      </c>
      <c r="T1158" t="s">
        <v>37</v>
      </c>
      <c r="U1158" s="7">
        <f t="shared" si="72"/>
        <v>47</v>
      </c>
      <c r="V1158" s="7">
        <f t="shared" si="73"/>
        <v>4</v>
      </c>
      <c r="W1158" s="6">
        <f t="shared" si="74"/>
        <v>7933.880000000001</v>
      </c>
      <c r="X1158" t="str">
        <f t="shared" si="75"/>
        <v>Middle Age</v>
      </c>
    </row>
    <row r="1159" spans="1:24">
      <c r="A1159" t="s">
        <v>2665</v>
      </c>
      <c r="B1159" t="s">
        <v>895</v>
      </c>
      <c r="C1159" t="s">
        <v>133</v>
      </c>
      <c r="D1159" s="5">
        <v>34989</v>
      </c>
      <c r="E1159" s="5">
        <v>45901</v>
      </c>
      <c r="F1159" s="5" t="s">
        <v>4237</v>
      </c>
      <c r="G1159" t="s">
        <v>94</v>
      </c>
      <c r="H1159" t="s">
        <v>124</v>
      </c>
      <c r="I1159" t="s">
        <v>33</v>
      </c>
      <c r="J1159" t="s">
        <v>64</v>
      </c>
      <c r="K1159" t="s">
        <v>55</v>
      </c>
      <c r="L1159" s="6">
        <v>173730.2</v>
      </c>
      <c r="M1159">
        <v>162233.54</v>
      </c>
      <c r="N1159" t="s">
        <v>192</v>
      </c>
      <c r="O1159">
        <v>14</v>
      </c>
      <c r="P1159">
        <v>37</v>
      </c>
      <c r="Q1159">
        <v>4</v>
      </c>
      <c r="R1159">
        <v>116</v>
      </c>
      <c r="S1159">
        <v>174.1</v>
      </c>
      <c r="T1159" t="s">
        <v>37</v>
      </c>
      <c r="U1159" s="7">
        <f t="shared" si="72"/>
        <v>29</v>
      </c>
      <c r="V1159" s="7" t="s">
        <v>4237</v>
      </c>
      <c r="W1159" s="6">
        <f t="shared" si="74"/>
        <v>11496.660000000003</v>
      </c>
      <c r="X1159" t="str">
        <f t="shared" si="75"/>
        <v>Adult</v>
      </c>
    </row>
    <row r="1160" spans="1:24">
      <c r="A1160" t="s">
        <v>2666</v>
      </c>
      <c r="B1160" t="s">
        <v>737</v>
      </c>
      <c r="C1160" t="s">
        <v>40</v>
      </c>
      <c r="D1160" s="5">
        <v>29184</v>
      </c>
      <c r="E1160" s="5">
        <v>45532</v>
      </c>
      <c r="F1160" s="5">
        <v>45546</v>
      </c>
      <c r="G1160" t="s">
        <v>117</v>
      </c>
      <c r="H1160" t="s">
        <v>24</v>
      </c>
      <c r="I1160" t="s">
        <v>119</v>
      </c>
      <c r="J1160" t="s">
        <v>97</v>
      </c>
      <c r="K1160" t="s">
        <v>120</v>
      </c>
      <c r="L1160" s="6">
        <v>119587.68</v>
      </c>
      <c r="M1160">
        <v>76649.55</v>
      </c>
      <c r="N1160" t="s">
        <v>91</v>
      </c>
      <c r="O1160">
        <v>14</v>
      </c>
      <c r="P1160">
        <v>162</v>
      </c>
      <c r="Q1160">
        <v>4</v>
      </c>
      <c r="R1160">
        <v>102</v>
      </c>
      <c r="S1160">
        <v>251.9</v>
      </c>
      <c r="T1160" t="s">
        <v>65</v>
      </c>
      <c r="U1160" s="7">
        <f t="shared" si="72"/>
        <v>44</v>
      </c>
      <c r="V1160" s="7">
        <f t="shared" si="73"/>
        <v>14</v>
      </c>
      <c r="W1160" s="6">
        <f t="shared" si="74"/>
        <v>42938.12999999999</v>
      </c>
      <c r="X1160" t="str">
        <f t="shared" si="75"/>
        <v>Middle Age</v>
      </c>
    </row>
    <row r="1161" spans="1:24">
      <c r="A1161" t="s">
        <v>2667</v>
      </c>
      <c r="B1161" t="s">
        <v>1350</v>
      </c>
      <c r="C1161" t="s">
        <v>133</v>
      </c>
      <c r="D1161" s="5">
        <v>28157</v>
      </c>
      <c r="E1161" s="5">
        <v>45240</v>
      </c>
      <c r="F1161" s="5" t="s">
        <v>4237</v>
      </c>
      <c r="G1161" t="s">
        <v>89</v>
      </c>
      <c r="H1161" t="s">
        <v>118</v>
      </c>
      <c r="I1161" t="s">
        <v>119</v>
      </c>
      <c r="J1161" t="s">
        <v>71</v>
      </c>
      <c r="K1161" t="s">
        <v>161</v>
      </c>
      <c r="L1161" s="6">
        <v>86440.18</v>
      </c>
      <c r="M1161">
        <v>81852.960000000006</v>
      </c>
      <c r="N1161" t="s">
        <v>35</v>
      </c>
      <c r="O1161">
        <v>5</v>
      </c>
      <c r="P1161">
        <v>33</v>
      </c>
      <c r="Q1161">
        <v>5</v>
      </c>
      <c r="R1161">
        <v>147</v>
      </c>
      <c r="S1161">
        <v>115.4</v>
      </c>
      <c r="T1161" t="s">
        <v>47</v>
      </c>
      <c r="U1161" s="7">
        <f t="shared" si="72"/>
        <v>46</v>
      </c>
      <c r="V1161" s="7" t="s">
        <v>4237</v>
      </c>
      <c r="W1161" s="6">
        <f t="shared" si="74"/>
        <v>4587.2199999999866</v>
      </c>
      <c r="X1161" t="str">
        <f t="shared" si="75"/>
        <v>Middle Age</v>
      </c>
    </row>
    <row r="1162" spans="1:24">
      <c r="A1162" t="s">
        <v>2669</v>
      </c>
      <c r="B1162" t="s">
        <v>877</v>
      </c>
      <c r="C1162" t="s">
        <v>133</v>
      </c>
      <c r="D1162" s="5">
        <v>20282</v>
      </c>
      <c r="E1162" s="5">
        <v>45622</v>
      </c>
      <c r="F1162" s="5" t="s">
        <v>4237</v>
      </c>
      <c r="G1162" t="s">
        <v>94</v>
      </c>
      <c r="H1162" t="s">
        <v>24</v>
      </c>
      <c r="I1162" t="s">
        <v>96</v>
      </c>
      <c r="J1162" t="s">
        <v>34</v>
      </c>
      <c r="K1162" t="s">
        <v>55</v>
      </c>
      <c r="L1162" s="6">
        <v>83151.149999999994</v>
      </c>
      <c r="M1162">
        <v>61942.400000000001</v>
      </c>
      <c r="N1162" t="s">
        <v>4237</v>
      </c>
      <c r="O1162">
        <v>17</v>
      </c>
      <c r="P1162">
        <v>121</v>
      </c>
      <c r="Q1162">
        <v>3</v>
      </c>
      <c r="R1162">
        <v>96</v>
      </c>
      <c r="S1162">
        <v>198.1</v>
      </c>
      <c r="T1162" t="s">
        <v>37</v>
      </c>
      <c r="U1162" s="7">
        <f t="shared" si="72"/>
        <v>69</v>
      </c>
      <c r="V1162" s="7" t="s">
        <v>4237</v>
      </c>
      <c r="W1162" s="6">
        <f t="shared" si="74"/>
        <v>21208.749999999993</v>
      </c>
      <c r="X1162" t="str">
        <f t="shared" si="75"/>
        <v>Senior</v>
      </c>
    </row>
    <row r="1163" spans="1:24">
      <c r="A1163" t="s">
        <v>2670</v>
      </c>
      <c r="B1163" t="s">
        <v>298</v>
      </c>
      <c r="C1163" t="s">
        <v>133</v>
      </c>
      <c r="D1163" s="5">
        <v>28135</v>
      </c>
      <c r="E1163" s="5">
        <v>45580</v>
      </c>
      <c r="F1163" s="5">
        <v>45595</v>
      </c>
      <c r="G1163" t="s">
        <v>94</v>
      </c>
      <c r="H1163" t="s">
        <v>52</v>
      </c>
      <c r="I1163" t="s">
        <v>53</v>
      </c>
      <c r="J1163" t="s">
        <v>64</v>
      </c>
      <c r="K1163" t="s">
        <v>27</v>
      </c>
      <c r="L1163" s="6">
        <v>175211.51</v>
      </c>
      <c r="M1163">
        <v>167295.04000000001</v>
      </c>
      <c r="N1163" t="s">
        <v>91</v>
      </c>
      <c r="O1163">
        <v>15</v>
      </c>
      <c r="P1163">
        <v>121</v>
      </c>
      <c r="Q1163">
        <v>4</v>
      </c>
      <c r="R1163">
        <v>113</v>
      </c>
      <c r="S1163">
        <v>254.6</v>
      </c>
      <c r="T1163" t="s">
        <v>65</v>
      </c>
      <c r="U1163" s="7">
        <f t="shared" si="72"/>
        <v>47</v>
      </c>
      <c r="V1163" s="7">
        <f t="shared" si="73"/>
        <v>15</v>
      </c>
      <c r="W1163" s="6">
        <f t="shared" si="74"/>
        <v>7916.4700000000012</v>
      </c>
      <c r="X1163" t="str">
        <f t="shared" si="75"/>
        <v>Middle Age</v>
      </c>
    </row>
    <row r="1164" spans="1:24">
      <c r="A1164" t="s">
        <v>4171</v>
      </c>
      <c r="B1164" t="s">
        <v>1101</v>
      </c>
      <c r="C1164" t="s">
        <v>40</v>
      </c>
      <c r="D1164" s="5">
        <v>37271</v>
      </c>
      <c r="E1164" s="5">
        <v>45534</v>
      </c>
      <c r="F1164" s="5">
        <v>45541</v>
      </c>
      <c r="G1164" t="s">
        <v>161</v>
      </c>
      <c r="H1164" t="s">
        <v>153</v>
      </c>
      <c r="I1164" t="s">
        <v>45</v>
      </c>
      <c r="J1164" t="s">
        <v>64</v>
      </c>
      <c r="K1164" t="s">
        <v>120</v>
      </c>
      <c r="L1164" s="6">
        <v>39106.65</v>
      </c>
      <c r="M1164">
        <v>32019.88</v>
      </c>
      <c r="N1164" t="s">
        <v>73</v>
      </c>
      <c r="O1164">
        <v>7</v>
      </c>
      <c r="P1164">
        <v>72</v>
      </c>
      <c r="Q1164">
        <v>4</v>
      </c>
      <c r="R1164">
        <v>185</v>
      </c>
      <c r="S1164">
        <v>170.4</v>
      </c>
      <c r="T1164" t="s">
        <v>65</v>
      </c>
      <c r="U1164" s="7">
        <f t="shared" si="72"/>
        <v>22</v>
      </c>
      <c r="V1164" s="7">
        <f t="shared" si="73"/>
        <v>7</v>
      </c>
      <c r="W1164" s="6">
        <f t="shared" si="74"/>
        <v>7086.77</v>
      </c>
      <c r="X1164" t="str">
        <f t="shared" si="75"/>
        <v>Adult</v>
      </c>
    </row>
    <row r="1165" spans="1:24">
      <c r="A1165" t="s">
        <v>2673</v>
      </c>
      <c r="B1165" t="s">
        <v>1426</v>
      </c>
      <c r="C1165" t="s">
        <v>133</v>
      </c>
      <c r="D1165" s="5">
        <v>32240</v>
      </c>
      <c r="E1165" s="5">
        <v>45509</v>
      </c>
      <c r="F1165" s="5">
        <v>45522</v>
      </c>
      <c r="G1165" t="s">
        <v>161</v>
      </c>
      <c r="H1165" t="s">
        <v>86</v>
      </c>
      <c r="I1165" t="s">
        <v>45</v>
      </c>
      <c r="J1165" t="s">
        <v>34</v>
      </c>
      <c r="K1165" t="s">
        <v>55</v>
      </c>
      <c r="L1165" s="6">
        <v>52762.97</v>
      </c>
      <c r="M1165">
        <v>37037.18</v>
      </c>
      <c r="N1165" t="s">
        <v>35</v>
      </c>
      <c r="O1165">
        <v>13</v>
      </c>
      <c r="P1165">
        <v>128</v>
      </c>
      <c r="Q1165">
        <v>5</v>
      </c>
      <c r="R1165">
        <v>179</v>
      </c>
      <c r="S1165">
        <v>163.5</v>
      </c>
      <c r="T1165" t="s">
        <v>37</v>
      </c>
      <c r="U1165" s="7">
        <f t="shared" si="72"/>
        <v>36</v>
      </c>
      <c r="V1165" s="7">
        <f t="shared" si="73"/>
        <v>13</v>
      </c>
      <c r="W1165" s="6">
        <f t="shared" si="74"/>
        <v>15725.79</v>
      </c>
      <c r="X1165" t="str">
        <f t="shared" si="75"/>
        <v>Adult</v>
      </c>
    </row>
    <row r="1166" spans="1:24">
      <c r="A1166" t="s">
        <v>2674</v>
      </c>
      <c r="B1166" t="s">
        <v>796</v>
      </c>
      <c r="C1166" t="s">
        <v>40</v>
      </c>
      <c r="D1166" s="5">
        <v>18606</v>
      </c>
      <c r="E1166" s="5">
        <v>45829</v>
      </c>
      <c r="F1166" s="5">
        <v>45831</v>
      </c>
      <c r="G1166" t="s">
        <v>62</v>
      </c>
      <c r="H1166" t="s">
        <v>63</v>
      </c>
      <c r="I1166" t="s">
        <v>53</v>
      </c>
      <c r="J1166" t="s">
        <v>64</v>
      </c>
      <c r="K1166" t="s">
        <v>55</v>
      </c>
      <c r="L1166" s="6">
        <v>224884.36</v>
      </c>
      <c r="M1166">
        <v>215615.19</v>
      </c>
      <c r="N1166" t="s">
        <v>73</v>
      </c>
      <c r="O1166">
        <v>2</v>
      </c>
      <c r="P1166">
        <v>240</v>
      </c>
      <c r="Q1166">
        <v>4</v>
      </c>
      <c r="R1166">
        <v>101</v>
      </c>
      <c r="S1166">
        <v>155.30000000000001</v>
      </c>
      <c r="T1166" t="s">
        <v>37</v>
      </c>
      <c r="U1166" s="7">
        <f t="shared" si="72"/>
        <v>74</v>
      </c>
      <c r="V1166" s="7">
        <f t="shared" si="73"/>
        <v>2</v>
      </c>
      <c r="W1166" s="6">
        <f t="shared" si="74"/>
        <v>9269.1699999999837</v>
      </c>
      <c r="X1166" t="str">
        <f t="shared" si="75"/>
        <v>Senior</v>
      </c>
    </row>
    <row r="1167" spans="1:24">
      <c r="A1167" t="s">
        <v>4172</v>
      </c>
      <c r="B1167" t="s">
        <v>112</v>
      </c>
      <c r="C1167" t="s">
        <v>40</v>
      </c>
      <c r="D1167" s="5">
        <v>36132</v>
      </c>
      <c r="E1167" s="5">
        <v>45044</v>
      </c>
      <c r="F1167" s="5">
        <v>45056</v>
      </c>
      <c r="G1167" t="s">
        <v>161</v>
      </c>
      <c r="H1167" t="s">
        <v>118</v>
      </c>
      <c r="I1167" t="s">
        <v>33</v>
      </c>
      <c r="J1167" t="s">
        <v>34</v>
      </c>
      <c r="K1167" t="s">
        <v>55</v>
      </c>
      <c r="L1167" s="6">
        <v>152627.46</v>
      </c>
      <c r="M1167">
        <v>103952.31</v>
      </c>
      <c r="N1167" t="s">
        <v>56</v>
      </c>
      <c r="O1167">
        <v>12</v>
      </c>
      <c r="P1167">
        <v>188</v>
      </c>
      <c r="Q1167">
        <v>2</v>
      </c>
      <c r="R1167">
        <v>152</v>
      </c>
      <c r="S1167">
        <v>181.9</v>
      </c>
      <c r="T1167" t="s">
        <v>37</v>
      </c>
      <c r="U1167" s="7">
        <f t="shared" si="72"/>
        <v>24</v>
      </c>
      <c r="V1167" s="7">
        <f t="shared" si="73"/>
        <v>12</v>
      </c>
      <c r="W1167" s="6">
        <f t="shared" si="74"/>
        <v>48675.149999999994</v>
      </c>
      <c r="X1167" t="str">
        <f t="shared" si="75"/>
        <v>Adult</v>
      </c>
    </row>
    <row r="1168" spans="1:24">
      <c r="A1168" t="s">
        <v>2678</v>
      </c>
      <c r="B1168" t="s">
        <v>1026</v>
      </c>
      <c r="C1168" t="s">
        <v>133</v>
      </c>
      <c r="D1168" s="5">
        <v>35600</v>
      </c>
      <c r="E1168" s="5">
        <v>45341</v>
      </c>
      <c r="F1168" s="5">
        <v>45353</v>
      </c>
      <c r="G1168" t="s">
        <v>152</v>
      </c>
      <c r="H1168" t="s">
        <v>32</v>
      </c>
      <c r="I1168" t="s">
        <v>79</v>
      </c>
      <c r="J1168" t="s">
        <v>46</v>
      </c>
      <c r="K1168" t="s">
        <v>55</v>
      </c>
      <c r="L1168" s="6">
        <v>4159.8500000000004</v>
      </c>
      <c r="M1168">
        <v>3401.04</v>
      </c>
      <c r="N1168" t="s">
        <v>73</v>
      </c>
      <c r="O1168">
        <v>12</v>
      </c>
      <c r="P1168">
        <v>121</v>
      </c>
      <c r="Q1168">
        <v>1</v>
      </c>
      <c r="R1168">
        <v>150</v>
      </c>
      <c r="S1168">
        <v>172.2</v>
      </c>
      <c r="T1168" t="s">
        <v>4237</v>
      </c>
      <c r="U1168" s="7">
        <f t="shared" si="72"/>
        <v>26</v>
      </c>
      <c r="V1168" s="7">
        <f t="shared" si="73"/>
        <v>12</v>
      </c>
      <c r="W1168" s="6">
        <f t="shared" si="74"/>
        <v>758.8100000000004</v>
      </c>
      <c r="X1168" t="str">
        <f t="shared" si="75"/>
        <v>Adult</v>
      </c>
    </row>
    <row r="1169" spans="1:24">
      <c r="A1169" t="s">
        <v>2679</v>
      </c>
      <c r="B1169" t="s">
        <v>560</v>
      </c>
      <c r="C1169" t="s">
        <v>40</v>
      </c>
      <c r="D1169" s="5">
        <v>21077</v>
      </c>
      <c r="E1169" s="5" t="s">
        <v>4237</v>
      </c>
      <c r="F1169" s="5">
        <v>45977</v>
      </c>
      <c r="G1169" t="s">
        <v>152</v>
      </c>
      <c r="H1169" t="s">
        <v>118</v>
      </c>
      <c r="I1169" t="s">
        <v>45</v>
      </c>
      <c r="J1169" t="s">
        <v>34</v>
      </c>
      <c r="K1169" t="s">
        <v>55</v>
      </c>
      <c r="L1169" s="6">
        <v>210013.23</v>
      </c>
      <c r="M1169">
        <v>169128.97</v>
      </c>
      <c r="N1169" t="s">
        <v>73</v>
      </c>
      <c r="O1169">
        <v>1</v>
      </c>
      <c r="P1169">
        <v>121</v>
      </c>
      <c r="Q1169">
        <v>5</v>
      </c>
      <c r="R1169">
        <v>163</v>
      </c>
      <c r="S1169">
        <v>70.7</v>
      </c>
      <c r="T1169" t="s">
        <v>37</v>
      </c>
      <c r="U1169" s="7" t="s">
        <v>4237</v>
      </c>
      <c r="V1169" s="7" t="s">
        <v>4237</v>
      </c>
      <c r="W1169" s="6">
        <f t="shared" si="74"/>
        <v>40884.260000000009</v>
      </c>
      <c r="X1169" t="s">
        <v>4237</v>
      </c>
    </row>
    <row r="1170" spans="1:24">
      <c r="A1170" t="s">
        <v>2680</v>
      </c>
      <c r="B1170" t="s">
        <v>288</v>
      </c>
      <c r="C1170" t="s">
        <v>40</v>
      </c>
      <c r="D1170" s="5">
        <v>37496</v>
      </c>
      <c r="E1170" s="5">
        <v>45942</v>
      </c>
      <c r="F1170" s="5">
        <v>45944</v>
      </c>
      <c r="G1170" t="s">
        <v>152</v>
      </c>
      <c r="H1170" t="s">
        <v>118</v>
      </c>
      <c r="I1170" t="s">
        <v>25</v>
      </c>
      <c r="J1170" t="s">
        <v>97</v>
      </c>
      <c r="K1170" t="s">
        <v>161</v>
      </c>
      <c r="L1170" s="6">
        <v>175171.01</v>
      </c>
      <c r="M1170">
        <v>116479.86</v>
      </c>
      <c r="N1170" t="s">
        <v>192</v>
      </c>
      <c r="O1170">
        <v>2</v>
      </c>
      <c r="P1170">
        <v>30</v>
      </c>
      <c r="Q1170">
        <v>2</v>
      </c>
      <c r="R1170">
        <v>162</v>
      </c>
      <c r="S1170">
        <v>133.80000000000001</v>
      </c>
      <c r="T1170" t="s">
        <v>4237</v>
      </c>
      <c r="U1170" s="7">
        <f t="shared" si="72"/>
        <v>23</v>
      </c>
      <c r="V1170" s="7">
        <f t="shared" si="73"/>
        <v>2</v>
      </c>
      <c r="W1170" s="6">
        <f t="shared" si="74"/>
        <v>58691.150000000009</v>
      </c>
      <c r="X1170" t="str">
        <f t="shared" si="75"/>
        <v>Adult</v>
      </c>
    </row>
    <row r="1171" spans="1:24">
      <c r="A1171" t="s">
        <v>2681</v>
      </c>
      <c r="B1171" t="s">
        <v>829</v>
      </c>
      <c r="C1171" t="s">
        <v>133</v>
      </c>
      <c r="D1171" s="5">
        <v>21562</v>
      </c>
      <c r="E1171" s="5">
        <v>45173</v>
      </c>
      <c r="F1171" s="5">
        <v>45180</v>
      </c>
      <c r="G1171" t="s">
        <v>94</v>
      </c>
      <c r="H1171" t="s">
        <v>4236</v>
      </c>
      <c r="I1171" t="s">
        <v>33</v>
      </c>
      <c r="J1171" t="s">
        <v>71</v>
      </c>
      <c r="K1171" t="s">
        <v>55</v>
      </c>
      <c r="L1171" s="6">
        <v>183325.23</v>
      </c>
      <c r="M1171">
        <v>137585.94</v>
      </c>
      <c r="N1171" t="s">
        <v>192</v>
      </c>
      <c r="O1171">
        <v>7</v>
      </c>
      <c r="P1171">
        <v>95</v>
      </c>
      <c r="Q1171">
        <v>1</v>
      </c>
      <c r="R1171">
        <v>96</v>
      </c>
      <c r="S1171">
        <v>164.2</v>
      </c>
      <c r="T1171" t="s">
        <v>37</v>
      </c>
      <c r="U1171" s="7">
        <f t="shared" si="72"/>
        <v>64</v>
      </c>
      <c r="V1171" s="7">
        <f t="shared" si="73"/>
        <v>7</v>
      </c>
      <c r="W1171" s="6">
        <f t="shared" si="74"/>
        <v>45739.290000000008</v>
      </c>
      <c r="X1171" t="str">
        <f t="shared" si="75"/>
        <v>Senior</v>
      </c>
    </row>
    <row r="1172" spans="1:24">
      <c r="A1172" t="s">
        <v>2682</v>
      </c>
      <c r="B1172" t="s">
        <v>2033</v>
      </c>
      <c r="C1172" t="s">
        <v>133</v>
      </c>
      <c r="D1172" s="5">
        <v>28626</v>
      </c>
      <c r="E1172" s="5">
        <v>45850</v>
      </c>
      <c r="F1172" s="5">
        <v>45858</v>
      </c>
      <c r="G1172" t="s">
        <v>117</v>
      </c>
      <c r="H1172" t="s">
        <v>118</v>
      </c>
      <c r="I1172" t="s">
        <v>119</v>
      </c>
      <c r="J1172" t="s">
        <v>64</v>
      </c>
      <c r="K1172" t="s">
        <v>55</v>
      </c>
      <c r="L1172" s="6">
        <v>78456.5</v>
      </c>
      <c r="M1172">
        <v>54409.82</v>
      </c>
      <c r="N1172" t="s">
        <v>192</v>
      </c>
      <c r="O1172">
        <v>8</v>
      </c>
      <c r="P1172">
        <v>103</v>
      </c>
      <c r="Q1172">
        <v>4</v>
      </c>
      <c r="R1172">
        <v>186</v>
      </c>
      <c r="S1172">
        <v>93.6</v>
      </c>
      <c r="T1172" t="s">
        <v>65</v>
      </c>
      <c r="U1172" s="7">
        <f t="shared" si="72"/>
        <v>47</v>
      </c>
      <c r="V1172" s="7">
        <f t="shared" si="73"/>
        <v>8</v>
      </c>
      <c r="W1172" s="6">
        <f t="shared" si="74"/>
        <v>24046.68</v>
      </c>
      <c r="X1172" t="str">
        <f t="shared" si="75"/>
        <v>Middle Age</v>
      </c>
    </row>
    <row r="1173" spans="1:24">
      <c r="A1173" t="s">
        <v>2684</v>
      </c>
      <c r="B1173" t="s">
        <v>967</v>
      </c>
      <c r="C1173" t="s">
        <v>40</v>
      </c>
      <c r="D1173" s="5" t="s">
        <v>4237</v>
      </c>
      <c r="E1173" s="5">
        <v>45314</v>
      </c>
      <c r="F1173" s="5">
        <v>45321</v>
      </c>
      <c r="G1173" t="s">
        <v>152</v>
      </c>
      <c r="H1173" t="s">
        <v>24</v>
      </c>
      <c r="I1173" t="s">
        <v>45</v>
      </c>
      <c r="J1173" t="s">
        <v>26</v>
      </c>
      <c r="K1173" t="s">
        <v>55</v>
      </c>
      <c r="L1173" s="6">
        <v>63215.63</v>
      </c>
      <c r="M1173">
        <v>47991.12</v>
      </c>
      <c r="N1173" t="s">
        <v>192</v>
      </c>
      <c r="O1173">
        <v>7</v>
      </c>
      <c r="P1173">
        <v>60</v>
      </c>
      <c r="Q1173">
        <v>1</v>
      </c>
      <c r="R1173">
        <v>131</v>
      </c>
      <c r="S1173">
        <v>191.9</v>
      </c>
      <c r="T1173" t="s">
        <v>37</v>
      </c>
      <c r="U1173" s="7" t="s">
        <v>4237</v>
      </c>
      <c r="V1173" s="7">
        <f t="shared" si="73"/>
        <v>7</v>
      </c>
      <c r="W1173" s="6">
        <f t="shared" si="74"/>
        <v>15224.509999999995</v>
      </c>
      <c r="X1173" t="s">
        <v>4237</v>
      </c>
    </row>
    <row r="1174" spans="1:24">
      <c r="A1174" t="s">
        <v>2686</v>
      </c>
      <c r="B1174" t="s">
        <v>2033</v>
      </c>
      <c r="C1174" t="s">
        <v>40</v>
      </c>
      <c r="D1174" s="5">
        <v>29986</v>
      </c>
      <c r="E1174" s="5">
        <v>45308</v>
      </c>
      <c r="F1174" s="5">
        <v>45326</v>
      </c>
      <c r="G1174" t="s">
        <v>117</v>
      </c>
      <c r="H1174" t="s">
        <v>52</v>
      </c>
      <c r="I1174" t="s">
        <v>45</v>
      </c>
      <c r="J1174" t="s">
        <v>71</v>
      </c>
      <c r="K1174" t="s">
        <v>55</v>
      </c>
      <c r="L1174" s="6">
        <v>187137.13</v>
      </c>
      <c r="M1174">
        <v>156375.01999999999</v>
      </c>
      <c r="N1174" t="s">
        <v>73</v>
      </c>
      <c r="O1174">
        <v>18</v>
      </c>
      <c r="P1174">
        <v>151</v>
      </c>
      <c r="Q1174">
        <v>3</v>
      </c>
      <c r="R1174">
        <v>106</v>
      </c>
      <c r="S1174">
        <v>96.1</v>
      </c>
      <c r="T1174" t="s">
        <v>47</v>
      </c>
      <c r="U1174" s="7">
        <f t="shared" si="72"/>
        <v>41</v>
      </c>
      <c r="V1174" s="7">
        <f t="shared" si="73"/>
        <v>18</v>
      </c>
      <c r="W1174" s="6">
        <f t="shared" si="74"/>
        <v>30762.110000000015</v>
      </c>
      <c r="X1174" t="str">
        <f t="shared" si="75"/>
        <v>Middle Age</v>
      </c>
    </row>
    <row r="1175" spans="1:24">
      <c r="A1175" t="s">
        <v>2687</v>
      </c>
      <c r="B1175" t="s">
        <v>1026</v>
      </c>
      <c r="C1175" t="s">
        <v>133</v>
      </c>
      <c r="D1175" s="5">
        <v>25735</v>
      </c>
      <c r="E1175" s="5">
        <v>45940</v>
      </c>
      <c r="F1175" s="5">
        <v>45956</v>
      </c>
      <c r="G1175" t="s">
        <v>117</v>
      </c>
      <c r="H1175" t="s">
        <v>52</v>
      </c>
      <c r="I1175" t="s">
        <v>33</v>
      </c>
      <c r="J1175" t="s">
        <v>71</v>
      </c>
      <c r="K1175" t="s">
        <v>120</v>
      </c>
      <c r="L1175" s="6">
        <v>52950.400000000001</v>
      </c>
      <c r="M1175">
        <v>47697.47</v>
      </c>
      <c r="N1175" t="s">
        <v>91</v>
      </c>
      <c r="O1175">
        <v>16</v>
      </c>
      <c r="P1175">
        <v>59</v>
      </c>
      <c r="Q1175">
        <v>5</v>
      </c>
      <c r="R1175">
        <v>172</v>
      </c>
      <c r="S1175">
        <v>130.69999999999999</v>
      </c>
      <c r="T1175" t="s">
        <v>65</v>
      </c>
      <c r="U1175" s="7">
        <f t="shared" si="72"/>
        <v>55</v>
      </c>
      <c r="V1175" s="7">
        <f t="shared" si="73"/>
        <v>16</v>
      </c>
      <c r="W1175" s="6">
        <f t="shared" si="74"/>
        <v>5252.93</v>
      </c>
      <c r="X1175" t="str">
        <f t="shared" si="75"/>
        <v>Middle Age</v>
      </c>
    </row>
    <row r="1176" spans="1:24">
      <c r="A1176" t="s">
        <v>2688</v>
      </c>
      <c r="B1176" t="s">
        <v>1818</v>
      </c>
      <c r="C1176" t="s">
        <v>40</v>
      </c>
      <c r="D1176" s="5">
        <v>34500</v>
      </c>
      <c r="E1176" s="5">
        <v>45648</v>
      </c>
      <c r="F1176" s="5">
        <v>45662</v>
      </c>
      <c r="G1176" t="s">
        <v>117</v>
      </c>
      <c r="H1176" t="s">
        <v>44</v>
      </c>
      <c r="I1176" t="s">
        <v>45</v>
      </c>
      <c r="J1176" t="s">
        <v>80</v>
      </c>
      <c r="K1176" t="s">
        <v>120</v>
      </c>
      <c r="L1176" s="6">
        <v>145212.93</v>
      </c>
      <c r="M1176">
        <v>118742.74</v>
      </c>
      <c r="N1176" t="s">
        <v>73</v>
      </c>
      <c r="O1176">
        <v>14</v>
      </c>
      <c r="P1176">
        <v>232</v>
      </c>
      <c r="Q1176">
        <v>4</v>
      </c>
      <c r="R1176">
        <v>90</v>
      </c>
      <c r="S1176">
        <v>223.3</v>
      </c>
      <c r="T1176" t="s">
        <v>37</v>
      </c>
      <c r="U1176" s="7">
        <f t="shared" si="72"/>
        <v>30</v>
      </c>
      <c r="V1176" s="7">
        <f t="shared" si="73"/>
        <v>14</v>
      </c>
      <c r="W1176" s="6">
        <f t="shared" si="74"/>
        <v>26470.189999999988</v>
      </c>
      <c r="X1176" t="str">
        <f t="shared" si="75"/>
        <v>Adult</v>
      </c>
    </row>
    <row r="1177" spans="1:24">
      <c r="A1177" t="s">
        <v>2689</v>
      </c>
      <c r="B1177" t="s">
        <v>1839</v>
      </c>
      <c r="C1177" t="s">
        <v>133</v>
      </c>
      <c r="D1177" s="5">
        <v>21787</v>
      </c>
      <c r="E1177" s="5">
        <v>45897</v>
      </c>
      <c r="F1177" s="5">
        <v>45906</v>
      </c>
      <c r="G1177" t="s">
        <v>105</v>
      </c>
      <c r="H1177" t="s">
        <v>44</v>
      </c>
      <c r="I1177" t="s">
        <v>53</v>
      </c>
      <c r="J1177" t="s">
        <v>26</v>
      </c>
      <c r="K1177" t="s">
        <v>120</v>
      </c>
      <c r="L1177" s="6">
        <v>230403.57</v>
      </c>
      <c r="M1177">
        <v>168664.92</v>
      </c>
      <c r="N1177" t="s">
        <v>192</v>
      </c>
      <c r="O1177">
        <v>9</v>
      </c>
      <c r="P1177">
        <v>139</v>
      </c>
      <c r="Q1177">
        <v>2</v>
      </c>
      <c r="R1177">
        <v>154</v>
      </c>
      <c r="S1177">
        <v>173.7</v>
      </c>
      <c r="T1177" t="s">
        <v>4237</v>
      </c>
      <c r="U1177" s="7">
        <f t="shared" si="72"/>
        <v>66</v>
      </c>
      <c r="V1177" s="7">
        <f t="shared" si="73"/>
        <v>9</v>
      </c>
      <c r="W1177" s="6">
        <f t="shared" si="74"/>
        <v>61738.649999999994</v>
      </c>
      <c r="X1177" t="str">
        <f t="shared" si="75"/>
        <v>Senior</v>
      </c>
    </row>
    <row r="1178" spans="1:24">
      <c r="A1178" t="s">
        <v>2690</v>
      </c>
      <c r="B1178" t="s">
        <v>1734</v>
      </c>
      <c r="C1178" t="s">
        <v>40</v>
      </c>
      <c r="D1178" s="5">
        <v>20496</v>
      </c>
      <c r="E1178" s="5">
        <v>45949</v>
      </c>
      <c r="F1178" s="5">
        <v>45951</v>
      </c>
      <c r="G1178" t="s">
        <v>109</v>
      </c>
      <c r="H1178" t="s">
        <v>32</v>
      </c>
      <c r="I1178" t="s">
        <v>119</v>
      </c>
      <c r="J1178" t="s">
        <v>34</v>
      </c>
      <c r="K1178" t="s">
        <v>55</v>
      </c>
      <c r="L1178" s="6">
        <v>15669.63</v>
      </c>
      <c r="M1178">
        <v>15061.57</v>
      </c>
      <c r="N1178" t="s">
        <v>192</v>
      </c>
      <c r="O1178">
        <v>2</v>
      </c>
      <c r="P1178">
        <v>219</v>
      </c>
      <c r="Q1178">
        <v>4</v>
      </c>
      <c r="R1178">
        <v>126</v>
      </c>
      <c r="S1178">
        <v>229.9</v>
      </c>
      <c r="T1178" t="s">
        <v>4237</v>
      </c>
      <c r="U1178" s="7">
        <f t="shared" si="72"/>
        <v>69</v>
      </c>
      <c r="V1178" s="7">
        <f t="shared" si="73"/>
        <v>2</v>
      </c>
      <c r="W1178" s="6">
        <f t="shared" si="74"/>
        <v>608.05999999999949</v>
      </c>
      <c r="X1178" t="str">
        <f t="shared" si="75"/>
        <v>Senior</v>
      </c>
    </row>
    <row r="1179" spans="1:24">
      <c r="A1179" t="s">
        <v>2693</v>
      </c>
      <c r="B1179" t="s">
        <v>622</v>
      </c>
      <c r="C1179" t="s">
        <v>133</v>
      </c>
      <c r="D1179" s="5">
        <v>36727</v>
      </c>
      <c r="E1179" s="5">
        <v>45274</v>
      </c>
      <c r="F1179" s="5">
        <v>45279</v>
      </c>
      <c r="G1179" t="s">
        <v>117</v>
      </c>
      <c r="H1179" t="s">
        <v>44</v>
      </c>
      <c r="I1179" t="s">
        <v>25</v>
      </c>
      <c r="J1179" t="s">
        <v>34</v>
      </c>
      <c r="K1179" t="s">
        <v>120</v>
      </c>
      <c r="L1179" s="6">
        <v>209542.05</v>
      </c>
      <c r="M1179">
        <v>193873.49</v>
      </c>
      <c r="N1179" t="s">
        <v>35</v>
      </c>
      <c r="O1179">
        <v>5</v>
      </c>
      <c r="P1179">
        <v>68</v>
      </c>
      <c r="Q1179">
        <v>5</v>
      </c>
      <c r="R1179">
        <v>119</v>
      </c>
      <c r="S1179">
        <v>122.5</v>
      </c>
      <c r="T1179" t="s">
        <v>37</v>
      </c>
      <c r="U1179" s="7">
        <f t="shared" si="72"/>
        <v>23</v>
      </c>
      <c r="V1179" s="7">
        <f t="shared" si="73"/>
        <v>5</v>
      </c>
      <c r="W1179" s="6">
        <f t="shared" si="74"/>
        <v>15668.559999999998</v>
      </c>
      <c r="X1179" t="str">
        <f t="shared" si="75"/>
        <v>Adult</v>
      </c>
    </row>
    <row r="1180" spans="1:24">
      <c r="A1180" t="s">
        <v>2694</v>
      </c>
      <c r="B1180" t="s">
        <v>1839</v>
      </c>
      <c r="C1180" t="s">
        <v>40</v>
      </c>
      <c r="D1180" s="5">
        <v>31567</v>
      </c>
      <c r="E1180" s="5">
        <v>45728</v>
      </c>
      <c r="F1180" s="5">
        <v>45735</v>
      </c>
      <c r="G1180" t="s">
        <v>161</v>
      </c>
      <c r="H1180" t="s">
        <v>44</v>
      </c>
      <c r="I1180" t="s">
        <v>33</v>
      </c>
      <c r="J1180" t="s">
        <v>97</v>
      </c>
      <c r="K1180" t="s">
        <v>55</v>
      </c>
      <c r="L1180" s="6">
        <v>2612.63</v>
      </c>
      <c r="M1180">
        <v>1958.53</v>
      </c>
      <c r="N1180" t="s">
        <v>192</v>
      </c>
      <c r="O1180">
        <v>7</v>
      </c>
      <c r="P1180">
        <v>167</v>
      </c>
      <c r="Q1180">
        <v>2</v>
      </c>
      <c r="R1180">
        <v>152</v>
      </c>
      <c r="S1180">
        <v>134.19999999999999</v>
      </c>
      <c r="T1180" t="s">
        <v>37</v>
      </c>
      <c r="U1180" s="7">
        <f t="shared" si="72"/>
        <v>38</v>
      </c>
      <c r="V1180" s="7">
        <f t="shared" si="73"/>
        <v>7</v>
      </c>
      <c r="W1180" s="6">
        <f t="shared" si="74"/>
        <v>654.10000000000014</v>
      </c>
      <c r="X1180" t="str">
        <f t="shared" si="75"/>
        <v>Adult</v>
      </c>
    </row>
    <row r="1181" spans="1:24">
      <c r="A1181" t="s">
        <v>2697</v>
      </c>
      <c r="B1181" t="s">
        <v>1818</v>
      </c>
      <c r="C1181" t="s">
        <v>133</v>
      </c>
      <c r="D1181" s="5">
        <v>27024</v>
      </c>
      <c r="E1181" s="5">
        <v>44952</v>
      </c>
      <c r="F1181" s="5">
        <v>44957</v>
      </c>
      <c r="G1181" t="s">
        <v>117</v>
      </c>
      <c r="H1181" t="s">
        <v>78</v>
      </c>
      <c r="I1181" t="s">
        <v>33</v>
      </c>
      <c r="J1181" t="s">
        <v>46</v>
      </c>
      <c r="K1181" t="s">
        <v>120</v>
      </c>
      <c r="L1181" s="6">
        <v>226435.73</v>
      </c>
      <c r="M1181">
        <v>178555.79</v>
      </c>
      <c r="N1181" t="s">
        <v>73</v>
      </c>
      <c r="O1181">
        <v>5</v>
      </c>
      <c r="P1181">
        <v>86</v>
      </c>
      <c r="Q1181">
        <v>4</v>
      </c>
      <c r="R1181">
        <v>104</v>
      </c>
      <c r="S1181">
        <v>153.5</v>
      </c>
      <c r="T1181" t="s">
        <v>37</v>
      </c>
      <c r="U1181" s="7">
        <f t="shared" si="72"/>
        <v>49</v>
      </c>
      <c r="V1181" s="7">
        <f t="shared" si="73"/>
        <v>5</v>
      </c>
      <c r="W1181" s="6">
        <f t="shared" si="74"/>
        <v>47879.94</v>
      </c>
      <c r="X1181" t="str">
        <f t="shared" si="75"/>
        <v>Middle Age</v>
      </c>
    </row>
    <row r="1182" spans="1:24">
      <c r="A1182" t="s">
        <v>2699</v>
      </c>
      <c r="B1182" t="s">
        <v>676</v>
      </c>
      <c r="C1182" t="s">
        <v>40</v>
      </c>
      <c r="D1182" s="5">
        <v>33364</v>
      </c>
      <c r="E1182" s="5">
        <v>45480</v>
      </c>
      <c r="F1182" s="5">
        <v>45497</v>
      </c>
      <c r="G1182" t="s">
        <v>161</v>
      </c>
      <c r="H1182" t="s">
        <v>44</v>
      </c>
      <c r="I1182" t="s">
        <v>25</v>
      </c>
      <c r="J1182" t="s">
        <v>26</v>
      </c>
      <c r="K1182" t="s">
        <v>161</v>
      </c>
      <c r="L1182" s="6">
        <v>56058.78</v>
      </c>
      <c r="M1182">
        <v>49869.83</v>
      </c>
      <c r="N1182" t="s">
        <v>73</v>
      </c>
      <c r="O1182">
        <v>17</v>
      </c>
      <c r="P1182">
        <v>121</v>
      </c>
      <c r="Q1182">
        <v>4</v>
      </c>
      <c r="R1182">
        <v>163</v>
      </c>
      <c r="S1182">
        <v>180.4</v>
      </c>
      <c r="T1182" t="s">
        <v>37</v>
      </c>
      <c r="U1182" s="7">
        <f t="shared" si="72"/>
        <v>33</v>
      </c>
      <c r="V1182" s="7">
        <f t="shared" si="73"/>
        <v>17</v>
      </c>
      <c r="W1182" s="6">
        <f t="shared" si="74"/>
        <v>6188.9499999999971</v>
      </c>
      <c r="X1182" t="str">
        <f t="shared" si="75"/>
        <v>Adult</v>
      </c>
    </row>
    <row r="1183" spans="1:24">
      <c r="A1183" t="s">
        <v>2703</v>
      </c>
      <c r="B1183" t="s">
        <v>2249</v>
      </c>
      <c r="C1183" t="s">
        <v>40</v>
      </c>
      <c r="D1183" s="5">
        <v>39346</v>
      </c>
      <c r="E1183" s="5">
        <v>45605</v>
      </c>
      <c r="F1183" s="5">
        <v>45556</v>
      </c>
      <c r="G1183" t="s">
        <v>89</v>
      </c>
      <c r="H1183" t="s">
        <v>95</v>
      </c>
      <c r="I1183" t="s">
        <v>79</v>
      </c>
      <c r="J1183" t="s">
        <v>34</v>
      </c>
      <c r="K1183" t="s">
        <v>27</v>
      </c>
      <c r="L1183" s="6">
        <v>92586.81</v>
      </c>
      <c r="M1183">
        <v>79914.240000000005</v>
      </c>
      <c r="N1183" t="s">
        <v>73</v>
      </c>
      <c r="O1183">
        <v>10</v>
      </c>
      <c r="P1183">
        <v>181</v>
      </c>
      <c r="Q1183">
        <v>4</v>
      </c>
      <c r="R1183">
        <v>108</v>
      </c>
      <c r="S1183">
        <v>158</v>
      </c>
      <c r="T1183" t="s">
        <v>37</v>
      </c>
      <c r="U1183" s="7">
        <f t="shared" si="72"/>
        <v>17</v>
      </c>
      <c r="V1183" s="7">
        <f t="shared" si="73"/>
        <v>-49</v>
      </c>
      <c r="W1183" s="6">
        <f t="shared" si="74"/>
        <v>12672.569999999992</v>
      </c>
      <c r="X1183" t="str">
        <f t="shared" si="75"/>
        <v>Child</v>
      </c>
    </row>
    <row r="1184" spans="1:24">
      <c r="A1184" t="s">
        <v>2705</v>
      </c>
      <c r="B1184" t="s">
        <v>328</v>
      </c>
      <c r="C1184" t="s">
        <v>40</v>
      </c>
      <c r="D1184" s="5">
        <v>22729</v>
      </c>
      <c r="E1184" s="5">
        <v>45159</v>
      </c>
      <c r="F1184" s="5">
        <v>45177</v>
      </c>
      <c r="G1184" t="s">
        <v>161</v>
      </c>
      <c r="H1184" t="s">
        <v>52</v>
      </c>
      <c r="I1184" t="s">
        <v>45</v>
      </c>
      <c r="J1184" t="s">
        <v>179</v>
      </c>
      <c r="K1184" t="s">
        <v>110</v>
      </c>
      <c r="L1184" s="6">
        <v>130552.14</v>
      </c>
      <c r="M1184">
        <v>99913.97</v>
      </c>
      <c r="N1184" t="s">
        <v>56</v>
      </c>
      <c r="O1184">
        <v>18</v>
      </c>
      <c r="P1184">
        <v>96</v>
      </c>
      <c r="Q1184">
        <v>4</v>
      </c>
      <c r="R1184">
        <v>158</v>
      </c>
      <c r="S1184">
        <v>215.8</v>
      </c>
      <c r="T1184" t="s">
        <v>47</v>
      </c>
      <c r="U1184" s="7">
        <f t="shared" si="72"/>
        <v>61</v>
      </c>
      <c r="V1184" s="7">
        <f t="shared" si="73"/>
        <v>18</v>
      </c>
      <c r="W1184" s="6">
        <f t="shared" si="74"/>
        <v>30638.17</v>
      </c>
      <c r="X1184" t="str">
        <f t="shared" si="75"/>
        <v>Senior</v>
      </c>
    </row>
    <row r="1185" spans="1:24">
      <c r="A1185" t="s">
        <v>2706</v>
      </c>
      <c r="B1185" t="s">
        <v>1153</v>
      </c>
      <c r="C1185" t="s">
        <v>40</v>
      </c>
      <c r="D1185" s="5">
        <v>32988</v>
      </c>
      <c r="E1185" s="5">
        <v>45250</v>
      </c>
      <c r="F1185" s="5">
        <v>45251</v>
      </c>
      <c r="G1185" t="s">
        <v>105</v>
      </c>
      <c r="H1185" t="s">
        <v>86</v>
      </c>
      <c r="I1185" t="s">
        <v>96</v>
      </c>
      <c r="J1185" t="s">
        <v>97</v>
      </c>
      <c r="K1185" t="s">
        <v>27</v>
      </c>
      <c r="L1185" s="6">
        <v>62331.040000000001</v>
      </c>
      <c r="M1185">
        <v>49284.42</v>
      </c>
      <c r="N1185" t="s">
        <v>192</v>
      </c>
      <c r="O1185">
        <v>1</v>
      </c>
      <c r="P1185">
        <v>15</v>
      </c>
      <c r="Q1185">
        <v>4</v>
      </c>
      <c r="R1185">
        <v>150</v>
      </c>
      <c r="S1185">
        <v>143.1</v>
      </c>
      <c r="T1185" t="s">
        <v>65</v>
      </c>
      <c r="U1185" s="7">
        <f t="shared" si="72"/>
        <v>33</v>
      </c>
      <c r="V1185" s="7">
        <f t="shared" si="73"/>
        <v>1</v>
      </c>
      <c r="W1185" s="6">
        <f t="shared" si="74"/>
        <v>13046.620000000003</v>
      </c>
      <c r="X1185" t="str">
        <f t="shared" si="75"/>
        <v>Adult</v>
      </c>
    </row>
    <row r="1186" spans="1:24">
      <c r="A1186" t="s">
        <v>2708</v>
      </c>
      <c r="B1186" t="s">
        <v>2033</v>
      </c>
      <c r="C1186" t="s">
        <v>133</v>
      </c>
      <c r="D1186" s="5">
        <v>31044</v>
      </c>
      <c r="E1186" s="5">
        <v>45949</v>
      </c>
      <c r="F1186" s="5">
        <v>45965</v>
      </c>
      <c r="G1186" t="s">
        <v>161</v>
      </c>
      <c r="H1186" t="s">
        <v>24</v>
      </c>
      <c r="I1186" t="s">
        <v>33</v>
      </c>
      <c r="J1186" t="s">
        <v>46</v>
      </c>
      <c r="K1186" t="s">
        <v>120</v>
      </c>
      <c r="L1186" s="6">
        <v>46673.34</v>
      </c>
      <c r="M1186">
        <v>44472.75</v>
      </c>
      <c r="N1186" t="s">
        <v>35</v>
      </c>
      <c r="O1186">
        <v>16</v>
      </c>
      <c r="P1186">
        <v>18</v>
      </c>
      <c r="Q1186">
        <v>1</v>
      </c>
      <c r="R1186">
        <v>120</v>
      </c>
      <c r="S1186">
        <v>228.2</v>
      </c>
      <c r="T1186" t="s">
        <v>4237</v>
      </c>
      <c r="U1186" s="7">
        <f t="shared" si="72"/>
        <v>40</v>
      </c>
      <c r="V1186" s="7">
        <f t="shared" si="73"/>
        <v>16</v>
      </c>
      <c r="W1186" s="6">
        <f t="shared" si="74"/>
        <v>2200.5899999999965</v>
      </c>
      <c r="X1186" t="str">
        <f t="shared" si="75"/>
        <v>Middle Age</v>
      </c>
    </row>
    <row r="1187" spans="1:24">
      <c r="A1187" t="s">
        <v>2709</v>
      </c>
      <c r="B1187" t="s">
        <v>1256</v>
      </c>
      <c r="C1187" t="s">
        <v>133</v>
      </c>
      <c r="D1187" s="5">
        <v>22474</v>
      </c>
      <c r="E1187" s="5">
        <v>45519</v>
      </c>
      <c r="F1187" s="5">
        <v>45522</v>
      </c>
      <c r="G1187" t="s">
        <v>94</v>
      </c>
      <c r="H1187" t="s">
        <v>113</v>
      </c>
      <c r="I1187" t="s">
        <v>45</v>
      </c>
      <c r="J1187" t="s">
        <v>64</v>
      </c>
      <c r="K1187" t="s">
        <v>27</v>
      </c>
      <c r="L1187" s="6">
        <v>46525.75</v>
      </c>
      <c r="M1187">
        <v>40917.07</v>
      </c>
      <c r="N1187" t="s">
        <v>192</v>
      </c>
      <c r="O1187">
        <v>3</v>
      </c>
      <c r="P1187">
        <v>197</v>
      </c>
      <c r="Q1187">
        <v>4</v>
      </c>
      <c r="R1187">
        <v>164</v>
      </c>
      <c r="S1187">
        <v>174.7</v>
      </c>
      <c r="T1187" t="s">
        <v>4237</v>
      </c>
      <c r="U1187" s="7">
        <f t="shared" si="72"/>
        <v>63</v>
      </c>
      <c r="V1187" s="7">
        <f t="shared" si="73"/>
        <v>3</v>
      </c>
      <c r="W1187" s="6">
        <f t="shared" si="74"/>
        <v>5608.68</v>
      </c>
      <c r="X1187" t="str">
        <f t="shared" si="75"/>
        <v>Senior</v>
      </c>
    </row>
    <row r="1188" spans="1:24">
      <c r="A1188" t="s">
        <v>4173</v>
      </c>
      <c r="B1188" t="s">
        <v>1017</v>
      </c>
      <c r="C1188" t="s">
        <v>40</v>
      </c>
      <c r="D1188" s="5">
        <v>31365</v>
      </c>
      <c r="E1188" s="5" t="s">
        <v>4237</v>
      </c>
      <c r="F1188" s="5">
        <v>45984</v>
      </c>
      <c r="G1188" t="s">
        <v>161</v>
      </c>
      <c r="H1188" t="s">
        <v>24</v>
      </c>
      <c r="I1188" t="s">
        <v>96</v>
      </c>
      <c r="J1188" t="s">
        <v>97</v>
      </c>
      <c r="K1188" t="s">
        <v>27</v>
      </c>
      <c r="L1188" s="6">
        <v>163551.59</v>
      </c>
      <c r="M1188">
        <v>131770.99</v>
      </c>
      <c r="N1188" t="s">
        <v>73</v>
      </c>
      <c r="O1188">
        <v>1</v>
      </c>
      <c r="P1188">
        <v>239</v>
      </c>
      <c r="Q1188">
        <v>4</v>
      </c>
      <c r="R1188">
        <v>188</v>
      </c>
      <c r="S1188">
        <v>193.6</v>
      </c>
      <c r="T1188" t="s">
        <v>37</v>
      </c>
      <c r="U1188" s="7" t="s">
        <v>4237</v>
      </c>
      <c r="V1188" s="7" t="s">
        <v>4237</v>
      </c>
      <c r="W1188" s="6">
        <f t="shared" si="74"/>
        <v>31780.600000000006</v>
      </c>
      <c r="X1188" t="s">
        <v>4237</v>
      </c>
    </row>
    <row r="1189" spans="1:24">
      <c r="A1189" t="s">
        <v>2714</v>
      </c>
      <c r="B1189" t="s">
        <v>1364</v>
      </c>
      <c r="C1189" t="s">
        <v>133</v>
      </c>
      <c r="D1189" s="5" t="s">
        <v>4237</v>
      </c>
      <c r="E1189" s="5">
        <v>44933</v>
      </c>
      <c r="F1189" s="5">
        <v>44949</v>
      </c>
      <c r="G1189" t="s">
        <v>152</v>
      </c>
      <c r="H1189" t="s">
        <v>153</v>
      </c>
      <c r="I1189" t="s">
        <v>96</v>
      </c>
      <c r="J1189" t="s">
        <v>64</v>
      </c>
      <c r="K1189" t="s">
        <v>55</v>
      </c>
      <c r="L1189" s="6">
        <v>72431.78</v>
      </c>
      <c r="M1189">
        <v>57550.22</v>
      </c>
      <c r="N1189" t="s">
        <v>192</v>
      </c>
      <c r="O1189">
        <v>16</v>
      </c>
      <c r="P1189">
        <v>207</v>
      </c>
      <c r="Q1189">
        <v>4</v>
      </c>
      <c r="R1189">
        <v>115</v>
      </c>
      <c r="S1189">
        <v>218.6</v>
      </c>
      <c r="T1189" t="s">
        <v>37</v>
      </c>
      <c r="U1189" s="7" t="s">
        <v>4237</v>
      </c>
      <c r="V1189" s="7">
        <f t="shared" si="73"/>
        <v>16</v>
      </c>
      <c r="W1189" s="6">
        <f t="shared" si="74"/>
        <v>14881.559999999998</v>
      </c>
      <c r="X1189" t="s">
        <v>4237</v>
      </c>
    </row>
    <row r="1190" spans="1:24">
      <c r="A1190" t="s">
        <v>4174</v>
      </c>
      <c r="B1190" t="s">
        <v>59</v>
      </c>
      <c r="C1190" t="s">
        <v>133</v>
      </c>
      <c r="D1190" s="5">
        <v>35590</v>
      </c>
      <c r="E1190" s="5">
        <v>45277</v>
      </c>
      <c r="F1190" s="5">
        <v>45283</v>
      </c>
      <c r="G1190" t="s">
        <v>117</v>
      </c>
      <c r="H1190" t="s">
        <v>63</v>
      </c>
      <c r="I1190" t="s">
        <v>119</v>
      </c>
      <c r="J1190" t="s">
        <v>26</v>
      </c>
      <c r="K1190" t="s">
        <v>55</v>
      </c>
      <c r="L1190" s="6">
        <v>51045.760000000002</v>
      </c>
      <c r="M1190">
        <v>46573.88</v>
      </c>
      <c r="N1190" t="s">
        <v>73</v>
      </c>
      <c r="O1190">
        <v>6</v>
      </c>
      <c r="P1190">
        <v>195</v>
      </c>
      <c r="Q1190">
        <v>5</v>
      </c>
      <c r="R1190">
        <v>168</v>
      </c>
      <c r="S1190">
        <v>82.8</v>
      </c>
      <c r="T1190" t="s">
        <v>65</v>
      </c>
      <c r="U1190" s="7">
        <f t="shared" si="72"/>
        <v>26</v>
      </c>
      <c r="V1190" s="7">
        <f t="shared" si="73"/>
        <v>6</v>
      </c>
      <c r="W1190" s="6">
        <f t="shared" si="74"/>
        <v>4471.8800000000047</v>
      </c>
      <c r="X1190" t="str">
        <f t="shared" si="75"/>
        <v>Adult</v>
      </c>
    </row>
    <row r="1191" spans="1:24">
      <c r="A1191" t="s">
        <v>2718</v>
      </c>
      <c r="B1191" t="s">
        <v>1509</v>
      </c>
      <c r="C1191" t="s">
        <v>133</v>
      </c>
      <c r="D1191" s="5">
        <v>23583</v>
      </c>
      <c r="E1191" s="5">
        <v>45655</v>
      </c>
      <c r="F1191" s="5">
        <v>45656</v>
      </c>
      <c r="G1191" t="s">
        <v>105</v>
      </c>
      <c r="H1191" t="s">
        <v>153</v>
      </c>
      <c r="I1191" t="s">
        <v>25</v>
      </c>
      <c r="J1191" t="s">
        <v>71</v>
      </c>
      <c r="K1191" t="s">
        <v>55</v>
      </c>
      <c r="L1191" s="6">
        <v>18559.169999999998</v>
      </c>
      <c r="M1191">
        <v>15756.52</v>
      </c>
      <c r="N1191" t="s">
        <v>192</v>
      </c>
      <c r="O1191">
        <v>1</v>
      </c>
      <c r="P1191">
        <v>240</v>
      </c>
      <c r="Q1191">
        <v>3</v>
      </c>
      <c r="R1191">
        <v>108</v>
      </c>
      <c r="S1191">
        <v>115.1</v>
      </c>
      <c r="T1191" t="s">
        <v>47</v>
      </c>
      <c r="U1191" s="7">
        <f t="shared" si="72"/>
        <v>60</v>
      </c>
      <c r="V1191" s="7">
        <f t="shared" si="73"/>
        <v>1</v>
      </c>
      <c r="W1191" s="6">
        <f t="shared" si="74"/>
        <v>2802.6499999999978</v>
      </c>
      <c r="X1191" t="str">
        <f t="shared" si="75"/>
        <v>Senior</v>
      </c>
    </row>
    <row r="1192" spans="1:24">
      <c r="A1192" t="s">
        <v>2721</v>
      </c>
      <c r="B1192" t="s">
        <v>159</v>
      </c>
      <c r="C1192" t="s">
        <v>133</v>
      </c>
      <c r="D1192" s="5">
        <v>30362</v>
      </c>
      <c r="E1192" s="5">
        <v>45056</v>
      </c>
      <c r="F1192" s="5" t="s">
        <v>4237</v>
      </c>
      <c r="G1192" t="s">
        <v>152</v>
      </c>
      <c r="H1192" t="s">
        <v>153</v>
      </c>
      <c r="I1192" t="s">
        <v>45</v>
      </c>
      <c r="J1192" t="s">
        <v>46</v>
      </c>
      <c r="K1192" t="s">
        <v>110</v>
      </c>
      <c r="L1192" s="6">
        <v>236272.16</v>
      </c>
      <c r="M1192">
        <v>213217.59</v>
      </c>
      <c r="N1192" t="s">
        <v>73</v>
      </c>
      <c r="O1192">
        <v>17</v>
      </c>
      <c r="P1192">
        <v>194</v>
      </c>
      <c r="Q1192">
        <v>5</v>
      </c>
      <c r="R1192">
        <v>107</v>
      </c>
      <c r="S1192">
        <v>251.3</v>
      </c>
      <c r="T1192" t="s">
        <v>37</v>
      </c>
      <c r="U1192" s="7">
        <f t="shared" si="72"/>
        <v>40</v>
      </c>
      <c r="V1192" s="7" t="s">
        <v>4237</v>
      </c>
      <c r="W1192" s="6">
        <f t="shared" si="74"/>
        <v>23054.570000000007</v>
      </c>
      <c r="X1192" t="str">
        <f t="shared" si="75"/>
        <v>Middle Age</v>
      </c>
    </row>
    <row r="1193" spans="1:24">
      <c r="A1193" t="s">
        <v>2723</v>
      </c>
      <c r="B1193" t="s">
        <v>1206</v>
      </c>
      <c r="C1193" t="s">
        <v>40</v>
      </c>
      <c r="D1193" s="5">
        <v>39100</v>
      </c>
      <c r="E1193" s="5">
        <v>45958</v>
      </c>
      <c r="F1193" s="5">
        <v>45971</v>
      </c>
      <c r="G1193" t="s">
        <v>94</v>
      </c>
      <c r="H1193" t="s">
        <v>24</v>
      </c>
      <c r="I1193" t="s">
        <v>79</v>
      </c>
      <c r="J1193" t="s">
        <v>46</v>
      </c>
      <c r="K1193" t="s">
        <v>55</v>
      </c>
      <c r="L1193" s="6">
        <v>195913.73</v>
      </c>
      <c r="M1193">
        <v>170430.73</v>
      </c>
      <c r="N1193" t="s">
        <v>73</v>
      </c>
      <c r="O1193">
        <v>13</v>
      </c>
      <c r="P1193">
        <v>177</v>
      </c>
      <c r="Q1193">
        <v>1</v>
      </c>
      <c r="R1193">
        <v>93</v>
      </c>
      <c r="S1193">
        <v>114.6</v>
      </c>
      <c r="T1193" t="s">
        <v>37</v>
      </c>
      <c r="U1193" s="7">
        <f t="shared" si="72"/>
        <v>18</v>
      </c>
      <c r="V1193" s="7">
        <f t="shared" si="73"/>
        <v>13</v>
      </c>
      <c r="W1193" s="6">
        <f t="shared" si="74"/>
        <v>25483</v>
      </c>
      <c r="X1193" t="str">
        <f t="shared" si="75"/>
        <v>Adult</v>
      </c>
    </row>
    <row r="1194" spans="1:24">
      <c r="A1194" t="s">
        <v>2725</v>
      </c>
      <c r="B1194" t="s">
        <v>2389</v>
      </c>
      <c r="C1194" t="s">
        <v>133</v>
      </c>
      <c r="D1194" s="5">
        <v>18874</v>
      </c>
      <c r="E1194" s="5">
        <v>45843</v>
      </c>
      <c r="F1194" s="5">
        <v>45845</v>
      </c>
      <c r="G1194" t="s">
        <v>109</v>
      </c>
      <c r="H1194" t="s">
        <v>134</v>
      </c>
      <c r="I1194" t="s">
        <v>33</v>
      </c>
      <c r="J1194" t="s">
        <v>64</v>
      </c>
      <c r="K1194" t="s">
        <v>55</v>
      </c>
      <c r="L1194" s="6">
        <v>159515.82</v>
      </c>
      <c r="M1194">
        <v>130307.4</v>
      </c>
      <c r="N1194" t="s">
        <v>4237</v>
      </c>
      <c r="O1194">
        <v>2</v>
      </c>
      <c r="P1194">
        <v>169</v>
      </c>
      <c r="Q1194">
        <v>4</v>
      </c>
      <c r="R1194">
        <v>113</v>
      </c>
      <c r="S1194">
        <v>214.3</v>
      </c>
      <c r="T1194" t="s">
        <v>65</v>
      </c>
      <c r="U1194" s="7">
        <f t="shared" si="72"/>
        <v>73</v>
      </c>
      <c r="V1194" s="7">
        <f t="shared" si="73"/>
        <v>2</v>
      </c>
      <c r="W1194" s="6">
        <f t="shared" si="74"/>
        <v>29208.420000000013</v>
      </c>
      <c r="X1194" t="str">
        <f t="shared" si="75"/>
        <v>Senior</v>
      </c>
    </row>
    <row r="1195" spans="1:24">
      <c r="A1195" t="s">
        <v>2726</v>
      </c>
      <c r="B1195" t="s">
        <v>21</v>
      </c>
      <c r="C1195" t="s">
        <v>133</v>
      </c>
      <c r="D1195" s="5">
        <v>26723</v>
      </c>
      <c r="E1195" s="5">
        <v>45019</v>
      </c>
      <c r="F1195" s="5">
        <v>45020</v>
      </c>
      <c r="G1195" t="s">
        <v>43</v>
      </c>
      <c r="H1195" t="s">
        <v>24</v>
      </c>
      <c r="I1195" t="s">
        <v>33</v>
      </c>
      <c r="J1195" t="s">
        <v>179</v>
      </c>
      <c r="K1195" t="s">
        <v>161</v>
      </c>
      <c r="L1195" s="6">
        <v>158179.03</v>
      </c>
      <c r="M1195">
        <v>120181.79</v>
      </c>
      <c r="N1195" t="s">
        <v>35</v>
      </c>
      <c r="O1195">
        <v>1</v>
      </c>
      <c r="P1195">
        <v>65</v>
      </c>
      <c r="Q1195">
        <v>5</v>
      </c>
      <c r="R1195">
        <v>136</v>
      </c>
      <c r="S1195">
        <v>133.5</v>
      </c>
      <c r="T1195" t="s">
        <v>4237</v>
      </c>
      <c r="U1195" s="7">
        <f t="shared" si="72"/>
        <v>50</v>
      </c>
      <c r="V1195" s="7">
        <f t="shared" si="73"/>
        <v>1</v>
      </c>
      <c r="W1195" s="6">
        <f t="shared" si="74"/>
        <v>37997.240000000005</v>
      </c>
      <c r="X1195" t="str">
        <f t="shared" si="75"/>
        <v>Middle Age</v>
      </c>
    </row>
    <row r="1196" spans="1:24">
      <c r="A1196" t="s">
        <v>2727</v>
      </c>
      <c r="B1196" t="s">
        <v>1667</v>
      </c>
      <c r="C1196" t="s">
        <v>40</v>
      </c>
      <c r="D1196" s="5">
        <v>29793</v>
      </c>
      <c r="E1196" s="5">
        <v>45084</v>
      </c>
      <c r="F1196" s="5" t="s">
        <v>4237</v>
      </c>
      <c r="G1196" t="s">
        <v>117</v>
      </c>
      <c r="H1196" t="s">
        <v>78</v>
      </c>
      <c r="I1196" t="s">
        <v>33</v>
      </c>
      <c r="J1196" t="s">
        <v>64</v>
      </c>
      <c r="K1196" t="s">
        <v>55</v>
      </c>
      <c r="L1196" s="6">
        <v>226790.2</v>
      </c>
      <c r="M1196">
        <v>182558.26</v>
      </c>
      <c r="N1196" t="s">
        <v>4237</v>
      </c>
      <c r="O1196">
        <v>17</v>
      </c>
      <c r="P1196">
        <v>126</v>
      </c>
      <c r="Q1196">
        <v>4</v>
      </c>
      <c r="R1196">
        <v>137</v>
      </c>
      <c r="S1196">
        <v>234.3</v>
      </c>
      <c r="T1196" t="s">
        <v>47</v>
      </c>
      <c r="U1196" s="7">
        <f t="shared" si="72"/>
        <v>41</v>
      </c>
      <c r="V1196" s="7" t="s">
        <v>4237</v>
      </c>
      <c r="W1196" s="6">
        <f t="shared" si="74"/>
        <v>44231.94</v>
      </c>
      <c r="X1196" t="str">
        <f t="shared" si="75"/>
        <v>Middle Age</v>
      </c>
    </row>
    <row r="1197" spans="1:24">
      <c r="A1197" t="s">
        <v>2730</v>
      </c>
      <c r="B1197" t="s">
        <v>104</v>
      </c>
      <c r="C1197" t="s">
        <v>133</v>
      </c>
      <c r="D1197" s="5">
        <v>29313</v>
      </c>
      <c r="E1197" s="5">
        <v>45490</v>
      </c>
      <c r="F1197" s="5">
        <v>45502</v>
      </c>
      <c r="G1197" t="s">
        <v>109</v>
      </c>
      <c r="H1197" t="s">
        <v>63</v>
      </c>
      <c r="I1197" t="s">
        <v>119</v>
      </c>
      <c r="J1197" t="s">
        <v>64</v>
      </c>
      <c r="K1197" t="s">
        <v>55</v>
      </c>
      <c r="L1197" s="6">
        <v>103947.58</v>
      </c>
      <c r="M1197">
        <v>88177.87</v>
      </c>
      <c r="N1197" t="s">
        <v>35</v>
      </c>
      <c r="O1197">
        <v>12</v>
      </c>
      <c r="P1197">
        <v>26</v>
      </c>
      <c r="Q1197">
        <v>4</v>
      </c>
      <c r="R1197">
        <v>182</v>
      </c>
      <c r="S1197">
        <v>112.4</v>
      </c>
      <c r="T1197" t="s">
        <v>37</v>
      </c>
      <c r="U1197" s="7">
        <f t="shared" si="72"/>
        <v>44</v>
      </c>
      <c r="V1197" s="7">
        <f t="shared" si="73"/>
        <v>12</v>
      </c>
      <c r="W1197" s="6">
        <f t="shared" si="74"/>
        <v>15769.710000000006</v>
      </c>
      <c r="X1197" t="str">
        <f t="shared" si="75"/>
        <v>Middle Age</v>
      </c>
    </row>
    <row r="1198" spans="1:24">
      <c r="A1198" t="s">
        <v>2732</v>
      </c>
      <c r="B1198" t="s">
        <v>1094</v>
      </c>
      <c r="C1198" t="s">
        <v>40</v>
      </c>
      <c r="D1198" s="5" t="s">
        <v>4237</v>
      </c>
      <c r="E1198" s="5">
        <v>45144</v>
      </c>
      <c r="F1198" s="5">
        <v>45162</v>
      </c>
      <c r="G1198" t="s">
        <v>94</v>
      </c>
      <c r="H1198" t="s">
        <v>113</v>
      </c>
      <c r="I1198" t="s">
        <v>79</v>
      </c>
      <c r="J1198" t="s">
        <v>64</v>
      </c>
      <c r="K1198" t="s">
        <v>120</v>
      </c>
      <c r="L1198" s="6">
        <v>10659.63</v>
      </c>
      <c r="M1198">
        <v>10107.16</v>
      </c>
      <c r="N1198" t="s">
        <v>4237</v>
      </c>
      <c r="O1198">
        <v>18</v>
      </c>
      <c r="P1198">
        <v>158</v>
      </c>
      <c r="Q1198">
        <v>4</v>
      </c>
      <c r="R1198">
        <v>188</v>
      </c>
      <c r="S1198">
        <v>163.5</v>
      </c>
      <c r="T1198" t="s">
        <v>47</v>
      </c>
      <c r="U1198" s="7" t="s">
        <v>4237</v>
      </c>
      <c r="V1198" s="7">
        <f t="shared" si="73"/>
        <v>18</v>
      </c>
      <c r="W1198" s="6">
        <f t="shared" si="74"/>
        <v>552.46999999999935</v>
      </c>
      <c r="X1198" t="s">
        <v>4237</v>
      </c>
    </row>
    <row r="1199" spans="1:24">
      <c r="A1199" t="s">
        <v>2734</v>
      </c>
      <c r="B1199" t="s">
        <v>373</v>
      </c>
      <c r="C1199" t="s">
        <v>40</v>
      </c>
      <c r="D1199" s="5">
        <v>36318</v>
      </c>
      <c r="E1199" s="5">
        <v>45866</v>
      </c>
      <c r="F1199" s="5">
        <v>45884</v>
      </c>
      <c r="G1199" t="s">
        <v>62</v>
      </c>
      <c r="H1199" t="s">
        <v>24</v>
      </c>
      <c r="I1199" t="s">
        <v>119</v>
      </c>
      <c r="J1199" t="s">
        <v>46</v>
      </c>
      <c r="K1199" t="s">
        <v>55</v>
      </c>
      <c r="L1199" s="6">
        <v>171404.28</v>
      </c>
      <c r="M1199">
        <v>156954.31</v>
      </c>
      <c r="N1199" t="s">
        <v>35</v>
      </c>
      <c r="O1199">
        <v>18</v>
      </c>
      <c r="P1199">
        <v>198</v>
      </c>
      <c r="Q1199">
        <v>4</v>
      </c>
      <c r="R1199">
        <v>176</v>
      </c>
      <c r="S1199">
        <v>130.69999999999999</v>
      </c>
      <c r="T1199" t="s">
        <v>65</v>
      </c>
      <c r="U1199" s="7">
        <f t="shared" si="72"/>
        <v>26</v>
      </c>
      <c r="V1199" s="7">
        <f t="shared" si="73"/>
        <v>18</v>
      </c>
      <c r="W1199" s="6">
        <f t="shared" si="74"/>
        <v>14449.970000000001</v>
      </c>
      <c r="X1199" t="str">
        <f t="shared" si="75"/>
        <v>Adult</v>
      </c>
    </row>
    <row r="1200" spans="1:24">
      <c r="A1200" t="s">
        <v>2735</v>
      </c>
      <c r="B1200" t="s">
        <v>679</v>
      </c>
      <c r="C1200" t="s">
        <v>133</v>
      </c>
      <c r="D1200" s="5">
        <v>33596</v>
      </c>
      <c r="E1200" s="5">
        <v>45204</v>
      </c>
      <c r="F1200" s="5">
        <v>45208</v>
      </c>
      <c r="G1200" t="s">
        <v>152</v>
      </c>
      <c r="H1200" t="s">
        <v>153</v>
      </c>
      <c r="I1200" t="s">
        <v>25</v>
      </c>
      <c r="J1200" t="s">
        <v>34</v>
      </c>
      <c r="K1200" t="s">
        <v>120</v>
      </c>
      <c r="L1200" s="6">
        <v>195457.44</v>
      </c>
      <c r="M1200">
        <v>149495.91</v>
      </c>
      <c r="N1200" t="s">
        <v>4237</v>
      </c>
      <c r="O1200">
        <v>4</v>
      </c>
      <c r="P1200">
        <v>75</v>
      </c>
      <c r="Q1200">
        <v>1</v>
      </c>
      <c r="R1200">
        <v>188</v>
      </c>
      <c r="S1200">
        <v>163.5</v>
      </c>
      <c r="T1200" t="s">
        <v>65</v>
      </c>
      <c r="U1200" s="7">
        <f t="shared" si="72"/>
        <v>31</v>
      </c>
      <c r="V1200" s="7">
        <f t="shared" si="73"/>
        <v>4</v>
      </c>
      <c r="W1200" s="6">
        <f t="shared" si="74"/>
        <v>45961.53</v>
      </c>
      <c r="X1200" t="str">
        <f t="shared" si="75"/>
        <v>Adult</v>
      </c>
    </row>
    <row r="1201" spans="1:24">
      <c r="A1201" t="s">
        <v>4175</v>
      </c>
      <c r="B1201" t="s">
        <v>328</v>
      </c>
      <c r="C1201" t="s">
        <v>133</v>
      </c>
      <c r="D1201" s="5">
        <v>40522</v>
      </c>
      <c r="E1201" s="5">
        <v>45802</v>
      </c>
      <c r="F1201" s="5">
        <v>45816</v>
      </c>
      <c r="G1201" t="s">
        <v>89</v>
      </c>
      <c r="H1201" t="s">
        <v>134</v>
      </c>
      <c r="I1201" t="s">
        <v>96</v>
      </c>
      <c r="J1201" t="s">
        <v>71</v>
      </c>
      <c r="K1201" t="s">
        <v>55</v>
      </c>
      <c r="L1201" s="6">
        <v>39361.379999999997</v>
      </c>
      <c r="M1201">
        <v>98646.34</v>
      </c>
      <c r="N1201" t="s">
        <v>192</v>
      </c>
      <c r="O1201">
        <v>14</v>
      </c>
      <c r="P1201">
        <v>79</v>
      </c>
      <c r="Q1201">
        <v>5</v>
      </c>
      <c r="R1201">
        <v>153</v>
      </c>
      <c r="S1201">
        <v>81.3</v>
      </c>
      <c r="T1201" t="s">
        <v>65</v>
      </c>
      <c r="U1201" s="7">
        <f t="shared" si="72"/>
        <v>14</v>
      </c>
      <c r="V1201" s="7">
        <f t="shared" si="73"/>
        <v>14</v>
      </c>
      <c r="W1201" s="6">
        <f t="shared" si="74"/>
        <v>-59284.959999999999</v>
      </c>
      <c r="X1201" t="str">
        <f t="shared" si="75"/>
        <v>Child</v>
      </c>
    </row>
    <row r="1202" spans="1:24">
      <c r="A1202" t="s">
        <v>4176</v>
      </c>
      <c r="B1202" t="s">
        <v>1727</v>
      </c>
      <c r="C1202" t="s">
        <v>133</v>
      </c>
      <c r="D1202" s="5" t="s">
        <v>4237</v>
      </c>
      <c r="E1202" s="5" t="s">
        <v>4237</v>
      </c>
      <c r="F1202" s="5">
        <v>45432</v>
      </c>
      <c r="G1202" t="s">
        <v>43</v>
      </c>
      <c r="H1202" t="s">
        <v>113</v>
      </c>
      <c r="I1202" t="s">
        <v>79</v>
      </c>
      <c r="J1202" t="s">
        <v>64</v>
      </c>
      <c r="K1202" t="s">
        <v>27</v>
      </c>
      <c r="L1202" s="6">
        <v>142657.93</v>
      </c>
      <c r="M1202">
        <v>123572.12</v>
      </c>
      <c r="N1202" t="s">
        <v>35</v>
      </c>
      <c r="O1202">
        <v>5</v>
      </c>
      <c r="P1202">
        <v>173</v>
      </c>
      <c r="Q1202">
        <v>5</v>
      </c>
      <c r="R1202">
        <v>166</v>
      </c>
      <c r="S1202">
        <v>224.1</v>
      </c>
      <c r="T1202" t="s">
        <v>4237</v>
      </c>
      <c r="U1202" s="7" t="s">
        <v>4237</v>
      </c>
      <c r="V1202" s="7" t="s">
        <v>4237</v>
      </c>
      <c r="W1202" s="6">
        <f t="shared" si="74"/>
        <v>19085.809999999998</v>
      </c>
      <c r="X1202" t="s">
        <v>4237</v>
      </c>
    </row>
    <row r="1203" spans="1:24">
      <c r="A1203" t="s">
        <v>2741</v>
      </c>
      <c r="B1203" t="s">
        <v>132</v>
      </c>
      <c r="C1203" t="s">
        <v>133</v>
      </c>
      <c r="D1203" s="5">
        <v>24315</v>
      </c>
      <c r="E1203" s="5">
        <v>45256</v>
      </c>
      <c r="F1203" s="5">
        <v>45266</v>
      </c>
      <c r="G1203" t="s">
        <v>109</v>
      </c>
      <c r="H1203" t="s">
        <v>44</v>
      </c>
      <c r="I1203" t="s">
        <v>33</v>
      </c>
      <c r="J1203" t="s">
        <v>26</v>
      </c>
      <c r="K1203" t="s">
        <v>110</v>
      </c>
      <c r="L1203" s="6">
        <v>232450.09</v>
      </c>
      <c r="M1203">
        <v>149667.76999999999</v>
      </c>
      <c r="N1203" t="s">
        <v>91</v>
      </c>
      <c r="O1203">
        <v>10</v>
      </c>
      <c r="P1203">
        <v>28</v>
      </c>
      <c r="Q1203">
        <v>4</v>
      </c>
      <c r="R1203">
        <v>144</v>
      </c>
      <c r="S1203">
        <v>215.9</v>
      </c>
      <c r="T1203" t="s">
        <v>65</v>
      </c>
      <c r="U1203" s="7">
        <f t="shared" si="72"/>
        <v>57</v>
      </c>
      <c r="V1203" s="7">
        <f t="shared" si="73"/>
        <v>10</v>
      </c>
      <c r="W1203" s="6">
        <f t="shared" si="74"/>
        <v>82782.320000000007</v>
      </c>
      <c r="X1203" t="str">
        <f t="shared" si="75"/>
        <v>Middle Age</v>
      </c>
    </row>
    <row r="1204" spans="1:24">
      <c r="A1204" t="s">
        <v>2743</v>
      </c>
      <c r="B1204" t="s">
        <v>524</v>
      </c>
      <c r="C1204" t="s">
        <v>40</v>
      </c>
      <c r="D1204" s="5">
        <v>19367</v>
      </c>
      <c r="E1204" s="5" t="s">
        <v>4237</v>
      </c>
      <c r="F1204" s="5">
        <v>45490</v>
      </c>
      <c r="G1204" t="s">
        <v>77</v>
      </c>
      <c r="H1204" t="s">
        <v>44</v>
      </c>
      <c r="I1204" t="s">
        <v>45</v>
      </c>
      <c r="J1204" t="s">
        <v>97</v>
      </c>
      <c r="K1204" t="s">
        <v>27</v>
      </c>
      <c r="L1204" s="6">
        <v>90139.68</v>
      </c>
      <c r="M1204">
        <v>80650.55</v>
      </c>
      <c r="N1204" t="s">
        <v>73</v>
      </c>
      <c r="O1204">
        <v>8</v>
      </c>
      <c r="P1204">
        <v>125</v>
      </c>
      <c r="Q1204">
        <v>5</v>
      </c>
      <c r="R1204">
        <v>93</v>
      </c>
      <c r="S1204">
        <v>254.8</v>
      </c>
      <c r="T1204" t="s">
        <v>4237</v>
      </c>
      <c r="U1204" s="7" t="s">
        <v>4237</v>
      </c>
      <c r="V1204" s="7" t="s">
        <v>4237</v>
      </c>
      <c r="W1204" s="6">
        <f t="shared" si="74"/>
        <v>9489.1299999999901</v>
      </c>
      <c r="X1204" t="s">
        <v>4237</v>
      </c>
    </row>
    <row r="1205" spans="1:24">
      <c r="A1205" t="s">
        <v>2747</v>
      </c>
      <c r="B1205" t="s">
        <v>829</v>
      </c>
      <c r="C1205" t="s">
        <v>133</v>
      </c>
      <c r="D1205" s="5">
        <v>32933</v>
      </c>
      <c r="E1205" s="5">
        <v>45703</v>
      </c>
      <c r="F1205" s="5">
        <v>45704</v>
      </c>
      <c r="G1205" t="s">
        <v>94</v>
      </c>
      <c r="H1205" t="s">
        <v>153</v>
      </c>
      <c r="I1205" t="s">
        <v>79</v>
      </c>
      <c r="J1205" t="s">
        <v>64</v>
      </c>
      <c r="K1205" t="s">
        <v>110</v>
      </c>
      <c r="L1205" s="6">
        <v>52965.95</v>
      </c>
      <c r="M1205">
        <v>42804.13</v>
      </c>
      <c r="N1205" t="s">
        <v>56</v>
      </c>
      <c r="O1205">
        <v>1</v>
      </c>
      <c r="P1205">
        <v>37</v>
      </c>
      <c r="Q1205">
        <v>3</v>
      </c>
      <c r="R1205">
        <v>99</v>
      </c>
      <c r="S1205">
        <v>255.8</v>
      </c>
      <c r="T1205" t="s">
        <v>65</v>
      </c>
      <c r="U1205" s="7">
        <f t="shared" si="72"/>
        <v>34</v>
      </c>
      <c r="V1205" s="7">
        <f t="shared" si="73"/>
        <v>1</v>
      </c>
      <c r="W1205" s="6">
        <f t="shared" si="74"/>
        <v>10161.82</v>
      </c>
      <c r="X1205" t="str">
        <f t="shared" si="75"/>
        <v>Adult</v>
      </c>
    </row>
    <row r="1206" spans="1:24">
      <c r="A1206" t="s">
        <v>2749</v>
      </c>
      <c r="B1206" t="s">
        <v>1256</v>
      </c>
      <c r="C1206" t="s">
        <v>133</v>
      </c>
      <c r="D1206" s="5">
        <v>20878</v>
      </c>
      <c r="E1206" s="5">
        <v>45765</v>
      </c>
      <c r="F1206" s="5">
        <v>45769</v>
      </c>
      <c r="G1206" t="s">
        <v>105</v>
      </c>
      <c r="H1206" t="s">
        <v>113</v>
      </c>
      <c r="I1206" t="s">
        <v>96</v>
      </c>
      <c r="J1206" t="s">
        <v>71</v>
      </c>
      <c r="K1206" t="s">
        <v>27</v>
      </c>
      <c r="L1206" s="6">
        <v>184303.16</v>
      </c>
      <c r="M1206">
        <v>164168.09</v>
      </c>
      <c r="N1206" t="s">
        <v>73</v>
      </c>
      <c r="O1206">
        <v>4</v>
      </c>
      <c r="P1206">
        <v>26</v>
      </c>
      <c r="Q1206">
        <v>4</v>
      </c>
      <c r="R1206">
        <v>125</v>
      </c>
      <c r="S1206">
        <v>231.7</v>
      </c>
      <c r="T1206" t="s">
        <v>65</v>
      </c>
      <c r="U1206" s="7">
        <f t="shared" si="72"/>
        <v>68</v>
      </c>
      <c r="V1206" s="7">
        <f t="shared" si="73"/>
        <v>4</v>
      </c>
      <c r="W1206" s="6">
        <f t="shared" si="74"/>
        <v>20135.070000000007</v>
      </c>
      <c r="X1206" t="str">
        <f t="shared" si="75"/>
        <v>Senior</v>
      </c>
    </row>
    <row r="1207" spans="1:24">
      <c r="A1207" t="s">
        <v>2750</v>
      </c>
      <c r="B1207" t="s">
        <v>238</v>
      </c>
      <c r="C1207" t="s">
        <v>133</v>
      </c>
      <c r="D1207" s="5">
        <v>32091</v>
      </c>
      <c r="E1207" s="5">
        <v>44991</v>
      </c>
      <c r="F1207" s="5">
        <v>44997</v>
      </c>
      <c r="G1207" t="s">
        <v>62</v>
      </c>
      <c r="H1207" t="s">
        <v>86</v>
      </c>
      <c r="I1207" t="s">
        <v>119</v>
      </c>
      <c r="J1207" t="s">
        <v>64</v>
      </c>
      <c r="K1207" t="s">
        <v>110</v>
      </c>
      <c r="L1207" s="6">
        <v>94183.43</v>
      </c>
      <c r="M1207">
        <v>89252.28</v>
      </c>
      <c r="N1207" t="s">
        <v>73</v>
      </c>
      <c r="O1207">
        <v>6</v>
      </c>
      <c r="P1207">
        <v>135</v>
      </c>
      <c r="Q1207">
        <v>1</v>
      </c>
      <c r="R1207">
        <v>178</v>
      </c>
      <c r="S1207">
        <v>109.2</v>
      </c>
      <c r="T1207" t="s">
        <v>4237</v>
      </c>
      <c r="U1207" s="7">
        <f t="shared" si="72"/>
        <v>35</v>
      </c>
      <c r="V1207" s="7">
        <f t="shared" si="73"/>
        <v>6</v>
      </c>
      <c r="W1207" s="6">
        <f t="shared" si="74"/>
        <v>4931.1499999999942</v>
      </c>
      <c r="X1207" t="str">
        <f t="shared" si="75"/>
        <v>Adult</v>
      </c>
    </row>
    <row r="1208" spans="1:24">
      <c r="A1208" t="s">
        <v>2751</v>
      </c>
      <c r="B1208" t="s">
        <v>545</v>
      </c>
      <c r="C1208" t="s">
        <v>40</v>
      </c>
      <c r="D1208" s="5">
        <v>26810</v>
      </c>
      <c r="E1208" s="5">
        <v>45530</v>
      </c>
      <c r="F1208" s="5">
        <v>45535</v>
      </c>
      <c r="G1208" t="s">
        <v>109</v>
      </c>
      <c r="H1208" t="s">
        <v>153</v>
      </c>
      <c r="I1208" t="s">
        <v>33</v>
      </c>
      <c r="J1208" t="s">
        <v>34</v>
      </c>
      <c r="K1208" t="s">
        <v>55</v>
      </c>
      <c r="L1208" s="6">
        <v>123442.6</v>
      </c>
      <c r="M1208">
        <v>96974.32</v>
      </c>
      <c r="N1208" t="s">
        <v>91</v>
      </c>
      <c r="O1208">
        <v>5</v>
      </c>
      <c r="P1208">
        <v>237</v>
      </c>
      <c r="Q1208">
        <v>5</v>
      </c>
      <c r="R1208">
        <v>162</v>
      </c>
      <c r="S1208">
        <v>144.19999999999999</v>
      </c>
      <c r="T1208" t="s">
        <v>37</v>
      </c>
      <c r="U1208" s="7">
        <f t="shared" si="72"/>
        <v>51</v>
      </c>
      <c r="V1208" s="7">
        <f t="shared" si="73"/>
        <v>5</v>
      </c>
      <c r="W1208" s="6">
        <f t="shared" si="74"/>
        <v>26468.28</v>
      </c>
      <c r="X1208" t="str">
        <f t="shared" si="75"/>
        <v>Middle Age</v>
      </c>
    </row>
    <row r="1209" spans="1:24">
      <c r="A1209" t="s">
        <v>2752</v>
      </c>
      <c r="B1209" t="s">
        <v>980</v>
      </c>
      <c r="C1209" t="s">
        <v>40</v>
      </c>
      <c r="D1209" s="5">
        <v>26841</v>
      </c>
      <c r="E1209" s="5">
        <v>45352</v>
      </c>
      <c r="F1209" s="5">
        <v>45368</v>
      </c>
      <c r="G1209" t="s">
        <v>94</v>
      </c>
      <c r="H1209" t="s">
        <v>78</v>
      </c>
      <c r="I1209" t="s">
        <v>119</v>
      </c>
      <c r="J1209" t="s">
        <v>71</v>
      </c>
      <c r="K1209" t="s">
        <v>55</v>
      </c>
      <c r="L1209" s="6">
        <v>164173.10999999999</v>
      </c>
      <c r="M1209">
        <v>110143.55</v>
      </c>
      <c r="N1209" t="s">
        <v>35</v>
      </c>
      <c r="O1209">
        <v>16</v>
      </c>
      <c r="P1209">
        <v>30</v>
      </c>
      <c r="Q1209">
        <v>3</v>
      </c>
      <c r="R1209">
        <v>105</v>
      </c>
      <c r="S1209">
        <v>74.2</v>
      </c>
      <c r="T1209" t="s">
        <v>65</v>
      </c>
      <c r="U1209" s="7">
        <f t="shared" si="72"/>
        <v>50</v>
      </c>
      <c r="V1209" s="7">
        <f t="shared" si="73"/>
        <v>16</v>
      </c>
      <c r="W1209" s="6">
        <f t="shared" si="74"/>
        <v>54029.559999999983</v>
      </c>
      <c r="X1209" t="str">
        <f t="shared" si="75"/>
        <v>Middle Age</v>
      </c>
    </row>
    <row r="1210" spans="1:24">
      <c r="A1210" t="s">
        <v>2753</v>
      </c>
      <c r="B1210" t="s">
        <v>867</v>
      </c>
      <c r="C1210" t="s">
        <v>40</v>
      </c>
      <c r="D1210" s="5">
        <v>21878</v>
      </c>
      <c r="E1210" s="5">
        <v>45444</v>
      </c>
      <c r="F1210" s="5" t="s">
        <v>4237</v>
      </c>
      <c r="G1210" t="s">
        <v>117</v>
      </c>
      <c r="H1210" t="s">
        <v>124</v>
      </c>
      <c r="I1210" t="s">
        <v>79</v>
      </c>
      <c r="J1210" t="s">
        <v>97</v>
      </c>
      <c r="K1210" t="s">
        <v>110</v>
      </c>
      <c r="L1210" s="6">
        <v>91740.81</v>
      </c>
      <c r="M1210">
        <v>83667.48</v>
      </c>
      <c r="N1210" t="s">
        <v>91</v>
      </c>
      <c r="O1210">
        <v>15</v>
      </c>
      <c r="P1210">
        <v>80</v>
      </c>
      <c r="Q1210">
        <v>4</v>
      </c>
      <c r="R1210">
        <v>105</v>
      </c>
      <c r="S1210">
        <v>200.3</v>
      </c>
      <c r="T1210" t="s">
        <v>37</v>
      </c>
      <c r="U1210" s="7">
        <f t="shared" si="72"/>
        <v>64</v>
      </c>
      <c r="V1210" s="7" t="s">
        <v>4237</v>
      </c>
      <c r="W1210" s="6">
        <f t="shared" si="74"/>
        <v>8073.3300000000017</v>
      </c>
      <c r="X1210" t="str">
        <f t="shared" si="75"/>
        <v>Senior</v>
      </c>
    </row>
    <row r="1211" spans="1:24">
      <c r="A1211" t="s">
        <v>2754</v>
      </c>
      <c r="B1211" t="s">
        <v>737</v>
      </c>
      <c r="C1211" t="s">
        <v>133</v>
      </c>
      <c r="D1211" s="5">
        <v>40252</v>
      </c>
      <c r="E1211" s="5">
        <v>45659</v>
      </c>
      <c r="F1211" s="5">
        <v>45664</v>
      </c>
      <c r="G1211" t="s">
        <v>94</v>
      </c>
      <c r="H1211" t="s">
        <v>134</v>
      </c>
      <c r="I1211" t="s">
        <v>33</v>
      </c>
      <c r="J1211" t="s">
        <v>34</v>
      </c>
      <c r="K1211" t="s">
        <v>120</v>
      </c>
      <c r="L1211" s="6">
        <v>148903.76</v>
      </c>
      <c r="M1211">
        <v>129691.1</v>
      </c>
      <c r="N1211" t="s">
        <v>73</v>
      </c>
      <c r="O1211">
        <v>5</v>
      </c>
      <c r="P1211">
        <v>190</v>
      </c>
      <c r="Q1211">
        <v>5</v>
      </c>
      <c r="R1211">
        <v>133</v>
      </c>
      <c r="S1211">
        <v>246</v>
      </c>
      <c r="T1211" t="s">
        <v>65</v>
      </c>
      <c r="U1211" s="7">
        <f t="shared" si="72"/>
        <v>14</v>
      </c>
      <c r="V1211" s="7">
        <f t="shared" si="73"/>
        <v>5</v>
      </c>
      <c r="W1211" s="6">
        <f t="shared" si="74"/>
        <v>19212.660000000003</v>
      </c>
      <c r="X1211" t="str">
        <f t="shared" si="75"/>
        <v>Child</v>
      </c>
    </row>
    <row r="1212" spans="1:24">
      <c r="A1212" t="s">
        <v>2755</v>
      </c>
      <c r="B1212" t="s">
        <v>378</v>
      </c>
      <c r="C1212" t="s">
        <v>40</v>
      </c>
      <c r="D1212" s="5">
        <v>30411</v>
      </c>
      <c r="E1212" s="5">
        <v>45224</v>
      </c>
      <c r="F1212" s="5">
        <v>45233</v>
      </c>
      <c r="G1212" t="s">
        <v>62</v>
      </c>
      <c r="H1212" t="s">
        <v>86</v>
      </c>
      <c r="I1212" t="s">
        <v>45</v>
      </c>
      <c r="J1212" t="s">
        <v>34</v>
      </c>
      <c r="K1212" t="s">
        <v>161</v>
      </c>
      <c r="L1212" s="6">
        <v>215968.01</v>
      </c>
      <c r="M1212">
        <v>182004.69</v>
      </c>
      <c r="N1212" t="s">
        <v>35</v>
      </c>
      <c r="O1212">
        <v>9</v>
      </c>
      <c r="P1212">
        <v>31</v>
      </c>
      <c r="Q1212">
        <v>4</v>
      </c>
      <c r="R1212">
        <v>142</v>
      </c>
      <c r="S1212">
        <v>244.4</v>
      </c>
      <c r="T1212" t="s">
        <v>65</v>
      </c>
      <c r="U1212" s="7">
        <f t="shared" si="72"/>
        <v>40</v>
      </c>
      <c r="V1212" s="7">
        <f t="shared" si="73"/>
        <v>9</v>
      </c>
      <c r="W1212" s="6">
        <f t="shared" si="74"/>
        <v>33963.320000000007</v>
      </c>
      <c r="X1212" t="str">
        <f t="shared" si="75"/>
        <v>Middle Age</v>
      </c>
    </row>
    <row r="1213" spans="1:24">
      <c r="A1213" t="s">
        <v>2757</v>
      </c>
      <c r="B1213" t="s">
        <v>21</v>
      </c>
      <c r="C1213" t="s">
        <v>40</v>
      </c>
      <c r="D1213" s="5">
        <v>18345</v>
      </c>
      <c r="E1213" s="5">
        <v>45195</v>
      </c>
      <c r="F1213" s="5">
        <v>45213</v>
      </c>
      <c r="G1213" t="s">
        <v>62</v>
      </c>
      <c r="H1213" t="s">
        <v>24</v>
      </c>
      <c r="I1213" t="s">
        <v>33</v>
      </c>
      <c r="J1213" t="s">
        <v>71</v>
      </c>
      <c r="K1213" t="s">
        <v>55</v>
      </c>
      <c r="L1213" s="6">
        <v>170594.81</v>
      </c>
      <c r="M1213">
        <v>149492.01999999999</v>
      </c>
      <c r="N1213" t="s">
        <v>192</v>
      </c>
      <c r="O1213">
        <v>18</v>
      </c>
      <c r="P1213">
        <v>48</v>
      </c>
      <c r="Q1213">
        <v>4</v>
      </c>
      <c r="R1213">
        <v>181</v>
      </c>
      <c r="S1213">
        <v>250</v>
      </c>
      <c r="T1213" t="s">
        <v>37</v>
      </c>
      <c r="U1213" s="7">
        <f t="shared" si="72"/>
        <v>73</v>
      </c>
      <c r="V1213" s="7">
        <f t="shared" si="73"/>
        <v>18</v>
      </c>
      <c r="W1213" s="6">
        <f t="shared" si="74"/>
        <v>21102.790000000008</v>
      </c>
      <c r="X1213" t="str">
        <f t="shared" si="75"/>
        <v>Senior</v>
      </c>
    </row>
    <row r="1214" spans="1:24">
      <c r="A1214" t="s">
        <v>2759</v>
      </c>
      <c r="B1214" t="s">
        <v>845</v>
      </c>
      <c r="C1214" t="s">
        <v>133</v>
      </c>
      <c r="D1214" s="5">
        <v>34928</v>
      </c>
      <c r="E1214" s="5">
        <v>45369</v>
      </c>
      <c r="F1214" s="5">
        <v>45383</v>
      </c>
      <c r="G1214" t="s">
        <v>117</v>
      </c>
      <c r="H1214" t="s">
        <v>124</v>
      </c>
      <c r="I1214" t="s">
        <v>33</v>
      </c>
      <c r="J1214" t="s">
        <v>46</v>
      </c>
      <c r="K1214" t="s">
        <v>27</v>
      </c>
      <c r="L1214" s="6">
        <v>32124.19</v>
      </c>
      <c r="M1214">
        <v>23816.43</v>
      </c>
      <c r="N1214" t="s">
        <v>56</v>
      </c>
      <c r="O1214">
        <v>14</v>
      </c>
      <c r="P1214">
        <v>5</v>
      </c>
      <c r="Q1214">
        <v>4</v>
      </c>
      <c r="R1214">
        <v>146</v>
      </c>
      <c r="S1214">
        <v>213.8</v>
      </c>
      <c r="T1214" t="s">
        <v>37</v>
      </c>
      <c r="U1214" s="7">
        <f t="shared" si="72"/>
        <v>28</v>
      </c>
      <c r="V1214" s="7">
        <f t="shared" si="73"/>
        <v>14</v>
      </c>
      <c r="W1214" s="6">
        <f t="shared" si="74"/>
        <v>8307.7599999999984</v>
      </c>
      <c r="X1214" t="str">
        <f t="shared" si="75"/>
        <v>Adult</v>
      </c>
    </row>
    <row r="1215" spans="1:24">
      <c r="A1215" t="s">
        <v>2760</v>
      </c>
      <c r="B1215" t="s">
        <v>202</v>
      </c>
      <c r="C1215" t="s">
        <v>40</v>
      </c>
      <c r="D1215" s="5">
        <v>19887</v>
      </c>
      <c r="E1215" s="5">
        <v>45902</v>
      </c>
      <c r="F1215" s="5">
        <v>45910</v>
      </c>
      <c r="G1215" t="s">
        <v>152</v>
      </c>
      <c r="H1215" t="s">
        <v>63</v>
      </c>
      <c r="I1215" t="s">
        <v>53</v>
      </c>
      <c r="J1215" t="s">
        <v>179</v>
      </c>
      <c r="K1215" t="s">
        <v>55</v>
      </c>
      <c r="L1215" s="6">
        <v>141177.97</v>
      </c>
      <c r="M1215">
        <v>96357.81</v>
      </c>
      <c r="N1215" t="s">
        <v>73</v>
      </c>
      <c r="O1215">
        <v>8</v>
      </c>
      <c r="P1215">
        <v>147</v>
      </c>
      <c r="Q1215">
        <v>4</v>
      </c>
      <c r="R1215">
        <v>118</v>
      </c>
      <c r="S1215">
        <v>75.8</v>
      </c>
      <c r="T1215" t="s">
        <v>37</v>
      </c>
      <c r="U1215" s="7">
        <f t="shared" si="72"/>
        <v>71</v>
      </c>
      <c r="V1215" s="7">
        <f t="shared" si="73"/>
        <v>8</v>
      </c>
      <c r="W1215" s="6">
        <f t="shared" si="74"/>
        <v>44820.160000000003</v>
      </c>
      <c r="X1215" t="str">
        <f t="shared" si="75"/>
        <v>Senior</v>
      </c>
    </row>
    <row r="1216" spans="1:24">
      <c r="A1216" t="s">
        <v>2761</v>
      </c>
      <c r="B1216" t="s">
        <v>423</v>
      </c>
      <c r="C1216" t="s">
        <v>133</v>
      </c>
      <c r="D1216" s="5">
        <v>30469</v>
      </c>
      <c r="E1216" s="5">
        <v>45254</v>
      </c>
      <c r="F1216" s="5">
        <v>45269</v>
      </c>
      <c r="G1216" t="s">
        <v>105</v>
      </c>
      <c r="H1216" t="s">
        <v>118</v>
      </c>
      <c r="I1216" t="s">
        <v>25</v>
      </c>
      <c r="J1216" t="s">
        <v>64</v>
      </c>
      <c r="K1216" t="s">
        <v>120</v>
      </c>
      <c r="L1216" s="6">
        <v>39470.959999999999</v>
      </c>
      <c r="M1216">
        <v>32499.17</v>
      </c>
      <c r="N1216" t="s">
        <v>4237</v>
      </c>
      <c r="O1216">
        <v>15</v>
      </c>
      <c r="P1216">
        <v>5</v>
      </c>
      <c r="Q1216">
        <v>1</v>
      </c>
      <c r="R1216">
        <v>150</v>
      </c>
      <c r="S1216">
        <v>98.6</v>
      </c>
      <c r="T1216" t="s">
        <v>37</v>
      </c>
      <c r="U1216" s="7">
        <f t="shared" si="72"/>
        <v>40</v>
      </c>
      <c r="V1216" s="7">
        <f t="shared" si="73"/>
        <v>15</v>
      </c>
      <c r="W1216" s="6">
        <f t="shared" si="74"/>
        <v>6971.7900000000009</v>
      </c>
      <c r="X1216" t="str">
        <f t="shared" si="75"/>
        <v>Middle Age</v>
      </c>
    </row>
    <row r="1217" spans="1:24">
      <c r="A1217" t="s">
        <v>2763</v>
      </c>
      <c r="B1217" t="s">
        <v>406</v>
      </c>
      <c r="C1217" t="s">
        <v>133</v>
      </c>
      <c r="D1217" s="5">
        <v>36281</v>
      </c>
      <c r="E1217" s="5">
        <v>45407</v>
      </c>
      <c r="F1217" s="5" t="s">
        <v>4237</v>
      </c>
      <c r="G1217" t="s">
        <v>105</v>
      </c>
      <c r="H1217" t="s">
        <v>78</v>
      </c>
      <c r="I1217" t="s">
        <v>33</v>
      </c>
      <c r="J1217" t="s">
        <v>46</v>
      </c>
      <c r="K1217" t="s">
        <v>55</v>
      </c>
      <c r="L1217" s="6">
        <v>30959.48</v>
      </c>
      <c r="M1217">
        <v>25809.18</v>
      </c>
      <c r="N1217" t="s">
        <v>35</v>
      </c>
      <c r="O1217">
        <v>7</v>
      </c>
      <c r="P1217">
        <v>163</v>
      </c>
      <c r="Q1217">
        <v>1</v>
      </c>
      <c r="R1217">
        <v>115</v>
      </c>
      <c r="S1217">
        <v>101.8</v>
      </c>
      <c r="T1217" t="s">
        <v>37</v>
      </c>
      <c r="U1217" s="7">
        <f t="shared" si="72"/>
        <v>24</v>
      </c>
      <c r="V1217" s="7" t="s">
        <v>4237</v>
      </c>
      <c r="W1217" s="6">
        <f t="shared" si="74"/>
        <v>5150.2999999999993</v>
      </c>
      <c r="X1217" t="str">
        <f t="shared" si="75"/>
        <v>Adult</v>
      </c>
    </row>
    <row r="1218" spans="1:24">
      <c r="A1218" t="s">
        <v>2765</v>
      </c>
      <c r="B1218" t="s">
        <v>875</v>
      </c>
      <c r="C1218" t="s">
        <v>40</v>
      </c>
      <c r="D1218" s="5">
        <v>30273</v>
      </c>
      <c r="E1218" s="5">
        <v>45793</v>
      </c>
      <c r="F1218" s="5">
        <v>45809</v>
      </c>
      <c r="G1218" t="s">
        <v>89</v>
      </c>
      <c r="H1218" t="s">
        <v>153</v>
      </c>
      <c r="I1218" t="s">
        <v>33</v>
      </c>
      <c r="J1218" t="s">
        <v>46</v>
      </c>
      <c r="K1218" t="s">
        <v>55</v>
      </c>
      <c r="L1218" s="6">
        <v>86817.09</v>
      </c>
      <c r="M1218">
        <v>62619.67</v>
      </c>
      <c r="N1218" t="s">
        <v>73</v>
      </c>
      <c r="O1218">
        <v>16</v>
      </c>
      <c r="P1218">
        <v>6</v>
      </c>
      <c r="Q1218">
        <v>5</v>
      </c>
      <c r="R1218">
        <v>163</v>
      </c>
      <c r="S1218">
        <v>213.1</v>
      </c>
      <c r="T1218" t="s">
        <v>65</v>
      </c>
      <c r="U1218" s="7">
        <f t="shared" ref="U1218:U1281" si="76">DATEDIF(D1218,E1218,"Y")</f>
        <v>42</v>
      </c>
      <c r="V1218" s="7">
        <f t="shared" ref="V1218:V1281" si="77">IF(OR(E1218=" ",F1218=" ",E1218="Unknown",F1218="Unknown")," ",F1218-E1218)</f>
        <v>16</v>
      </c>
      <c r="W1218" s="6">
        <f t="shared" ref="W1218:W1281" si="78">L1218-M1218</f>
        <v>24197.42</v>
      </c>
      <c r="X1218" t="str">
        <f t="shared" ref="X1218:X1281" si="79">IF(OR(U1218="",U1218="Unknown"),"",IF(U1218&lt;18,"Child",IF(U1218&lt;40,"Adult",IF(U1218&lt;60,"Middle Age","Senior"))))</f>
        <v>Middle Age</v>
      </c>
    </row>
    <row r="1219" spans="1:24">
      <c r="A1219" t="s">
        <v>2767</v>
      </c>
      <c r="B1219" t="s">
        <v>1101</v>
      </c>
      <c r="C1219" t="s">
        <v>40</v>
      </c>
      <c r="D1219" s="5">
        <v>30722</v>
      </c>
      <c r="E1219" s="5">
        <v>45202</v>
      </c>
      <c r="F1219" s="5">
        <v>45204</v>
      </c>
      <c r="G1219" t="s">
        <v>94</v>
      </c>
      <c r="H1219" t="s">
        <v>113</v>
      </c>
      <c r="I1219" t="s">
        <v>96</v>
      </c>
      <c r="J1219" t="s">
        <v>46</v>
      </c>
      <c r="K1219" t="s">
        <v>27</v>
      </c>
      <c r="L1219" s="6">
        <v>228542.87</v>
      </c>
      <c r="M1219">
        <v>191605.71</v>
      </c>
      <c r="N1219" t="s">
        <v>56</v>
      </c>
      <c r="O1219">
        <v>2</v>
      </c>
      <c r="P1219">
        <v>71</v>
      </c>
      <c r="Q1219">
        <v>4</v>
      </c>
      <c r="R1219">
        <v>108</v>
      </c>
      <c r="S1219">
        <v>90.1</v>
      </c>
      <c r="T1219" t="s">
        <v>37</v>
      </c>
      <c r="U1219" s="7">
        <f t="shared" si="76"/>
        <v>39</v>
      </c>
      <c r="V1219" s="7">
        <f t="shared" si="77"/>
        <v>2</v>
      </c>
      <c r="W1219" s="6">
        <f t="shared" si="78"/>
        <v>36937.160000000003</v>
      </c>
      <c r="X1219" t="str">
        <f t="shared" si="79"/>
        <v>Adult</v>
      </c>
    </row>
    <row r="1220" spans="1:24">
      <c r="A1220" t="s">
        <v>2768</v>
      </c>
      <c r="B1220" t="s">
        <v>1153</v>
      </c>
      <c r="C1220" t="s">
        <v>133</v>
      </c>
      <c r="D1220" s="5">
        <v>19224</v>
      </c>
      <c r="E1220" s="5">
        <v>45786</v>
      </c>
      <c r="F1220" s="5">
        <v>45803</v>
      </c>
      <c r="G1220" t="s">
        <v>117</v>
      </c>
      <c r="H1220" t="s">
        <v>153</v>
      </c>
      <c r="I1220" t="s">
        <v>119</v>
      </c>
      <c r="J1220" t="s">
        <v>64</v>
      </c>
      <c r="K1220" t="s">
        <v>110</v>
      </c>
      <c r="L1220" s="6">
        <v>80379.7</v>
      </c>
      <c r="M1220">
        <v>71230.740000000005</v>
      </c>
      <c r="N1220" t="s">
        <v>4237</v>
      </c>
      <c r="O1220">
        <v>17</v>
      </c>
      <c r="P1220">
        <v>197</v>
      </c>
      <c r="Q1220">
        <v>2</v>
      </c>
      <c r="R1220">
        <v>96</v>
      </c>
      <c r="S1220">
        <v>145.1</v>
      </c>
      <c r="T1220" t="s">
        <v>37</v>
      </c>
      <c r="U1220" s="7">
        <f t="shared" si="76"/>
        <v>72</v>
      </c>
      <c r="V1220" s="7">
        <f t="shared" si="77"/>
        <v>17</v>
      </c>
      <c r="W1220" s="6">
        <f t="shared" si="78"/>
        <v>9148.9599999999919</v>
      </c>
      <c r="X1220" t="str">
        <f t="shared" si="79"/>
        <v>Senior</v>
      </c>
    </row>
    <row r="1221" spans="1:24">
      <c r="A1221" t="s">
        <v>2770</v>
      </c>
      <c r="B1221" t="s">
        <v>470</v>
      </c>
      <c r="C1221" t="s">
        <v>40</v>
      </c>
      <c r="D1221" s="5">
        <v>22055</v>
      </c>
      <c r="E1221" s="5">
        <v>45362</v>
      </c>
      <c r="F1221" s="5">
        <v>45366</v>
      </c>
      <c r="G1221" t="s">
        <v>109</v>
      </c>
      <c r="H1221" t="s">
        <v>63</v>
      </c>
      <c r="I1221" t="s">
        <v>53</v>
      </c>
      <c r="J1221" t="s">
        <v>71</v>
      </c>
      <c r="K1221" t="s">
        <v>55</v>
      </c>
      <c r="L1221" s="6">
        <v>245588.71</v>
      </c>
      <c r="M1221">
        <v>201573.28</v>
      </c>
      <c r="N1221" t="s">
        <v>91</v>
      </c>
      <c r="O1221">
        <v>4</v>
      </c>
      <c r="P1221">
        <v>74</v>
      </c>
      <c r="Q1221">
        <v>4</v>
      </c>
      <c r="R1221">
        <v>90</v>
      </c>
      <c r="S1221">
        <v>125.6</v>
      </c>
      <c r="T1221" t="s">
        <v>37</v>
      </c>
      <c r="U1221" s="7">
        <f t="shared" si="76"/>
        <v>63</v>
      </c>
      <c r="V1221" s="7">
        <f t="shared" si="77"/>
        <v>4</v>
      </c>
      <c r="W1221" s="6">
        <f t="shared" si="78"/>
        <v>44015.429999999993</v>
      </c>
      <c r="X1221" t="str">
        <f t="shared" si="79"/>
        <v>Senior</v>
      </c>
    </row>
    <row r="1222" spans="1:24">
      <c r="A1222" t="s">
        <v>2771</v>
      </c>
      <c r="B1222" t="s">
        <v>752</v>
      </c>
      <c r="C1222" t="s">
        <v>40</v>
      </c>
      <c r="D1222" s="5">
        <v>33944</v>
      </c>
      <c r="E1222" s="5">
        <v>45888</v>
      </c>
      <c r="F1222" s="5">
        <v>45895</v>
      </c>
      <c r="G1222" t="s">
        <v>94</v>
      </c>
      <c r="H1222" t="s">
        <v>32</v>
      </c>
      <c r="I1222" t="s">
        <v>33</v>
      </c>
      <c r="J1222" t="s">
        <v>97</v>
      </c>
      <c r="K1222" t="s">
        <v>55</v>
      </c>
      <c r="L1222" s="6">
        <v>92640.95</v>
      </c>
      <c r="M1222">
        <v>87750.81</v>
      </c>
      <c r="N1222" t="s">
        <v>73</v>
      </c>
      <c r="O1222">
        <v>7</v>
      </c>
      <c r="P1222">
        <v>23</v>
      </c>
      <c r="Q1222">
        <v>3</v>
      </c>
      <c r="R1222">
        <v>121</v>
      </c>
      <c r="S1222">
        <v>70.900000000000006</v>
      </c>
      <c r="T1222" t="s">
        <v>37</v>
      </c>
      <c r="U1222" s="7">
        <f t="shared" si="76"/>
        <v>32</v>
      </c>
      <c r="V1222" s="7">
        <f t="shared" si="77"/>
        <v>7</v>
      </c>
      <c r="W1222" s="6">
        <f t="shared" si="78"/>
        <v>4890.1399999999994</v>
      </c>
      <c r="X1222" t="str">
        <f t="shared" si="79"/>
        <v>Adult</v>
      </c>
    </row>
    <row r="1223" spans="1:24">
      <c r="A1223" t="s">
        <v>2772</v>
      </c>
      <c r="B1223" t="s">
        <v>875</v>
      </c>
      <c r="C1223" t="s">
        <v>133</v>
      </c>
      <c r="D1223" s="5">
        <v>31044</v>
      </c>
      <c r="E1223" s="5">
        <v>44928</v>
      </c>
      <c r="F1223" s="5">
        <v>44939</v>
      </c>
      <c r="G1223" t="s">
        <v>94</v>
      </c>
      <c r="H1223" t="s">
        <v>95</v>
      </c>
      <c r="I1223" t="s">
        <v>45</v>
      </c>
      <c r="J1223" t="s">
        <v>34</v>
      </c>
      <c r="K1223" t="s">
        <v>27</v>
      </c>
      <c r="L1223" s="6">
        <v>164207.45000000001</v>
      </c>
      <c r="M1223">
        <v>149319.59</v>
      </c>
      <c r="N1223" t="s">
        <v>73</v>
      </c>
      <c r="O1223">
        <v>11</v>
      </c>
      <c r="P1223">
        <v>57</v>
      </c>
      <c r="Q1223">
        <v>1</v>
      </c>
      <c r="R1223">
        <v>115</v>
      </c>
      <c r="S1223">
        <v>241.4</v>
      </c>
      <c r="T1223" t="s">
        <v>65</v>
      </c>
      <c r="U1223" s="7">
        <f t="shared" si="76"/>
        <v>38</v>
      </c>
      <c r="V1223" s="7">
        <f t="shared" si="77"/>
        <v>11</v>
      </c>
      <c r="W1223" s="6">
        <f t="shared" si="78"/>
        <v>14887.860000000015</v>
      </c>
      <c r="X1223" t="str">
        <f t="shared" si="79"/>
        <v>Adult</v>
      </c>
    </row>
    <row r="1224" spans="1:24">
      <c r="A1224" t="s">
        <v>2774</v>
      </c>
      <c r="B1224" t="s">
        <v>867</v>
      </c>
      <c r="C1224" t="s">
        <v>40</v>
      </c>
      <c r="D1224" s="5">
        <v>38712</v>
      </c>
      <c r="E1224" s="5">
        <v>45830</v>
      </c>
      <c r="F1224" s="5">
        <v>45831</v>
      </c>
      <c r="G1224" t="s">
        <v>94</v>
      </c>
      <c r="H1224" t="s">
        <v>24</v>
      </c>
      <c r="I1224" t="s">
        <v>79</v>
      </c>
      <c r="J1224" t="s">
        <v>179</v>
      </c>
      <c r="K1224" t="s">
        <v>55</v>
      </c>
      <c r="L1224" s="6">
        <v>8661.26</v>
      </c>
      <c r="M1224">
        <v>8501.83</v>
      </c>
      <c r="N1224" t="s">
        <v>35</v>
      </c>
      <c r="O1224">
        <v>1</v>
      </c>
      <c r="P1224">
        <v>30</v>
      </c>
      <c r="Q1224">
        <v>5</v>
      </c>
      <c r="R1224">
        <v>190</v>
      </c>
      <c r="S1224">
        <v>115.5</v>
      </c>
      <c r="T1224" t="s">
        <v>37</v>
      </c>
      <c r="U1224" s="7">
        <f t="shared" si="76"/>
        <v>19</v>
      </c>
      <c r="V1224" s="7">
        <f t="shared" si="77"/>
        <v>1</v>
      </c>
      <c r="W1224" s="6">
        <f t="shared" si="78"/>
        <v>159.43000000000029</v>
      </c>
      <c r="X1224" t="str">
        <f t="shared" si="79"/>
        <v>Adult</v>
      </c>
    </row>
    <row r="1225" spans="1:24">
      <c r="A1225" t="s">
        <v>2776</v>
      </c>
      <c r="B1225" t="s">
        <v>2507</v>
      </c>
      <c r="C1225" t="s">
        <v>133</v>
      </c>
      <c r="D1225" s="5">
        <v>24008</v>
      </c>
      <c r="E1225" s="5">
        <v>45865</v>
      </c>
      <c r="F1225" s="5">
        <v>45879</v>
      </c>
      <c r="G1225" t="s">
        <v>161</v>
      </c>
      <c r="H1225" t="s">
        <v>63</v>
      </c>
      <c r="I1225" t="s">
        <v>33</v>
      </c>
      <c r="J1225" t="s">
        <v>34</v>
      </c>
      <c r="K1225" t="s">
        <v>161</v>
      </c>
      <c r="L1225" s="6">
        <v>200497.71</v>
      </c>
      <c r="M1225">
        <v>184801.95</v>
      </c>
      <c r="N1225" t="s">
        <v>192</v>
      </c>
      <c r="O1225">
        <v>14</v>
      </c>
      <c r="P1225">
        <v>70</v>
      </c>
      <c r="Q1225">
        <v>5</v>
      </c>
      <c r="R1225">
        <v>154</v>
      </c>
      <c r="S1225">
        <v>153.1</v>
      </c>
      <c r="T1225" t="s">
        <v>37</v>
      </c>
      <c r="U1225" s="7">
        <f t="shared" si="76"/>
        <v>59</v>
      </c>
      <c r="V1225" s="7">
        <f t="shared" si="77"/>
        <v>14</v>
      </c>
      <c r="W1225" s="6">
        <f t="shared" si="78"/>
        <v>15695.75999999998</v>
      </c>
      <c r="X1225" t="str">
        <f t="shared" si="79"/>
        <v>Middle Age</v>
      </c>
    </row>
    <row r="1226" spans="1:24">
      <c r="A1226" t="s">
        <v>2778</v>
      </c>
      <c r="B1226" t="s">
        <v>515</v>
      </c>
      <c r="C1226" t="s">
        <v>133</v>
      </c>
      <c r="D1226" s="5">
        <v>29294</v>
      </c>
      <c r="E1226" s="5">
        <v>45351</v>
      </c>
      <c r="F1226" s="5">
        <v>45360</v>
      </c>
      <c r="G1226" t="s">
        <v>62</v>
      </c>
      <c r="H1226" t="s">
        <v>52</v>
      </c>
      <c r="I1226" t="s">
        <v>53</v>
      </c>
      <c r="J1226" t="s">
        <v>97</v>
      </c>
      <c r="K1226" t="s">
        <v>55</v>
      </c>
      <c r="L1226" s="6">
        <v>53226.2</v>
      </c>
      <c r="M1226">
        <v>98646.34</v>
      </c>
      <c r="N1226" t="s">
        <v>35</v>
      </c>
      <c r="O1226">
        <v>9</v>
      </c>
      <c r="P1226">
        <v>154</v>
      </c>
      <c r="Q1226">
        <v>4</v>
      </c>
      <c r="R1226">
        <v>110</v>
      </c>
      <c r="S1226">
        <v>93.3</v>
      </c>
      <c r="T1226" t="s">
        <v>37</v>
      </c>
      <c r="U1226" s="7">
        <f t="shared" si="76"/>
        <v>43</v>
      </c>
      <c r="V1226" s="7">
        <f t="shared" si="77"/>
        <v>9</v>
      </c>
      <c r="W1226" s="6">
        <f t="shared" si="78"/>
        <v>-45420.14</v>
      </c>
      <c r="X1226" t="str">
        <f t="shared" si="79"/>
        <v>Middle Age</v>
      </c>
    </row>
    <row r="1227" spans="1:24">
      <c r="A1227" t="s">
        <v>2779</v>
      </c>
      <c r="B1227" t="s">
        <v>909</v>
      </c>
      <c r="C1227" t="s">
        <v>40</v>
      </c>
      <c r="D1227" s="5">
        <v>40028</v>
      </c>
      <c r="E1227" s="5">
        <v>45671</v>
      </c>
      <c r="F1227" s="5">
        <v>45680</v>
      </c>
      <c r="G1227" t="s">
        <v>77</v>
      </c>
      <c r="H1227" t="s">
        <v>113</v>
      </c>
      <c r="I1227" t="s">
        <v>79</v>
      </c>
      <c r="J1227" t="s">
        <v>34</v>
      </c>
      <c r="K1227" t="s">
        <v>161</v>
      </c>
      <c r="L1227" s="6">
        <v>4248.92</v>
      </c>
      <c r="M1227">
        <v>3506.66</v>
      </c>
      <c r="N1227" t="s">
        <v>192</v>
      </c>
      <c r="O1227">
        <v>9</v>
      </c>
      <c r="P1227">
        <v>155</v>
      </c>
      <c r="Q1227">
        <v>4</v>
      </c>
      <c r="R1227">
        <v>163</v>
      </c>
      <c r="S1227">
        <v>86.1</v>
      </c>
      <c r="T1227" t="s">
        <v>37</v>
      </c>
      <c r="U1227" s="7">
        <f t="shared" si="76"/>
        <v>15</v>
      </c>
      <c r="V1227" s="7">
        <f t="shared" si="77"/>
        <v>9</v>
      </c>
      <c r="W1227" s="6">
        <f t="shared" si="78"/>
        <v>742.26000000000022</v>
      </c>
      <c r="X1227" t="str">
        <f t="shared" si="79"/>
        <v>Child</v>
      </c>
    </row>
    <row r="1228" spans="1:24">
      <c r="A1228" t="s">
        <v>2780</v>
      </c>
      <c r="B1228" t="s">
        <v>444</v>
      </c>
      <c r="C1228" t="s">
        <v>133</v>
      </c>
      <c r="D1228" s="5">
        <v>38488</v>
      </c>
      <c r="E1228" s="5">
        <v>45734</v>
      </c>
      <c r="F1228" s="5">
        <v>45736</v>
      </c>
      <c r="G1228" t="s">
        <v>62</v>
      </c>
      <c r="H1228" t="s">
        <v>24</v>
      </c>
      <c r="I1228" t="s">
        <v>119</v>
      </c>
      <c r="J1228" t="s">
        <v>97</v>
      </c>
      <c r="K1228" t="s">
        <v>55</v>
      </c>
      <c r="L1228" s="6">
        <v>147563.59</v>
      </c>
      <c r="M1228">
        <v>117882.6</v>
      </c>
      <c r="N1228" t="s">
        <v>56</v>
      </c>
      <c r="O1228">
        <v>2</v>
      </c>
      <c r="P1228">
        <v>87</v>
      </c>
      <c r="Q1228">
        <v>3</v>
      </c>
      <c r="R1228">
        <v>99</v>
      </c>
      <c r="S1228">
        <v>163.30000000000001</v>
      </c>
      <c r="T1228" t="s">
        <v>37</v>
      </c>
      <c r="U1228" s="7">
        <f t="shared" si="76"/>
        <v>19</v>
      </c>
      <c r="V1228" s="7">
        <f t="shared" si="77"/>
        <v>2</v>
      </c>
      <c r="W1228" s="6">
        <f t="shared" si="78"/>
        <v>29680.989999999991</v>
      </c>
      <c r="X1228" t="str">
        <f t="shared" si="79"/>
        <v>Adult</v>
      </c>
    </row>
    <row r="1229" spans="1:24">
      <c r="A1229" t="s">
        <v>2781</v>
      </c>
      <c r="B1229" t="s">
        <v>810</v>
      </c>
      <c r="C1229" t="s">
        <v>133</v>
      </c>
      <c r="D1229" s="5">
        <v>28039</v>
      </c>
      <c r="E1229" s="5">
        <v>45884</v>
      </c>
      <c r="F1229" s="5">
        <v>45892</v>
      </c>
      <c r="G1229" t="s">
        <v>43</v>
      </c>
      <c r="H1229" t="s">
        <v>78</v>
      </c>
      <c r="I1229" t="s">
        <v>96</v>
      </c>
      <c r="J1229" t="s">
        <v>179</v>
      </c>
      <c r="K1229" t="s">
        <v>120</v>
      </c>
      <c r="L1229" s="6">
        <v>17771.61</v>
      </c>
      <c r="M1229">
        <v>12525.65</v>
      </c>
      <c r="N1229" t="s">
        <v>192</v>
      </c>
      <c r="O1229">
        <v>8</v>
      </c>
      <c r="P1229">
        <v>111</v>
      </c>
      <c r="Q1229">
        <v>4</v>
      </c>
      <c r="R1229">
        <v>115</v>
      </c>
      <c r="S1229">
        <v>181</v>
      </c>
      <c r="T1229" t="s">
        <v>47</v>
      </c>
      <c r="U1229" s="7">
        <f t="shared" si="76"/>
        <v>48</v>
      </c>
      <c r="V1229" s="7">
        <f t="shared" si="77"/>
        <v>8</v>
      </c>
      <c r="W1229" s="6">
        <f t="shared" si="78"/>
        <v>5245.9600000000009</v>
      </c>
      <c r="X1229" t="str">
        <f t="shared" si="79"/>
        <v>Middle Age</v>
      </c>
    </row>
    <row r="1230" spans="1:24">
      <c r="A1230" t="s">
        <v>2782</v>
      </c>
      <c r="B1230" t="s">
        <v>328</v>
      </c>
      <c r="C1230" t="s">
        <v>40</v>
      </c>
      <c r="D1230" s="5">
        <v>37143</v>
      </c>
      <c r="E1230" s="5">
        <v>44970</v>
      </c>
      <c r="F1230" s="5">
        <v>44983</v>
      </c>
      <c r="G1230" t="s">
        <v>89</v>
      </c>
      <c r="H1230" t="s">
        <v>95</v>
      </c>
      <c r="I1230" t="s">
        <v>119</v>
      </c>
      <c r="J1230" t="s">
        <v>46</v>
      </c>
      <c r="K1230" t="s">
        <v>120</v>
      </c>
      <c r="L1230" s="6">
        <v>131959.88</v>
      </c>
      <c r="M1230">
        <v>107080.06</v>
      </c>
      <c r="N1230" t="s">
        <v>73</v>
      </c>
      <c r="O1230">
        <v>13</v>
      </c>
      <c r="P1230">
        <v>183</v>
      </c>
      <c r="Q1230">
        <v>5</v>
      </c>
      <c r="R1230">
        <v>135</v>
      </c>
      <c r="S1230">
        <v>99.2</v>
      </c>
      <c r="T1230" t="s">
        <v>37</v>
      </c>
      <c r="U1230" s="7">
        <f t="shared" si="76"/>
        <v>21</v>
      </c>
      <c r="V1230" s="7">
        <f t="shared" si="77"/>
        <v>13</v>
      </c>
      <c r="W1230" s="6">
        <f t="shared" si="78"/>
        <v>24879.820000000007</v>
      </c>
      <c r="X1230" t="str">
        <f t="shared" si="79"/>
        <v>Adult</v>
      </c>
    </row>
    <row r="1231" spans="1:24">
      <c r="A1231" t="s">
        <v>2784</v>
      </c>
      <c r="B1231" t="s">
        <v>679</v>
      </c>
      <c r="C1231" t="s">
        <v>40</v>
      </c>
      <c r="D1231" s="5">
        <v>22967</v>
      </c>
      <c r="E1231" s="5" t="s">
        <v>4237</v>
      </c>
      <c r="F1231" s="5">
        <v>45864</v>
      </c>
      <c r="G1231" t="s">
        <v>105</v>
      </c>
      <c r="H1231" t="s">
        <v>63</v>
      </c>
      <c r="I1231" t="s">
        <v>79</v>
      </c>
      <c r="J1231" t="s">
        <v>34</v>
      </c>
      <c r="K1231" t="s">
        <v>55</v>
      </c>
      <c r="L1231" s="6">
        <v>228682.18</v>
      </c>
      <c r="M1231">
        <v>215512.92</v>
      </c>
      <c r="N1231" t="s">
        <v>73</v>
      </c>
      <c r="O1231">
        <v>3</v>
      </c>
      <c r="P1231">
        <v>68</v>
      </c>
      <c r="Q1231">
        <v>4</v>
      </c>
      <c r="R1231">
        <v>159</v>
      </c>
      <c r="S1231">
        <v>205.3</v>
      </c>
      <c r="T1231" t="s">
        <v>37</v>
      </c>
      <c r="U1231" s="7" t="s">
        <v>4237</v>
      </c>
      <c r="V1231" s="7" t="s">
        <v>4237</v>
      </c>
      <c r="W1231" s="6">
        <f t="shared" si="78"/>
        <v>13169.25999999998</v>
      </c>
      <c r="X1231" t="s">
        <v>4237</v>
      </c>
    </row>
    <row r="1232" spans="1:24">
      <c r="A1232" t="s">
        <v>2786</v>
      </c>
      <c r="B1232" t="s">
        <v>967</v>
      </c>
      <c r="C1232" t="s">
        <v>133</v>
      </c>
      <c r="D1232" s="5">
        <v>21333</v>
      </c>
      <c r="E1232" s="5">
        <v>45796</v>
      </c>
      <c r="F1232" s="5" t="s">
        <v>4237</v>
      </c>
      <c r="G1232" t="s">
        <v>43</v>
      </c>
      <c r="H1232" t="s">
        <v>153</v>
      </c>
      <c r="I1232" t="s">
        <v>53</v>
      </c>
      <c r="J1232" t="s">
        <v>64</v>
      </c>
      <c r="K1232" t="s">
        <v>55</v>
      </c>
      <c r="L1232" s="6">
        <v>50991.73</v>
      </c>
      <c r="M1232">
        <v>42508.95</v>
      </c>
      <c r="N1232" t="s">
        <v>73</v>
      </c>
      <c r="O1232">
        <v>10</v>
      </c>
      <c r="P1232">
        <v>77</v>
      </c>
      <c r="Q1232">
        <v>3</v>
      </c>
      <c r="R1232">
        <v>141</v>
      </c>
      <c r="S1232">
        <v>169.8</v>
      </c>
      <c r="T1232" t="s">
        <v>65</v>
      </c>
      <c r="U1232" s="7">
        <f t="shared" si="76"/>
        <v>66</v>
      </c>
      <c r="V1232" s="7" t="s">
        <v>4237</v>
      </c>
      <c r="W1232" s="6">
        <f t="shared" si="78"/>
        <v>8482.7800000000061</v>
      </c>
      <c r="X1232" t="str">
        <f t="shared" si="79"/>
        <v>Senior</v>
      </c>
    </row>
    <row r="1233" spans="1:24">
      <c r="A1233" t="s">
        <v>2788</v>
      </c>
      <c r="B1233" t="s">
        <v>2270</v>
      </c>
      <c r="C1233" t="s">
        <v>40</v>
      </c>
      <c r="D1233" s="5">
        <v>32164</v>
      </c>
      <c r="E1233" s="5">
        <v>45567</v>
      </c>
      <c r="F1233" s="5">
        <v>45572</v>
      </c>
      <c r="G1233" t="s">
        <v>94</v>
      </c>
      <c r="H1233" t="s">
        <v>95</v>
      </c>
      <c r="I1233" t="s">
        <v>33</v>
      </c>
      <c r="J1233" t="s">
        <v>97</v>
      </c>
      <c r="K1233" t="s">
        <v>120</v>
      </c>
      <c r="L1233" s="6">
        <v>27462.66</v>
      </c>
      <c r="M1233">
        <v>20247.12</v>
      </c>
      <c r="N1233" t="s">
        <v>56</v>
      </c>
      <c r="O1233">
        <v>5</v>
      </c>
      <c r="P1233">
        <v>225</v>
      </c>
      <c r="Q1233">
        <v>5</v>
      </c>
      <c r="R1233">
        <v>171</v>
      </c>
      <c r="S1233">
        <v>163.5</v>
      </c>
      <c r="T1233" t="s">
        <v>37</v>
      </c>
      <c r="U1233" s="7">
        <f t="shared" si="76"/>
        <v>36</v>
      </c>
      <c r="V1233" s="7">
        <f t="shared" si="77"/>
        <v>5</v>
      </c>
      <c r="W1233" s="6">
        <f t="shared" si="78"/>
        <v>7215.5400000000009</v>
      </c>
      <c r="X1233" t="str">
        <f t="shared" si="79"/>
        <v>Adult</v>
      </c>
    </row>
    <row r="1234" spans="1:24">
      <c r="A1234" t="s">
        <v>2789</v>
      </c>
      <c r="B1234" t="s">
        <v>444</v>
      </c>
      <c r="C1234" t="s">
        <v>40</v>
      </c>
      <c r="D1234" s="5">
        <v>32983</v>
      </c>
      <c r="E1234" s="5">
        <v>45361</v>
      </c>
      <c r="F1234" s="5" t="s">
        <v>4237</v>
      </c>
      <c r="G1234" t="s">
        <v>62</v>
      </c>
      <c r="H1234" t="s">
        <v>44</v>
      </c>
      <c r="I1234" t="s">
        <v>45</v>
      </c>
      <c r="J1234" t="s">
        <v>97</v>
      </c>
      <c r="K1234" t="s">
        <v>120</v>
      </c>
      <c r="L1234" s="6">
        <v>97357.06</v>
      </c>
      <c r="M1234">
        <v>75176.66</v>
      </c>
      <c r="N1234" t="s">
        <v>35</v>
      </c>
      <c r="O1234">
        <v>12</v>
      </c>
      <c r="P1234">
        <v>142</v>
      </c>
      <c r="Q1234">
        <v>2</v>
      </c>
      <c r="R1234">
        <v>125</v>
      </c>
      <c r="S1234">
        <v>72.8</v>
      </c>
      <c r="T1234" t="s">
        <v>37</v>
      </c>
      <c r="U1234" s="7">
        <f t="shared" si="76"/>
        <v>33</v>
      </c>
      <c r="V1234" s="7" t="s">
        <v>4237</v>
      </c>
      <c r="W1234" s="6">
        <f t="shared" si="78"/>
        <v>22180.399999999994</v>
      </c>
      <c r="X1234" t="str">
        <f t="shared" si="79"/>
        <v>Adult</v>
      </c>
    </row>
    <row r="1235" spans="1:24">
      <c r="A1235" t="s">
        <v>2790</v>
      </c>
      <c r="B1235" t="s">
        <v>548</v>
      </c>
      <c r="C1235" t="s">
        <v>40</v>
      </c>
      <c r="D1235" s="5">
        <v>19580</v>
      </c>
      <c r="E1235" s="5">
        <v>45682</v>
      </c>
      <c r="F1235" s="5" t="s">
        <v>4237</v>
      </c>
      <c r="G1235" t="s">
        <v>161</v>
      </c>
      <c r="H1235" t="s">
        <v>118</v>
      </c>
      <c r="I1235" t="s">
        <v>45</v>
      </c>
      <c r="J1235" t="s">
        <v>64</v>
      </c>
      <c r="K1235" t="s">
        <v>161</v>
      </c>
      <c r="L1235" s="6">
        <v>235561.09</v>
      </c>
      <c r="M1235">
        <v>151844.84</v>
      </c>
      <c r="N1235" t="s">
        <v>35</v>
      </c>
      <c r="O1235">
        <v>1</v>
      </c>
      <c r="P1235">
        <v>154</v>
      </c>
      <c r="Q1235">
        <v>4</v>
      </c>
      <c r="R1235">
        <v>93</v>
      </c>
      <c r="S1235">
        <v>96.5</v>
      </c>
      <c r="T1235" t="s">
        <v>65</v>
      </c>
      <c r="U1235" s="7">
        <f t="shared" si="76"/>
        <v>71</v>
      </c>
      <c r="V1235" s="7" t="s">
        <v>4237</v>
      </c>
      <c r="W1235" s="6">
        <f t="shared" si="78"/>
        <v>83716.25</v>
      </c>
      <c r="X1235" t="str">
        <f t="shared" si="79"/>
        <v>Senior</v>
      </c>
    </row>
    <row r="1236" spans="1:24">
      <c r="A1236" t="s">
        <v>2792</v>
      </c>
      <c r="B1236" t="s">
        <v>485</v>
      </c>
      <c r="C1236" t="s">
        <v>133</v>
      </c>
      <c r="D1236" s="5">
        <v>36023</v>
      </c>
      <c r="E1236" s="5">
        <v>45378</v>
      </c>
      <c r="F1236" s="5">
        <v>45394</v>
      </c>
      <c r="G1236" t="s">
        <v>105</v>
      </c>
      <c r="H1236" t="s">
        <v>44</v>
      </c>
      <c r="I1236" t="s">
        <v>33</v>
      </c>
      <c r="J1236" t="s">
        <v>34</v>
      </c>
      <c r="K1236" t="s">
        <v>161</v>
      </c>
      <c r="L1236" s="6">
        <v>18555.72</v>
      </c>
      <c r="M1236">
        <v>15459.59</v>
      </c>
      <c r="N1236" t="s">
        <v>73</v>
      </c>
      <c r="O1236">
        <v>16</v>
      </c>
      <c r="P1236">
        <v>126</v>
      </c>
      <c r="Q1236">
        <v>4</v>
      </c>
      <c r="R1236">
        <v>133</v>
      </c>
      <c r="S1236">
        <v>130.9</v>
      </c>
      <c r="T1236" t="s">
        <v>37</v>
      </c>
      <c r="U1236" s="7">
        <f t="shared" si="76"/>
        <v>25</v>
      </c>
      <c r="V1236" s="7">
        <f t="shared" si="77"/>
        <v>16</v>
      </c>
      <c r="W1236" s="6">
        <f t="shared" si="78"/>
        <v>3096.130000000001</v>
      </c>
      <c r="X1236" t="str">
        <f t="shared" si="79"/>
        <v>Adult</v>
      </c>
    </row>
    <row r="1237" spans="1:24">
      <c r="A1237" t="s">
        <v>2794</v>
      </c>
      <c r="B1237" t="s">
        <v>1099</v>
      </c>
      <c r="C1237" t="s">
        <v>133</v>
      </c>
      <c r="D1237" s="5">
        <v>22516</v>
      </c>
      <c r="E1237" s="5">
        <v>45031</v>
      </c>
      <c r="F1237" s="5">
        <v>45036</v>
      </c>
      <c r="G1237" t="s">
        <v>105</v>
      </c>
      <c r="H1237" t="s">
        <v>24</v>
      </c>
      <c r="I1237" t="s">
        <v>33</v>
      </c>
      <c r="J1237" t="s">
        <v>80</v>
      </c>
      <c r="K1237" t="s">
        <v>110</v>
      </c>
      <c r="L1237" s="6">
        <v>221463.81</v>
      </c>
      <c r="M1237">
        <v>197319.01</v>
      </c>
      <c r="N1237" t="s">
        <v>73</v>
      </c>
      <c r="O1237">
        <v>5</v>
      </c>
      <c r="P1237">
        <v>150</v>
      </c>
      <c r="Q1237">
        <v>1</v>
      </c>
      <c r="R1237">
        <v>145</v>
      </c>
      <c r="S1237">
        <v>99.9</v>
      </c>
      <c r="T1237" t="s">
        <v>37</v>
      </c>
      <c r="U1237" s="7">
        <f t="shared" si="76"/>
        <v>61</v>
      </c>
      <c r="V1237" s="7">
        <f t="shared" si="77"/>
        <v>5</v>
      </c>
      <c r="W1237" s="6">
        <f t="shared" si="78"/>
        <v>24144.799999999988</v>
      </c>
      <c r="X1237" t="str">
        <f t="shared" si="79"/>
        <v>Senior</v>
      </c>
    </row>
    <row r="1238" spans="1:24">
      <c r="A1238" t="s">
        <v>2796</v>
      </c>
      <c r="B1238" t="s">
        <v>1391</v>
      </c>
      <c r="C1238" t="s">
        <v>40</v>
      </c>
      <c r="D1238" s="5">
        <v>39501</v>
      </c>
      <c r="E1238" s="5">
        <v>45151</v>
      </c>
      <c r="F1238" s="5">
        <v>45156</v>
      </c>
      <c r="G1238" t="s">
        <v>105</v>
      </c>
      <c r="H1238" t="s">
        <v>118</v>
      </c>
      <c r="I1238" t="s">
        <v>45</v>
      </c>
      <c r="J1238" t="s">
        <v>64</v>
      </c>
      <c r="K1238" t="s">
        <v>55</v>
      </c>
      <c r="L1238" s="6">
        <v>174962.34</v>
      </c>
      <c r="M1238">
        <v>139010.64000000001</v>
      </c>
      <c r="N1238" t="s">
        <v>73</v>
      </c>
      <c r="O1238">
        <v>5</v>
      </c>
      <c r="P1238">
        <v>175</v>
      </c>
      <c r="Q1238">
        <v>2</v>
      </c>
      <c r="R1238">
        <v>126</v>
      </c>
      <c r="S1238">
        <v>222.4</v>
      </c>
      <c r="T1238" t="s">
        <v>37</v>
      </c>
      <c r="U1238" s="7">
        <f t="shared" si="76"/>
        <v>15</v>
      </c>
      <c r="V1238" s="7">
        <f t="shared" si="77"/>
        <v>5</v>
      </c>
      <c r="W1238" s="6">
        <f t="shared" si="78"/>
        <v>35951.699999999983</v>
      </c>
      <c r="X1238" t="str">
        <f t="shared" si="79"/>
        <v>Child</v>
      </c>
    </row>
    <row r="1239" spans="1:24">
      <c r="A1239" t="s">
        <v>2797</v>
      </c>
      <c r="B1239" t="s">
        <v>1186</v>
      </c>
      <c r="C1239" t="s">
        <v>133</v>
      </c>
      <c r="D1239" s="5">
        <v>37748</v>
      </c>
      <c r="E1239" s="5">
        <v>45733</v>
      </c>
      <c r="F1239" s="5">
        <v>45742</v>
      </c>
      <c r="G1239" t="s">
        <v>43</v>
      </c>
      <c r="H1239" t="s">
        <v>44</v>
      </c>
      <c r="I1239" t="s">
        <v>96</v>
      </c>
      <c r="J1239" t="s">
        <v>71</v>
      </c>
      <c r="K1239" t="s">
        <v>55</v>
      </c>
      <c r="L1239" s="6">
        <v>54540.66</v>
      </c>
      <c r="M1239">
        <v>50429.64</v>
      </c>
      <c r="N1239" t="s">
        <v>192</v>
      </c>
      <c r="O1239">
        <v>9</v>
      </c>
      <c r="P1239">
        <v>149</v>
      </c>
      <c r="Q1239">
        <v>4</v>
      </c>
      <c r="R1239">
        <v>165</v>
      </c>
      <c r="S1239">
        <v>87.7</v>
      </c>
      <c r="T1239" t="s">
        <v>47</v>
      </c>
      <c r="U1239" s="7">
        <f t="shared" si="76"/>
        <v>21</v>
      </c>
      <c r="V1239" s="7">
        <f t="shared" si="77"/>
        <v>9</v>
      </c>
      <c r="W1239" s="6">
        <f t="shared" si="78"/>
        <v>4111.0200000000041</v>
      </c>
      <c r="X1239" t="str">
        <f t="shared" si="79"/>
        <v>Adult</v>
      </c>
    </row>
    <row r="1240" spans="1:24">
      <c r="A1240" t="s">
        <v>2798</v>
      </c>
      <c r="B1240" t="s">
        <v>752</v>
      </c>
      <c r="C1240" t="s">
        <v>133</v>
      </c>
      <c r="D1240" s="5">
        <v>39312</v>
      </c>
      <c r="E1240" s="5">
        <v>45581</v>
      </c>
      <c r="F1240" s="5">
        <v>45597</v>
      </c>
      <c r="G1240" t="s">
        <v>117</v>
      </c>
      <c r="H1240" t="s">
        <v>86</v>
      </c>
      <c r="I1240" t="s">
        <v>45</v>
      </c>
      <c r="J1240" t="s">
        <v>64</v>
      </c>
      <c r="K1240" t="s">
        <v>120</v>
      </c>
      <c r="L1240" s="6">
        <v>188275.94</v>
      </c>
      <c r="M1240">
        <v>134023.79</v>
      </c>
      <c r="N1240" t="s">
        <v>192</v>
      </c>
      <c r="O1240">
        <v>16</v>
      </c>
      <c r="P1240">
        <v>16</v>
      </c>
      <c r="Q1240">
        <v>1</v>
      </c>
      <c r="R1240">
        <v>97</v>
      </c>
      <c r="S1240">
        <v>196.5</v>
      </c>
      <c r="T1240" t="s">
        <v>47</v>
      </c>
      <c r="U1240" s="7">
        <f t="shared" si="76"/>
        <v>17</v>
      </c>
      <c r="V1240" s="7">
        <f t="shared" si="77"/>
        <v>16</v>
      </c>
      <c r="W1240" s="6">
        <f t="shared" si="78"/>
        <v>54252.149999999994</v>
      </c>
      <c r="X1240" t="str">
        <f t="shared" si="79"/>
        <v>Child</v>
      </c>
    </row>
    <row r="1241" spans="1:24">
      <c r="A1241" t="s">
        <v>2801</v>
      </c>
      <c r="B1241" t="s">
        <v>986</v>
      </c>
      <c r="C1241" t="s">
        <v>133</v>
      </c>
      <c r="D1241" s="5">
        <v>29160</v>
      </c>
      <c r="E1241" s="5">
        <v>45421</v>
      </c>
      <c r="F1241" s="5">
        <v>45431</v>
      </c>
      <c r="G1241" t="s">
        <v>43</v>
      </c>
      <c r="H1241" t="s">
        <v>113</v>
      </c>
      <c r="I1241" t="s">
        <v>45</v>
      </c>
      <c r="J1241" t="s">
        <v>80</v>
      </c>
      <c r="K1241" t="s">
        <v>161</v>
      </c>
      <c r="L1241" s="6">
        <v>47993.1</v>
      </c>
      <c r="M1241">
        <v>45402.13</v>
      </c>
      <c r="N1241" t="s">
        <v>73</v>
      </c>
      <c r="O1241">
        <v>10</v>
      </c>
      <c r="P1241">
        <v>95</v>
      </c>
      <c r="Q1241">
        <v>4</v>
      </c>
      <c r="R1241">
        <v>157</v>
      </c>
      <c r="S1241">
        <v>124.2</v>
      </c>
      <c r="T1241" t="s">
        <v>37</v>
      </c>
      <c r="U1241" s="7">
        <f t="shared" si="76"/>
        <v>44</v>
      </c>
      <c r="V1241" s="7">
        <f t="shared" si="77"/>
        <v>10</v>
      </c>
      <c r="W1241" s="6">
        <f t="shared" si="78"/>
        <v>2590.9700000000012</v>
      </c>
      <c r="X1241" t="str">
        <f t="shared" si="79"/>
        <v>Middle Age</v>
      </c>
    </row>
    <row r="1242" spans="1:24">
      <c r="A1242" t="s">
        <v>2803</v>
      </c>
      <c r="B1242" t="s">
        <v>607</v>
      </c>
      <c r="C1242" t="s">
        <v>40</v>
      </c>
      <c r="D1242" s="5">
        <v>27689</v>
      </c>
      <c r="E1242" s="5">
        <v>45718</v>
      </c>
      <c r="F1242" s="5">
        <v>45730</v>
      </c>
      <c r="G1242" t="s">
        <v>117</v>
      </c>
      <c r="H1242" t="s">
        <v>63</v>
      </c>
      <c r="I1242" t="s">
        <v>79</v>
      </c>
      <c r="J1242" t="s">
        <v>46</v>
      </c>
      <c r="K1242" t="s">
        <v>110</v>
      </c>
      <c r="L1242" s="6">
        <v>197794.62</v>
      </c>
      <c r="M1242">
        <v>140935.1</v>
      </c>
      <c r="N1242" t="s">
        <v>73</v>
      </c>
      <c r="O1242">
        <v>12</v>
      </c>
      <c r="P1242">
        <v>168</v>
      </c>
      <c r="Q1242">
        <v>4</v>
      </c>
      <c r="R1242">
        <v>180</v>
      </c>
      <c r="S1242">
        <v>111.6</v>
      </c>
      <c r="T1242" t="s">
        <v>4237</v>
      </c>
      <c r="U1242" s="7">
        <f t="shared" si="76"/>
        <v>49</v>
      </c>
      <c r="V1242" s="7">
        <f t="shared" si="77"/>
        <v>12</v>
      </c>
      <c r="W1242" s="6">
        <f t="shared" si="78"/>
        <v>56859.51999999999</v>
      </c>
      <c r="X1242" t="str">
        <f t="shared" si="79"/>
        <v>Middle Age</v>
      </c>
    </row>
    <row r="1243" spans="1:24">
      <c r="A1243" t="s">
        <v>2804</v>
      </c>
      <c r="B1243" t="s">
        <v>1426</v>
      </c>
      <c r="C1243" t="s">
        <v>133</v>
      </c>
      <c r="D1243" s="5">
        <v>26100</v>
      </c>
      <c r="E1243" s="5" t="s">
        <v>4237</v>
      </c>
      <c r="F1243" s="5">
        <v>45688</v>
      </c>
      <c r="G1243" t="s">
        <v>62</v>
      </c>
      <c r="H1243" t="s">
        <v>86</v>
      </c>
      <c r="I1243" t="s">
        <v>33</v>
      </c>
      <c r="J1243" t="s">
        <v>34</v>
      </c>
      <c r="K1243" t="s">
        <v>55</v>
      </c>
      <c r="L1243" s="6">
        <v>104770.15</v>
      </c>
      <c r="M1243">
        <v>75542</v>
      </c>
      <c r="N1243" t="s">
        <v>4237</v>
      </c>
      <c r="O1243">
        <v>7</v>
      </c>
      <c r="P1243">
        <v>41</v>
      </c>
      <c r="Q1243">
        <v>4</v>
      </c>
      <c r="R1243">
        <v>129</v>
      </c>
      <c r="S1243">
        <v>110.7</v>
      </c>
      <c r="T1243" t="s">
        <v>47</v>
      </c>
      <c r="U1243" s="7" t="s">
        <v>4237</v>
      </c>
      <c r="V1243" s="7" t="s">
        <v>4237</v>
      </c>
      <c r="W1243" s="6">
        <f t="shared" si="78"/>
        <v>29228.149999999994</v>
      </c>
      <c r="X1243" t="s">
        <v>4237</v>
      </c>
    </row>
    <row r="1244" spans="1:24">
      <c r="A1244" t="s">
        <v>2806</v>
      </c>
      <c r="B1244" t="s">
        <v>563</v>
      </c>
      <c r="C1244" t="s">
        <v>40</v>
      </c>
      <c r="D1244" s="5">
        <v>32208</v>
      </c>
      <c r="E1244" s="5">
        <v>45683</v>
      </c>
      <c r="F1244" s="5">
        <v>45685</v>
      </c>
      <c r="G1244" t="s">
        <v>152</v>
      </c>
      <c r="H1244" t="s">
        <v>113</v>
      </c>
      <c r="I1244" t="s">
        <v>96</v>
      </c>
      <c r="J1244" t="s">
        <v>64</v>
      </c>
      <c r="K1244" t="s">
        <v>27</v>
      </c>
      <c r="L1244" s="6">
        <v>100045.46</v>
      </c>
      <c r="M1244">
        <v>86749.18</v>
      </c>
      <c r="N1244" t="s">
        <v>73</v>
      </c>
      <c r="O1244">
        <v>2</v>
      </c>
      <c r="P1244">
        <v>11</v>
      </c>
      <c r="Q1244">
        <v>4</v>
      </c>
      <c r="R1244">
        <v>145</v>
      </c>
      <c r="S1244">
        <v>198.6</v>
      </c>
      <c r="T1244" t="s">
        <v>4237</v>
      </c>
      <c r="U1244" s="7">
        <f t="shared" si="76"/>
        <v>36</v>
      </c>
      <c r="V1244" s="7">
        <f t="shared" si="77"/>
        <v>2</v>
      </c>
      <c r="W1244" s="6">
        <f t="shared" si="78"/>
        <v>13296.280000000013</v>
      </c>
      <c r="X1244" t="str">
        <f t="shared" si="79"/>
        <v>Adult</v>
      </c>
    </row>
    <row r="1245" spans="1:24">
      <c r="A1245" t="s">
        <v>2808</v>
      </c>
      <c r="B1245" t="s">
        <v>875</v>
      </c>
      <c r="C1245" t="s">
        <v>40</v>
      </c>
      <c r="D1245" s="5">
        <v>30020</v>
      </c>
      <c r="E1245" s="5">
        <v>45548</v>
      </c>
      <c r="F1245" s="5">
        <v>45561</v>
      </c>
      <c r="G1245" t="s">
        <v>43</v>
      </c>
      <c r="H1245" t="s">
        <v>134</v>
      </c>
      <c r="I1245" t="s">
        <v>33</v>
      </c>
      <c r="J1245" t="s">
        <v>64</v>
      </c>
      <c r="K1245" t="s">
        <v>120</v>
      </c>
      <c r="L1245" s="6">
        <v>57440.3</v>
      </c>
      <c r="M1245">
        <v>46181.61</v>
      </c>
      <c r="N1245" t="s">
        <v>192</v>
      </c>
      <c r="O1245">
        <v>13</v>
      </c>
      <c r="P1245">
        <v>179</v>
      </c>
      <c r="Q1245">
        <v>5</v>
      </c>
      <c r="R1245">
        <v>116</v>
      </c>
      <c r="S1245">
        <v>168.4</v>
      </c>
      <c r="T1245" t="s">
        <v>37</v>
      </c>
      <c r="U1245" s="7">
        <f t="shared" si="76"/>
        <v>42</v>
      </c>
      <c r="V1245" s="7">
        <f t="shared" si="77"/>
        <v>13</v>
      </c>
      <c r="W1245" s="6">
        <f t="shared" si="78"/>
        <v>11258.690000000002</v>
      </c>
      <c r="X1245" t="str">
        <f t="shared" si="79"/>
        <v>Middle Age</v>
      </c>
    </row>
    <row r="1246" spans="1:24">
      <c r="A1246" t="s">
        <v>2809</v>
      </c>
      <c r="B1246" t="s">
        <v>522</v>
      </c>
      <c r="C1246" t="s">
        <v>133</v>
      </c>
      <c r="D1246" s="5">
        <v>23081</v>
      </c>
      <c r="E1246" s="5">
        <v>45844</v>
      </c>
      <c r="F1246" s="5">
        <v>45850</v>
      </c>
      <c r="G1246" t="s">
        <v>152</v>
      </c>
      <c r="H1246" t="s">
        <v>44</v>
      </c>
      <c r="I1246" t="s">
        <v>79</v>
      </c>
      <c r="J1246" t="s">
        <v>64</v>
      </c>
      <c r="K1246" t="s">
        <v>27</v>
      </c>
      <c r="L1246" s="6">
        <v>205459.32</v>
      </c>
      <c r="M1246">
        <v>168914.93</v>
      </c>
      <c r="N1246" t="s">
        <v>192</v>
      </c>
      <c r="O1246">
        <v>6</v>
      </c>
      <c r="P1246">
        <v>126</v>
      </c>
      <c r="Q1246">
        <v>1</v>
      </c>
      <c r="R1246">
        <v>183</v>
      </c>
      <c r="S1246">
        <v>199.6</v>
      </c>
      <c r="T1246" t="s">
        <v>37</v>
      </c>
      <c r="U1246" s="7">
        <f t="shared" si="76"/>
        <v>62</v>
      </c>
      <c r="V1246" s="7">
        <f t="shared" si="77"/>
        <v>6</v>
      </c>
      <c r="W1246" s="6">
        <f t="shared" si="78"/>
        <v>36544.390000000014</v>
      </c>
      <c r="X1246" t="str">
        <f t="shared" si="79"/>
        <v>Senior</v>
      </c>
    </row>
    <row r="1247" spans="1:24">
      <c r="A1247" t="s">
        <v>2810</v>
      </c>
      <c r="B1247" t="s">
        <v>99</v>
      </c>
      <c r="C1247" t="s">
        <v>133</v>
      </c>
      <c r="D1247" s="5">
        <v>20334</v>
      </c>
      <c r="E1247" s="5">
        <v>45702</v>
      </c>
      <c r="F1247" s="5">
        <v>45719</v>
      </c>
      <c r="G1247" t="s">
        <v>89</v>
      </c>
      <c r="H1247" t="s">
        <v>134</v>
      </c>
      <c r="I1247" t="s">
        <v>79</v>
      </c>
      <c r="J1247" t="s">
        <v>64</v>
      </c>
      <c r="K1247" t="s">
        <v>55</v>
      </c>
      <c r="L1247" s="6">
        <v>174610.74</v>
      </c>
      <c r="M1247">
        <v>163026.06</v>
      </c>
      <c r="N1247" t="s">
        <v>56</v>
      </c>
      <c r="O1247">
        <v>17</v>
      </c>
      <c r="P1247">
        <v>162</v>
      </c>
      <c r="Q1247">
        <v>3</v>
      </c>
      <c r="R1247">
        <v>124</v>
      </c>
      <c r="S1247">
        <v>254.7</v>
      </c>
      <c r="T1247" t="s">
        <v>37</v>
      </c>
      <c r="U1247" s="7">
        <f t="shared" si="76"/>
        <v>69</v>
      </c>
      <c r="V1247" s="7">
        <f t="shared" si="77"/>
        <v>17</v>
      </c>
      <c r="W1247" s="6">
        <f t="shared" si="78"/>
        <v>11584.679999999993</v>
      </c>
      <c r="X1247" t="str">
        <f t="shared" si="79"/>
        <v>Senior</v>
      </c>
    </row>
    <row r="1248" spans="1:24">
      <c r="A1248" t="s">
        <v>2812</v>
      </c>
      <c r="B1248" t="s">
        <v>768</v>
      </c>
      <c r="C1248" t="s">
        <v>40</v>
      </c>
      <c r="D1248" s="5">
        <v>23661</v>
      </c>
      <c r="E1248" s="5">
        <v>45486</v>
      </c>
      <c r="F1248" s="5">
        <v>45488</v>
      </c>
      <c r="G1248" t="s">
        <v>89</v>
      </c>
      <c r="H1248" t="s">
        <v>86</v>
      </c>
      <c r="I1248" t="s">
        <v>45</v>
      </c>
      <c r="J1248" t="s">
        <v>26</v>
      </c>
      <c r="K1248" t="s">
        <v>110</v>
      </c>
      <c r="L1248" s="6">
        <v>137254.67000000001</v>
      </c>
      <c r="M1248">
        <v>87495.46</v>
      </c>
      <c r="N1248" t="s">
        <v>73</v>
      </c>
      <c r="O1248">
        <v>2</v>
      </c>
      <c r="P1248">
        <v>106</v>
      </c>
      <c r="Q1248">
        <v>4</v>
      </c>
      <c r="R1248">
        <v>124</v>
      </c>
      <c r="S1248">
        <v>159.1</v>
      </c>
      <c r="T1248" t="s">
        <v>37</v>
      </c>
      <c r="U1248" s="7">
        <f t="shared" si="76"/>
        <v>59</v>
      </c>
      <c r="V1248" s="7">
        <f t="shared" si="77"/>
        <v>2</v>
      </c>
      <c r="W1248" s="6">
        <f t="shared" si="78"/>
        <v>49759.210000000006</v>
      </c>
      <c r="X1248" t="str">
        <f t="shared" si="79"/>
        <v>Middle Age</v>
      </c>
    </row>
    <row r="1249" spans="1:24">
      <c r="A1249" t="s">
        <v>2816</v>
      </c>
      <c r="B1249" t="s">
        <v>850</v>
      </c>
      <c r="C1249" t="s">
        <v>133</v>
      </c>
      <c r="D1249" s="5">
        <v>21918</v>
      </c>
      <c r="E1249" s="5">
        <v>45716</v>
      </c>
      <c r="F1249" s="5">
        <v>45723</v>
      </c>
      <c r="G1249" t="s">
        <v>94</v>
      </c>
      <c r="H1249" t="s">
        <v>63</v>
      </c>
      <c r="I1249" t="s">
        <v>53</v>
      </c>
      <c r="J1249" t="s">
        <v>179</v>
      </c>
      <c r="K1249" t="s">
        <v>55</v>
      </c>
      <c r="L1249" s="6">
        <v>123663.9</v>
      </c>
      <c r="M1249">
        <v>3058.6</v>
      </c>
      <c r="N1249" t="s">
        <v>91</v>
      </c>
      <c r="O1249">
        <v>7</v>
      </c>
      <c r="P1249">
        <v>30</v>
      </c>
      <c r="Q1249">
        <v>5</v>
      </c>
      <c r="R1249">
        <v>109</v>
      </c>
      <c r="S1249">
        <v>111.1</v>
      </c>
      <c r="T1249" t="s">
        <v>47</v>
      </c>
      <c r="U1249" s="7">
        <f t="shared" si="76"/>
        <v>65</v>
      </c>
      <c r="V1249" s="7">
        <f t="shared" si="77"/>
        <v>7</v>
      </c>
      <c r="W1249" s="6">
        <f t="shared" si="78"/>
        <v>120605.29999999999</v>
      </c>
      <c r="X1249" t="str">
        <f t="shared" si="79"/>
        <v>Senior</v>
      </c>
    </row>
    <row r="1250" spans="1:24">
      <c r="A1250" t="s">
        <v>4177</v>
      </c>
      <c r="B1250" t="s">
        <v>324</v>
      </c>
      <c r="C1250" t="s">
        <v>133</v>
      </c>
      <c r="D1250" s="5">
        <v>39645</v>
      </c>
      <c r="E1250" s="5">
        <v>45310</v>
      </c>
      <c r="F1250" s="5">
        <v>45312</v>
      </c>
      <c r="G1250" t="s">
        <v>62</v>
      </c>
      <c r="H1250" t="s">
        <v>118</v>
      </c>
      <c r="I1250" t="s">
        <v>119</v>
      </c>
      <c r="J1250" t="s">
        <v>64</v>
      </c>
      <c r="K1250" t="s">
        <v>55</v>
      </c>
      <c r="L1250" s="6">
        <v>6996.54</v>
      </c>
      <c r="M1250">
        <v>5102.6099999999997</v>
      </c>
      <c r="N1250" t="s">
        <v>35</v>
      </c>
      <c r="O1250">
        <v>2</v>
      </c>
      <c r="P1250">
        <v>202</v>
      </c>
      <c r="Q1250">
        <v>4</v>
      </c>
      <c r="R1250">
        <v>152</v>
      </c>
      <c r="S1250">
        <v>190.8</v>
      </c>
      <c r="T1250" t="s">
        <v>37</v>
      </c>
      <c r="U1250" s="7">
        <f t="shared" si="76"/>
        <v>15</v>
      </c>
      <c r="V1250" s="7">
        <f t="shared" si="77"/>
        <v>2</v>
      </c>
      <c r="W1250" s="6">
        <f t="shared" si="78"/>
        <v>1893.9300000000003</v>
      </c>
      <c r="X1250" t="str">
        <f t="shared" si="79"/>
        <v>Child</v>
      </c>
    </row>
    <row r="1251" spans="1:24">
      <c r="A1251" t="s">
        <v>2821</v>
      </c>
      <c r="B1251" t="s">
        <v>2483</v>
      </c>
      <c r="C1251" t="s">
        <v>133</v>
      </c>
      <c r="D1251" s="5">
        <v>40326</v>
      </c>
      <c r="E1251" s="5" t="s">
        <v>4237</v>
      </c>
      <c r="F1251" s="5">
        <v>45576</v>
      </c>
      <c r="G1251" t="s">
        <v>94</v>
      </c>
      <c r="H1251" t="s">
        <v>78</v>
      </c>
      <c r="I1251" t="s">
        <v>33</v>
      </c>
      <c r="J1251" t="s">
        <v>26</v>
      </c>
      <c r="K1251" t="s">
        <v>55</v>
      </c>
      <c r="L1251" s="6">
        <v>123663.9</v>
      </c>
      <c r="M1251">
        <v>75209.3</v>
      </c>
      <c r="N1251" t="s">
        <v>73</v>
      </c>
      <c r="O1251">
        <v>17</v>
      </c>
      <c r="P1251">
        <v>189</v>
      </c>
      <c r="Q1251">
        <v>4</v>
      </c>
      <c r="R1251">
        <v>128</v>
      </c>
      <c r="S1251">
        <v>152.69999999999999</v>
      </c>
      <c r="T1251" t="s">
        <v>37</v>
      </c>
      <c r="U1251" s="7" t="s">
        <v>4237</v>
      </c>
      <c r="V1251" s="7" t="s">
        <v>4237</v>
      </c>
      <c r="W1251" s="6">
        <f t="shared" si="78"/>
        <v>48454.599999999991</v>
      </c>
      <c r="X1251" t="s">
        <v>4237</v>
      </c>
    </row>
    <row r="1252" spans="1:24">
      <c r="A1252" t="s">
        <v>2823</v>
      </c>
      <c r="B1252" t="s">
        <v>568</v>
      </c>
      <c r="C1252" t="s">
        <v>133</v>
      </c>
      <c r="D1252" s="5">
        <v>32620</v>
      </c>
      <c r="E1252" s="5">
        <v>45991</v>
      </c>
      <c r="F1252" s="5">
        <v>45992</v>
      </c>
      <c r="G1252" t="s">
        <v>89</v>
      </c>
      <c r="H1252" t="s">
        <v>153</v>
      </c>
      <c r="I1252" t="s">
        <v>45</v>
      </c>
      <c r="J1252" t="s">
        <v>71</v>
      </c>
      <c r="K1252" t="s">
        <v>55</v>
      </c>
      <c r="L1252" s="6">
        <v>157707.12</v>
      </c>
      <c r="M1252">
        <v>126671.67999999999</v>
      </c>
      <c r="N1252" t="s">
        <v>35</v>
      </c>
      <c r="O1252">
        <v>1</v>
      </c>
      <c r="P1252">
        <v>50</v>
      </c>
      <c r="Q1252">
        <v>4</v>
      </c>
      <c r="R1252">
        <v>111</v>
      </c>
      <c r="S1252">
        <v>91.5</v>
      </c>
      <c r="T1252" t="s">
        <v>4237</v>
      </c>
      <c r="U1252" s="7">
        <f t="shared" si="76"/>
        <v>36</v>
      </c>
      <c r="V1252" s="7">
        <f t="shared" si="77"/>
        <v>1</v>
      </c>
      <c r="W1252" s="6">
        <f t="shared" si="78"/>
        <v>31035.440000000002</v>
      </c>
      <c r="X1252" t="str">
        <f t="shared" si="79"/>
        <v>Adult</v>
      </c>
    </row>
    <row r="1253" spans="1:24">
      <c r="A1253" t="s">
        <v>2825</v>
      </c>
      <c r="B1253" t="s">
        <v>1104</v>
      </c>
      <c r="C1253" t="s">
        <v>133</v>
      </c>
      <c r="D1253" s="5">
        <v>26744</v>
      </c>
      <c r="E1253" s="5">
        <v>45014</v>
      </c>
      <c r="F1253" s="5">
        <v>45020</v>
      </c>
      <c r="G1253" t="s">
        <v>161</v>
      </c>
      <c r="H1253" t="s">
        <v>52</v>
      </c>
      <c r="I1253" t="s">
        <v>79</v>
      </c>
      <c r="J1253" t="s">
        <v>34</v>
      </c>
      <c r="K1253" t="s">
        <v>120</v>
      </c>
      <c r="L1253" s="6">
        <v>142089.88</v>
      </c>
      <c r="M1253">
        <v>95055.86</v>
      </c>
      <c r="N1253" t="s">
        <v>35</v>
      </c>
      <c r="O1253">
        <v>6</v>
      </c>
      <c r="P1253">
        <v>140</v>
      </c>
      <c r="Q1253">
        <v>4</v>
      </c>
      <c r="R1253">
        <v>111</v>
      </c>
      <c r="S1253">
        <v>239.2</v>
      </c>
      <c r="T1253" t="s">
        <v>37</v>
      </c>
      <c r="U1253" s="7">
        <f t="shared" si="76"/>
        <v>50</v>
      </c>
      <c r="V1253" s="7">
        <f t="shared" si="77"/>
        <v>6</v>
      </c>
      <c r="W1253" s="6">
        <f t="shared" si="78"/>
        <v>47034.020000000004</v>
      </c>
      <c r="X1253" t="str">
        <f t="shared" si="79"/>
        <v>Middle Age</v>
      </c>
    </row>
    <row r="1254" spans="1:24">
      <c r="A1254" t="s">
        <v>2827</v>
      </c>
      <c r="B1254" t="s">
        <v>1099</v>
      </c>
      <c r="C1254" t="s">
        <v>133</v>
      </c>
      <c r="D1254" s="5">
        <v>22436</v>
      </c>
      <c r="E1254" s="5">
        <v>45609</v>
      </c>
      <c r="F1254" s="5">
        <v>45616</v>
      </c>
      <c r="G1254" t="s">
        <v>94</v>
      </c>
      <c r="H1254" t="s">
        <v>44</v>
      </c>
      <c r="I1254" t="s">
        <v>53</v>
      </c>
      <c r="J1254" t="s">
        <v>34</v>
      </c>
      <c r="K1254" t="s">
        <v>55</v>
      </c>
      <c r="L1254" s="6">
        <v>111999.81</v>
      </c>
      <c r="M1254">
        <v>84133.1</v>
      </c>
      <c r="N1254" t="s">
        <v>91</v>
      </c>
      <c r="O1254">
        <v>7</v>
      </c>
      <c r="P1254">
        <v>15</v>
      </c>
      <c r="Q1254">
        <v>5</v>
      </c>
      <c r="R1254">
        <v>100</v>
      </c>
      <c r="S1254">
        <v>161.80000000000001</v>
      </c>
      <c r="T1254" t="s">
        <v>65</v>
      </c>
      <c r="U1254" s="7">
        <f t="shared" si="76"/>
        <v>63</v>
      </c>
      <c r="V1254" s="7">
        <f t="shared" si="77"/>
        <v>7</v>
      </c>
      <c r="W1254" s="6">
        <f t="shared" si="78"/>
        <v>27866.709999999992</v>
      </c>
      <c r="X1254" t="str">
        <f t="shared" si="79"/>
        <v>Senior</v>
      </c>
    </row>
    <row r="1255" spans="1:24">
      <c r="A1255" t="s">
        <v>2828</v>
      </c>
      <c r="B1255" t="s">
        <v>1182</v>
      </c>
      <c r="C1255" t="s">
        <v>40</v>
      </c>
      <c r="D1255" s="5">
        <v>18515</v>
      </c>
      <c r="E1255" s="5">
        <v>45954</v>
      </c>
      <c r="F1255" s="5">
        <v>45965</v>
      </c>
      <c r="G1255" t="s">
        <v>109</v>
      </c>
      <c r="H1255" t="s">
        <v>134</v>
      </c>
      <c r="I1255" t="s">
        <v>33</v>
      </c>
      <c r="J1255" t="s">
        <v>34</v>
      </c>
      <c r="K1255" t="s">
        <v>27</v>
      </c>
      <c r="L1255" s="6">
        <v>17915.47</v>
      </c>
      <c r="M1255">
        <v>14488.23</v>
      </c>
      <c r="N1255" t="s">
        <v>35</v>
      </c>
      <c r="O1255">
        <v>11</v>
      </c>
      <c r="P1255">
        <v>116</v>
      </c>
      <c r="Q1255">
        <v>4</v>
      </c>
      <c r="R1255">
        <v>168</v>
      </c>
      <c r="S1255">
        <v>163.5</v>
      </c>
      <c r="T1255" t="s">
        <v>4237</v>
      </c>
      <c r="U1255" s="7">
        <f t="shared" si="76"/>
        <v>75</v>
      </c>
      <c r="V1255" s="7">
        <f t="shared" si="77"/>
        <v>11</v>
      </c>
      <c r="W1255" s="6">
        <f t="shared" si="78"/>
        <v>3427.2400000000016</v>
      </c>
      <c r="X1255" t="str">
        <f t="shared" si="79"/>
        <v>Senior</v>
      </c>
    </row>
    <row r="1256" spans="1:24">
      <c r="A1256" t="s">
        <v>2829</v>
      </c>
      <c r="B1256" t="s">
        <v>147</v>
      </c>
      <c r="C1256" t="s">
        <v>40</v>
      </c>
      <c r="D1256" s="5">
        <v>39156</v>
      </c>
      <c r="E1256" s="5">
        <v>45269</v>
      </c>
      <c r="F1256" s="5">
        <v>45284</v>
      </c>
      <c r="G1256" t="s">
        <v>77</v>
      </c>
      <c r="H1256" t="s">
        <v>153</v>
      </c>
      <c r="I1256" t="s">
        <v>53</v>
      </c>
      <c r="J1256" t="s">
        <v>64</v>
      </c>
      <c r="K1256" t="s">
        <v>120</v>
      </c>
      <c r="L1256" s="6">
        <v>48881.06</v>
      </c>
      <c r="M1256">
        <v>35944.269999999997</v>
      </c>
      <c r="N1256" t="s">
        <v>73</v>
      </c>
      <c r="O1256">
        <v>15</v>
      </c>
      <c r="P1256">
        <v>181</v>
      </c>
      <c r="Q1256">
        <v>4</v>
      </c>
      <c r="R1256">
        <v>120</v>
      </c>
      <c r="S1256">
        <v>94.8</v>
      </c>
      <c r="T1256" t="s">
        <v>65</v>
      </c>
      <c r="U1256" s="7">
        <f t="shared" si="76"/>
        <v>16</v>
      </c>
      <c r="V1256" s="7">
        <f t="shared" si="77"/>
        <v>15</v>
      </c>
      <c r="W1256" s="6">
        <f t="shared" si="78"/>
        <v>12936.79</v>
      </c>
      <c r="X1256" t="str">
        <f t="shared" si="79"/>
        <v>Child</v>
      </c>
    </row>
    <row r="1257" spans="1:24">
      <c r="A1257" t="s">
        <v>2831</v>
      </c>
      <c r="B1257" t="s">
        <v>1364</v>
      </c>
      <c r="C1257" t="s">
        <v>133</v>
      </c>
      <c r="D1257" s="5">
        <v>22403</v>
      </c>
      <c r="E1257" s="5">
        <v>45748</v>
      </c>
      <c r="F1257" s="5" t="s">
        <v>4237</v>
      </c>
      <c r="G1257" t="s">
        <v>152</v>
      </c>
      <c r="H1257" t="s">
        <v>32</v>
      </c>
      <c r="I1257" t="s">
        <v>96</v>
      </c>
      <c r="J1257" t="s">
        <v>34</v>
      </c>
      <c r="K1257" t="s">
        <v>55</v>
      </c>
      <c r="L1257" s="6">
        <v>200988.07</v>
      </c>
      <c r="M1257">
        <v>124134.74</v>
      </c>
      <c r="N1257" t="s">
        <v>192</v>
      </c>
      <c r="O1257">
        <v>11</v>
      </c>
      <c r="P1257">
        <v>17</v>
      </c>
      <c r="Q1257">
        <v>4</v>
      </c>
      <c r="R1257">
        <v>124</v>
      </c>
      <c r="S1257">
        <v>172.7</v>
      </c>
      <c r="T1257" t="s">
        <v>37</v>
      </c>
      <c r="U1257" s="7">
        <f t="shared" si="76"/>
        <v>63</v>
      </c>
      <c r="V1257" s="7" t="s">
        <v>4237</v>
      </c>
      <c r="W1257" s="6">
        <f t="shared" si="78"/>
        <v>76853.33</v>
      </c>
      <c r="X1257" t="str">
        <f t="shared" si="79"/>
        <v>Senior</v>
      </c>
    </row>
    <row r="1258" spans="1:24">
      <c r="A1258" t="s">
        <v>2832</v>
      </c>
      <c r="B1258" t="s">
        <v>1727</v>
      </c>
      <c r="C1258" t="s">
        <v>133</v>
      </c>
      <c r="D1258" s="5">
        <v>30989</v>
      </c>
      <c r="E1258" s="5">
        <v>45431</v>
      </c>
      <c r="F1258" s="5">
        <v>45449</v>
      </c>
      <c r="G1258" t="s">
        <v>89</v>
      </c>
      <c r="H1258" t="s">
        <v>52</v>
      </c>
      <c r="I1258" t="s">
        <v>25</v>
      </c>
      <c r="J1258" t="s">
        <v>26</v>
      </c>
      <c r="K1258" t="s">
        <v>55</v>
      </c>
      <c r="L1258" s="6">
        <v>27200.11</v>
      </c>
      <c r="M1258">
        <v>25739.02</v>
      </c>
      <c r="N1258" t="s">
        <v>35</v>
      </c>
      <c r="O1258">
        <v>18</v>
      </c>
      <c r="P1258">
        <v>90</v>
      </c>
      <c r="Q1258">
        <v>4</v>
      </c>
      <c r="R1258">
        <v>153</v>
      </c>
      <c r="S1258">
        <v>163.5</v>
      </c>
      <c r="T1258" t="s">
        <v>37</v>
      </c>
      <c r="U1258" s="7">
        <f t="shared" si="76"/>
        <v>39</v>
      </c>
      <c r="V1258" s="7">
        <f t="shared" si="77"/>
        <v>18</v>
      </c>
      <c r="W1258" s="6">
        <f t="shared" si="78"/>
        <v>1461.0900000000001</v>
      </c>
      <c r="X1258" t="str">
        <f t="shared" si="79"/>
        <v>Adult</v>
      </c>
    </row>
    <row r="1259" spans="1:24">
      <c r="A1259" t="s">
        <v>2835</v>
      </c>
      <c r="B1259" t="s">
        <v>511</v>
      </c>
      <c r="C1259" t="s">
        <v>133</v>
      </c>
      <c r="D1259" s="5">
        <v>25357</v>
      </c>
      <c r="E1259" s="5">
        <v>45916</v>
      </c>
      <c r="F1259" s="5">
        <v>45931</v>
      </c>
      <c r="G1259" t="s">
        <v>152</v>
      </c>
      <c r="H1259" t="s">
        <v>124</v>
      </c>
      <c r="I1259" t="s">
        <v>53</v>
      </c>
      <c r="J1259" t="s">
        <v>80</v>
      </c>
      <c r="K1259" t="s">
        <v>55</v>
      </c>
      <c r="L1259" s="6">
        <v>139891.91</v>
      </c>
      <c r="M1259">
        <v>127468.19</v>
      </c>
      <c r="N1259" t="s">
        <v>35</v>
      </c>
      <c r="O1259">
        <v>15</v>
      </c>
      <c r="P1259">
        <v>94</v>
      </c>
      <c r="Q1259">
        <v>4</v>
      </c>
      <c r="R1259">
        <v>129</v>
      </c>
      <c r="S1259">
        <v>155.9</v>
      </c>
      <c r="T1259" t="s">
        <v>47</v>
      </c>
      <c r="U1259" s="7">
        <f t="shared" si="76"/>
        <v>56</v>
      </c>
      <c r="V1259" s="7">
        <f t="shared" si="77"/>
        <v>15</v>
      </c>
      <c r="W1259" s="6">
        <f t="shared" si="78"/>
        <v>12423.720000000001</v>
      </c>
      <c r="X1259" t="str">
        <f t="shared" si="79"/>
        <v>Middle Age</v>
      </c>
    </row>
    <row r="1260" spans="1:24">
      <c r="A1260" t="s">
        <v>2836</v>
      </c>
      <c r="B1260" t="s">
        <v>1700</v>
      </c>
      <c r="C1260" t="s">
        <v>40</v>
      </c>
      <c r="D1260" s="5">
        <v>29323</v>
      </c>
      <c r="E1260" s="5">
        <v>45955</v>
      </c>
      <c r="F1260" s="5">
        <v>45971</v>
      </c>
      <c r="G1260" t="s">
        <v>77</v>
      </c>
      <c r="H1260" t="s">
        <v>124</v>
      </c>
      <c r="I1260" t="s">
        <v>45</v>
      </c>
      <c r="J1260" t="s">
        <v>80</v>
      </c>
      <c r="K1260" t="s">
        <v>27</v>
      </c>
      <c r="L1260" s="6">
        <v>158083.59</v>
      </c>
      <c r="M1260">
        <v>143883.92000000001</v>
      </c>
      <c r="N1260" t="s">
        <v>35</v>
      </c>
      <c r="O1260">
        <v>16</v>
      </c>
      <c r="P1260">
        <v>233</v>
      </c>
      <c r="Q1260">
        <v>1</v>
      </c>
      <c r="R1260">
        <v>110</v>
      </c>
      <c r="S1260">
        <v>203</v>
      </c>
      <c r="T1260" t="s">
        <v>65</v>
      </c>
      <c r="U1260" s="7">
        <f t="shared" si="76"/>
        <v>45</v>
      </c>
      <c r="V1260" s="7">
        <f t="shared" si="77"/>
        <v>16</v>
      </c>
      <c r="W1260" s="6">
        <f t="shared" si="78"/>
        <v>14199.669999999984</v>
      </c>
      <c r="X1260" t="str">
        <f t="shared" si="79"/>
        <v>Middle Age</v>
      </c>
    </row>
    <row r="1261" spans="1:24">
      <c r="A1261" t="s">
        <v>4178</v>
      </c>
      <c r="B1261" t="s">
        <v>845</v>
      </c>
      <c r="C1261" t="s">
        <v>40</v>
      </c>
      <c r="D1261" s="5">
        <v>31148</v>
      </c>
      <c r="E1261" s="5">
        <v>45731</v>
      </c>
      <c r="F1261" s="5">
        <v>45743</v>
      </c>
      <c r="G1261" t="s">
        <v>94</v>
      </c>
      <c r="H1261" t="s">
        <v>118</v>
      </c>
      <c r="I1261" t="s">
        <v>33</v>
      </c>
      <c r="J1261" t="s">
        <v>64</v>
      </c>
      <c r="K1261" t="s">
        <v>120</v>
      </c>
      <c r="L1261" s="6">
        <v>183928.07</v>
      </c>
      <c r="M1261">
        <v>156988.37</v>
      </c>
      <c r="N1261" t="s">
        <v>91</v>
      </c>
      <c r="O1261">
        <v>12</v>
      </c>
      <c r="P1261">
        <v>108</v>
      </c>
      <c r="Q1261">
        <v>3</v>
      </c>
      <c r="R1261">
        <v>190</v>
      </c>
      <c r="S1261">
        <v>254.5</v>
      </c>
      <c r="T1261" t="s">
        <v>37</v>
      </c>
      <c r="U1261" s="7">
        <f t="shared" si="76"/>
        <v>39</v>
      </c>
      <c r="V1261" s="7">
        <f t="shared" si="77"/>
        <v>12</v>
      </c>
      <c r="W1261" s="6">
        <f t="shared" si="78"/>
        <v>26939.700000000012</v>
      </c>
      <c r="X1261" t="str">
        <f t="shared" si="79"/>
        <v>Adult</v>
      </c>
    </row>
    <row r="1262" spans="1:24">
      <c r="A1262" t="s">
        <v>2839</v>
      </c>
      <c r="B1262" t="s">
        <v>756</v>
      </c>
      <c r="C1262" t="s">
        <v>40</v>
      </c>
      <c r="D1262" s="5">
        <v>24476</v>
      </c>
      <c r="E1262" s="5">
        <v>45463</v>
      </c>
      <c r="F1262" s="5">
        <v>45468</v>
      </c>
      <c r="G1262" t="s">
        <v>43</v>
      </c>
      <c r="H1262" t="s">
        <v>153</v>
      </c>
      <c r="I1262" t="s">
        <v>45</v>
      </c>
      <c r="J1262" t="s">
        <v>71</v>
      </c>
      <c r="K1262" t="s">
        <v>110</v>
      </c>
      <c r="L1262" s="6">
        <v>220854.11</v>
      </c>
      <c r="M1262">
        <v>166328.72</v>
      </c>
      <c r="N1262" t="s">
        <v>192</v>
      </c>
      <c r="O1262">
        <v>5</v>
      </c>
      <c r="P1262">
        <v>228</v>
      </c>
      <c r="Q1262">
        <v>4</v>
      </c>
      <c r="R1262">
        <v>117</v>
      </c>
      <c r="S1262">
        <v>146.19999999999999</v>
      </c>
      <c r="T1262" t="s">
        <v>37</v>
      </c>
      <c r="U1262" s="7">
        <f t="shared" si="76"/>
        <v>57</v>
      </c>
      <c r="V1262" s="7">
        <f t="shared" si="77"/>
        <v>5</v>
      </c>
      <c r="W1262" s="6">
        <f t="shared" si="78"/>
        <v>54525.389999999985</v>
      </c>
      <c r="X1262" t="str">
        <f t="shared" si="79"/>
        <v>Middle Age</v>
      </c>
    </row>
    <row r="1263" spans="1:24">
      <c r="A1263" t="s">
        <v>2842</v>
      </c>
      <c r="B1263" t="s">
        <v>548</v>
      </c>
      <c r="C1263" t="s">
        <v>133</v>
      </c>
      <c r="D1263" s="5">
        <v>38477</v>
      </c>
      <c r="E1263" s="5">
        <v>45099</v>
      </c>
      <c r="F1263" s="5">
        <v>45102</v>
      </c>
      <c r="G1263" t="s">
        <v>105</v>
      </c>
      <c r="H1263" t="s">
        <v>44</v>
      </c>
      <c r="I1263" t="s">
        <v>96</v>
      </c>
      <c r="J1263" t="s">
        <v>71</v>
      </c>
      <c r="K1263" t="s">
        <v>110</v>
      </c>
      <c r="L1263" s="6">
        <v>247927.61</v>
      </c>
      <c r="M1263">
        <v>209105.96</v>
      </c>
      <c r="N1263" t="s">
        <v>56</v>
      </c>
      <c r="O1263">
        <v>3</v>
      </c>
      <c r="P1263">
        <v>78</v>
      </c>
      <c r="Q1263">
        <v>3</v>
      </c>
      <c r="R1263">
        <v>187</v>
      </c>
      <c r="S1263">
        <v>224.5</v>
      </c>
      <c r="T1263" t="s">
        <v>4237</v>
      </c>
      <c r="U1263" s="7">
        <f t="shared" si="76"/>
        <v>18</v>
      </c>
      <c r="V1263" s="7">
        <f t="shared" si="77"/>
        <v>3</v>
      </c>
      <c r="W1263" s="6">
        <f t="shared" si="78"/>
        <v>38821.649999999994</v>
      </c>
      <c r="X1263" t="str">
        <f t="shared" si="79"/>
        <v>Adult</v>
      </c>
    </row>
    <row r="1264" spans="1:24">
      <c r="A1264" t="s">
        <v>2844</v>
      </c>
      <c r="B1264" t="s">
        <v>173</v>
      </c>
      <c r="C1264" t="s">
        <v>40</v>
      </c>
      <c r="D1264" s="5">
        <v>33517</v>
      </c>
      <c r="E1264" s="5">
        <v>45442</v>
      </c>
      <c r="F1264" s="5">
        <v>45455</v>
      </c>
      <c r="G1264" t="s">
        <v>117</v>
      </c>
      <c r="H1264" t="s">
        <v>118</v>
      </c>
      <c r="I1264" t="s">
        <v>33</v>
      </c>
      <c r="J1264" t="s">
        <v>97</v>
      </c>
      <c r="K1264" t="s">
        <v>120</v>
      </c>
      <c r="L1264" s="6">
        <v>65163.55</v>
      </c>
      <c r="M1264">
        <v>42167.06</v>
      </c>
      <c r="N1264" t="s">
        <v>73</v>
      </c>
      <c r="O1264">
        <v>13</v>
      </c>
      <c r="P1264">
        <v>59</v>
      </c>
      <c r="Q1264">
        <v>4</v>
      </c>
      <c r="R1264">
        <v>153</v>
      </c>
      <c r="S1264">
        <v>141.19999999999999</v>
      </c>
      <c r="T1264" t="s">
        <v>4237</v>
      </c>
      <c r="U1264" s="7">
        <f t="shared" si="76"/>
        <v>32</v>
      </c>
      <c r="V1264" s="7">
        <f t="shared" si="77"/>
        <v>13</v>
      </c>
      <c r="W1264" s="6">
        <f t="shared" si="78"/>
        <v>22996.490000000005</v>
      </c>
      <c r="X1264" t="str">
        <f t="shared" si="79"/>
        <v>Adult</v>
      </c>
    </row>
    <row r="1265" spans="1:24">
      <c r="A1265" t="s">
        <v>2845</v>
      </c>
      <c r="B1265" t="s">
        <v>992</v>
      </c>
      <c r="C1265" t="s">
        <v>40</v>
      </c>
      <c r="D1265" s="5">
        <v>22593</v>
      </c>
      <c r="E1265" s="5">
        <v>45026</v>
      </c>
      <c r="F1265" s="5">
        <v>45037</v>
      </c>
      <c r="G1265" t="s">
        <v>94</v>
      </c>
      <c r="H1265" t="s">
        <v>95</v>
      </c>
      <c r="I1265" t="s">
        <v>53</v>
      </c>
      <c r="J1265" t="s">
        <v>71</v>
      </c>
      <c r="K1265" t="s">
        <v>27</v>
      </c>
      <c r="L1265" s="6">
        <v>82759.759999999995</v>
      </c>
      <c r="M1265">
        <v>82701.22</v>
      </c>
      <c r="N1265" t="s">
        <v>56</v>
      </c>
      <c r="O1265">
        <v>11</v>
      </c>
      <c r="P1265">
        <v>11</v>
      </c>
      <c r="Q1265">
        <v>4</v>
      </c>
      <c r="R1265">
        <v>101</v>
      </c>
      <c r="S1265">
        <v>96.7</v>
      </c>
      <c r="T1265" t="s">
        <v>37</v>
      </c>
      <c r="U1265" s="7">
        <f t="shared" si="76"/>
        <v>61</v>
      </c>
      <c r="V1265" s="7">
        <f t="shared" si="77"/>
        <v>11</v>
      </c>
      <c r="W1265" s="6">
        <f t="shared" si="78"/>
        <v>58.539999999993597</v>
      </c>
      <c r="X1265" t="str">
        <f t="shared" si="79"/>
        <v>Senior</v>
      </c>
    </row>
    <row r="1266" spans="1:24">
      <c r="A1266" t="s">
        <v>2847</v>
      </c>
      <c r="B1266" t="s">
        <v>2447</v>
      </c>
      <c r="C1266" t="s">
        <v>133</v>
      </c>
      <c r="D1266" s="5">
        <v>18458</v>
      </c>
      <c r="E1266" s="5">
        <v>45724</v>
      </c>
      <c r="F1266" s="5">
        <v>45728</v>
      </c>
      <c r="G1266" t="s">
        <v>43</v>
      </c>
      <c r="H1266" t="s">
        <v>78</v>
      </c>
      <c r="I1266" t="s">
        <v>79</v>
      </c>
      <c r="J1266" t="s">
        <v>80</v>
      </c>
      <c r="K1266" t="s">
        <v>55</v>
      </c>
      <c r="L1266" s="6">
        <v>188113</v>
      </c>
      <c r="M1266">
        <v>165942.15</v>
      </c>
      <c r="N1266" t="s">
        <v>35</v>
      </c>
      <c r="O1266">
        <v>4</v>
      </c>
      <c r="P1266">
        <v>230</v>
      </c>
      <c r="Q1266">
        <v>3</v>
      </c>
      <c r="R1266">
        <v>98</v>
      </c>
      <c r="S1266">
        <v>168.6</v>
      </c>
      <c r="T1266" t="s">
        <v>37</v>
      </c>
      <c r="U1266" s="7">
        <f t="shared" si="76"/>
        <v>74</v>
      </c>
      <c r="V1266" s="7">
        <f t="shared" si="77"/>
        <v>4</v>
      </c>
      <c r="W1266" s="6">
        <f t="shared" si="78"/>
        <v>22170.850000000006</v>
      </c>
      <c r="X1266" t="str">
        <f t="shared" si="79"/>
        <v>Senior</v>
      </c>
    </row>
    <row r="1267" spans="1:24">
      <c r="A1267" t="s">
        <v>4179</v>
      </c>
      <c r="B1267" t="s">
        <v>334</v>
      </c>
      <c r="C1267" t="s">
        <v>40</v>
      </c>
      <c r="D1267" s="5">
        <v>20127</v>
      </c>
      <c r="E1267" s="5">
        <v>44930</v>
      </c>
      <c r="F1267" s="5">
        <v>44939</v>
      </c>
      <c r="G1267" t="s">
        <v>62</v>
      </c>
      <c r="H1267" t="s">
        <v>32</v>
      </c>
      <c r="I1267" t="s">
        <v>53</v>
      </c>
      <c r="J1267" t="s">
        <v>64</v>
      </c>
      <c r="K1267" t="s">
        <v>55</v>
      </c>
      <c r="L1267" s="6">
        <v>232268.08</v>
      </c>
      <c r="M1267">
        <v>180264.66</v>
      </c>
      <c r="N1267" t="s">
        <v>192</v>
      </c>
      <c r="O1267">
        <v>9</v>
      </c>
      <c r="P1267">
        <v>207</v>
      </c>
      <c r="Q1267">
        <v>4</v>
      </c>
      <c r="R1267">
        <v>119</v>
      </c>
      <c r="S1267">
        <v>191.4</v>
      </c>
      <c r="T1267" t="s">
        <v>37</v>
      </c>
      <c r="U1267" s="7">
        <f t="shared" si="76"/>
        <v>67</v>
      </c>
      <c r="V1267" s="7">
        <f t="shared" si="77"/>
        <v>9</v>
      </c>
      <c r="W1267" s="6">
        <f t="shared" si="78"/>
        <v>52003.419999999984</v>
      </c>
      <c r="X1267" t="str">
        <f t="shared" si="79"/>
        <v>Senior</v>
      </c>
    </row>
    <row r="1268" spans="1:24">
      <c r="A1268" t="s">
        <v>2851</v>
      </c>
      <c r="B1268" t="s">
        <v>522</v>
      </c>
      <c r="C1268" t="s">
        <v>40</v>
      </c>
      <c r="D1268" s="5">
        <v>37585</v>
      </c>
      <c r="E1268" s="5">
        <v>45854</v>
      </c>
      <c r="F1268" s="5">
        <v>45871</v>
      </c>
      <c r="G1268" t="s">
        <v>62</v>
      </c>
      <c r="H1268" t="s">
        <v>24</v>
      </c>
      <c r="I1268" t="s">
        <v>25</v>
      </c>
      <c r="J1268" t="s">
        <v>26</v>
      </c>
      <c r="K1268" t="s">
        <v>55</v>
      </c>
      <c r="L1268" s="6">
        <v>73264.600000000006</v>
      </c>
      <c r="M1268">
        <v>69707.179999999993</v>
      </c>
      <c r="N1268" t="s">
        <v>91</v>
      </c>
      <c r="O1268">
        <v>17</v>
      </c>
      <c r="P1268">
        <v>39</v>
      </c>
      <c r="Q1268">
        <v>5</v>
      </c>
      <c r="R1268">
        <v>140</v>
      </c>
      <c r="S1268">
        <v>72.599999999999994</v>
      </c>
      <c r="T1268" t="s">
        <v>37</v>
      </c>
      <c r="U1268" s="7">
        <f t="shared" si="76"/>
        <v>22</v>
      </c>
      <c r="V1268" s="7">
        <f t="shared" si="77"/>
        <v>17</v>
      </c>
      <c r="W1268" s="6">
        <f t="shared" si="78"/>
        <v>3557.4200000000128</v>
      </c>
      <c r="X1268" t="str">
        <f t="shared" si="79"/>
        <v>Adult</v>
      </c>
    </row>
    <row r="1269" spans="1:24">
      <c r="A1269" t="s">
        <v>2852</v>
      </c>
      <c r="B1269" t="s">
        <v>622</v>
      </c>
      <c r="C1269" t="s">
        <v>40</v>
      </c>
      <c r="D1269" s="5">
        <v>34981</v>
      </c>
      <c r="E1269" s="5">
        <v>45862</v>
      </c>
      <c r="F1269" s="5">
        <v>45873</v>
      </c>
      <c r="G1269" t="s">
        <v>161</v>
      </c>
      <c r="H1269" t="s">
        <v>134</v>
      </c>
      <c r="I1269" t="s">
        <v>45</v>
      </c>
      <c r="J1269" t="s">
        <v>34</v>
      </c>
      <c r="K1269" t="s">
        <v>55</v>
      </c>
      <c r="L1269" s="6">
        <v>176326.09</v>
      </c>
      <c r="M1269">
        <v>135072.42000000001</v>
      </c>
      <c r="N1269" t="s">
        <v>4237</v>
      </c>
      <c r="O1269">
        <v>11</v>
      </c>
      <c r="P1269">
        <v>156</v>
      </c>
      <c r="Q1269">
        <v>4</v>
      </c>
      <c r="R1269">
        <v>93</v>
      </c>
      <c r="S1269">
        <v>134.6</v>
      </c>
      <c r="T1269" t="s">
        <v>37</v>
      </c>
      <c r="U1269" s="7">
        <f t="shared" si="76"/>
        <v>29</v>
      </c>
      <c r="V1269" s="7">
        <f t="shared" si="77"/>
        <v>11</v>
      </c>
      <c r="W1269" s="6">
        <f t="shared" si="78"/>
        <v>41253.669999999984</v>
      </c>
      <c r="X1269" t="str">
        <f t="shared" si="79"/>
        <v>Adult</v>
      </c>
    </row>
    <row r="1270" spans="1:24">
      <c r="A1270" t="s">
        <v>2854</v>
      </c>
      <c r="B1270" t="s">
        <v>392</v>
      </c>
      <c r="C1270" t="s">
        <v>40</v>
      </c>
      <c r="D1270" s="5">
        <v>32287</v>
      </c>
      <c r="E1270" s="5">
        <v>45138</v>
      </c>
      <c r="F1270" s="5" t="s">
        <v>4237</v>
      </c>
      <c r="G1270" t="s">
        <v>109</v>
      </c>
      <c r="H1270" t="s">
        <v>52</v>
      </c>
      <c r="I1270" t="s">
        <v>45</v>
      </c>
      <c r="J1270" t="s">
        <v>64</v>
      </c>
      <c r="K1270" t="s">
        <v>55</v>
      </c>
      <c r="L1270" s="6">
        <v>16279.52</v>
      </c>
      <c r="M1270">
        <v>13061.06</v>
      </c>
      <c r="N1270" t="s">
        <v>73</v>
      </c>
      <c r="O1270">
        <v>11</v>
      </c>
      <c r="P1270">
        <v>211</v>
      </c>
      <c r="Q1270">
        <v>4</v>
      </c>
      <c r="R1270">
        <v>184</v>
      </c>
      <c r="S1270">
        <v>74.8</v>
      </c>
      <c r="T1270" t="s">
        <v>47</v>
      </c>
      <c r="U1270" s="7">
        <f t="shared" si="76"/>
        <v>35</v>
      </c>
      <c r="V1270" s="7" t="s">
        <v>4237</v>
      </c>
      <c r="W1270" s="6">
        <f t="shared" si="78"/>
        <v>3218.4600000000009</v>
      </c>
      <c r="X1270" t="str">
        <f t="shared" si="79"/>
        <v>Adult</v>
      </c>
    </row>
    <row r="1271" spans="1:24">
      <c r="A1271" t="s">
        <v>2856</v>
      </c>
      <c r="B1271" t="s">
        <v>1342</v>
      </c>
      <c r="C1271" t="s">
        <v>40</v>
      </c>
      <c r="D1271" s="5">
        <v>25625</v>
      </c>
      <c r="E1271" s="5">
        <v>45278</v>
      </c>
      <c r="F1271" s="5" t="s">
        <v>4237</v>
      </c>
      <c r="G1271" t="s">
        <v>89</v>
      </c>
      <c r="H1271" t="s">
        <v>44</v>
      </c>
      <c r="I1271" t="s">
        <v>53</v>
      </c>
      <c r="J1271" t="s">
        <v>34</v>
      </c>
      <c r="K1271" t="s">
        <v>120</v>
      </c>
      <c r="L1271" s="6">
        <v>43385.66</v>
      </c>
      <c r="M1271">
        <v>35311.89</v>
      </c>
      <c r="N1271" t="s">
        <v>56</v>
      </c>
      <c r="O1271">
        <v>3</v>
      </c>
      <c r="P1271">
        <v>219</v>
      </c>
      <c r="Q1271">
        <v>5</v>
      </c>
      <c r="R1271">
        <v>103</v>
      </c>
      <c r="S1271">
        <v>170</v>
      </c>
      <c r="T1271" t="s">
        <v>47</v>
      </c>
      <c r="U1271" s="7">
        <f t="shared" si="76"/>
        <v>53</v>
      </c>
      <c r="V1271" s="7" t="s">
        <v>4237</v>
      </c>
      <c r="W1271" s="6">
        <f t="shared" si="78"/>
        <v>8073.7700000000041</v>
      </c>
      <c r="X1271" t="str">
        <f t="shared" si="79"/>
        <v>Middle Age</v>
      </c>
    </row>
    <row r="1272" spans="1:24">
      <c r="A1272" t="s">
        <v>2857</v>
      </c>
      <c r="B1272" t="s">
        <v>652</v>
      </c>
      <c r="C1272" t="s">
        <v>40</v>
      </c>
      <c r="D1272" s="5">
        <v>36148</v>
      </c>
      <c r="E1272" s="5">
        <v>45604</v>
      </c>
      <c r="F1272" s="5">
        <v>45606</v>
      </c>
      <c r="G1272" t="s">
        <v>161</v>
      </c>
      <c r="H1272" t="s">
        <v>134</v>
      </c>
      <c r="I1272" t="s">
        <v>119</v>
      </c>
      <c r="J1272" t="s">
        <v>46</v>
      </c>
      <c r="K1272" t="s">
        <v>110</v>
      </c>
      <c r="L1272" s="6">
        <v>116039.98</v>
      </c>
      <c r="M1272">
        <v>98141.07</v>
      </c>
      <c r="N1272" t="s">
        <v>73</v>
      </c>
      <c r="O1272">
        <v>2</v>
      </c>
      <c r="P1272">
        <v>225</v>
      </c>
      <c r="Q1272">
        <v>5</v>
      </c>
      <c r="R1272">
        <v>161</v>
      </c>
      <c r="S1272">
        <v>224.4</v>
      </c>
      <c r="T1272" t="s">
        <v>4237</v>
      </c>
      <c r="U1272" s="7">
        <f t="shared" si="76"/>
        <v>25</v>
      </c>
      <c r="V1272" s="7">
        <f t="shared" si="77"/>
        <v>2</v>
      </c>
      <c r="W1272" s="6">
        <f t="shared" si="78"/>
        <v>17898.909999999989</v>
      </c>
      <c r="X1272" t="str">
        <f t="shared" si="79"/>
        <v>Adult</v>
      </c>
    </row>
    <row r="1273" spans="1:24">
      <c r="A1273" t="s">
        <v>2859</v>
      </c>
      <c r="B1273" t="s">
        <v>1167</v>
      </c>
      <c r="C1273" t="s">
        <v>40</v>
      </c>
      <c r="D1273" s="5">
        <v>37067</v>
      </c>
      <c r="E1273" s="5">
        <v>45274</v>
      </c>
      <c r="F1273" s="5">
        <v>45280</v>
      </c>
      <c r="G1273" t="s">
        <v>117</v>
      </c>
      <c r="H1273" t="s">
        <v>78</v>
      </c>
      <c r="I1273" t="s">
        <v>53</v>
      </c>
      <c r="J1273" t="s">
        <v>64</v>
      </c>
      <c r="K1273" t="s">
        <v>55</v>
      </c>
      <c r="L1273" s="6">
        <v>70253.38</v>
      </c>
      <c r="M1273">
        <v>55429.93</v>
      </c>
      <c r="N1273" t="s">
        <v>192</v>
      </c>
      <c r="O1273">
        <v>6</v>
      </c>
      <c r="P1273">
        <v>114</v>
      </c>
      <c r="Q1273">
        <v>5</v>
      </c>
      <c r="R1273">
        <v>110</v>
      </c>
      <c r="S1273">
        <v>109.7</v>
      </c>
      <c r="T1273" t="s">
        <v>37</v>
      </c>
      <c r="U1273" s="7">
        <f t="shared" si="76"/>
        <v>22</v>
      </c>
      <c r="V1273" s="7">
        <f t="shared" si="77"/>
        <v>6</v>
      </c>
      <c r="W1273" s="6">
        <f t="shared" si="78"/>
        <v>14823.450000000004</v>
      </c>
      <c r="X1273" t="str">
        <f t="shared" si="79"/>
        <v>Adult</v>
      </c>
    </row>
    <row r="1274" spans="1:24">
      <c r="A1274" t="s">
        <v>2860</v>
      </c>
      <c r="B1274" t="s">
        <v>584</v>
      </c>
      <c r="C1274" t="s">
        <v>133</v>
      </c>
      <c r="D1274" s="5">
        <v>31192</v>
      </c>
      <c r="E1274" s="5">
        <v>45110</v>
      </c>
      <c r="F1274" s="5">
        <v>45121</v>
      </c>
      <c r="G1274" t="s">
        <v>161</v>
      </c>
      <c r="H1274" t="s">
        <v>124</v>
      </c>
      <c r="I1274" t="s">
        <v>96</v>
      </c>
      <c r="J1274" t="s">
        <v>97</v>
      </c>
      <c r="K1274" t="s">
        <v>120</v>
      </c>
      <c r="L1274" s="6">
        <v>105175.54</v>
      </c>
      <c r="M1274">
        <v>71158.52</v>
      </c>
      <c r="N1274" t="s">
        <v>73</v>
      </c>
      <c r="O1274">
        <v>11</v>
      </c>
      <c r="P1274">
        <v>232</v>
      </c>
      <c r="Q1274">
        <v>5</v>
      </c>
      <c r="R1274">
        <v>118</v>
      </c>
      <c r="S1274">
        <v>229.1</v>
      </c>
      <c r="T1274" t="s">
        <v>37</v>
      </c>
      <c r="U1274" s="7">
        <f t="shared" si="76"/>
        <v>38</v>
      </c>
      <c r="V1274" s="7">
        <f t="shared" si="77"/>
        <v>11</v>
      </c>
      <c r="W1274" s="6">
        <f t="shared" si="78"/>
        <v>34017.01999999999</v>
      </c>
      <c r="X1274" t="str">
        <f t="shared" si="79"/>
        <v>Adult</v>
      </c>
    </row>
    <row r="1275" spans="1:24">
      <c r="A1275" t="s">
        <v>2861</v>
      </c>
      <c r="B1275" t="s">
        <v>334</v>
      </c>
      <c r="C1275" t="s">
        <v>133</v>
      </c>
      <c r="D1275" s="5">
        <v>35490</v>
      </c>
      <c r="E1275" s="5" t="s">
        <v>4237</v>
      </c>
      <c r="F1275" s="5">
        <v>45484</v>
      </c>
      <c r="G1275" t="s">
        <v>62</v>
      </c>
      <c r="H1275" t="s">
        <v>24</v>
      </c>
      <c r="I1275" t="s">
        <v>79</v>
      </c>
      <c r="J1275" t="s">
        <v>80</v>
      </c>
      <c r="K1275" t="s">
        <v>110</v>
      </c>
      <c r="L1275" s="6">
        <v>53112.05</v>
      </c>
      <c r="M1275">
        <v>36473.4</v>
      </c>
      <c r="N1275" t="s">
        <v>192</v>
      </c>
      <c r="O1275">
        <v>2</v>
      </c>
      <c r="P1275">
        <v>139</v>
      </c>
      <c r="Q1275">
        <v>4</v>
      </c>
      <c r="R1275">
        <v>157</v>
      </c>
      <c r="S1275">
        <v>164.2</v>
      </c>
      <c r="T1275" t="s">
        <v>37</v>
      </c>
      <c r="U1275" s="7" t="s">
        <v>4237</v>
      </c>
      <c r="V1275" s="7" t="s">
        <v>4237</v>
      </c>
      <c r="W1275" s="6">
        <f t="shared" si="78"/>
        <v>16638.650000000001</v>
      </c>
      <c r="X1275" t="s">
        <v>4237</v>
      </c>
    </row>
    <row r="1276" spans="1:24">
      <c r="A1276" t="s">
        <v>2862</v>
      </c>
      <c r="B1276" t="s">
        <v>1061</v>
      </c>
      <c r="C1276" t="s">
        <v>40</v>
      </c>
      <c r="D1276" s="5">
        <v>20272</v>
      </c>
      <c r="E1276" s="5" t="s">
        <v>4237</v>
      </c>
      <c r="F1276" s="5">
        <v>45436</v>
      </c>
      <c r="G1276" t="s">
        <v>161</v>
      </c>
      <c r="H1276" t="s">
        <v>78</v>
      </c>
      <c r="I1276" t="s">
        <v>45</v>
      </c>
      <c r="J1276" t="s">
        <v>179</v>
      </c>
      <c r="K1276" t="s">
        <v>55</v>
      </c>
      <c r="L1276" s="6">
        <v>127389.34</v>
      </c>
      <c r="M1276">
        <v>100327.08</v>
      </c>
      <c r="N1276" t="s">
        <v>192</v>
      </c>
      <c r="O1276">
        <v>7</v>
      </c>
      <c r="P1276">
        <v>27</v>
      </c>
      <c r="Q1276">
        <v>4</v>
      </c>
      <c r="R1276">
        <v>173</v>
      </c>
      <c r="S1276">
        <v>127.3</v>
      </c>
      <c r="T1276" t="s">
        <v>37</v>
      </c>
      <c r="U1276" s="7" t="s">
        <v>4237</v>
      </c>
      <c r="V1276" s="7" t="s">
        <v>4237</v>
      </c>
      <c r="W1276" s="6">
        <f t="shared" si="78"/>
        <v>27062.259999999995</v>
      </c>
      <c r="X1276" t="s">
        <v>4237</v>
      </c>
    </row>
    <row r="1277" spans="1:24">
      <c r="A1277" t="s">
        <v>2865</v>
      </c>
      <c r="B1277" t="s">
        <v>1839</v>
      </c>
      <c r="C1277" t="s">
        <v>40</v>
      </c>
      <c r="D1277" s="5">
        <v>23939</v>
      </c>
      <c r="E1277" s="5">
        <v>45773</v>
      </c>
      <c r="F1277" s="5">
        <v>45789</v>
      </c>
      <c r="G1277" t="s">
        <v>94</v>
      </c>
      <c r="H1277" t="s">
        <v>32</v>
      </c>
      <c r="I1277" t="s">
        <v>33</v>
      </c>
      <c r="J1277" t="s">
        <v>80</v>
      </c>
      <c r="K1277" t="s">
        <v>55</v>
      </c>
      <c r="L1277" s="6">
        <v>213694.64</v>
      </c>
      <c r="M1277">
        <v>198644.85</v>
      </c>
      <c r="N1277" t="s">
        <v>73</v>
      </c>
      <c r="O1277">
        <v>16</v>
      </c>
      <c r="P1277">
        <v>121</v>
      </c>
      <c r="Q1277">
        <v>4</v>
      </c>
      <c r="R1277">
        <v>129</v>
      </c>
      <c r="S1277">
        <v>137.80000000000001</v>
      </c>
      <c r="T1277" t="s">
        <v>65</v>
      </c>
      <c r="U1277" s="7">
        <f t="shared" si="76"/>
        <v>59</v>
      </c>
      <c r="V1277" s="7">
        <f t="shared" si="77"/>
        <v>16</v>
      </c>
      <c r="W1277" s="6">
        <f t="shared" si="78"/>
        <v>15049.790000000008</v>
      </c>
      <c r="X1277" t="str">
        <f t="shared" si="79"/>
        <v>Middle Age</v>
      </c>
    </row>
    <row r="1278" spans="1:24">
      <c r="A1278" t="s">
        <v>2867</v>
      </c>
      <c r="B1278" t="s">
        <v>328</v>
      </c>
      <c r="C1278" t="s">
        <v>133</v>
      </c>
      <c r="D1278" s="5">
        <v>21386</v>
      </c>
      <c r="E1278" s="5">
        <v>45345</v>
      </c>
      <c r="F1278" s="5">
        <v>45356</v>
      </c>
      <c r="G1278" t="s">
        <v>94</v>
      </c>
      <c r="H1278" t="s">
        <v>63</v>
      </c>
      <c r="I1278" t="s">
        <v>25</v>
      </c>
      <c r="J1278" t="s">
        <v>64</v>
      </c>
      <c r="K1278" t="s">
        <v>120</v>
      </c>
      <c r="L1278" s="6">
        <v>155521.54</v>
      </c>
      <c r="M1278">
        <v>117829.68</v>
      </c>
      <c r="N1278" t="s">
        <v>91</v>
      </c>
      <c r="O1278">
        <v>11</v>
      </c>
      <c r="P1278">
        <v>121</v>
      </c>
      <c r="Q1278">
        <v>4</v>
      </c>
      <c r="R1278">
        <v>173</v>
      </c>
      <c r="S1278">
        <v>163.5</v>
      </c>
      <c r="T1278" t="s">
        <v>37</v>
      </c>
      <c r="U1278" s="7">
        <f t="shared" si="76"/>
        <v>65</v>
      </c>
      <c r="V1278" s="7">
        <f t="shared" si="77"/>
        <v>11</v>
      </c>
      <c r="W1278" s="6">
        <f t="shared" si="78"/>
        <v>37691.860000000015</v>
      </c>
      <c r="X1278" t="str">
        <f t="shared" si="79"/>
        <v>Senior</v>
      </c>
    </row>
    <row r="1279" spans="1:24">
      <c r="A1279" t="s">
        <v>2868</v>
      </c>
      <c r="B1279" t="s">
        <v>833</v>
      </c>
      <c r="C1279" t="s">
        <v>133</v>
      </c>
      <c r="D1279" s="5">
        <v>37073</v>
      </c>
      <c r="E1279" s="5">
        <v>45716</v>
      </c>
      <c r="F1279" s="5">
        <v>45731</v>
      </c>
      <c r="G1279" t="s">
        <v>161</v>
      </c>
      <c r="H1279" t="s">
        <v>63</v>
      </c>
      <c r="I1279" t="s">
        <v>33</v>
      </c>
      <c r="J1279" t="s">
        <v>71</v>
      </c>
      <c r="K1279" t="s">
        <v>161</v>
      </c>
      <c r="L1279" s="6">
        <v>78163.14</v>
      </c>
      <c r="M1279">
        <v>59320.21</v>
      </c>
      <c r="N1279" t="s">
        <v>91</v>
      </c>
      <c r="O1279">
        <v>15</v>
      </c>
      <c r="P1279">
        <v>45</v>
      </c>
      <c r="Q1279">
        <v>2</v>
      </c>
      <c r="R1279">
        <v>143</v>
      </c>
      <c r="S1279">
        <v>252.2</v>
      </c>
      <c r="T1279" t="s">
        <v>37</v>
      </c>
      <c r="U1279" s="7">
        <f t="shared" si="76"/>
        <v>23</v>
      </c>
      <c r="V1279" s="7">
        <f t="shared" si="77"/>
        <v>15</v>
      </c>
      <c r="W1279" s="6">
        <f t="shared" si="78"/>
        <v>18842.93</v>
      </c>
      <c r="X1279" t="str">
        <f t="shared" si="79"/>
        <v>Adult</v>
      </c>
    </row>
    <row r="1280" spans="1:24">
      <c r="A1280" t="s">
        <v>4180</v>
      </c>
      <c r="B1280" t="s">
        <v>2393</v>
      </c>
      <c r="C1280" t="s">
        <v>133</v>
      </c>
      <c r="D1280" s="5">
        <v>26380</v>
      </c>
      <c r="E1280" s="5">
        <v>44995</v>
      </c>
      <c r="F1280" s="5">
        <v>45001</v>
      </c>
      <c r="G1280" t="s">
        <v>94</v>
      </c>
      <c r="H1280" t="s">
        <v>78</v>
      </c>
      <c r="I1280" t="s">
        <v>119</v>
      </c>
      <c r="J1280" t="s">
        <v>64</v>
      </c>
      <c r="K1280" t="s">
        <v>120</v>
      </c>
      <c r="L1280" s="6">
        <v>155950.98000000001</v>
      </c>
      <c r="M1280">
        <v>124245.78</v>
      </c>
      <c r="N1280" t="s">
        <v>56</v>
      </c>
      <c r="O1280">
        <v>6</v>
      </c>
      <c r="P1280">
        <v>33</v>
      </c>
      <c r="Q1280">
        <v>3</v>
      </c>
      <c r="R1280">
        <v>137</v>
      </c>
      <c r="S1280">
        <v>173.8</v>
      </c>
      <c r="T1280" t="s">
        <v>37</v>
      </c>
      <c r="U1280" s="7">
        <f t="shared" si="76"/>
        <v>50</v>
      </c>
      <c r="V1280" s="7">
        <f t="shared" si="77"/>
        <v>6</v>
      </c>
      <c r="W1280" s="6">
        <f t="shared" si="78"/>
        <v>31705.200000000012</v>
      </c>
      <c r="X1280" t="str">
        <f t="shared" si="79"/>
        <v>Middle Age</v>
      </c>
    </row>
    <row r="1281" spans="1:24">
      <c r="A1281" t="s">
        <v>2872</v>
      </c>
      <c r="B1281" t="s">
        <v>356</v>
      </c>
      <c r="C1281" t="s">
        <v>40</v>
      </c>
      <c r="D1281" s="5">
        <v>35787</v>
      </c>
      <c r="E1281" s="5">
        <v>45492</v>
      </c>
      <c r="F1281" s="5">
        <v>45503</v>
      </c>
      <c r="G1281" t="s">
        <v>43</v>
      </c>
      <c r="H1281" t="s">
        <v>113</v>
      </c>
      <c r="I1281" t="s">
        <v>96</v>
      </c>
      <c r="J1281" t="s">
        <v>71</v>
      </c>
      <c r="K1281" t="s">
        <v>161</v>
      </c>
      <c r="L1281" s="6">
        <v>109558.35</v>
      </c>
      <c r="M1281">
        <v>81436.240000000005</v>
      </c>
      <c r="N1281" t="s">
        <v>192</v>
      </c>
      <c r="O1281">
        <v>11</v>
      </c>
      <c r="P1281">
        <v>216</v>
      </c>
      <c r="Q1281">
        <v>1</v>
      </c>
      <c r="R1281">
        <v>141</v>
      </c>
      <c r="S1281">
        <v>119</v>
      </c>
      <c r="T1281" t="s">
        <v>65</v>
      </c>
      <c r="U1281" s="7">
        <f t="shared" si="76"/>
        <v>26</v>
      </c>
      <c r="V1281" s="7">
        <f t="shared" si="77"/>
        <v>11</v>
      </c>
      <c r="W1281" s="6">
        <f t="shared" si="78"/>
        <v>28122.11</v>
      </c>
      <c r="X1281" t="str">
        <f t="shared" si="79"/>
        <v>Adult</v>
      </c>
    </row>
    <row r="1282" spans="1:24">
      <c r="A1282" t="s">
        <v>2874</v>
      </c>
      <c r="B1282" t="s">
        <v>332</v>
      </c>
      <c r="C1282" t="s">
        <v>40</v>
      </c>
      <c r="D1282" s="5" t="s">
        <v>4237</v>
      </c>
      <c r="E1282" s="5">
        <v>45636</v>
      </c>
      <c r="F1282" s="5">
        <v>45638</v>
      </c>
      <c r="G1282" t="s">
        <v>152</v>
      </c>
      <c r="H1282" t="s">
        <v>44</v>
      </c>
      <c r="I1282" t="s">
        <v>79</v>
      </c>
      <c r="J1282" t="s">
        <v>34</v>
      </c>
      <c r="K1282" t="s">
        <v>55</v>
      </c>
      <c r="L1282" s="6">
        <v>234874.27</v>
      </c>
      <c r="M1282">
        <v>195649.38</v>
      </c>
      <c r="N1282" t="s">
        <v>73</v>
      </c>
      <c r="O1282">
        <v>2</v>
      </c>
      <c r="P1282">
        <v>178</v>
      </c>
      <c r="Q1282">
        <v>4</v>
      </c>
      <c r="R1282">
        <v>144</v>
      </c>
      <c r="S1282">
        <v>163.1</v>
      </c>
      <c r="T1282" t="s">
        <v>4237</v>
      </c>
      <c r="U1282" s="7" t="s">
        <v>4237</v>
      </c>
      <c r="V1282" s="7">
        <f t="shared" ref="V1282:V1345" si="80">IF(OR(E1282=" ",F1282=" ",E1282="Unknown",F1282="Unknown")," ",F1282-E1282)</f>
        <v>2</v>
      </c>
      <c r="W1282" s="6">
        <f t="shared" ref="W1282:W1345" si="81">L1282-M1282</f>
        <v>39224.889999999985</v>
      </c>
      <c r="X1282" t="s">
        <v>4237</v>
      </c>
    </row>
    <row r="1283" spans="1:24">
      <c r="A1283" t="s">
        <v>2878</v>
      </c>
      <c r="B1283" t="s">
        <v>280</v>
      </c>
      <c r="C1283" t="s">
        <v>133</v>
      </c>
      <c r="D1283" s="5">
        <v>34517</v>
      </c>
      <c r="E1283" s="5">
        <v>45435</v>
      </c>
      <c r="F1283" s="5">
        <v>45439</v>
      </c>
      <c r="G1283" t="s">
        <v>94</v>
      </c>
      <c r="H1283" t="s">
        <v>113</v>
      </c>
      <c r="I1283" t="s">
        <v>96</v>
      </c>
      <c r="J1283" t="s">
        <v>179</v>
      </c>
      <c r="K1283" t="s">
        <v>120</v>
      </c>
      <c r="L1283" s="6">
        <v>187265.48</v>
      </c>
      <c r="M1283">
        <v>149228.56</v>
      </c>
      <c r="N1283" t="s">
        <v>35</v>
      </c>
      <c r="O1283">
        <v>4</v>
      </c>
      <c r="P1283">
        <v>210</v>
      </c>
      <c r="Q1283">
        <v>2</v>
      </c>
      <c r="R1283">
        <v>139</v>
      </c>
      <c r="S1283">
        <v>238.2</v>
      </c>
      <c r="T1283" t="s">
        <v>65</v>
      </c>
      <c r="U1283" s="7">
        <f t="shared" ref="U1283:U1345" si="82">DATEDIF(D1283,E1283,"Y")</f>
        <v>29</v>
      </c>
      <c r="V1283" s="7">
        <f t="shared" si="80"/>
        <v>4</v>
      </c>
      <c r="W1283" s="6">
        <f t="shared" si="81"/>
        <v>38036.920000000013</v>
      </c>
      <c r="X1283" t="str">
        <f t="shared" ref="X1283:X1345" si="83">IF(OR(U1283="",U1283="Unknown"),"",IF(U1283&lt;18,"Child",IF(U1283&lt;40,"Adult",IF(U1283&lt;60,"Middle Age","Senior"))))</f>
        <v>Adult</v>
      </c>
    </row>
    <row r="1284" spans="1:24">
      <c r="A1284" t="s">
        <v>2879</v>
      </c>
      <c r="B1284" t="s">
        <v>1153</v>
      </c>
      <c r="C1284" t="s">
        <v>40</v>
      </c>
      <c r="D1284" s="5">
        <v>25976</v>
      </c>
      <c r="E1284" s="5">
        <v>45033</v>
      </c>
      <c r="F1284" s="5">
        <v>45047</v>
      </c>
      <c r="G1284" t="s">
        <v>43</v>
      </c>
      <c r="H1284" t="s">
        <v>95</v>
      </c>
      <c r="I1284" t="s">
        <v>33</v>
      </c>
      <c r="J1284" t="s">
        <v>46</v>
      </c>
      <c r="K1284" t="s">
        <v>55</v>
      </c>
      <c r="L1284" s="6">
        <v>91247.03</v>
      </c>
      <c r="M1284">
        <v>63534.97</v>
      </c>
      <c r="N1284" t="s">
        <v>192</v>
      </c>
      <c r="O1284">
        <v>14</v>
      </c>
      <c r="P1284">
        <v>88</v>
      </c>
      <c r="Q1284">
        <v>5</v>
      </c>
      <c r="R1284">
        <v>143</v>
      </c>
      <c r="S1284">
        <v>198.7</v>
      </c>
      <c r="T1284" t="s">
        <v>37</v>
      </c>
      <c r="U1284" s="7">
        <f t="shared" si="82"/>
        <v>52</v>
      </c>
      <c r="V1284" s="7">
        <f t="shared" si="80"/>
        <v>14</v>
      </c>
      <c r="W1284" s="6">
        <f t="shared" si="81"/>
        <v>27712.059999999998</v>
      </c>
      <c r="X1284" t="str">
        <f t="shared" si="83"/>
        <v>Middle Age</v>
      </c>
    </row>
    <row r="1285" spans="1:24">
      <c r="A1285" t="s">
        <v>2882</v>
      </c>
      <c r="B1285" t="s">
        <v>406</v>
      </c>
      <c r="C1285" t="s">
        <v>40</v>
      </c>
      <c r="D1285" s="5">
        <v>25622</v>
      </c>
      <c r="E1285" s="5">
        <v>45773</v>
      </c>
      <c r="F1285" s="5">
        <v>45777</v>
      </c>
      <c r="G1285" t="s">
        <v>161</v>
      </c>
      <c r="H1285" t="s">
        <v>86</v>
      </c>
      <c r="I1285" t="s">
        <v>45</v>
      </c>
      <c r="J1285" t="s">
        <v>64</v>
      </c>
      <c r="K1285" t="s">
        <v>55</v>
      </c>
      <c r="L1285" s="6">
        <v>85219.75</v>
      </c>
      <c r="M1285">
        <v>64444</v>
      </c>
      <c r="N1285" t="s">
        <v>192</v>
      </c>
      <c r="O1285">
        <v>4</v>
      </c>
      <c r="P1285">
        <v>71</v>
      </c>
      <c r="Q1285">
        <v>5</v>
      </c>
      <c r="R1285">
        <v>99</v>
      </c>
      <c r="S1285">
        <v>167</v>
      </c>
      <c r="T1285" t="s">
        <v>65</v>
      </c>
      <c r="U1285" s="7">
        <f t="shared" si="82"/>
        <v>55</v>
      </c>
      <c r="V1285" s="7">
        <f t="shared" si="80"/>
        <v>4</v>
      </c>
      <c r="W1285" s="6">
        <f t="shared" si="81"/>
        <v>20775.75</v>
      </c>
      <c r="X1285" t="str">
        <f t="shared" si="83"/>
        <v>Middle Age</v>
      </c>
    </row>
    <row r="1286" spans="1:24">
      <c r="A1286" t="s">
        <v>2884</v>
      </c>
      <c r="B1286" t="s">
        <v>522</v>
      </c>
      <c r="C1286" t="s">
        <v>40</v>
      </c>
      <c r="D1286" s="5">
        <v>31184</v>
      </c>
      <c r="E1286" s="5" t="s">
        <v>4237</v>
      </c>
      <c r="F1286" s="5">
        <v>45930</v>
      </c>
      <c r="G1286" t="s">
        <v>43</v>
      </c>
      <c r="H1286" t="s">
        <v>153</v>
      </c>
      <c r="I1286" t="s">
        <v>45</v>
      </c>
      <c r="J1286" t="s">
        <v>26</v>
      </c>
      <c r="K1286" t="s">
        <v>55</v>
      </c>
      <c r="L1286" s="6">
        <v>143984.25</v>
      </c>
      <c r="M1286">
        <v>103313.96</v>
      </c>
      <c r="N1286" t="s">
        <v>91</v>
      </c>
      <c r="O1286">
        <v>17</v>
      </c>
      <c r="P1286">
        <v>46</v>
      </c>
      <c r="Q1286">
        <v>4</v>
      </c>
      <c r="R1286">
        <v>141</v>
      </c>
      <c r="S1286">
        <v>79.7</v>
      </c>
      <c r="T1286" t="s">
        <v>4237</v>
      </c>
      <c r="U1286" s="7" t="s">
        <v>4237</v>
      </c>
      <c r="V1286" s="7" t="s">
        <v>4237</v>
      </c>
      <c r="W1286" s="6">
        <f t="shared" si="81"/>
        <v>40670.289999999994</v>
      </c>
      <c r="X1286" t="s">
        <v>4237</v>
      </c>
    </row>
    <row r="1287" spans="1:24">
      <c r="A1287" t="s">
        <v>2886</v>
      </c>
      <c r="B1287" t="s">
        <v>368</v>
      </c>
      <c r="C1287" t="s">
        <v>133</v>
      </c>
      <c r="D1287" s="5">
        <v>25038</v>
      </c>
      <c r="E1287" s="5">
        <v>44947</v>
      </c>
      <c r="F1287" s="5">
        <v>44951</v>
      </c>
      <c r="G1287" t="s">
        <v>94</v>
      </c>
      <c r="H1287" t="s">
        <v>44</v>
      </c>
      <c r="I1287" t="s">
        <v>33</v>
      </c>
      <c r="J1287" t="s">
        <v>64</v>
      </c>
      <c r="K1287" t="s">
        <v>55</v>
      </c>
      <c r="L1287" s="6">
        <v>206810.1</v>
      </c>
      <c r="M1287">
        <v>151893.60999999999</v>
      </c>
      <c r="N1287" t="s">
        <v>91</v>
      </c>
      <c r="O1287">
        <v>4</v>
      </c>
      <c r="P1287">
        <v>179</v>
      </c>
      <c r="Q1287">
        <v>1</v>
      </c>
      <c r="R1287">
        <v>157</v>
      </c>
      <c r="S1287">
        <v>138.9</v>
      </c>
      <c r="T1287" t="s">
        <v>65</v>
      </c>
      <c r="U1287" s="7">
        <f t="shared" si="82"/>
        <v>54</v>
      </c>
      <c r="V1287" s="7">
        <f t="shared" si="80"/>
        <v>4</v>
      </c>
      <c r="W1287" s="6">
        <f t="shared" si="81"/>
        <v>54916.49000000002</v>
      </c>
      <c r="X1287" t="str">
        <f t="shared" si="83"/>
        <v>Middle Age</v>
      </c>
    </row>
    <row r="1288" spans="1:24">
      <c r="A1288" t="s">
        <v>2889</v>
      </c>
      <c r="B1288" t="s">
        <v>909</v>
      </c>
      <c r="C1288" t="s">
        <v>133</v>
      </c>
      <c r="D1288" s="5">
        <v>35191</v>
      </c>
      <c r="E1288" s="5">
        <v>45993</v>
      </c>
      <c r="F1288" s="5">
        <v>46003</v>
      </c>
      <c r="G1288" t="s">
        <v>152</v>
      </c>
      <c r="H1288" t="s">
        <v>78</v>
      </c>
      <c r="I1288" t="s">
        <v>96</v>
      </c>
      <c r="J1288" t="s">
        <v>179</v>
      </c>
      <c r="K1288" t="s">
        <v>161</v>
      </c>
      <c r="L1288" s="6">
        <v>209928.74</v>
      </c>
      <c r="M1288">
        <v>126799.13</v>
      </c>
      <c r="N1288" t="s">
        <v>192</v>
      </c>
      <c r="O1288">
        <v>10</v>
      </c>
      <c r="P1288">
        <v>223</v>
      </c>
      <c r="Q1288">
        <v>3</v>
      </c>
      <c r="R1288">
        <v>150</v>
      </c>
      <c r="S1288">
        <v>108.6</v>
      </c>
      <c r="T1288" t="s">
        <v>47</v>
      </c>
      <c r="U1288" s="7">
        <f t="shared" si="82"/>
        <v>29</v>
      </c>
      <c r="V1288" s="7">
        <f t="shared" si="80"/>
        <v>10</v>
      </c>
      <c r="W1288" s="6">
        <f t="shared" si="81"/>
        <v>83129.609999999986</v>
      </c>
      <c r="X1288" t="str">
        <f t="shared" si="83"/>
        <v>Adult</v>
      </c>
    </row>
    <row r="1289" spans="1:24">
      <c r="A1289" t="s">
        <v>2893</v>
      </c>
      <c r="B1289" t="s">
        <v>843</v>
      </c>
      <c r="C1289" t="s">
        <v>133</v>
      </c>
      <c r="D1289" s="5">
        <v>20138</v>
      </c>
      <c r="E1289" s="5">
        <v>45981</v>
      </c>
      <c r="F1289" s="5" t="s">
        <v>4237</v>
      </c>
      <c r="G1289" t="s">
        <v>94</v>
      </c>
      <c r="H1289" t="s">
        <v>63</v>
      </c>
      <c r="I1289" t="s">
        <v>25</v>
      </c>
      <c r="J1289" t="s">
        <v>34</v>
      </c>
      <c r="K1289" t="s">
        <v>120</v>
      </c>
      <c r="L1289" s="6">
        <v>214594.52</v>
      </c>
      <c r="M1289">
        <v>166184.14000000001</v>
      </c>
      <c r="N1289" t="s">
        <v>192</v>
      </c>
      <c r="O1289">
        <v>5</v>
      </c>
      <c r="P1289">
        <v>154</v>
      </c>
      <c r="Q1289">
        <v>5</v>
      </c>
      <c r="R1289">
        <v>154</v>
      </c>
      <c r="S1289">
        <v>196.6</v>
      </c>
      <c r="T1289" t="s">
        <v>37</v>
      </c>
      <c r="U1289" s="7">
        <f t="shared" si="82"/>
        <v>70</v>
      </c>
      <c r="V1289" s="7" t="s">
        <v>4237</v>
      </c>
      <c r="W1289" s="6">
        <f t="shared" si="81"/>
        <v>48410.379999999976</v>
      </c>
      <c r="X1289" t="str">
        <f t="shared" si="83"/>
        <v>Senior</v>
      </c>
    </row>
    <row r="1290" spans="1:24">
      <c r="A1290" t="s">
        <v>2896</v>
      </c>
      <c r="B1290" t="s">
        <v>611</v>
      </c>
      <c r="C1290" t="s">
        <v>40</v>
      </c>
      <c r="D1290" s="5" t="s">
        <v>4237</v>
      </c>
      <c r="E1290" s="5">
        <v>45728</v>
      </c>
      <c r="F1290" s="5">
        <v>45742</v>
      </c>
      <c r="G1290" t="s">
        <v>94</v>
      </c>
      <c r="H1290" t="s">
        <v>134</v>
      </c>
      <c r="I1290" t="s">
        <v>96</v>
      </c>
      <c r="J1290" t="s">
        <v>34</v>
      </c>
      <c r="K1290" t="s">
        <v>55</v>
      </c>
      <c r="L1290" s="6">
        <v>45858.75</v>
      </c>
      <c r="M1290">
        <v>41044.19</v>
      </c>
      <c r="N1290" t="s">
        <v>73</v>
      </c>
      <c r="O1290">
        <v>14</v>
      </c>
      <c r="P1290">
        <v>45</v>
      </c>
      <c r="Q1290">
        <v>4</v>
      </c>
      <c r="R1290">
        <v>131</v>
      </c>
      <c r="S1290">
        <v>180.5</v>
      </c>
      <c r="T1290" t="s">
        <v>65</v>
      </c>
      <c r="U1290" s="7" t="s">
        <v>4237</v>
      </c>
      <c r="V1290" s="7">
        <f t="shared" si="80"/>
        <v>14</v>
      </c>
      <c r="W1290" s="6">
        <f t="shared" si="81"/>
        <v>4814.5599999999977</v>
      </c>
      <c r="X1290" t="s">
        <v>4237</v>
      </c>
    </row>
    <row r="1291" spans="1:24">
      <c r="A1291" t="s">
        <v>2898</v>
      </c>
      <c r="B1291" t="s">
        <v>1580</v>
      </c>
      <c r="C1291" t="s">
        <v>40</v>
      </c>
      <c r="D1291" s="5">
        <v>26626</v>
      </c>
      <c r="E1291" s="5">
        <v>45332</v>
      </c>
      <c r="F1291" s="5">
        <v>45336</v>
      </c>
      <c r="G1291" t="s">
        <v>62</v>
      </c>
      <c r="H1291" t="s">
        <v>153</v>
      </c>
      <c r="I1291" t="s">
        <v>96</v>
      </c>
      <c r="J1291" t="s">
        <v>46</v>
      </c>
      <c r="K1291" t="s">
        <v>55</v>
      </c>
      <c r="L1291" s="6">
        <v>33720.74</v>
      </c>
      <c r="M1291">
        <v>23917.94</v>
      </c>
      <c r="N1291" t="s">
        <v>73</v>
      </c>
      <c r="O1291">
        <v>4</v>
      </c>
      <c r="P1291">
        <v>181</v>
      </c>
      <c r="Q1291">
        <v>5</v>
      </c>
      <c r="R1291">
        <v>143</v>
      </c>
      <c r="S1291">
        <v>155.80000000000001</v>
      </c>
      <c r="T1291" t="s">
        <v>37</v>
      </c>
      <c r="U1291" s="7">
        <f t="shared" si="82"/>
        <v>51</v>
      </c>
      <c r="V1291" s="7">
        <f t="shared" si="80"/>
        <v>4</v>
      </c>
      <c r="W1291" s="6">
        <f t="shared" si="81"/>
        <v>9802.7999999999993</v>
      </c>
      <c r="X1291" t="str">
        <f t="shared" si="83"/>
        <v>Middle Age</v>
      </c>
    </row>
    <row r="1292" spans="1:24">
      <c r="A1292" t="s">
        <v>2901</v>
      </c>
      <c r="B1292" t="s">
        <v>253</v>
      </c>
      <c r="C1292" t="s">
        <v>133</v>
      </c>
      <c r="D1292" s="5">
        <v>25121</v>
      </c>
      <c r="E1292" s="5">
        <v>45074</v>
      </c>
      <c r="F1292" s="5">
        <v>45091</v>
      </c>
      <c r="G1292" t="s">
        <v>94</v>
      </c>
      <c r="H1292" t="s">
        <v>153</v>
      </c>
      <c r="I1292" t="s">
        <v>45</v>
      </c>
      <c r="J1292" t="s">
        <v>64</v>
      </c>
      <c r="K1292" t="s">
        <v>55</v>
      </c>
      <c r="L1292" s="6">
        <v>126939.27</v>
      </c>
      <c r="M1292">
        <v>123486.13</v>
      </c>
      <c r="N1292" t="s">
        <v>4237</v>
      </c>
      <c r="O1292">
        <v>17</v>
      </c>
      <c r="P1292">
        <v>237</v>
      </c>
      <c r="Q1292">
        <v>2</v>
      </c>
      <c r="R1292">
        <v>131</v>
      </c>
      <c r="S1292">
        <v>93</v>
      </c>
      <c r="T1292" t="s">
        <v>37</v>
      </c>
      <c r="U1292" s="7">
        <f t="shared" si="82"/>
        <v>54</v>
      </c>
      <c r="V1292" s="7">
        <f t="shared" si="80"/>
        <v>17</v>
      </c>
      <c r="W1292" s="6">
        <f t="shared" si="81"/>
        <v>3453.1399999999994</v>
      </c>
      <c r="X1292" t="str">
        <f t="shared" si="83"/>
        <v>Middle Age</v>
      </c>
    </row>
    <row r="1293" spans="1:24">
      <c r="A1293" t="s">
        <v>4181</v>
      </c>
      <c r="B1293" t="s">
        <v>871</v>
      </c>
      <c r="C1293" t="s">
        <v>133</v>
      </c>
      <c r="D1293" s="5">
        <v>20749</v>
      </c>
      <c r="E1293" s="5">
        <v>45598</v>
      </c>
      <c r="F1293" s="5">
        <v>45607</v>
      </c>
      <c r="G1293" t="s">
        <v>117</v>
      </c>
      <c r="H1293" t="s">
        <v>113</v>
      </c>
      <c r="I1293" t="s">
        <v>25</v>
      </c>
      <c r="J1293" t="s">
        <v>97</v>
      </c>
      <c r="K1293" t="s">
        <v>120</v>
      </c>
      <c r="L1293" s="6">
        <v>141773.98000000001</v>
      </c>
      <c r="M1293">
        <v>122078.74</v>
      </c>
      <c r="N1293" t="s">
        <v>56</v>
      </c>
      <c r="O1293">
        <v>9</v>
      </c>
      <c r="P1293">
        <v>153</v>
      </c>
      <c r="Q1293">
        <v>5</v>
      </c>
      <c r="R1293">
        <v>114</v>
      </c>
      <c r="S1293">
        <v>197.5</v>
      </c>
      <c r="T1293" t="s">
        <v>4237</v>
      </c>
      <c r="U1293" s="7">
        <f t="shared" si="82"/>
        <v>68</v>
      </c>
      <c r="V1293" s="7">
        <f t="shared" si="80"/>
        <v>9</v>
      </c>
      <c r="W1293" s="6">
        <f t="shared" si="81"/>
        <v>19695.240000000005</v>
      </c>
      <c r="X1293" t="str">
        <f t="shared" si="83"/>
        <v>Senior</v>
      </c>
    </row>
    <row r="1294" spans="1:24">
      <c r="A1294" t="s">
        <v>2903</v>
      </c>
      <c r="B1294" t="s">
        <v>1001</v>
      </c>
      <c r="C1294" t="s">
        <v>133</v>
      </c>
      <c r="D1294" s="5">
        <v>35000</v>
      </c>
      <c r="E1294" s="5">
        <v>45112</v>
      </c>
      <c r="F1294" s="5">
        <v>45124</v>
      </c>
      <c r="G1294" t="s">
        <v>161</v>
      </c>
      <c r="H1294" t="s">
        <v>134</v>
      </c>
      <c r="I1294" t="s">
        <v>33</v>
      </c>
      <c r="J1294" t="s">
        <v>64</v>
      </c>
      <c r="K1294" t="s">
        <v>55</v>
      </c>
      <c r="L1294" s="6">
        <v>48908.25</v>
      </c>
      <c r="M1294">
        <v>42515.76</v>
      </c>
      <c r="N1294" t="s">
        <v>192</v>
      </c>
      <c r="O1294">
        <v>12</v>
      </c>
      <c r="P1294">
        <v>171</v>
      </c>
      <c r="Q1294">
        <v>5</v>
      </c>
      <c r="R1294">
        <v>186</v>
      </c>
      <c r="S1294">
        <v>182.3</v>
      </c>
      <c r="T1294" t="s">
        <v>47</v>
      </c>
      <c r="U1294" s="7">
        <f t="shared" si="82"/>
        <v>27</v>
      </c>
      <c r="V1294" s="7">
        <f t="shared" si="80"/>
        <v>12</v>
      </c>
      <c r="W1294" s="6">
        <f t="shared" si="81"/>
        <v>6392.489999999998</v>
      </c>
      <c r="X1294" t="str">
        <f t="shared" si="83"/>
        <v>Adult</v>
      </c>
    </row>
    <row r="1295" spans="1:24">
      <c r="A1295" t="s">
        <v>2906</v>
      </c>
      <c r="B1295" t="s">
        <v>1362</v>
      </c>
      <c r="C1295" t="s">
        <v>133</v>
      </c>
      <c r="D1295" s="5">
        <v>29831</v>
      </c>
      <c r="E1295" s="5">
        <v>45824</v>
      </c>
      <c r="F1295" s="5" t="s">
        <v>4237</v>
      </c>
      <c r="G1295" t="s">
        <v>62</v>
      </c>
      <c r="H1295" t="s">
        <v>24</v>
      </c>
      <c r="I1295" t="s">
        <v>45</v>
      </c>
      <c r="J1295" t="s">
        <v>80</v>
      </c>
      <c r="K1295" t="s">
        <v>55</v>
      </c>
      <c r="L1295" s="6">
        <v>123663.9</v>
      </c>
      <c r="M1295">
        <v>91178.44</v>
      </c>
      <c r="N1295" t="s">
        <v>192</v>
      </c>
      <c r="O1295">
        <v>5</v>
      </c>
      <c r="P1295">
        <v>22</v>
      </c>
      <c r="Q1295">
        <v>3</v>
      </c>
      <c r="R1295">
        <v>91</v>
      </c>
      <c r="S1295">
        <v>214.1</v>
      </c>
      <c r="T1295" t="s">
        <v>37</v>
      </c>
      <c r="U1295" s="7">
        <f t="shared" si="82"/>
        <v>43</v>
      </c>
      <c r="V1295" s="7" t="s">
        <v>4237</v>
      </c>
      <c r="W1295" s="6">
        <f t="shared" si="81"/>
        <v>32485.459999999992</v>
      </c>
      <c r="X1295" t="str">
        <f t="shared" si="83"/>
        <v>Middle Age</v>
      </c>
    </row>
    <row r="1296" spans="1:24">
      <c r="A1296" t="s">
        <v>2908</v>
      </c>
      <c r="B1296" t="s">
        <v>253</v>
      </c>
      <c r="C1296" t="s">
        <v>133</v>
      </c>
      <c r="D1296" s="5">
        <v>29235</v>
      </c>
      <c r="E1296" s="5">
        <v>45133</v>
      </c>
      <c r="F1296" s="5">
        <v>45134</v>
      </c>
      <c r="G1296" t="s">
        <v>152</v>
      </c>
      <c r="H1296" t="s">
        <v>124</v>
      </c>
      <c r="I1296" t="s">
        <v>119</v>
      </c>
      <c r="J1296" t="s">
        <v>34</v>
      </c>
      <c r="K1296" t="s">
        <v>27</v>
      </c>
      <c r="L1296" s="6">
        <v>201868.39</v>
      </c>
      <c r="M1296">
        <v>176975.19</v>
      </c>
      <c r="N1296" t="s">
        <v>4237</v>
      </c>
      <c r="O1296">
        <v>1</v>
      </c>
      <c r="P1296">
        <v>130</v>
      </c>
      <c r="Q1296">
        <v>4</v>
      </c>
      <c r="R1296">
        <v>94</v>
      </c>
      <c r="S1296">
        <v>130.4</v>
      </c>
      <c r="T1296" t="s">
        <v>37</v>
      </c>
      <c r="U1296" s="7">
        <f t="shared" si="82"/>
        <v>43</v>
      </c>
      <c r="V1296" s="7">
        <f t="shared" si="80"/>
        <v>1</v>
      </c>
      <c r="W1296" s="6">
        <f t="shared" si="81"/>
        <v>24893.200000000012</v>
      </c>
      <c r="X1296" t="str">
        <f t="shared" si="83"/>
        <v>Middle Age</v>
      </c>
    </row>
    <row r="1297" spans="1:24">
      <c r="A1297" t="s">
        <v>2910</v>
      </c>
      <c r="B1297" t="s">
        <v>298</v>
      </c>
      <c r="C1297" t="s">
        <v>40</v>
      </c>
      <c r="D1297" s="5">
        <v>35005</v>
      </c>
      <c r="E1297" s="5">
        <v>45651</v>
      </c>
      <c r="F1297" s="5">
        <v>45668</v>
      </c>
      <c r="G1297" t="s">
        <v>43</v>
      </c>
      <c r="H1297" t="s">
        <v>95</v>
      </c>
      <c r="I1297" t="s">
        <v>33</v>
      </c>
      <c r="J1297" t="s">
        <v>179</v>
      </c>
      <c r="K1297" t="s">
        <v>110</v>
      </c>
      <c r="L1297" s="6">
        <v>212834.14</v>
      </c>
      <c r="M1297">
        <v>162542.19</v>
      </c>
      <c r="N1297" t="s">
        <v>192</v>
      </c>
      <c r="O1297">
        <v>17</v>
      </c>
      <c r="P1297">
        <v>29</v>
      </c>
      <c r="Q1297">
        <v>3</v>
      </c>
      <c r="R1297">
        <v>165</v>
      </c>
      <c r="S1297">
        <v>222.2</v>
      </c>
      <c r="T1297" t="s">
        <v>37</v>
      </c>
      <c r="U1297" s="7">
        <f t="shared" si="82"/>
        <v>29</v>
      </c>
      <c r="V1297" s="7">
        <f t="shared" si="80"/>
        <v>17</v>
      </c>
      <c r="W1297" s="6">
        <f t="shared" si="81"/>
        <v>50291.950000000012</v>
      </c>
      <c r="X1297" t="str">
        <f t="shared" si="83"/>
        <v>Adult</v>
      </c>
    </row>
    <row r="1298" spans="1:24">
      <c r="A1298" t="s">
        <v>2911</v>
      </c>
      <c r="B1298" t="s">
        <v>864</v>
      </c>
      <c r="C1298" t="s">
        <v>40</v>
      </c>
      <c r="D1298" s="5">
        <v>37792</v>
      </c>
      <c r="E1298" s="5" t="s">
        <v>4237</v>
      </c>
      <c r="F1298" s="5" t="s">
        <v>4237</v>
      </c>
      <c r="G1298" t="s">
        <v>161</v>
      </c>
      <c r="H1298" t="s">
        <v>118</v>
      </c>
      <c r="I1298" t="s">
        <v>25</v>
      </c>
      <c r="J1298" t="s">
        <v>179</v>
      </c>
      <c r="K1298" t="s">
        <v>161</v>
      </c>
      <c r="L1298" s="6">
        <v>114059.31</v>
      </c>
      <c r="M1298">
        <v>87454.56</v>
      </c>
      <c r="N1298" t="s">
        <v>91</v>
      </c>
      <c r="O1298">
        <v>1</v>
      </c>
      <c r="P1298">
        <v>86</v>
      </c>
      <c r="Q1298">
        <v>5</v>
      </c>
      <c r="R1298">
        <v>140</v>
      </c>
      <c r="S1298">
        <v>153.80000000000001</v>
      </c>
      <c r="T1298" t="s">
        <v>4237</v>
      </c>
      <c r="U1298" s="7" t="s">
        <v>4237</v>
      </c>
      <c r="V1298" s="7" t="s">
        <v>4237</v>
      </c>
      <c r="W1298" s="6">
        <f t="shared" si="81"/>
        <v>26604.75</v>
      </c>
      <c r="X1298" t="s">
        <v>4237</v>
      </c>
    </row>
    <row r="1299" spans="1:24">
      <c r="A1299" t="s">
        <v>4182</v>
      </c>
      <c r="B1299" t="s">
        <v>1068</v>
      </c>
      <c r="C1299" t="s">
        <v>40</v>
      </c>
      <c r="D1299" s="5">
        <v>30486</v>
      </c>
      <c r="E1299" s="5">
        <v>45701</v>
      </c>
      <c r="F1299" s="5" t="s">
        <v>4237</v>
      </c>
      <c r="G1299" t="s">
        <v>94</v>
      </c>
      <c r="H1299" t="s">
        <v>124</v>
      </c>
      <c r="I1299" t="s">
        <v>33</v>
      </c>
      <c r="J1299" t="s">
        <v>80</v>
      </c>
      <c r="K1299" t="s">
        <v>120</v>
      </c>
      <c r="L1299" s="6">
        <v>239866.55</v>
      </c>
      <c r="M1299">
        <v>189047.92</v>
      </c>
      <c r="N1299" t="s">
        <v>192</v>
      </c>
      <c r="O1299">
        <v>16</v>
      </c>
      <c r="P1299">
        <v>174</v>
      </c>
      <c r="Q1299">
        <v>4</v>
      </c>
      <c r="R1299">
        <v>141</v>
      </c>
      <c r="S1299">
        <v>118.1</v>
      </c>
      <c r="T1299" t="s">
        <v>4237</v>
      </c>
      <c r="U1299" s="7">
        <f t="shared" si="82"/>
        <v>41</v>
      </c>
      <c r="V1299" s="7" t="s">
        <v>4237</v>
      </c>
      <c r="W1299" s="6">
        <f t="shared" si="81"/>
        <v>50818.629999999976</v>
      </c>
      <c r="X1299" t="str">
        <f t="shared" si="83"/>
        <v>Middle Age</v>
      </c>
    </row>
    <row r="1300" spans="1:24">
      <c r="A1300" t="s">
        <v>2914</v>
      </c>
      <c r="B1300" t="s">
        <v>1888</v>
      </c>
      <c r="C1300" t="s">
        <v>133</v>
      </c>
      <c r="D1300" s="5" t="s">
        <v>4237</v>
      </c>
      <c r="E1300" s="5">
        <v>45474</v>
      </c>
      <c r="F1300" s="5">
        <v>45309</v>
      </c>
      <c r="G1300" t="s">
        <v>117</v>
      </c>
      <c r="H1300" t="s">
        <v>118</v>
      </c>
      <c r="I1300" t="s">
        <v>25</v>
      </c>
      <c r="J1300" t="s">
        <v>80</v>
      </c>
      <c r="K1300" t="s">
        <v>55</v>
      </c>
      <c r="L1300" s="6">
        <v>190682.33</v>
      </c>
      <c r="M1300">
        <v>147601.62</v>
      </c>
      <c r="N1300" t="s">
        <v>192</v>
      </c>
      <c r="O1300">
        <v>11</v>
      </c>
      <c r="P1300">
        <v>143</v>
      </c>
      <c r="Q1300">
        <v>4</v>
      </c>
      <c r="R1300">
        <v>176</v>
      </c>
      <c r="S1300">
        <v>149.6</v>
      </c>
      <c r="T1300" t="s">
        <v>37</v>
      </c>
      <c r="U1300" s="7" t="s">
        <v>4237</v>
      </c>
      <c r="V1300" s="7">
        <f t="shared" si="80"/>
        <v>-165</v>
      </c>
      <c r="W1300" s="6">
        <f t="shared" si="81"/>
        <v>43080.709999999992</v>
      </c>
      <c r="X1300" t="s">
        <v>4237</v>
      </c>
    </row>
    <row r="1301" spans="1:24">
      <c r="A1301" t="s">
        <v>4183</v>
      </c>
      <c r="B1301" t="s">
        <v>2918</v>
      </c>
      <c r="C1301" t="s">
        <v>40</v>
      </c>
      <c r="D1301" s="5">
        <v>31712</v>
      </c>
      <c r="E1301" s="5" t="s">
        <v>4237</v>
      </c>
      <c r="F1301" s="5">
        <v>45908</v>
      </c>
      <c r="G1301" t="s">
        <v>77</v>
      </c>
      <c r="H1301" t="s">
        <v>44</v>
      </c>
      <c r="I1301" t="s">
        <v>96</v>
      </c>
      <c r="J1301" t="s">
        <v>80</v>
      </c>
      <c r="K1301" t="s">
        <v>55</v>
      </c>
      <c r="L1301" s="6">
        <v>7783.43</v>
      </c>
      <c r="M1301">
        <v>98646.34</v>
      </c>
      <c r="N1301" t="s">
        <v>91</v>
      </c>
      <c r="O1301">
        <v>18</v>
      </c>
      <c r="P1301">
        <v>109</v>
      </c>
      <c r="Q1301">
        <v>4</v>
      </c>
      <c r="R1301">
        <v>110</v>
      </c>
      <c r="S1301">
        <v>201.2</v>
      </c>
      <c r="T1301" t="s">
        <v>37</v>
      </c>
      <c r="U1301" s="7" t="s">
        <v>4237</v>
      </c>
      <c r="V1301" s="7" t="s">
        <v>4237</v>
      </c>
      <c r="W1301" s="6">
        <f t="shared" si="81"/>
        <v>-90862.91</v>
      </c>
      <c r="X1301" t="s">
        <v>4237</v>
      </c>
    </row>
    <row r="1302" spans="1:24">
      <c r="A1302" t="s">
        <v>2920</v>
      </c>
      <c r="B1302" t="s">
        <v>810</v>
      </c>
      <c r="C1302" t="s">
        <v>40</v>
      </c>
      <c r="D1302" s="5">
        <v>23494</v>
      </c>
      <c r="E1302" s="5">
        <v>45142</v>
      </c>
      <c r="F1302" s="5">
        <v>45145</v>
      </c>
      <c r="G1302" t="s">
        <v>89</v>
      </c>
      <c r="H1302" t="s">
        <v>134</v>
      </c>
      <c r="I1302" t="s">
        <v>25</v>
      </c>
      <c r="J1302" t="s">
        <v>46</v>
      </c>
      <c r="K1302" t="s">
        <v>55</v>
      </c>
      <c r="L1302" s="6">
        <v>110834.13</v>
      </c>
      <c r="M1302">
        <v>86529.05</v>
      </c>
      <c r="N1302" t="s">
        <v>192</v>
      </c>
      <c r="O1302">
        <v>3</v>
      </c>
      <c r="P1302">
        <v>120</v>
      </c>
      <c r="Q1302">
        <v>4</v>
      </c>
      <c r="R1302">
        <v>99</v>
      </c>
      <c r="S1302">
        <v>163.5</v>
      </c>
      <c r="T1302" t="s">
        <v>4237</v>
      </c>
      <c r="U1302" s="7">
        <f t="shared" si="82"/>
        <v>59</v>
      </c>
      <c r="V1302" s="7">
        <f t="shared" si="80"/>
        <v>3</v>
      </c>
      <c r="W1302" s="6">
        <f t="shared" si="81"/>
        <v>24305.08</v>
      </c>
      <c r="X1302" t="str">
        <f t="shared" si="83"/>
        <v>Middle Age</v>
      </c>
    </row>
    <row r="1303" spans="1:24">
      <c r="A1303" t="s">
        <v>2921</v>
      </c>
      <c r="B1303" t="s">
        <v>194</v>
      </c>
      <c r="C1303" t="s">
        <v>133</v>
      </c>
      <c r="D1303" s="5">
        <v>23193</v>
      </c>
      <c r="E1303" s="5">
        <v>45701</v>
      </c>
      <c r="F1303" s="5">
        <v>45716</v>
      </c>
      <c r="G1303" t="s">
        <v>77</v>
      </c>
      <c r="H1303" t="s">
        <v>52</v>
      </c>
      <c r="I1303" t="s">
        <v>53</v>
      </c>
      <c r="J1303" t="s">
        <v>71</v>
      </c>
      <c r="K1303" t="s">
        <v>27</v>
      </c>
      <c r="L1303" s="6">
        <v>190506.64</v>
      </c>
      <c r="M1303">
        <v>162650.99</v>
      </c>
      <c r="N1303" t="s">
        <v>73</v>
      </c>
      <c r="O1303">
        <v>15</v>
      </c>
      <c r="P1303">
        <v>49</v>
      </c>
      <c r="Q1303">
        <v>4</v>
      </c>
      <c r="R1303">
        <v>131</v>
      </c>
      <c r="S1303">
        <v>134.9</v>
      </c>
      <c r="T1303" t="s">
        <v>37</v>
      </c>
      <c r="U1303" s="7">
        <f t="shared" si="82"/>
        <v>61</v>
      </c>
      <c r="V1303" s="7">
        <f t="shared" si="80"/>
        <v>15</v>
      </c>
      <c r="W1303" s="6">
        <f t="shared" si="81"/>
        <v>27855.650000000023</v>
      </c>
      <c r="X1303" t="str">
        <f t="shared" si="83"/>
        <v>Senior</v>
      </c>
    </row>
    <row r="1304" spans="1:24">
      <c r="A1304" t="s">
        <v>2922</v>
      </c>
      <c r="B1304" t="s">
        <v>1079</v>
      </c>
      <c r="C1304" t="s">
        <v>133</v>
      </c>
      <c r="D1304" s="5" t="s">
        <v>4237</v>
      </c>
      <c r="E1304" s="5">
        <v>45542</v>
      </c>
      <c r="F1304" s="5" t="s">
        <v>4237</v>
      </c>
      <c r="G1304" t="s">
        <v>94</v>
      </c>
      <c r="H1304" t="s">
        <v>95</v>
      </c>
      <c r="I1304" t="s">
        <v>53</v>
      </c>
      <c r="J1304" t="s">
        <v>46</v>
      </c>
      <c r="K1304" t="s">
        <v>120</v>
      </c>
      <c r="L1304" s="6">
        <v>37025.24</v>
      </c>
      <c r="M1304">
        <v>31530.25</v>
      </c>
      <c r="N1304" t="s">
        <v>73</v>
      </c>
      <c r="O1304">
        <v>10</v>
      </c>
      <c r="P1304">
        <v>159</v>
      </c>
      <c r="Q1304">
        <v>1</v>
      </c>
      <c r="R1304">
        <v>180</v>
      </c>
      <c r="S1304">
        <v>91.4</v>
      </c>
      <c r="T1304" t="s">
        <v>37</v>
      </c>
      <c r="U1304" s="7" t="s">
        <v>4237</v>
      </c>
      <c r="V1304" s="7" t="s">
        <v>4237</v>
      </c>
      <c r="W1304" s="6">
        <f t="shared" si="81"/>
        <v>5494.989999999998</v>
      </c>
      <c r="X1304" t="s">
        <v>4237</v>
      </c>
    </row>
    <row r="1305" spans="1:24">
      <c r="A1305" t="s">
        <v>4184</v>
      </c>
      <c r="B1305" t="s">
        <v>1104</v>
      </c>
      <c r="C1305" t="s">
        <v>133</v>
      </c>
      <c r="D1305" s="5">
        <v>35627</v>
      </c>
      <c r="E1305" s="5">
        <v>45002</v>
      </c>
      <c r="F1305" s="5" t="s">
        <v>4237</v>
      </c>
      <c r="G1305" t="s">
        <v>43</v>
      </c>
      <c r="H1305" t="s">
        <v>78</v>
      </c>
      <c r="I1305" t="s">
        <v>25</v>
      </c>
      <c r="J1305" t="s">
        <v>64</v>
      </c>
      <c r="K1305" t="s">
        <v>110</v>
      </c>
      <c r="L1305" s="6">
        <v>137287.54</v>
      </c>
      <c r="M1305">
        <v>113744.49</v>
      </c>
      <c r="N1305" t="s">
        <v>35</v>
      </c>
      <c r="O1305">
        <v>12</v>
      </c>
      <c r="P1305">
        <v>22</v>
      </c>
      <c r="Q1305">
        <v>4</v>
      </c>
      <c r="R1305">
        <v>123</v>
      </c>
      <c r="S1305">
        <v>152.4</v>
      </c>
      <c r="T1305" t="s">
        <v>4237</v>
      </c>
      <c r="U1305" s="7">
        <f t="shared" si="82"/>
        <v>25</v>
      </c>
      <c r="V1305" s="7" t="s">
        <v>4237</v>
      </c>
      <c r="W1305" s="6">
        <f t="shared" si="81"/>
        <v>23543.050000000003</v>
      </c>
      <c r="X1305" t="str">
        <f t="shared" si="83"/>
        <v>Adult</v>
      </c>
    </row>
    <row r="1306" spans="1:24">
      <c r="A1306" t="s">
        <v>2928</v>
      </c>
      <c r="B1306" t="s">
        <v>1509</v>
      </c>
      <c r="C1306" t="s">
        <v>40</v>
      </c>
      <c r="D1306" s="5">
        <v>36422</v>
      </c>
      <c r="E1306" s="5">
        <v>45235</v>
      </c>
      <c r="F1306" s="5">
        <v>45243</v>
      </c>
      <c r="G1306" t="s">
        <v>105</v>
      </c>
      <c r="H1306" t="s">
        <v>124</v>
      </c>
      <c r="I1306" t="s">
        <v>96</v>
      </c>
      <c r="J1306" t="s">
        <v>46</v>
      </c>
      <c r="K1306" t="s">
        <v>55</v>
      </c>
      <c r="L1306" s="6">
        <v>114387.4</v>
      </c>
      <c r="M1306">
        <v>82718</v>
      </c>
      <c r="N1306" t="s">
        <v>192</v>
      </c>
      <c r="O1306">
        <v>8</v>
      </c>
      <c r="P1306">
        <v>226</v>
      </c>
      <c r="Q1306">
        <v>5</v>
      </c>
      <c r="R1306">
        <v>182</v>
      </c>
      <c r="S1306">
        <v>159.4</v>
      </c>
      <c r="T1306" t="s">
        <v>37</v>
      </c>
      <c r="U1306" s="7">
        <f t="shared" si="82"/>
        <v>24</v>
      </c>
      <c r="V1306" s="7">
        <f t="shared" si="80"/>
        <v>8</v>
      </c>
      <c r="W1306" s="6">
        <f t="shared" si="81"/>
        <v>31669.399999999994</v>
      </c>
      <c r="X1306" t="str">
        <f t="shared" si="83"/>
        <v>Adult</v>
      </c>
    </row>
    <row r="1307" spans="1:24">
      <c r="A1307" t="s">
        <v>2931</v>
      </c>
      <c r="B1307" t="s">
        <v>221</v>
      </c>
      <c r="C1307" t="s">
        <v>40</v>
      </c>
      <c r="D1307" s="5">
        <v>33871</v>
      </c>
      <c r="E1307" s="5">
        <v>45725</v>
      </c>
      <c r="F1307" s="5">
        <v>45731</v>
      </c>
      <c r="G1307" t="s">
        <v>161</v>
      </c>
      <c r="H1307" t="s">
        <v>95</v>
      </c>
      <c r="I1307" t="s">
        <v>79</v>
      </c>
      <c r="J1307" t="s">
        <v>64</v>
      </c>
      <c r="K1307" t="s">
        <v>120</v>
      </c>
      <c r="L1307" s="6">
        <v>234042.42</v>
      </c>
      <c r="M1307">
        <v>154231.38</v>
      </c>
      <c r="N1307" t="s">
        <v>91</v>
      </c>
      <c r="O1307">
        <v>6</v>
      </c>
      <c r="P1307">
        <v>111</v>
      </c>
      <c r="Q1307">
        <v>3</v>
      </c>
      <c r="R1307">
        <v>117</v>
      </c>
      <c r="S1307">
        <v>190.2</v>
      </c>
      <c r="T1307" t="s">
        <v>37</v>
      </c>
      <c r="U1307" s="7">
        <f t="shared" si="82"/>
        <v>32</v>
      </c>
      <c r="V1307" s="7">
        <f t="shared" si="80"/>
        <v>6</v>
      </c>
      <c r="W1307" s="6">
        <f t="shared" si="81"/>
        <v>79811.040000000008</v>
      </c>
      <c r="X1307" t="str">
        <f t="shared" si="83"/>
        <v>Adult</v>
      </c>
    </row>
    <row r="1308" spans="1:24">
      <c r="A1308" t="s">
        <v>2933</v>
      </c>
      <c r="B1308" t="s">
        <v>796</v>
      </c>
      <c r="C1308" t="s">
        <v>133</v>
      </c>
      <c r="D1308" s="5">
        <v>21633</v>
      </c>
      <c r="E1308" s="5">
        <v>45501</v>
      </c>
      <c r="F1308" s="5">
        <v>45504</v>
      </c>
      <c r="G1308" t="s">
        <v>161</v>
      </c>
      <c r="H1308" t="s">
        <v>124</v>
      </c>
      <c r="I1308" t="s">
        <v>45</v>
      </c>
      <c r="J1308" t="s">
        <v>97</v>
      </c>
      <c r="K1308" t="s">
        <v>120</v>
      </c>
      <c r="L1308" s="6">
        <v>128831.1</v>
      </c>
      <c r="M1308">
        <v>76686.58</v>
      </c>
      <c r="N1308" t="s">
        <v>56</v>
      </c>
      <c r="O1308">
        <v>3</v>
      </c>
      <c r="P1308">
        <v>200</v>
      </c>
      <c r="Q1308">
        <v>4</v>
      </c>
      <c r="R1308">
        <v>113</v>
      </c>
      <c r="S1308">
        <v>136.19999999999999</v>
      </c>
      <c r="T1308" t="s">
        <v>4237</v>
      </c>
      <c r="U1308" s="7">
        <f t="shared" si="82"/>
        <v>65</v>
      </c>
      <c r="V1308" s="7">
        <f t="shared" si="80"/>
        <v>3</v>
      </c>
      <c r="W1308" s="6">
        <f t="shared" si="81"/>
        <v>52144.520000000004</v>
      </c>
      <c r="X1308" t="str">
        <f t="shared" si="83"/>
        <v>Senior</v>
      </c>
    </row>
    <row r="1309" spans="1:24">
      <c r="A1309" t="s">
        <v>4185</v>
      </c>
      <c r="B1309" t="s">
        <v>556</v>
      </c>
      <c r="C1309" t="s">
        <v>133</v>
      </c>
      <c r="D1309" s="5">
        <v>36162</v>
      </c>
      <c r="E1309" s="5">
        <v>45402</v>
      </c>
      <c r="F1309" s="5">
        <v>45414</v>
      </c>
      <c r="G1309" t="s">
        <v>152</v>
      </c>
      <c r="H1309" t="s">
        <v>86</v>
      </c>
      <c r="I1309" t="s">
        <v>53</v>
      </c>
      <c r="J1309" t="s">
        <v>64</v>
      </c>
      <c r="K1309" t="s">
        <v>120</v>
      </c>
      <c r="L1309" s="6">
        <v>39788.99</v>
      </c>
      <c r="M1309">
        <v>28623.14</v>
      </c>
      <c r="N1309" t="s">
        <v>192</v>
      </c>
      <c r="O1309">
        <v>12</v>
      </c>
      <c r="P1309">
        <v>175</v>
      </c>
      <c r="Q1309">
        <v>5</v>
      </c>
      <c r="R1309">
        <v>168</v>
      </c>
      <c r="S1309">
        <v>71.7</v>
      </c>
      <c r="T1309" t="s">
        <v>37</v>
      </c>
      <c r="U1309" s="7">
        <f t="shared" si="82"/>
        <v>25</v>
      </c>
      <c r="V1309" s="7">
        <f t="shared" si="80"/>
        <v>12</v>
      </c>
      <c r="W1309" s="6">
        <f t="shared" si="81"/>
        <v>11165.849999999999</v>
      </c>
      <c r="X1309" t="str">
        <f t="shared" si="83"/>
        <v>Adult</v>
      </c>
    </row>
    <row r="1310" spans="1:24">
      <c r="A1310" t="s">
        <v>2937</v>
      </c>
      <c r="B1310" t="s">
        <v>390</v>
      </c>
      <c r="C1310" t="s">
        <v>133</v>
      </c>
      <c r="D1310" s="5">
        <v>22538</v>
      </c>
      <c r="E1310" s="5">
        <v>45569</v>
      </c>
      <c r="F1310" s="5">
        <v>45582</v>
      </c>
      <c r="G1310" t="s">
        <v>152</v>
      </c>
      <c r="H1310" t="s">
        <v>86</v>
      </c>
      <c r="I1310" t="s">
        <v>96</v>
      </c>
      <c r="J1310" t="s">
        <v>34</v>
      </c>
      <c r="K1310" t="s">
        <v>120</v>
      </c>
      <c r="L1310" s="6">
        <v>98183.84</v>
      </c>
      <c r="M1310">
        <v>75446.55</v>
      </c>
      <c r="N1310" t="s">
        <v>192</v>
      </c>
      <c r="O1310">
        <v>13</v>
      </c>
      <c r="P1310">
        <v>215</v>
      </c>
      <c r="Q1310">
        <v>4</v>
      </c>
      <c r="R1310">
        <v>112</v>
      </c>
      <c r="S1310">
        <v>110.1</v>
      </c>
      <c r="T1310" t="s">
        <v>37</v>
      </c>
      <c r="U1310" s="7">
        <f t="shared" si="82"/>
        <v>63</v>
      </c>
      <c r="V1310" s="7">
        <f t="shared" si="80"/>
        <v>13</v>
      </c>
      <c r="W1310" s="6">
        <f t="shared" si="81"/>
        <v>22737.289999999994</v>
      </c>
      <c r="X1310" t="str">
        <f t="shared" si="83"/>
        <v>Senior</v>
      </c>
    </row>
    <row r="1311" spans="1:24">
      <c r="A1311" t="s">
        <v>2939</v>
      </c>
      <c r="B1311" t="s">
        <v>922</v>
      </c>
      <c r="C1311" t="s">
        <v>40</v>
      </c>
      <c r="D1311" s="5">
        <v>18881</v>
      </c>
      <c r="E1311" s="5">
        <v>45720</v>
      </c>
      <c r="F1311" s="5">
        <v>45722</v>
      </c>
      <c r="G1311" t="s">
        <v>62</v>
      </c>
      <c r="H1311" t="s">
        <v>153</v>
      </c>
      <c r="I1311" t="s">
        <v>79</v>
      </c>
      <c r="J1311" t="s">
        <v>97</v>
      </c>
      <c r="K1311" t="s">
        <v>55</v>
      </c>
      <c r="L1311" s="6">
        <v>129752</v>
      </c>
      <c r="M1311">
        <v>99997.91</v>
      </c>
      <c r="N1311" t="s">
        <v>56</v>
      </c>
      <c r="O1311">
        <v>2</v>
      </c>
      <c r="P1311">
        <v>58</v>
      </c>
      <c r="Q1311">
        <v>4</v>
      </c>
      <c r="R1311">
        <v>129</v>
      </c>
      <c r="S1311">
        <v>185.6</v>
      </c>
      <c r="T1311" t="s">
        <v>37</v>
      </c>
      <c r="U1311" s="7">
        <f t="shared" si="82"/>
        <v>73</v>
      </c>
      <c r="V1311" s="7">
        <f t="shared" si="80"/>
        <v>2</v>
      </c>
      <c r="W1311" s="6">
        <f t="shared" si="81"/>
        <v>29754.089999999997</v>
      </c>
      <c r="X1311" t="str">
        <f t="shared" si="83"/>
        <v>Senior</v>
      </c>
    </row>
    <row r="1312" spans="1:24">
      <c r="A1312" t="s">
        <v>2940</v>
      </c>
      <c r="B1312" t="s">
        <v>556</v>
      </c>
      <c r="C1312" t="s">
        <v>133</v>
      </c>
      <c r="D1312" s="5">
        <v>35037</v>
      </c>
      <c r="E1312" s="5">
        <v>45722</v>
      </c>
      <c r="F1312" s="5">
        <v>45736</v>
      </c>
      <c r="G1312" t="s">
        <v>43</v>
      </c>
      <c r="H1312" t="s">
        <v>134</v>
      </c>
      <c r="I1312" t="s">
        <v>53</v>
      </c>
      <c r="J1312" t="s">
        <v>97</v>
      </c>
      <c r="K1312" t="s">
        <v>55</v>
      </c>
      <c r="L1312" s="6">
        <v>132229.97</v>
      </c>
      <c r="M1312">
        <v>125767.33</v>
      </c>
      <c r="N1312" t="s">
        <v>73</v>
      </c>
      <c r="O1312">
        <v>14</v>
      </c>
      <c r="P1312">
        <v>83</v>
      </c>
      <c r="Q1312">
        <v>2</v>
      </c>
      <c r="R1312">
        <v>141</v>
      </c>
      <c r="S1312">
        <v>212.5</v>
      </c>
      <c r="T1312" t="s">
        <v>37</v>
      </c>
      <c r="U1312" s="7">
        <f t="shared" si="82"/>
        <v>29</v>
      </c>
      <c r="V1312" s="7">
        <f t="shared" si="80"/>
        <v>14</v>
      </c>
      <c r="W1312" s="6">
        <f t="shared" si="81"/>
        <v>6462.6399999999994</v>
      </c>
      <c r="X1312" t="str">
        <f t="shared" si="83"/>
        <v>Adult</v>
      </c>
    </row>
    <row r="1313" spans="1:24">
      <c r="A1313" t="s">
        <v>2941</v>
      </c>
      <c r="B1313" t="s">
        <v>1464</v>
      </c>
      <c r="C1313" t="s">
        <v>133</v>
      </c>
      <c r="D1313" s="5">
        <v>20102</v>
      </c>
      <c r="E1313" s="5">
        <v>45776</v>
      </c>
      <c r="F1313" s="5">
        <v>45778</v>
      </c>
      <c r="G1313" t="s">
        <v>94</v>
      </c>
      <c r="H1313" t="s">
        <v>24</v>
      </c>
      <c r="I1313" t="s">
        <v>53</v>
      </c>
      <c r="J1313" t="s">
        <v>34</v>
      </c>
      <c r="K1313" t="s">
        <v>27</v>
      </c>
      <c r="L1313" s="6">
        <v>223025.02</v>
      </c>
      <c r="M1313">
        <v>184140.99</v>
      </c>
      <c r="N1313" t="s">
        <v>73</v>
      </c>
      <c r="O1313">
        <v>2</v>
      </c>
      <c r="P1313">
        <v>9</v>
      </c>
      <c r="Q1313">
        <v>2</v>
      </c>
      <c r="R1313">
        <v>146</v>
      </c>
      <c r="S1313">
        <v>119.8</v>
      </c>
      <c r="T1313" t="s">
        <v>4237</v>
      </c>
      <c r="U1313" s="7">
        <f t="shared" si="82"/>
        <v>70</v>
      </c>
      <c r="V1313" s="7">
        <f t="shared" si="80"/>
        <v>2</v>
      </c>
      <c r="W1313" s="6">
        <f t="shared" si="81"/>
        <v>38884.03</v>
      </c>
      <c r="X1313" t="str">
        <f t="shared" si="83"/>
        <v>Senior</v>
      </c>
    </row>
    <row r="1314" spans="1:24">
      <c r="A1314" t="s">
        <v>2942</v>
      </c>
      <c r="B1314" t="s">
        <v>444</v>
      </c>
      <c r="C1314" t="s">
        <v>40</v>
      </c>
      <c r="D1314" s="5">
        <v>30935</v>
      </c>
      <c r="E1314" s="5">
        <v>45581</v>
      </c>
      <c r="F1314" s="5">
        <v>45597</v>
      </c>
      <c r="G1314" t="s">
        <v>94</v>
      </c>
      <c r="H1314" t="s">
        <v>153</v>
      </c>
      <c r="I1314" t="s">
        <v>53</v>
      </c>
      <c r="J1314" t="s">
        <v>26</v>
      </c>
      <c r="K1314" t="s">
        <v>120</v>
      </c>
      <c r="L1314" s="6">
        <v>109066.93</v>
      </c>
      <c r="M1314">
        <v>104972.07</v>
      </c>
      <c r="N1314" t="s">
        <v>91</v>
      </c>
      <c r="O1314">
        <v>16</v>
      </c>
      <c r="P1314">
        <v>121</v>
      </c>
      <c r="Q1314">
        <v>5</v>
      </c>
      <c r="R1314">
        <v>109</v>
      </c>
      <c r="S1314">
        <v>240.4</v>
      </c>
      <c r="T1314" t="s">
        <v>37</v>
      </c>
      <c r="U1314" s="7">
        <f t="shared" si="82"/>
        <v>40</v>
      </c>
      <c r="V1314" s="7">
        <f t="shared" si="80"/>
        <v>16</v>
      </c>
      <c r="W1314" s="6">
        <f t="shared" si="81"/>
        <v>4094.859999999986</v>
      </c>
      <c r="X1314" t="str">
        <f t="shared" si="83"/>
        <v>Middle Age</v>
      </c>
    </row>
    <row r="1315" spans="1:24">
      <c r="A1315" t="s">
        <v>2945</v>
      </c>
      <c r="B1315" t="s">
        <v>658</v>
      </c>
      <c r="C1315" t="s">
        <v>133</v>
      </c>
      <c r="D1315" s="5">
        <v>22028</v>
      </c>
      <c r="E1315" s="5">
        <v>44979</v>
      </c>
      <c r="F1315" s="5">
        <v>45080</v>
      </c>
      <c r="G1315" t="s">
        <v>161</v>
      </c>
      <c r="H1315" t="s">
        <v>24</v>
      </c>
      <c r="I1315" t="s">
        <v>79</v>
      </c>
      <c r="J1315" t="s">
        <v>34</v>
      </c>
      <c r="K1315" t="s">
        <v>120</v>
      </c>
      <c r="L1315" s="6">
        <v>112515.38</v>
      </c>
      <c r="M1315">
        <v>97018.240000000005</v>
      </c>
      <c r="N1315" t="s">
        <v>4237</v>
      </c>
      <c r="O1315">
        <v>12</v>
      </c>
      <c r="P1315">
        <v>64</v>
      </c>
      <c r="Q1315">
        <v>4</v>
      </c>
      <c r="R1315">
        <v>174</v>
      </c>
      <c r="S1315">
        <v>107.8</v>
      </c>
      <c r="T1315" t="s">
        <v>37</v>
      </c>
      <c r="U1315" s="7">
        <f t="shared" si="82"/>
        <v>62</v>
      </c>
      <c r="V1315" s="7">
        <f t="shared" si="80"/>
        <v>101</v>
      </c>
      <c r="W1315" s="6">
        <f t="shared" si="81"/>
        <v>15497.14</v>
      </c>
      <c r="X1315" t="str">
        <f t="shared" si="83"/>
        <v>Senior</v>
      </c>
    </row>
    <row r="1316" spans="1:24">
      <c r="A1316" t="s">
        <v>2948</v>
      </c>
      <c r="B1316" t="s">
        <v>1460</v>
      </c>
      <c r="C1316" t="s">
        <v>133</v>
      </c>
      <c r="D1316" s="5">
        <v>22341</v>
      </c>
      <c r="E1316" s="5">
        <v>45295</v>
      </c>
      <c r="F1316" s="5">
        <v>45312</v>
      </c>
      <c r="G1316" t="s">
        <v>89</v>
      </c>
      <c r="H1316" t="s">
        <v>52</v>
      </c>
      <c r="I1316" t="s">
        <v>119</v>
      </c>
      <c r="J1316" t="s">
        <v>97</v>
      </c>
      <c r="K1316" t="s">
        <v>55</v>
      </c>
      <c r="L1316" s="6">
        <v>14270.77</v>
      </c>
      <c r="M1316">
        <v>12302.43</v>
      </c>
      <c r="N1316" t="s">
        <v>192</v>
      </c>
      <c r="O1316">
        <v>17</v>
      </c>
      <c r="P1316">
        <v>179</v>
      </c>
      <c r="Q1316">
        <v>5</v>
      </c>
      <c r="R1316">
        <v>107</v>
      </c>
      <c r="S1316">
        <v>91</v>
      </c>
      <c r="T1316" t="s">
        <v>37</v>
      </c>
      <c r="U1316" s="7">
        <f t="shared" si="82"/>
        <v>62</v>
      </c>
      <c r="V1316" s="7">
        <f t="shared" si="80"/>
        <v>17</v>
      </c>
      <c r="W1316" s="6">
        <f t="shared" si="81"/>
        <v>1968.3400000000001</v>
      </c>
      <c r="X1316" t="str">
        <f t="shared" si="83"/>
        <v>Senior</v>
      </c>
    </row>
    <row r="1317" spans="1:24">
      <c r="A1317" t="s">
        <v>2951</v>
      </c>
      <c r="B1317" t="s">
        <v>563</v>
      </c>
      <c r="C1317" t="s">
        <v>40</v>
      </c>
      <c r="D1317" s="5">
        <v>19834</v>
      </c>
      <c r="E1317" s="5">
        <v>45531</v>
      </c>
      <c r="F1317" s="5" t="s">
        <v>4237</v>
      </c>
      <c r="G1317" t="s">
        <v>94</v>
      </c>
      <c r="H1317" t="s">
        <v>153</v>
      </c>
      <c r="I1317" t="s">
        <v>53</v>
      </c>
      <c r="J1317" t="s">
        <v>46</v>
      </c>
      <c r="K1317" t="s">
        <v>161</v>
      </c>
      <c r="L1317" s="6">
        <v>13842.3</v>
      </c>
      <c r="M1317">
        <v>11709.25</v>
      </c>
      <c r="N1317" t="s">
        <v>91</v>
      </c>
      <c r="O1317">
        <v>8</v>
      </c>
      <c r="P1317">
        <v>158</v>
      </c>
      <c r="Q1317">
        <v>4</v>
      </c>
      <c r="R1317">
        <v>109</v>
      </c>
      <c r="S1317">
        <v>219.8</v>
      </c>
      <c r="T1317" t="s">
        <v>47</v>
      </c>
      <c r="U1317" s="7">
        <f t="shared" si="82"/>
        <v>70</v>
      </c>
      <c r="V1317" s="7" t="s">
        <v>4237</v>
      </c>
      <c r="W1317" s="6">
        <f t="shared" si="81"/>
        <v>2133.0499999999993</v>
      </c>
      <c r="X1317" t="str">
        <f t="shared" si="83"/>
        <v>Senior</v>
      </c>
    </row>
    <row r="1318" spans="1:24">
      <c r="A1318" t="s">
        <v>2952</v>
      </c>
      <c r="B1318" t="s">
        <v>132</v>
      </c>
      <c r="C1318" t="s">
        <v>133</v>
      </c>
      <c r="D1318" s="5">
        <v>21902</v>
      </c>
      <c r="E1318" s="5">
        <v>45656</v>
      </c>
      <c r="F1318" s="5" t="s">
        <v>4237</v>
      </c>
      <c r="G1318" t="s">
        <v>94</v>
      </c>
      <c r="H1318" t="s">
        <v>24</v>
      </c>
      <c r="I1318" t="s">
        <v>79</v>
      </c>
      <c r="J1318" t="s">
        <v>71</v>
      </c>
      <c r="K1318" t="s">
        <v>55</v>
      </c>
      <c r="L1318" s="6">
        <v>205729.93</v>
      </c>
      <c r="M1318">
        <v>178365.28</v>
      </c>
      <c r="N1318" t="s">
        <v>73</v>
      </c>
      <c r="O1318">
        <v>17</v>
      </c>
      <c r="P1318">
        <v>172</v>
      </c>
      <c r="Q1318">
        <v>4</v>
      </c>
      <c r="R1318">
        <v>106</v>
      </c>
      <c r="S1318">
        <v>182.2</v>
      </c>
      <c r="T1318" t="s">
        <v>37</v>
      </c>
      <c r="U1318" s="7">
        <f t="shared" si="82"/>
        <v>65</v>
      </c>
      <c r="V1318" s="7" t="s">
        <v>4237</v>
      </c>
      <c r="W1318" s="6">
        <f t="shared" si="81"/>
        <v>27364.649999999994</v>
      </c>
      <c r="X1318" t="str">
        <f t="shared" si="83"/>
        <v>Senior</v>
      </c>
    </row>
    <row r="1319" spans="1:24">
      <c r="A1319" t="s">
        <v>2954</v>
      </c>
      <c r="B1319" t="s">
        <v>324</v>
      </c>
      <c r="C1319" t="s">
        <v>133</v>
      </c>
      <c r="D1319" s="5">
        <v>39553</v>
      </c>
      <c r="E1319" s="5">
        <v>45926</v>
      </c>
      <c r="F1319" s="5">
        <v>45932</v>
      </c>
      <c r="G1319" t="s">
        <v>117</v>
      </c>
      <c r="H1319" t="s">
        <v>24</v>
      </c>
      <c r="I1319" t="s">
        <v>33</v>
      </c>
      <c r="J1319" t="s">
        <v>71</v>
      </c>
      <c r="K1319" t="s">
        <v>161</v>
      </c>
      <c r="L1319" s="6">
        <v>74012.72</v>
      </c>
      <c r="M1319">
        <v>61292.19</v>
      </c>
      <c r="N1319" t="s">
        <v>35</v>
      </c>
      <c r="O1319">
        <v>6</v>
      </c>
      <c r="P1319">
        <v>64</v>
      </c>
      <c r="Q1319">
        <v>2</v>
      </c>
      <c r="R1319">
        <v>178</v>
      </c>
      <c r="S1319">
        <v>83.6</v>
      </c>
      <c r="T1319" t="s">
        <v>37</v>
      </c>
      <c r="U1319" s="7">
        <f t="shared" si="82"/>
        <v>17</v>
      </c>
      <c r="V1319" s="7">
        <f t="shared" si="80"/>
        <v>6</v>
      </c>
      <c r="W1319" s="6">
        <f t="shared" si="81"/>
        <v>12720.529999999999</v>
      </c>
      <c r="X1319" t="str">
        <f t="shared" si="83"/>
        <v>Child</v>
      </c>
    </row>
    <row r="1320" spans="1:24">
      <c r="A1320" t="s">
        <v>2956</v>
      </c>
      <c r="B1320" t="s">
        <v>253</v>
      </c>
      <c r="C1320" t="s">
        <v>40</v>
      </c>
      <c r="D1320" s="5">
        <v>35901</v>
      </c>
      <c r="E1320" s="5">
        <v>45528</v>
      </c>
      <c r="F1320" s="5">
        <v>45537</v>
      </c>
      <c r="G1320" t="s">
        <v>43</v>
      </c>
      <c r="H1320" t="s">
        <v>134</v>
      </c>
      <c r="I1320" t="s">
        <v>25</v>
      </c>
      <c r="J1320" t="s">
        <v>34</v>
      </c>
      <c r="K1320" t="s">
        <v>120</v>
      </c>
      <c r="L1320" s="6">
        <v>35937.379999999997</v>
      </c>
      <c r="M1320">
        <v>27774.46</v>
      </c>
      <c r="N1320" t="s">
        <v>35</v>
      </c>
      <c r="O1320">
        <v>9</v>
      </c>
      <c r="P1320">
        <v>19</v>
      </c>
      <c r="Q1320">
        <v>5</v>
      </c>
      <c r="R1320">
        <v>150</v>
      </c>
      <c r="S1320">
        <v>120</v>
      </c>
      <c r="T1320" t="s">
        <v>47</v>
      </c>
      <c r="U1320" s="7">
        <f t="shared" si="82"/>
        <v>26</v>
      </c>
      <c r="V1320" s="7">
        <f t="shared" si="80"/>
        <v>9</v>
      </c>
      <c r="W1320" s="6">
        <f t="shared" si="81"/>
        <v>8162.9199999999983</v>
      </c>
      <c r="X1320" t="str">
        <f t="shared" si="83"/>
        <v>Adult</v>
      </c>
    </row>
    <row r="1321" spans="1:24">
      <c r="A1321" t="s">
        <v>2957</v>
      </c>
      <c r="B1321" t="s">
        <v>458</v>
      </c>
      <c r="C1321" t="s">
        <v>133</v>
      </c>
      <c r="D1321" s="5">
        <v>18390</v>
      </c>
      <c r="E1321" s="5">
        <v>45432</v>
      </c>
      <c r="F1321" s="5">
        <v>45444</v>
      </c>
      <c r="G1321" t="s">
        <v>152</v>
      </c>
      <c r="H1321" t="s">
        <v>124</v>
      </c>
      <c r="I1321" t="s">
        <v>79</v>
      </c>
      <c r="J1321" t="s">
        <v>64</v>
      </c>
      <c r="K1321" t="s">
        <v>161</v>
      </c>
      <c r="L1321" s="6">
        <v>194103.38</v>
      </c>
      <c r="M1321">
        <v>164006.75</v>
      </c>
      <c r="N1321" t="s">
        <v>192</v>
      </c>
      <c r="O1321">
        <v>12</v>
      </c>
      <c r="P1321">
        <v>117</v>
      </c>
      <c r="Q1321">
        <v>5</v>
      </c>
      <c r="R1321">
        <v>106</v>
      </c>
      <c r="S1321">
        <v>201.1</v>
      </c>
      <c r="T1321" t="s">
        <v>37</v>
      </c>
      <c r="U1321" s="7">
        <f t="shared" si="82"/>
        <v>74</v>
      </c>
      <c r="V1321" s="7">
        <f t="shared" si="80"/>
        <v>12</v>
      </c>
      <c r="W1321" s="6">
        <f t="shared" si="81"/>
        <v>30096.630000000005</v>
      </c>
      <c r="X1321" t="str">
        <f t="shared" si="83"/>
        <v>Senior</v>
      </c>
    </row>
    <row r="1322" spans="1:24">
      <c r="A1322" t="s">
        <v>2958</v>
      </c>
      <c r="B1322" t="s">
        <v>159</v>
      </c>
      <c r="C1322" t="s">
        <v>40</v>
      </c>
      <c r="D1322" s="5">
        <v>26039</v>
      </c>
      <c r="E1322" s="5">
        <v>45716</v>
      </c>
      <c r="F1322" s="5">
        <v>45725</v>
      </c>
      <c r="G1322" t="s">
        <v>94</v>
      </c>
      <c r="H1322" t="s">
        <v>95</v>
      </c>
      <c r="I1322" t="s">
        <v>45</v>
      </c>
      <c r="J1322" t="s">
        <v>64</v>
      </c>
      <c r="K1322" t="s">
        <v>55</v>
      </c>
      <c r="L1322" s="6">
        <v>57002.86</v>
      </c>
      <c r="M1322">
        <v>56255.87</v>
      </c>
      <c r="N1322" t="s">
        <v>192</v>
      </c>
      <c r="O1322">
        <v>9</v>
      </c>
      <c r="P1322">
        <v>200</v>
      </c>
      <c r="Q1322">
        <v>5</v>
      </c>
      <c r="R1322">
        <v>120</v>
      </c>
      <c r="S1322">
        <v>183.9</v>
      </c>
      <c r="T1322" t="s">
        <v>47</v>
      </c>
      <c r="U1322" s="7">
        <f t="shared" si="82"/>
        <v>53</v>
      </c>
      <c r="V1322" s="7">
        <f t="shared" si="80"/>
        <v>9</v>
      </c>
      <c r="W1322" s="6">
        <f t="shared" si="81"/>
        <v>746.98999999999796</v>
      </c>
      <c r="X1322" t="str">
        <f t="shared" si="83"/>
        <v>Middle Age</v>
      </c>
    </row>
    <row r="1323" spans="1:24">
      <c r="A1323" t="s">
        <v>2960</v>
      </c>
      <c r="B1323" t="s">
        <v>1590</v>
      </c>
      <c r="C1323" t="s">
        <v>133</v>
      </c>
      <c r="D1323" s="5">
        <v>32797</v>
      </c>
      <c r="E1323" s="5">
        <v>45550</v>
      </c>
      <c r="F1323" s="5">
        <v>45565</v>
      </c>
      <c r="G1323" t="s">
        <v>109</v>
      </c>
      <c r="H1323" t="s">
        <v>153</v>
      </c>
      <c r="I1323" t="s">
        <v>33</v>
      </c>
      <c r="J1323" t="s">
        <v>80</v>
      </c>
      <c r="K1323" t="s">
        <v>55</v>
      </c>
      <c r="L1323" s="6">
        <v>168810.66</v>
      </c>
      <c r="M1323">
        <v>119793.04</v>
      </c>
      <c r="N1323" t="s">
        <v>35</v>
      </c>
      <c r="O1323">
        <v>15</v>
      </c>
      <c r="P1323">
        <v>123</v>
      </c>
      <c r="Q1323">
        <v>1</v>
      </c>
      <c r="R1323">
        <v>125</v>
      </c>
      <c r="S1323">
        <v>214.6</v>
      </c>
      <c r="T1323" t="s">
        <v>37</v>
      </c>
      <c r="U1323" s="7">
        <f t="shared" si="82"/>
        <v>34</v>
      </c>
      <c r="V1323" s="7">
        <f t="shared" si="80"/>
        <v>15</v>
      </c>
      <c r="W1323" s="6">
        <f t="shared" si="81"/>
        <v>49017.62000000001</v>
      </c>
      <c r="X1323" t="str">
        <f t="shared" si="83"/>
        <v>Adult</v>
      </c>
    </row>
    <row r="1324" spans="1:24">
      <c r="A1324" t="s">
        <v>2962</v>
      </c>
      <c r="B1324" t="s">
        <v>1065</v>
      </c>
      <c r="C1324" t="s">
        <v>133</v>
      </c>
      <c r="D1324" s="5">
        <v>33719</v>
      </c>
      <c r="E1324" s="5">
        <v>45440</v>
      </c>
      <c r="F1324" s="5">
        <v>45441</v>
      </c>
      <c r="G1324" t="s">
        <v>94</v>
      </c>
      <c r="H1324" t="s">
        <v>134</v>
      </c>
      <c r="I1324" t="s">
        <v>33</v>
      </c>
      <c r="J1324" t="s">
        <v>179</v>
      </c>
      <c r="K1324" t="s">
        <v>161</v>
      </c>
      <c r="L1324" s="6">
        <v>130924.98</v>
      </c>
      <c r="M1324">
        <v>78574.039999999994</v>
      </c>
      <c r="N1324" t="s">
        <v>192</v>
      </c>
      <c r="O1324">
        <v>1</v>
      </c>
      <c r="P1324">
        <v>212</v>
      </c>
      <c r="Q1324">
        <v>2</v>
      </c>
      <c r="R1324">
        <v>180</v>
      </c>
      <c r="S1324">
        <v>198.1</v>
      </c>
      <c r="T1324" t="s">
        <v>65</v>
      </c>
      <c r="U1324" s="7">
        <f t="shared" si="82"/>
        <v>32</v>
      </c>
      <c r="V1324" s="7">
        <f t="shared" si="80"/>
        <v>1</v>
      </c>
      <c r="W1324" s="6">
        <f t="shared" si="81"/>
        <v>52350.94</v>
      </c>
      <c r="X1324" t="str">
        <f t="shared" si="83"/>
        <v>Adult</v>
      </c>
    </row>
    <row r="1325" spans="1:24">
      <c r="A1325" t="s">
        <v>4186</v>
      </c>
      <c r="B1325" t="s">
        <v>545</v>
      </c>
      <c r="C1325" t="s">
        <v>40</v>
      </c>
      <c r="D1325" s="5">
        <v>34317</v>
      </c>
      <c r="E1325" s="5">
        <v>45133</v>
      </c>
      <c r="F1325" s="5">
        <v>45146</v>
      </c>
      <c r="G1325" t="s">
        <v>77</v>
      </c>
      <c r="H1325" t="s">
        <v>124</v>
      </c>
      <c r="I1325" t="s">
        <v>45</v>
      </c>
      <c r="J1325" t="s">
        <v>34</v>
      </c>
      <c r="K1325" t="s">
        <v>55</v>
      </c>
      <c r="L1325" s="6">
        <v>63693.64</v>
      </c>
      <c r="M1325">
        <v>46853.96</v>
      </c>
      <c r="N1325" t="s">
        <v>192</v>
      </c>
      <c r="O1325">
        <v>13</v>
      </c>
      <c r="P1325">
        <v>72</v>
      </c>
      <c r="Q1325">
        <v>4</v>
      </c>
      <c r="R1325">
        <v>132</v>
      </c>
      <c r="S1325">
        <v>153.5</v>
      </c>
      <c r="T1325" t="s">
        <v>37</v>
      </c>
      <c r="U1325" s="7">
        <f t="shared" si="82"/>
        <v>29</v>
      </c>
      <c r="V1325" s="7">
        <f t="shared" si="80"/>
        <v>13</v>
      </c>
      <c r="W1325" s="6">
        <f t="shared" si="81"/>
        <v>16839.68</v>
      </c>
      <c r="X1325" t="str">
        <f t="shared" si="83"/>
        <v>Adult</v>
      </c>
    </row>
    <row r="1326" spans="1:24">
      <c r="A1326" t="s">
        <v>2964</v>
      </c>
      <c r="B1326" t="s">
        <v>829</v>
      </c>
      <c r="C1326" t="s">
        <v>40</v>
      </c>
      <c r="D1326" s="5">
        <v>22153</v>
      </c>
      <c r="E1326" s="5">
        <v>46020</v>
      </c>
      <c r="F1326" s="5">
        <v>46037</v>
      </c>
      <c r="G1326" t="s">
        <v>152</v>
      </c>
      <c r="H1326" t="s">
        <v>124</v>
      </c>
      <c r="I1326" t="s">
        <v>96</v>
      </c>
      <c r="J1326" t="s">
        <v>64</v>
      </c>
      <c r="K1326" t="s">
        <v>120</v>
      </c>
      <c r="L1326" s="6">
        <v>238932.65</v>
      </c>
      <c r="M1326">
        <v>154655.12</v>
      </c>
      <c r="N1326" t="s">
        <v>73</v>
      </c>
      <c r="O1326">
        <v>17</v>
      </c>
      <c r="P1326">
        <v>230</v>
      </c>
      <c r="Q1326">
        <v>4</v>
      </c>
      <c r="R1326">
        <v>93</v>
      </c>
      <c r="S1326">
        <v>191.3</v>
      </c>
      <c r="T1326" t="s">
        <v>65</v>
      </c>
      <c r="U1326" s="7">
        <f t="shared" si="82"/>
        <v>65</v>
      </c>
      <c r="V1326" s="7">
        <f t="shared" si="80"/>
        <v>17</v>
      </c>
      <c r="W1326" s="6">
        <f t="shared" si="81"/>
        <v>84277.53</v>
      </c>
      <c r="X1326" t="str">
        <f t="shared" si="83"/>
        <v>Senior</v>
      </c>
    </row>
    <row r="1327" spans="1:24">
      <c r="A1327" t="s">
        <v>2968</v>
      </c>
      <c r="B1327" t="s">
        <v>756</v>
      </c>
      <c r="C1327" t="s">
        <v>40</v>
      </c>
      <c r="D1327" s="5">
        <v>30479</v>
      </c>
      <c r="E1327" s="5">
        <v>45753</v>
      </c>
      <c r="F1327" s="5" t="s">
        <v>4237</v>
      </c>
      <c r="G1327" t="s">
        <v>161</v>
      </c>
      <c r="H1327" t="s">
        <v>52</v>
      </c>
      <c r="I1327" t="s">
        <v>79</v>
      </c>
      <c r="J1327" t="s">
        <v>64</v>
      </c>
      <c r="K1327" t="s">
        <v>55</v>
      </c>
      <c r="L1327" s="6">
        <v>209065.77</v>
      </c>
      <c r="M1327">
        <v>180681.12</v>
      </c>
      <c r="N1327" t="s">
        <v>35</v>
      </c>
      <c r="O1327">
        <v>16</v>
      </c>
      <c r="P1327">
        <v>221</v>
      </c>
      <c r="Q1327">
        <v>2</v>
      </c>
      <c r="R1327">
        <v>124</v>
      </c>
      <c r="S1327">
        <v>212.4</v>
      </c>
      <c r="T1327" t="s">
        <v>37</v>
      </c>
      <c r="U1327" s="7">
        <f t="shared" si="82"/>
        <v>41</v>
      </c>
      <c r="V1327" s="7" t="s">
        <v>4237</v>
      </c>
      <c r="W1327" s="6">
        <f t="shared" si="81"/>
        <v>28384.649999999994</v>
      </c>
      <c r="X1327" t="str">
        <f t="shared" si="83"/>
        <v>Middle Age</v>
      </c>
    </row>
    <row r="1328" spans="1:24">
      <c r="A1328" t="s">
        <v>2970</v>
      </c>
      <c r="B1328" t="s">
        <v>1460</v>
      </c>
      <c r="C1328" t="s">
        <v>133</v>
      </c>
      <c r="D1328" s="5">
        <v>28779</v>
      </c>
      <c r="E1328" s="5">
        <v>45252</v>
      </c>
      <c r="F1328" s="5">
        <v>45266</v>
      </c>
      <c r="G1328" t="s">
        <v>62</v>
      </c>
      <c r="H1328" t="s">
        <v>124</v>
      </c>
      <c r="I1328" t="s">
        <v>119</v>
      </c>
      <c r="J1328" t="s">
        <v>71</v>
      </c>
      <c r="K1328" t="s">
        <v>120</v>
      </c>
      <c r="L1328" s="6">
        <v>40582.53</v>
      </c>
      <c r="M1328">
        <v>37449.24</v>
      </c>
      <c r="N1328" t="s">
        <v>192</v>
      </c>
      <c r="O1328">
        <v>14</v>
      </c>
      <c r="P1328">
        <v>71</v>
      </c>
      <c r="Q1328">
        <v>4</v>
      </c>
      <c r="R1328">
        <v>163</v>
      </c>
      <c r="S1328">
        <v>226.3</v>
      </c>
      <c r="T1328" t="s">
        <v>37</v>
      </c>
      <c r="U1328" s="7">
        <f t="shared" si="82"/>
        <v>45</v>
      </c>
      <c r="V1328" s="7">
        <f t="shared" si="80"/>
        <v>14</v>
      </c>
      <c r="W1328" s="6">
        <f t="shared" si="81"/>
        <v>3133.2900000000009</v>
      </c>
      <c r="X1328" t="str">
        <f t="shared" si="83"/>
        <v>Middle Age</v>
      </c>
    </row>
    <row r="1329" spans="1:24">
      <c r="A1329" t="s">
        <v>2971</v>
      </c>
      <c r="B1329" t="s">
        <v>247</v>
      </c>
      <c r="C1329" t="s">
        <v>40</v>
      </c>
      <c r="D1329" s="5">
        <v>30190</v>
      </c>
      <c r="E1329" s="5">
        <v>45425</v>
      </c>
      <c r="F1329" s="5">
        <v>45441</v>
      </c>
      <c r="G1329" t="s">
        <v>152</v>
      </c>
      <c r="H1329" t="s">
        <v>124</v>
      </c>
      <c r="I1329" t="s">
        <v>119</v>
      </c>
      <c r="J1329" t="s">
        <v>80</v>
      </c>
      <c r="K1329" t="s">
        <v>120</v>
      </c>
      <c r="L1329" s="6">
        <v>243544.92</v>
      </c>
      <c r="M1329">
        <v>188124.76</v>
      </c>
      <c r="N1329" t="s">
        <v>35</v>
      </c>
      <c r="O1329">
        <v>16</v>
      </c>
      <c r="P1329">
        <v>95</v>
      </c>
      <c r="Q1329">
        <v>1</v>
      </c>
      <c r="R1329">
        <v>145</v>
      </c>
      <c r="S1329">
        <v>163.5</v>
      </c>
      <c r="T1329" t="s">
        <v>37</v>
      </c>
      <c r="U1329" s="7">
        <f t="shared" si="82"/>
        <v>41</v>
      </c>
      <c r="V1329" s="7">
        <f t="shared" si="80"/>
        <v>16</v>
      </c>
      <c r="W1329" s="6">
        <f t="shared" si="81"/>
        <v>55420.160000000003</v>
      </c>
      <c r="X1329" t="str">
        <f t="shared" si="83"/>
        <v>Middle Age</v>
      </c>
    </row>
    <row r="1330" spans="1:24">
      <c r="A1330" t="s">
        <v>2973</v>
      </c>
      <c r="B1330" t="s">
        <v>898</v>
      </c>
      <c r="C1330" t="s">
        <v>133</v>
      </c>
      <c r="D1330" s="5">
        <v>36527</v>
      </c>
      <c r="E1330" s="5">
        <v>45528</v>
      </c>
      <c r="F1330" s="5">
        <v>45532</v>
      </c>
      <c r="G1330" t="s">
        <v>161</v>
      </c>
      <c r="H1330" t="s">
        <v>134</v>
      </c>
      <c r="I1330" t="s">
        <v>79</v>
      </c>
      <c r="J1330" t="s">
        <v>34</v>
      </c>
      <c r="K1330" t="s">
        <v>120</v>
      </c>
      <c r="L1330" s="6">
        <v>117549.94</v>
      </c>
      <c r="M1330">
        <v>99222.62</v>
      </c>
      <c r="N1330" t="s">
        <v>4237</v>
      </c>
      <c r="O1330">
        <v>4</v>
      </c>
      <c r="P1330">
        <v>5</v>
      </c>
      <c r="Q1330">
        <v>4</v>
      </c>
      <c r="R1330">
        <v>104</v>
      </c>
      <c r="S1330">
        <v>258.2</v>
      </c>
      <c r="T1330" t="s">
        <v>37</v>
      </c>
      <c r="U1330" s="7">
        <f t="shared" si="82"/>
        <v>24</v>
      </c>
      <c r="V1330" s="7">
        <f t="shared" si="80"/>
        <v>4</v>
      </c>
      <c r="W1330" s="6">
        <f t="shared" si="81"/>
        <v>18327.320000000007</v>
      </c>
      <c r="X1330" t="str">
        <f t="shared" si="83"/>
        <v>Adult</v>
      </c>
    </row>
    <row r="1331" spans="1:24">
      <c r="A1331" t="s">
        <v>2975</v>
      </c>
      <c r="B1331" t="s">
        <v>604</v>
      </c>
      <c r="C1331" t="s">
        <v>133</v>
      </c>
      <c r="D1331" s="5">
        <v>34461</v>
      </c>
      <c r="E1331" s="5">
        <v>45975</v>
      </c>
      <c r="F1331" s="5">
        <v>45993</v>
      </c>
      <c r="G1331" t="s">
        <v>77</v>
      </c>
      <c r="H1331" t="s">
        <v>153</v>
      </c>
      <c r="I1331" t="s">
        <v>79</v>
      </c>
      <c r="J1331" t="s">
        <v>34</v>
      </c>
      <c r="K1331" t="s">
        <v>120</v>
      </c>
      <c r="L1331" s="6">
        <v>100915.72</v>
      </c>
      <c r="M1331">
        <v>96319.6</v>
      </c>
      <c r="N1331" t="s">
        <v>91</v>
      </c>
      <c r="O1331">
        <v>18</v>
      </c>
      <c r="P1331">
        <v>117</v>
      </c>
      <c r="Q1331">
        <v>1</v>
      </c>
      <c r="R1331">
        <v>108</v>
      </c>
      <c r="S1331">
        <v>210.3</v>
      </c>
      <c r="T1331" t="s">
        <v>65</v>
      </c>
      <c r="U1331" s="7">
        <f t="shared" si="82"/>
        <v>31</v>
      </c>
      <c r="V1331" s="7">
        <f t="shared" si="80"/>
        <v>18</v>
      </c>
      <c r="W1331" s="6">
        <f t="shared" si="81"/>
        <v>4596.1199999999953</v>
      </c>
      <c r="X1331" t="str">
        <f t="shared" si="83"/>
        <v>Adult</v>
      </c>
    </row>
    <row r="1332" spans="1:24">
      <c r="A1332" t="s">
        <v>2977</v>
      </c>
      <c r="B1332" t="s">
        <v>752</v>
      </c>
      <c r="C1332" t="s">
        <v>133</v>
      </c>
      <c r="D1332" s="5">
        <v>27258</v>
      </c>
      <c r="E1332" s="5">
        <v>45249</v>
      </c>
      <c r="F1332" s="5">
        <v>45251</v>
      </c>
      <c r="G1332" t="s">
        <v>43</v>
      </c>
      <c r="H1332" t="s">
        <v>118</v>
      </c>
      <c r="I1332" t="s">
        <v>33</v>
      </c>
      <c r="J1332" t="s">
        <v>34</v>
      </c>
      <c r="K1332" t="s">
        <v>120</v>
      </c>
      <c r="L1332" s="6">
        <v>174191.91</v>
      </c>
      <c r="M1332">
        <v>138671</v>
      </c>
      <c r="N1332" t="s">
        <v>192</v>
      </c>
      <c r="O1332">
        <v>2</v>
      </c>
      <c r="P1332">
        <v>208</v>
      </c>
      <c r="Q1332">
        <v>5</v>
      </c>
      <c r="R1332">
        <v>94</v>
      </c>
      <c r="S1332">
        <v>196</v>
      </c>
      <c r="T1332" t="s">
        <v>47</v>
      </c>
      <c r="U1332" s="7">
        <f t="shared" si="82"/>
        <v>49</v>
      </c>
      <c r="V1332" s="7">
        <f t="shared" si="80"/>
        <v>2</v>
      </c>
      <c r="W1332" s="6">
        <f t="shared" si="81"/>
        <v>35520.910000000003</v>
      </c>
      <c r="X1332" t="str">
        <f t="shared" si="83"/>
        <v>Middle Age</v>
      </c>
    </row>
    <row r="1333" spans="1:24">
      <c r="A1333" t="s">
        <v>2978</v>
      </c>
      <c r="B1333" t="s">
        <v>444</v>
      </c>
      <c r="C1333" t="s">
        <v>40</v>
      </c>
      <c r="D1333" s="5">
        <v>28317</v>
      </c>
      <c r="E1333" s="5">
        <v>45513</v>
      </c>
      <c r="F1333" s="5">
        <v>45573</v>
      </c>
      <c r="G1333" t="s">
        <v>161</v>
      </c>
      <c r="H1333" t="s">
        <v>113</v>
      </c>
      <c r="I1333" t="s">
        <v>53</v>
      </c>
      <c r="J1333" t="s">
        <v>71</v>
      </c>
      <c r="K1333" t="s">
        <v>110</v>
      </c>
      <c r="L1333" s="6">
        <v>41301.129999999997</v>
      </c>
      <c r="M1333">
        <v>98646.34</v>
      </c>
      <c r="N1333" t="s">
        <v>91</v>
      </c>
      <c r="O1333">
        <v>1</v>
      </c>
      <c r="P1333">
        <v>225</v>
      </c>
      <c r="Q1333">
        <v>4</v>
      </c>
      <c r="R1333">
        <v>162</v>
      </c>
      <c r="S1333">
        <v>122.7</v>
      </c>
      <c r="T1333" t="s">
        <v>65</v>
      </c>
      <c r="U1333" s="7">
        <f t="shared" si="82"/>
        <v>47</v>
      </c>
      <c r="V1333" s="7">
        <f t="shared" si="80"/>
        <v>60</v>
      </c>
      <c r="W1333" s="6">
        <f t="shared" si="81"/>
        <v>-57345.21</v>
      </c>
      <c r="X1333" t="str">
        <f t="shared" si="83"/>
        <v>Middle Age</v>
      </c>
    </row>
    <row r="1334" spans="1:24">
      <c r="A1334" t="s">
        <v>2980</v>
      </c>
      <c r="B1334" t="s">
        <v>587</v>
      </c>
      <c r="C1334" t="s">
        <v>40</v>
      </c>
      <c r="D1334" s="5">
        <v>28586</v>
      </c>
      <c r="E1334" s="5">
        <v>45164</v>
      </c>
      <c r="F1334" s="5">
        <v>45172</v>
      </c>
      <c r="G1334" t="s">
        <v>94</v>
      </c>
      <c r="H1334" t="s">
        <v>32</v>
      </c>
      <c r="I1334" t="s">
        <v>33</v>
      </c>
      <c r="J1334" t="s">
        <v>71</v>
      </c>
      <c r="K1334" t="s">
        <v>120</v>
      </c>
      <c r="L1334" s="6">
        <v>90832.28</v>
      </c>
      <c r="M1334">
        <v>67217.240000000005</v>
      </c>
      <c r="N1334" t="s">
        <v>73</v>
      </c>
      <c r="O1334">
        <v>8</v>
      </c>
      <c r="P1334">
        <v>33</v>
      </c>
      <c r="Q1334">
        <v>5</v>
      </c>
      <c r="R1334">
        <v>105</v>
      </c>
      <c r="S1334">
        <v>75.7</v>
      </c>
      <c r="T1334" t="s">
        <v>37</v>
      </c>
      <c r="U1334" s="7">
        <f t="shared" si="82"/>
        <v>45</v>
      </c>
      <c r="V1334" s="7">
        <f t="shared" si="80"/>
        <v>8</v>
      </c>
      <c r="W1334" s="6">
        <f t="shared" si="81"/>
        <v>23615.039999999994</v>
      </c>
      <c r="X1334" t="str">
        <f t="shared" si="83"/>
        <v>Middle Age</v>
      </c>
    </row>
    <row r="1335" spans="1:24">
      <c r="A1335" t="s">
        <v>2982</v>
      </c>
      <c r="B1335" t="s">
        <v>806</v>
      </c>
      <c r="C1335" t="s">
        <v>133</v>
      </c>
      <c r="D1335" s="5">
        <v>36468</v>
      </c>
      <c r="E1335" s="5">
        <v>45815</v>
      </c>
      <c r="F1335" s="5">
        <v>45821</v>
      </c>
      <c r="G1335" t="s">
        <v>105</v>
      </c>
      <c r="H1335" t="s">
        <v>95</v>
      </c>
      <c r="I1335" t="s">
        <v>79</v>
      </c>
      <c r="J1335" t="s">
        <v>64</v>
      </c>
      <c r="K1335" t="s">
        <v>120</v>
      </c>
      <c r="L1335" s="6">
        <v>39741.11</v>
      </c>
      <c r="M1335">
        <v>29219.85</v>
      </c>
      <c r="N1335" t="s">
        <v>73</v>
      </c>
      <c r="O1335">
        <v>6</v>
      </c>
      <c r="P1335">
        <v>115</v>
      </c>
      <c r="Q1335">
        <v>1</v>
      </c>
      <c r="R1335">
        <v>94</v>
      </c>
      <c r="S1335">
        <v>142.69999999999999</v>
      </c>
      <c r="T1335" t="s">
        <v>47</v>
      </c>
      <c r="U1335" s="7">
        <f t="shared" si="82"/>
        <v>25</v>
      </c>
      <c r="V1335" s="7">
        <f t="shared" si="80"/>
        <v>6</v>
      </c>
      <c r="W1335" s="6">
        <f t="shared" si="81"/>
        <v>10521.260000000002</v>
      </c>
      <c r="X1335" t="str">
        <f t="shared" si="83"/>
        <v>Adult</v>
      </c>
    </row>
    <row r="1336" spans="1:24">
      <c r="A1336" t="s">
        <v>2985</v>
      </c>
      <c r="B1336" t="s">
        <v>2393</v>
      </c>
      <c r="C1336" t="s">
        <v>133</v>
      </c>
      <c r="D1336" s="5">
        <v>24391</v>
      </c>
      <c r="E1336" s="5">
        <v>45373</v>
      </c>
      <c r="F1336" s="5">
        <v>45376</v>
      </c>
      <c r="G1336" t="s">
        <v>62</v>
      </c>
      <c r="H1336" t="s">
        <v>32</v>
      </c>
      <c r="I1336" t="s">
        <v>45</v>
      </c>
      <c r="J1336" t="s">
        <v>71</v>
      </c>
      <c r="K1336" t="s">
        <v>55</v>
      </c>
      <c r="L1336" s="6">
        <v>191894.73</v>
      </c>
      <c r="M1336">
        <v>180797.54</v>
      </c>
      <c r="N1336" t="s">
        <v>35</v>
      </c>
      <c r="O1336">
        <v>3</v>
      </c>
      <c r="P1336">
        <v>90</v>
      </c>
      <c r="Q1336">
        <v>4</v>
      </c>
      <c r="R1336">
        <v>172</v>
      </c>
      <c r="S1336">
        <v>73.8</v>
      </c>
      <c r="T1336" t="s">
        <v>37</v>
      </c>
      <c r="U1336" s="7">
        <f t="shared" si="82"/>
        <v>57</v>
      </c>
      <c r="V1336" s="7">
        <f t="shared" si="80"/>
        <v>3</v>
      </c>
      <c r="W1336" s="6">
        <f t="shared" si="81"/>
        <v>11097.190000000002</v>
      </c>
      <c r="X1336" t="str">
        <f t="shared" si="83"/>
        <v>Middle Age</v>
      </c>
    </row>
    <row r="1337" spans="1:24">
      <c r="A1337" t="s">
        <v>2988</v>
      </c>
      <c r="B1337" t="s">
        <v>768</v>
      </c>
      <c r="C1337" t="s">
        <v>40</v>
      </c>
      <c r="D1337" s="5" t="s">
        <v>4237</v>
      </c>
      <c r="E1337" s="5" t="s">
        <v>4237</v>
      </c>
      <c r="F1337" s="5">
        <v>45221</v>
      </c>
      <c r="G1337" t="s">
        <v>94</v>
      </c>
      <c r="H1337" t="s">
        <v>44</v>
      </c>
      <c r="I1337" t="s">
        <v>33</v>
      </c>
      <c r="J1337" t="s">
        <v>179</v>
      </c>
      <c r="K1337" t="s">
        <v>55</v>
      </c>
      <c r="L1337" s="6">
        <v>186011.85</v>
      </c>
      <c r="M1337">
        <v>121947.64</v>
      </c>
      <c r="N1337" t="s">
        <v>192</v>
      </c>
      <c r="O1337">
        <v>5</v>
      </c>
      <c r="P1337">
        <v>5</v>
      </c>
      <c r="Q1337">
        <v>2</v>
      </c>
      <c r="R1337">
        <v>124</v>
      </c>
      <c r="S1337">
        <v>170.3</v>
      </c>
      <c r="T1337" t="s">
        <v>37</v>
      </c>
      <c r="U1337" s="7" t="s">
        <v>4237</v>
      </c>
      <c r="V1337" s="7" t="s">
        <v>4237</v>
      </c>
      <c r="W1337" s="6">
        <f t="shared" si="81"/>
        <v>64064.210000000006</v>
      </c>
      <c r="X1337" t="s">
        <v>4237</v>
      </c>
    </row>
    <row r="1338" spans="1:24">
      <c r="A1338" t="s">
        <v>2991</v>
      </c>
      <c r="B1338" t="s">
        <v>1464</v>
      </c>
      <c r="C1338" t="s">
        <v>40</v>
      </c>
      <c r="D1338" s="5">
        <v>36963</v>
      </c>
      <c r="E1338" s="5">
        <v>45982</v>
      </c>
      <c r="F1338" s="5">
        <v>45986</v>
      </c>
      <c r="G1338" t="s">
        <v>117</v>
      </c>
      <c r="H1338" t="s">
        <v>86</v>
      </c>
      <c r="I1338" t="s">
        <v>25</v>
      </c>
      <c r="J1338" t="s">
        <v>179</v>
      </c>
      <c r="K1338" t="s">
        <v>120</v>
      </c>
      <c r="L1338" s="6">
        <v>131495.92000000001</v>
      </c>
      <c r="M1338">
        <v>104813.97</v>
      </c>
      <c r="N1338" t="s">
        <v>35</v>
      </c>
      <c r="O1338">
        <v>4</v>
      </c>
      <c r="P1338">
        <v>143</v>
      </c>
      <c r="Q1338">
        <v>1</v>
      </c>
      <c r="R1338">
        <v>132</v>
      </c>
      <c r="S1338">
        <v>232</v>
      </c>
      <c r="T1338" t="s">
        <v>37</v>
      </c>
      <c r="U1338" s="7">
        <f t="shared" si="82"/>
        <v>24</v>
      </c>
      <c r="V1338" s="7">
        <f t="shared" si="80"/>
        <v>4</v>
      </c>
      <c r="W1338" s="6">
        <f t="shared" si="81"/>
        <v>26681.950000000012</v>
      </c>
      <c r="X1338" t="str">
        <f t="shared" si="83"/>
        <v>Adult</v>
      </c>
    </row>
    <row r="1339" spans="1:24">
      <c r="A1339" t="s">
        <v>2994</v>
      </c>
      <c r="B1339" t="s">
        <v>1364</v>
      </c>
      <c r="C1339" t="s">
        <v>133</v>
      </c>
      <c r="D1339" s="5">
        <v>40520</v>
      </c>
      <c r="E1339" s="5">
        <v>45625</v>
      </c>
      <c r="F1339" s="5" t="s">
        <v>4237</v>
      </c>
      <c r="G1339" t="s">
        <v>152</v>
      </c>
      <c r="H1339" t="s">
        <v>134</v>
      </c>
      <c r="I1339" t="s">
        <v>25</v>
      </c>
      <c r="J1339" t="s">
        <v>97</v>
      </c>
      <c r="K1339" t="s">
        <v>55</v>
      </c>
      <c r="L1339" s="6">
        <v>240454.05</v>
      </c>
      <c r="M1339">
        <v>240428.81</v>
      </c>
      <c r="N1339" t="s">
        <v>192</v>
      </c>
      <c r="O1339">
        <v>17</v>
      </c>
      <c r="P1339">
        <v>29</v>
      </c>
      <c r="Q1339">
        <v>4</v>
      </c>
      <c r="R1339">
        <v>179</v>
      </c>
      <c r="S1339">
        <v>148.80000000000001</v>
      </c>
      <c r="T1339" t="s">
        <v>65</v>
      </c>
      <c r="U1339" s="7">
        <f t="shared" si="82"/>
        <v>13</v>
      </c>
      <c r="V1339" s="7" t="s">
        <v>4237</v>
      </c>
      <c r="W1339" s="6">
        <f t="shared" si="81"/>
        <v>25.239999999990687</v>
      </c>
      <c r="X1339" t="str">
        <f t="shared" si="83"/>
        <v>Child</v>
      </c>
    </row>
    <row r="1340" spans="1:24">
      <c r="A1340" t="s">
        <v>2996</v>
      </c>
      <c r="B1340" t="s">
        <v>385</v>
      </c>
      <c r="C1340" t="s">
        <v>40</v>
      </c>
      <c r="D1340" s="5" t="s">
        <v>4237</v>
      </c>
      <c r="E1340" s="5">
        <v>45637</v>
      </c>
      <c r="F1340" s="5">
        <v>45654</v>
      </c>
      <c r="G1340" t="s">
        <v>43</v>
      </c>
      <c r="H1340" t="s">
        <v>78</v>
      </c>
      <c r="I1340" t="s">
        <v>53</v>
      </c>
      <c r="J1340" t="s">
        <v>179</v>
      </c>
      <c r="K1340" t="s">
        <v>120</v>
      </c>
      <c r="L1340" s="6">
        <v>115616.7</v>
      </c>
      <c r="M1340">
        <v>102502.09</v>
      </c>
      <c r="N1340" t="s">
        <v>73</v>
      </c>
      <c r="O1340">
        <v>17</v>
      </c>
      <c r="P1340">
        <v>215</v>
      </c>
      <c r="Q1340">
        <v>4</v>
      </c>
      <c r="R1340">
        <v>190</v>
      </c>
      <c r="S1340">
        <v>229.4</v>
      </c>
      <c r="T1340" t="s">
        <v>37</v>
      </c>
      <c r="U1340" s="7" t="s">
        <v>4237</v>
      </c>
      <c r="V1340" s="7">
        <f t="shared" si="80"/>
        <v>17</v>
      </c>
      <c r="W1340" s="6">
        <f t="shared" si="81"/>
        <v>13114.61</v>
      </c>
      <c r="X1340" t="s">
        <v>4237</v>
      </c>
    </row>
    <row r="1341" spans="1:24">
      <c r="A1341" t="s">
        <v>2999</v>
      </c>
      <c r="B1341" t="s">
        <v>697</v>
      </c>
      <c r="C1341" t="s">
        <v>40</v>
      </c>
      <c r="D1341" s="5">
        <v>35989</v>
      </c>
      <c r="E1341" s="5">
        <v>45652</v>
      </c>
      <c r="F1341" s="5">
        <v>45668</v>
      </c>
      <c r="G1341" t="s">
        <v>89</v>
      </c>
      <c r="H1341" t="s">
        <v>113</v>
      </c>
      <c r="I1341" t="s">
        <v>33</v>
      </c>
      <c r="J1341" t="s">
        <v>80</v>
      </c>
      <c r="K1341" t="s">
        <v>161</v>
      </c>
      <c r="L1341" s="6">
        <v>8118.15</v>
      </c>
      <c r="M1341">
        <v>6481.35</v>
      </c>
      <c r="N1341" t="s">
        <v>192</v>
      </c>
      <c r="O1341">
        <v>16</v>
      </c>
      <c r="P1341">
        <v>222</v>
      </c>
      <c r="Q1341">
        <v>1</v>
      </c>
      <c r="R1341">
        <v>128</v>
      </c>
      <c r="S1341">
        <v>114.7</v>
      </c>
      <c r="T1341" t="s">
        <v>37</v>
      </c>
      <c r="U1341" s="7">
        <f t="shared" si="82"/>
        <v>26</v>
      </c>
      <c r="V1341" s="7">
        <f t="shared" si="80"/>
        <v>16</v>
      </c>
      <c r="W1341" s="6">
        <f t="shared" si="81"/>
        <v>1636.7999999999993</v>
      </c>
      <c r="X1341" t="str">
        <f t="shared" si="83"/>
        <v>Adult</v>
      </c>
    </row>
    <row r="1342" spans="1:24">
      <c r="A1342" t="s">
        <v>3001</v>
      </c>
      <c r="B1342" t="s">
        <v>241</v>
      </c>
      <c r="C1342" t="s">
        <v>133</v>
      </c>
      <c r="D1342" s="5">
        <v>38078</v>
      </c>
      <c r="E1342" s="5">
        <v>45893</v>
      </c>
      <c r="F1342" s="5" t="s">
        <v>4237</v>
      </c>
      <c r="G1342" t="s">
        <v>161</v>
      </c>
      <c r="H1342" t="s">
        <v>95</v>
      </c>
      <c r="I1342" t="s">
        <v>33</v>
      </c>
      <c r="J1342" t="s">
        <v>34</v>
      </c>
      <c r="K1342" t="s">
        <v>55</v>
      </c>
      <c r="L1342" s="6">
        <v>65531.6</v>
      </c>
      <c r="M1342">
        <v>53995.83</v>
      </c>
      <c r="N1342" t="s">
        <v>73</v>
      </c>
      <c r="O1342">
        <v>5</v>
      </c>
      <c r="P1342">
        <v>233</v>
      </c>
      <c r="Q1342">
        <v>4</v>
      </c>
      <c r="R1342">
        <v>175</v>
      </c>
      <c r="S1342">
        <v>234.6</v>
      </c>
      <c r="T1342" t="s">
        <v>65</v>
      </c>
      <c r="U1342" s="7">
        <f t="shared" si="82"/>
        <v>21</v>
      </c>
      <c r="V1342" s="7" t="s">
        <v>4237</v>
      </c>
      <c r="W1342" s="6">
        <f t="shared" si="81"/>
        <v>11535.769999999997</v>
      </c>
      <c r="X1342" t="str">
        <f t="shared" si="83"/>
        <v>Adult</v>
      </c>
    </row>
    <row r="1343" spans="1:24">
      <c r="A1343" t="s">
        <v>3004</v>
      </c>
      <c r="B1343" t="s">
        <v>390</v>
      </c>
      <c r="C1343" t="s">
        <v>40</v>
      </c>
      <c r="D1343" s="5">
        <v>26805</v>
      </c>
      <c r="E1343" s="5">
        <v>45498</v>
      </c>
      <c r="F1343" s="5" t="s">
        <v>4237</v>
      </c>
      <c r="G1343" t="s">
        <v>77</v>
      </c>
      <c r="H1343" t="s">
        <v>95</v>
      </c>
      <c r="I1343" t="s">
        <v>119</v>
      </c>
      <c r="J1343" t="s">
        <v>64</v>
      </c>
      <c r="K1343" t="s">
        <v>27</v>
      </c>
      <c r="L1343" s="6">
        <v>137567.10999999999</v>
      </c>
      <c r="M1343">
        <v>91309.59</v>
      </c>
      <c r="N1343" t="s">
        <v>192</v>
      </c>
      <c r="O1343">
        <v>5</v>
      </c>
      <c r="P1343">
        <v>49</v>
      </c>
      <c r="Q1343">
        <v>1</v>
      </c>
      <c r="R1343">
        <v>145</v>
      </c>
      <c r="S1343">
        <v>186.3</v>
      </c>
      <c r="T1343" t="s">
        <v>65</v>
      </c>
      <c r="U1343" s="7">
        <f t="shared" si="82"/>
        <v>51</v>
      </c>
      <c r="V1343" s="7" t="s">
        <v>4237</v>
      </c>
      <c r="W1343" s="6">
        <f t="shared" si="81"/>
        <v>46257.51999999999</v>
      </c>
      <c r="X1343" t="str">
        <f t="shared" si="83"/>
        <v>Middle Age</v>
      </c>
    </row>
    <row r="1344" spans="1:24">
      <c r="A1344" t="s">
        <v>3006</v>
      </c>
      <c r="B1344" t="s">
        <v>850</v>
      </c>
      <c r="C1344" t="s">
        <v>133</v>
      </c>
      <c r="D1344" s="5">
        <v>29380</v>
      </c>
      <c r="E1344" s="5">
        <v>45388</v>
      </c>
      <c r="F1344" s="5">
        <v>45451</v>
      </c>
      <c r="G1344" t="s">
        <v>117</v>
      </c>
      <c r="H1344" t="s">
        <v>113</v>
      </c>
      <c r="I1344" t="s">
        <v>119</v>
      </c>
      <c r="J1344" t="s">
        <v>46</v>
      </c>
      <c r="K1344" t="s">
        <v>120</v>
      </c>
      <c r="L1344" s="6">
        <v>159608.23000000001</v>
      </c>
      <c r="M1344">
        <v>144123.5</v>
      </c>
      <c r="N1344" t="s">
        <v>35</v>
      </c>
      <c r="O1344">
        <v>4</v>
      </c>
      <c r="P1344">
        <v>215</v>
      </c>
      <c r="Q1344">
        <v>1</v>
      </c>
      <c r="R1344">
        <v>110</v>
      </c>
      <c r="S1344">
        <v>163.5</v>
      </c>
      <c r="T1344" t="s">
        <v>47</v>
      </c>
      <c r="U1344" s="7">
        <f t="shared" si="82"/>
        <v>43</v>
      </c>
      <c r="V1344" s="7">
        <f t="shared" si="80"/>
        <v>63</v>
      </c>
      <c r="W1344" s="6">
        <f t="shared" si="81"/>
        <v>15484.73000000001</v>
      </c>
      <c r="X1344" t="str">
        <f t="shared" si="83"/>
        <v>Middle Age</v>
      </c>
    </row>
    <row r="1345" spans="1:24">
      <c r="A1345" t="s">
        <v>3007</v>
      </c>
      <c r="B1345" t="s">
        <v>116</v>
      </c>
      <c r="C1345" t="s">
        <v>133</v>
      </c>
      <c r="D1345" s="5">
        <v>28970</v>
      </c>
      <c r="E1345" s="5">
        <v>45674</v>
      </c>
      <c r="F1345" s="5">
        <v>45681</v>
      </c>
      <c r="G1345" t="s">
        <v>109</v>
      </c>
      <c r="H1345" t="s">
        <v>113</v>
      </c>
      <c r="I1345" t="s">
        <v>96</v>
      </c>
      <c r="J1345" t="s">
        <v>80</v>
      </c>
      <c r="K1345" t="s">
        <v>55</v>
      </c>
      <c r="L1345" s="6">
        <v>156268.01</v>
      </c>
      <c r="M1345">
        <v>144219.01</v>
      </c>
      <c r="N1345" t="s">
        <v>192</v>
      </c>
      <c r="O1345">
        <v>7</v>
      </c>
      <c r="P1345">
        <v>52</v>
      </c>
      <c r="Q1345">
        <v>4</v>
      </c>
      <c r="R1345">
        <v>184</v>
      </c>
      <c r="S1345">
        <v>203</v>
      </c>
      <c r="T1345" t="s">
        <v>37</v>
      </c>
      <c r="U1345" s="7">
        <f t="shared" si="82"/>
        <v>45</v>
      </c>
      <c r="V1345" s="7">
        <f t="shared" si="80"/>
        <v>7</v>
      </c>
      <c r="W1345" s="6">
        <f t="shared" si="81"/>
        <v>12049</v>
      </c>
      <c r="X1345" t="str">
        <f t="shared" si="83"/>
        <v>Middle Age</v>
      </c>
    </row>
    <row r="1346" spans="1:24">
      <c r="A1346" t="s">
        <v>3009</v>
      </c>
      <c r="B1346" t="s">
        <v>241</v>
      </c>
      <c r="C1346" t="s">
        <v>133</v>
      </c>
      <c r="D1346" s="5">
        <v>34733</v>
      </c>
      <c r="E1346" s="5">
        <v>45052</v>
      </c>
      <c r="F1346" s="5" t="s">
        <v>4237</v>
      </c>
      <c r="G1346" t="s">
        <v>94</v>
      </c>
      <c r="H1346" t="s">
        <v>95</v>
      </c>
      <c r="I1346" t="s">
        <v>96</v>
      </c>
      <c r="J1346" t="s">
        <v>80</v>
      </c>
      <c r="K1346" t="s">
        <v>120</v>
      </c>
      <c r="L1346" s="6">
        <v>186065.62</v>
      </c>
      <c r="M1346">
        <v>125933.41</v>
      </c>
      <c r="N1346" t="s">
        <v>35</v>
      </c>
      <c r="O1346">
        <v>10</v>
      </c>
      <c r="P1346">
        <v>9</v>
      </c>
      <c r="Q1346">
        <v>2</v>
      </c>
      <c r="R1346">
        <v>172</v>
      </c>
      <c r="S1346">
        <v>173.8</v>
      </c>
      <c r="T1346" t="s">
        <v>37</v>
      </c>
      <c r="U1346" s="7">
        <f t="shared" ref="U1346:U1409" si="84">DATEDIF(D1346,E1346,"Y")</f>
        <v>28</v>
      </c>
      <c r="V1346" s="7" t="s">
        <v>4237</v>
      </c>
      <c r="W1346" s="6">
        <f t="shared" ref="W1346:W1409" si="85">L1346-M1346</f>
        <v>60132.209999999992</v>
      </c>
      <c r="X1346" t="str">
        <f t="shared" ref="X1346:X1409" si="86">IF(OR(U1346="",U1346="Unknown"),"",IF(U1346&lt;18,"Child",IF(U1346&lt;40,"Adult",IF(U1346&lt;60,"Middle Age","Senior"))))</f>
        <v>Adult</v>
      </c>
    </row>
    <row r="1347" spans="1:24">
      <c r="A1347" t="s">
        <v>3012</v>
      </c>
      <c r="B1347" t="s">
        <v>2075</v>
      </c>
      <c r="C1347" t="s">
        <v>40</v>
      </c>
      <c r="D1347" s="5">
        <v>38945</v>
      </c>
      <c r="E1347" s="5">
        <v>45850</v>
      </c>
      <c r="F1347" s="5">
        <v>45856</v>
      </c>
      <c r="G1347" t="s">
        <v>109</v>
      </c>
      <c r="H1347" t="s">
        <v>63</v>
      </c>
      <c r="I1347" t="s">
        <v>33</v>
      </c>
      <c r="J1347" t="s">
        <v>46</v>
      </c>
      <c r="K1347" t="s">
        <v>161</v>
      </c>
      <c r="L1347" s="6">
        <v>14355.62</v>
      </c>
      <c r="M1347">
        <v>12884.32</v>
      </c>
      <c r="N1347" t="s">
        <v>56</v>
      </c>
      <c r="O1347">
        <v>6</v>
      </c>
      <c r="P1347">
        <v>138</v>
      </c>
      <c r="Q1347">
        <v>4</v>
      </c>
      <c r="R1347">
        <v>134</v>
      </c>
      <c r="S1347">
        <v>105.5</v>
      </c>
      <c r="T1347" t="s">
        <v>37</v>
      </c>
      <c r="U1347" s="7">
        <f t="shared" si="84"/>
        <v>18</v>
      </c>
      <c r="V1347" s="7">
        <f t="shared" ref="V1347:V1409" si="87">IF(OR(E1347=" ",F1347=" ",E1347="Unknown",F1347="Unknown")," ",F1347-E1347)</f>
        <v>6</v>
      </c>
      <c r="W1347" s="6">
        <f t="shared" si="85"/>
        <v>1471.3000000000011</v>
      </c>
      <c r="X1347" t="str">
        <f t="shared" si="86"/>
        <v>Adult</v>
      </c>
    </row>
    <row r="1348" spans="1:24">
      <c r="A1348" t="s">
        <v>3014</v>
      </c>
      <c r="B1348" t="s">
        <v>3015</v>
      </c>
      <c r="C1348" t="s">
        <v>133</v>
      </c>
      <c r="D1348" s="5">
        <v>22306</v>
      </c>
      <c r="E1348" s="5">
        <v>45511</v>
      </c>
      <c r="F1348" s="5">
        <v>45526</v>
      </c>
      <c r="G1348" t="s">
        <v>161</v>
      </c>
      <c r="H1348" t="s">
        <v>113</v>
      </c>
      <c r="I1348" t="s">
        <v>45</v>
      </c>
      <c r="J1348" t="s">
        <v>46</v>
      </c>
      <c r="K1348" t="s">
        <v>110</v>
      </c>
      <c r="L1348" s="6">
        <v>166688.26</v>
      </c>
      <c r="M1348">
        <v>119013.72</v>
      </c>
      <c r="N1348" t="s">
        <v>91</v>
      </c>
      <c r="O1348">
        <v>15</v>
      </c>
      <c r="P1348">
        <v>197</v>
      </c>
      <c r="Q1348">
        <v>4</v>
      </c>
      <c r="R1348">
        <v>97</v>
      </c>
      <c r="S1348">
        <v>237.3</v>
      </c>
      <c r="T1348" t="s">
        <v>37</v>
      </c>
      <c r="U1348" s="7">
        <f t="shared" si="84"/>
        <v>63</v>
      </c>
      <c r="V1348" s="7">
        <f t="shared" si="87"/>
        <v>15</v>
      </c>
      <c r="W1348" s="6">
        <f t="shared" si="85"/>
        <v>47674.540000000008</v>
      </c>
      <c r="X1348" t="str">
        <f t="shared" si="86"/>
        <v>Senior</v>
      </c>
    </row>
    <row r="1349" spans="1:24">
      <c r="A1349" t="s">
        <v>3018</v>
      </c>
      <c r="B1349" t="s">
        <v>433</v>
      </c>
      <c r="C1349" t="s">
        <v>133</v>
      </c>
      <c r="D1349" s="5">
        <v>28109</v>
      </c>
      <c r="E1349" s="5">
        <v>45853</v>
      </c>
      <c r="F1349" s="5">
        <v>45870</v>
      </c>
      <c r="G1349" t="s">
        <v>161</v>
      </c>
      <c r="H1349" t="s">
        <v>95</v>
      </c>
      <c r="I1349" t="s">
        <v>79</v>
      </c>
      <c r="J1349" t="s">
        <v>80</v>
      </c>
      <c r="K1349" t="s">
        <v>120</v>
      </c>
      <c r="L1349" s="6">
        <v>180100.88</v>
      </c>
      <c r="M1349">
        <v>149389.1</v>
      </c>
      <c r="N1349" t="s">
        <v>56</v>
      </c>
      <c r="O1349">
        <v>17</v>
      </c>
      <c r="P1349">
        <v>228</v>
      </c>
      <c r="Q1349">
        <v>4</v>
      </c>
      <c r="R1349">
        <v>163</v>
      </c>
      <c r="S1349">
        <v>131.9</v>
      </c>
      <c r="T1349" t="s">
        <v>4237</v>
      </c>
      <c r="U1349" s="7">
        <f t="shared" si="84"/>
        <v>48</v>
      </c>
      <c r="V1349" s="7">
        <f t="shared" si="87"/>
        <v>17</v>
      </c>
      <c r="W1349" s="6">
        <f t="shared" si="85"/>
        <v>30711.78</v>
      </c>
      <c r="X1349" t="str">
        <f t="shared" si="86"/>
        <v>Middle Age</v>
      </c>
    </row>
    <row r="1350" spans="1:24">
      <c r="A1350" t="s">
        <v>3019</v>
      </c>
      <c r="B1350" t="s">
        <v>1167</v>
      </c>
      <c r="C1350" t="s">
        <v>133</v>
      </c>
      <c r="D1350" s="5">
        <v>24691</v>
      </c>
      <c r="E1350" s="5">
        <v>45939</v>
      </c>
      <c r="F1350" s="5">
        <v>45955</v>
      </c>
      <c r="G1350" t="s">
        <v>62</v>
      </c>
      <c r="H1350" t="s">
        <v>134</v>
      </c>
      <c r="I1350" t="s">
        <v>45</v>
      </c>
      <c r="J1350" t="s">
        <v>64</v>
      </c>
      <c r="K1350" t="s">
        <v>55</v>
      </c>
      <c r="L1350" s="6">
        <v>229029.82</v>
      </c>
      <c r="M1350">
        <v>167729.91</v>
      </c>
      <c r="N1350" t="s">
        <v>4237</v>
      </c>
      <c r="O1350">
        <v>16</v>
      </c>
      <c r="P1350">
        <v>121</v>
      </c>
      <c r="Q1350">
        <v>5</v>
      </c>
      <c r="R1350">
        <v>127</v>
      </c>
      <c r="S1350">
        <v>215.5</v>
      </c>
      <c r="T1350" t="s">
        <v>37</v>
      </c>
      <c r="U1350" s="7">
        <f t="shared" si="84"/>
        <v>58</v>
      </c>
      <c r="V1350" s="7">
        <f t="shared" si="87"/>
        <v>16</v>
      </c>
      <c r="W1350" s="6">
        <f t="shared" si="85"/>
        <v>61299.91</v>
      </c>
      <c r="X1350" t="str">
        <f t="shared" si="86"/>
        <v>Middle Age</v>
      </c>
    </row>
    <row r="1351" spans="1:24">
      <c r="A1351" t="s">
        <v>3021</v>
      </c>
      <c r="B1351" t="s">
        <v>427</v>
      </c>
      <c r="C1351" t="s">
        <v>133</v>
      </c>
      <c r="D1351" s="5">
        <v>20798</v>
      </c>
      <c r="E1351" s="5">
        <v>45291</v>
      </c>
      <c r="F1351" s="5">
        <v>45308</v>
      </c>
      <c r="G1351" t="s">
        <v>152</v>
      </c>
      <c r="H1351" t="s">
        <v>134</v>
      </c>
      <c r="I1351" t="s">
        <v>25</v>
      </c>
      <c r="J1351" t="s">
        <v>34</v>
      </c>
      <c r="K1351" t="s">
        <v>55</v>
      </c>
      <c r="L1351" s="6">
        <v>123663.9</v>
      </c>
      <c r="M1351">
        <v>37912.04</v>
      </c>
      <c r="N1351" t="s">
        <v>35</v>
      </c>
      <c r="O1351">
        <v>17</v>
      </c>
      <c r="P1351">
        <v>121</v>
      </c>
      <c r="Q1351">
        <v>5</v>
      </c>
      <c r="R1351">
        <v>103</v>
      </c>
      <c r="S1351">
        <v>118.1</v>
      </c>
      <c r="T1351" t="s">
        <v>37</v>
      </c>
      <c r="U1351" s="7">
        <f t="shared" si="84"/>
        <v>67</v>
      </c>
      <c r="V1351" s="7">
        <f t="shared" si="87"/>
        <v>17</v>
      </c>
      <c r="W1351" s="6">
        <f t="shared" si="85"/>
        <v>85751.859999999986</v>
      </c>
      <c r="X1351" t="str">
        <f t="shared" si="86"/>
        <v>Senior</v>
      </c>
    </row>
    <row r="1352" spans="1:24">
      <c r="A1352" t="s">
        <v>3022</v>
      </c>
      <c r="B1352" t="s">
        <v>1563</v>
      </c>
      <c r="C1352" t="s">
        <v>40</v>
      </c>
      <c r="D1352" s="5">
        <v>39150</v>
      </c>
      <c r="E1352" s="5">
        <v>45247</v>
      </c>
      <c r="F1352" s="5">
        <v>45253</v>
      </c>
      <c r="G1352" t="s">
        <v>152</v>
      </c>
      <c r="H1352" t="s">
        <v>113</v>
      </c>
      <c r="I1352" t="s">
        <v>96</v>
      </c>
      <c r="J1352" t="s">
        <v>64</v>
      </c>
      <c r="K1352" t="s">
        <v>55</v>
      </c>
      <c r="L1352" s="6">
        <v>239754.63</v>
      </c>
      <c r="M1352">
        <v>183323.04</v>
      </c>
      <c r="N1352" t="s">
        <v>91</v>
      </c>
      <c r="O1352">
        <v>6</v>
      </c>
      <c r="P1352">
        <v>173</v>
      </c>
      <c r="Q1352">
        <v>3</v>
      </c>
      <c r="R1352">
        <v>169</v>
      </c>
      <c r="S1352">
        <v>126.5</v>
      </c>
      <c r="T1352" t="s">
        <v>37</v>
      </c>
      <c r="U1352" s="7">
        <f t="shared" si="84"/>
        <v>16</v>
      </c>
      <c r="V1352" s="7">
        <f t="shared" si="87"/>
        <v>6</v>
      </c>
      <c r="W1352" s="6">
        <f t="shared" si="85"/>
        <v>56431.59</v>
      </c>
      <c r="X1352" t="str">
        <f t="shared" si="86"/>
        <v>Child</v>
      </c>
    </row>
    <row r="1353" spans="1:24">
      <c r="A1353" t="s">
        <v>3025</v>
      </c>
      <c r="B1353" t="s">
        <v>295</v>
      </c>
      <c r="C1353" t="s">
        <v>40</v>
      </c>
      <c r="D1353" s="5">
        <v>25672</v>
      </c>
      <c r="E1353" s="5">
        <v>45875</v>
      </c>
      <c r="F1353" s="5">
        <v>45887</v>
      </c>
      <c r="G1353" t="s">
        <v>152</v>
      </c>
      <c r="H1353" t="s">
        <v>32</v>
      </c>
      <c r="I1353" t="s">
        <v>33</v>
      </c>
      <c r="J1353" t="s">
        <v>34</v>
      </c>
      <c r="K1353" t="s">
        <v>55</v>
      </c>
      <c r="L1353" s="6">
        <v>55137.279999999999</v>
      </c>
      <c r="M1353">
        <v>43872.13</v>
      </c>
      <c r="N1353" t="s">
        <v>73</v>
      </c>
      <c r="O1353">
        <v>12</v>
      </c>
      <c r="P1353">
        <v>121</v>
      </c>
      <c r="Q1353">
        <v>4</v>
      </c>
      <c r="R1353">
        <v>188</v>
      </c>
      <c r="S1353">
        <v>133.6</v>
      </c>
      <c r="T1353" t="s">
        <v>37</v>
      </c>
      <c r="U1353" s="7">
        <f t="shared" si="84"/>
        <v>55</v>
      </c>
      <c r="V1353" s="7">
        <f t="shared" si="87"/>
        <v>12</v>
      </c>
      <c r="W1353" s="6">
        <f t="shared" si="85"/>
        <v>11265.150000000001</v>
      </c>
      <c r="X1353" t="str">
        <f t="shared" si="86"/>
        <v>Middle Age</v>
      </c>
    </row>
    <row r="1354" spans="1:24">
      <c r="A1354" t="s">
        <v>4187</v>
      </c>
      <c r="B1354" t="s">
        <v>895</v>
      </c>
      <c r="C1354" t="s">
        <v>133</v>
      </c>
      <c r="D1354" s="5">
        <v>18812</v>
      </c>
      <c r="E1354" s="5">
        <v>44999</v>
      </c>
      <c r="F1354" s="5">
        <v>45015</v>
      </c>
      <c r="G1354" t="s">
        <v>43</v>
      </c>
      <c r="H1354" t="s">
        <v>134</v>
      </c>
      <c r="I1354" t="s">
        <v>79</v>
      </c>
      <c r="J1354" t="s">
        <v>64</v>
      </c>
      <c r="K1354" t="s">
        <v>27</v>
      </c>
      <c r="L1354" s="6">
        <v>191329.01</v>
      </c>
      <c r="M1354">
        <v>127157.66</v>
      </c>
      <c r="N1354" t="s">
        <v>56</v>
      </c>
      <c r="O1354">
        <v>16</v>
      </c>
      <c r="P1354">
        <v>43</v>
      </c>
      <c r="Q1354">
        <v>2</v>
      </c>
      <c r="R1354">
        <v>148</v>
      </c>
      <c r="S1354">
        <v>92.7</v>
      </c>
      <c r="T1354" t="s">
        <v>47</v>
      </c>
      <c r="U1354" s="7">
        <f t="shared" si="84"/>
        <v>71</v>
      </c>
      <c r="V1354" s="7">
        <f t="shared" si="87"/>
        <v>16</v>
      </c>
      <c r="W1354" s="6">
        <f t="shared" si="85"/>
        <v>64171.350000000006</v>
      </c>
      <c r="X1354" t="str">
        <f t="shared" si="86"/>
        <v>Senior</v>
      </c>
    </row>
    <row r="1355" spans="1:24">
      <c r="A1355" t="s">
        <v>3027</v>
      </c>
      <c r="B1355" t="s">
        <v>684</v>
      </c>
      <c r="C1355" t="s">
        <v>133</v>
      </c>
      <c r="D1355" s="5">
        <v>38879</v>
      </c>
      <c r="E1355" s="5">
        <v>46016</v>
      </c>
      <c r="F1355" s="5">
        <v>46266</v>
      </c>
      <c r="G1355" t="s">
        <v>43</v>
      </c>
      <c r="H1355" t="s">
        <v>32</v>
      </c>
      <c r="I1355" t="s">
        <v>45</v>
      </c>
      <c r="J1355" t="s">
        <v>46</v>
      </c>
      <c r="K1355" t="s">
        <v>27</v>
      </c>
      <c r="L1355" s="6">
        <v>183000.54</v>
      </c>
      <c r="M1355">
        <v>172264.23</v>
      </c>
      <c r="N1355" t="s">
        <v>192</v>
      </c>
      <c r="O1355">
        <v>15</v>
      </c>
      <c r="P1355">
        <v>199</v>
      </c>
      <c r="Q1355">
        <v>2</v>
      </c>
      <c r="R1355">
        <v>185</v>
      </c>
      <c r="S1355">
        <v>80.5</v>
      </c>
      <c r="T1355" t="s">
        <v>37</v>
      </c>
      <c r="U1355" s="7">
        <f t="shared" si="84"/>
        <v>19</v>
      </c>
      <c r="V1355" s="7">
        <f t="shared" si="87"/>
        <v>250</v>
      </c>
      <c r="W1355" s="6">
        <f t="shared" si="85"/>
        <v>10736.309999999998</v>
      </c>
      <c r="X1355" t="str">
        <f t="shared" si="86"/>
        <v>Adult</v>
      </c>
    </row>
    <row r="1356" spans="1:24">
      <c r="A1356" t="s">
        <v>3030</v>
      </c>
      <c r="B1356" t="s">
        <v>1065</v>
      </c>
      <c r="C1356" t="s">
        <v>133</v>
      </c>
      <c r="D1356" s="5">
        <v>32863</v>
      </c>
      <c r="E1356" s="5">
        <v>45346</v>
      </c>
      <c r="F1356" s="5">
        <v>45359</v>
      </c>
      <c r="G1356" t="s">
        <v>94</v>
      </c>
      <c r="H1356" t="s">
        <v>52</v>
      </c>
      <c r="I1356" t="s">
        <v>79</v>
      </c>
      <c r="J1356" t="s">
        <v>97</v>
      </c>
      <c r="K1356" t="s">
        <v>120</v>
      </c>
      <c r="L1356" s="6">
        <v>215506.72</v>
      </c>
      <c r="M1356">
        <v>98646.34</v>
      </c>
      <c r="N1356" t="s">
        <v>73</v>
      </c>
      <c r="O1356">
        <v>13</v>
      </c>
      <c r="P1356">
        <v>183</v>
      </c>
      <c r="Q1356">
        <v>5</v>
      </c>
      <c r="R1356">
        <v>122</v>
      </c>
      <c r="S1356">
        <v>112.4</v>
      </c>
      <c r="T1356" t="s">
        <v>37</v>
      </c>
      <c r="U1356" s="7">
        <f t="shared" si="84"/>
        <v>34</v>
      </c>
      <c r="V1356" s="7">
        <f t="shared" si="87"/>
        <v>13</v>
      </c>
      <c r="W1356" s="6">
        <f t="shared" si="85"/>
        <v>116860.38</v>
      </c>
      <c r="X1356" t="str">
        <f t="shared" si="86"/>
        <v>Adult</v>
      </c>
    </row>
    <row r="1357" spans="1:24">
      <c r="A1357" t="s">
        <v>4188</v>
      </c>
      <c r="B1357" t="s">
        <v>796</v>
      </c>
      <c r="C1357" t="s">
        <v>133</v>
      </c>
      <c r="D1357" s="5">
        <v>26606</v>
      </c>
      <c r="E1357" s="5">
        <v>45723</v>
      </c>
      <c r="F1357" s="5" t="s">
        <v>4237</v>
      </c>
      <c r="G1357" t="s">
        <v>89</v>
      </c>
      <c r="H1357" t="s">
        <v>32</v>
      </c>
      <c r="I1357" t="s">
        <v>25</v>
      </c>
      <c r="J1357" t="s">
        <v>71</v>
      </c>
      <c r="K1357" t="s">
        <v>27</v>
      </c>
      <c r="L1357" s="6">
        <v>210220.77</v>
      </c>
      <c r="M1357">
        <v>138574.47</v>
      </c>
      <c r="N1357" t="s">
        <v>35</v>
      </c>
      <c r="O1357">
        <v>9</v>
      </c>
      <c r="P1357">
        <v>57</v>
      </c>
      <c r="Q1357">
        <v>5</v>
      </c>
      <c r="R1357">
        <v>187</v>
      </c>
      <c r="S1357">
        <v>234.1</v>
      </c>
      <c r="T1357" t="s">
        <v>47</v>
      </c>
      <c r="U1357" s="7">
        <f t="shared" si="84"/>
        <v>52</v>
      </c>
      <c r="V1357" s="7" t="s">
        <v>4237</v>
      </c>
      <c r="W1357" s="6">
        <f t="shared" si="85"/>
        <v>71646.299999999988</v>
      </c>
      <c r="X1357" t="str">
        <f t="shared" si="86"/>
        <v>Middle Age</v>
      </c>
    </row>
    <row r="1358" spans="1:24">
      <c r="A1358" t="s">
        <v>3032</v>
      </c>
      <c r="B1358" t="s">
        <v>611</v>
      </c>
      <c r="C1358" t="s">
        <v>40</v>
      </c>
      <c r="D1358" s="5">
        <v>34345</v>
      </c>
      <c r="E1358" s="5">
        <v>45665</v>
      </c>
      <c r="F1358" s="5">
        <v>45675</v>
      </c>
      <c r="G1358" t="s">
        <v>117</v>
      </c>
      <c r="H1358" t="s">
        <v>153</v>
      </c>
      <c r="I1358" t="s">
        <v>25</v>
      </c>
      <c r="J1358" t="s">
        <v>34</v>
      </c>
      <c r="K1358" t="s">
        <v>161</v>
      </c>
      <c r="L1358" s="6">
        <v>24570.01</v>
      </c>
      <c r="M1358">
        <v>22310.02</v>
      </c>
      <c r="N1358" t="s">
        <v>73</v>
      </c>
      <c r="O1358">
        <v>10</v>
      </c>
      <c r="P1358">
        <v>240</v>
      </c>
      <c r="Q1358">
        <v>4</v>
      </c>
      <c r="R1358">
        <v>167</v>
      </c>
      <c r="S1358">
        <v>215.5</v>
      </c>
      <c r="T1358" t="s">
        <v>37</v>
      </c>
      <c r="U1358" s="7">
        <f t="shared" si="84"/>
        <v>30</v>
      </c>
      <c r="V1358" s="7">
        <f t="shared" si="87"/>
        <v>10</v>
      </c>
      <c r="W1358" s="6">
        <f t="shared" si="85"/>
        <v>2259.989999999998</v>
      </c>
      <c r="X1358" t="str">
        <f t="shared" si="86"/>
        <v>Adult</v>
      </c>
    </row>
    <row r="1359" spans="1:24">
      <c r="A1359" t="s">
        <v>3033</v>
      </c>
      <c r="B1359" t="s">
        <v>438</v>
      </c>
      <c r="C1359" t="s">
        <v>133</v>
      </c>
      <c r="D1359" s="5">
        <v>30231</v>
      </c>
      <c r="E1359" s="5">
        <v>45891</v>
      </c>
      <c r="F1359" s="5">
        <v>45900</v>
      </c>
      <c r="G1359" t="s">
        <v>62</v>
      </c>
      <c r="H1359" t="s">
        <v>52</v>
      </c>
      <c r="I1359" t="s">
        <v>45</v>
      </c>
      <c r="J1359" t="s">
        <v>34</v>
      </c>
      <c r="K1359" t="s">
        <v>161</v>
      </c>
      <c r="L1359" s="6">
        <v>190066.55</v>
      </c>
      <c r="M1359">
        <v>134476.72</v>
      </c>
      <c r="N1359" t="s">
        <v>73</v>
      </c>
      <c r="O1359">
        <v>9</v>
      </c>
      <c r="P1359">
        <v>97</v>
      </c>
      <c r="Q1359">
        <v>4</v>
      </c>
      <c r="R1359">
        <v>151</v>
      </c>
      <c r="S1359">
        <v>85.9</v>
      </c>
      <c r="T1359" t="s">
        <v>47</v>
      </c>
      <c r="U1359" s="7">
        <f t="shared" si="84"/>
        <v>42</v>
      </c>
      <c r="V1359" s="7">
        <f t="shared" si="87"/>
        <v>9</v>
      </c>
      <c r="W1359" s="6">
        <f t="shared" si="85"/>
        <v>55589.829999999987</v>
      </c>
      <c r="X1359" t="str">
        <f t="shared" si="86"/>
        <v>Middle Age</v>
      </c>
    </row>
    <row r="1360" spans="1:24">
      <c r="A1360" t="s">
        <v>3035</v>
      </c>
      <c r="B1360" t="s">
        <v>3036</v>
      </c>
      <c r="C1360" t="s">
        <v>133</v>
      </c>
      <c r="D1360" s="5">
        <v>32207</v>
      </c>
      <c r="E1360" s="5">
        <v>45377</v>
      </c>
      <c r="F1360" s="5">
        <v>45389</v>
      </c>
      <c r="G1360" t="s">
        <v>62</v>
      </c>
      <c r="H1360" t="s">
        <v>153</v>
      </c>
      <c r="I1360" t="s">
        <v>119</v>
      </c>
      <c r="J1360" t="s">
        <v>64</v>
      </c>
      <c r="K1360" t="s">
        <v>110</v>
      </c>
      <c r="L1360" s="6">
        <v>123835.93</v>
      </c>
      <c r="M1360">
        <v>118992.45</v>
      </c>
      <c r="N1360" t="s">
        <v>192</v>
      </c>
      <c r="O1360">
        <v>12</v>
      </c>
      <c r="P1360">
        <v>234</v>
      </c>
      <c r="Q1360">
        <v>4</v>
      </c>
      <c r="R1360">
        <v>114</v>
      </c>
      <c r="S1360">
        <v>71.099999999999994</v>
      </c>
      <c r="T1360" t="s">
        <v>4237</v>
      </c>
      <c r="U1360" s="7">
        <f t="shared" si="84"/>
        <v>36</v>
      </c>
      <c r="V1360" s="7">
        <f t="shared" si="87"/>
        <v>12</v>
      </c>
      <c r="W1360" s="6">
        <f t="shared" si="85"/>
        <v>4843.4799999999959</v>
      </c>
      <c r="X1360" t="str">
        <f t="shared" si="86"/>
        <v>Adult</v>
      </c>
    </row>
    <row r="1361" spans="1:24">
      <c r="A1361" t="s">
        <v>3037</v>
      </c>
      <c r="B1361" t="s">
        <v>171</v>
      </c>
      <c r="C1361" t="s">
        <v>40</v>
      </c>
      <c r="D1361" s="5">
        <v>35167</v>
      </c>
      <c r="E1361" s="5" t="s">
        <v>4237</v>
      </c>
      <c r="F1361" s="5">
        <v>45776</v>
      </c>
      <c r="G1361" t="s">
        <v>62</v>
      </c>
      <c r="H1361" t="s">
        <v>134</v>
      </c>
      <c r="I1361" t="s">
        <v>96</v>
      </c>
      <c r="J1361" t="s">
        <v>34</v>
      </c>
      <c r="K1361" t="s">
        <v>120</v>
      </c>
      <c r="L1361" s="6">
        <v>68355.45</v>
      </c>
      <c r="M1361">
        <v>61709.01</v>
      </c>
      <c r="N1361" t="s">
        <v>91</v>
      </c>
      <c r="O1361">
        <v>10</v>
      </c>
      <c r="P1361">
        <v>87</v>
      </c>
      <c r="Q1361">
        <v>1</v>
      </c>
      <c r="R1361">
        <v>148</v>
      </c>
      <c r="S1361">
        <v>200</v>
      </c>
      <c r="T1361" t="s">
        <v>37</v>
      </c>
      <c r="U1361" s="7" t="s">
        <v>4237</v>
      </c>
      <c r="V1361" s="7" t="s">
        <v>4237</v>
      </c>
      <c r="W1361" s="6">
        <f t="shared" si="85"/>
        <v>6646.4399999999951</v>
      </c>
      <c r="X1361" t="s">
        <v>4237</v>
      </c>
    </row>
    <row r="1362" spans="1:24">
      <c r="A1362" t="s">
        <v>3039</v>
      </c>
      <c r="B1362" t="s">
        <v>689</v>
      </c>
      <c r="C1362" t="s">
        <v>133</v>
      </c>
      <c r="D1362" s="5">
        <v>37432</v>
      </c>
      <c r="E1362" s="5">
        <v>44979</v>
      </c>
      <c r="F1362" s="5">
        <v>44990</v>
      </c>
      <c r="G1362" t="s">
        <v>152</v>
      </c>
      <c r="H1362" t="s">
        <v>24</v>
      </c>
      <c r="I1362" t="s">
        <v>119</v>
      </c>
      <c r="J1362" t="s">
        <v>64</v>
      </c>
      <c r="K1362" t="s">
        <v>161</v>
      </c>
      <c r="L1362" s="6">
        <v>5108.01</v>
      </c>
      <c r="M1362">
        <v>4436.84</v>
      </c>
      <c r="N1362" t="s">
        <v>4237</v>
      </c>
      <c r="O1362">
        <v>11</v>
      </c>
      <c r="P1362">
        <v>169</v>
      </c>
      <c r="Q1362">
        <v>4</v>
      </c>
      <c r="R1362">
        <v>177</v>
      </c>
      <c r="S1362">
        <v>226.5</v>
      </c>
      <c r="T1362" t="s">
        <v>37</v>
      </c>
      <c r="U1362" s="7">
        <f t="shared" si="84"/>
        <v>20</v>
      </c>
      <c r="V1362" s="7">
        <f t="shared" si="87"/>
        <v>11</v>
      </c>
      <c r="W1362" s="6">
        <f t="shared" si="85"/>
        <v>671.17000000000007</v>
      </c>
      <c r="X1362" t="str">
        <f t="shared" si="86"/>
        <v>Adult</v>
      </c>
    </row>
    <row r="1363" spans="1:24">
      <c r="A1363" t="s">
        <v>3040</v>
      </c>
      <c r="B1363" t="s">
        <v>864</v>
      </c>
      <c r="C1363" t="s">
        <v>40</v>
      </c>
      <c r="D1363" s="5">
        <v>23840</v>
      </c>
      <c r="E1363" s="5">
        <v>45542</v>
      </c>
      <c r="F1363" s="5">
        <v>45557</v>
      </c>
      <c r="G1363" t="s">
        <v>161</v>
      </c>
      <c r="H1363" t="s">
        <v>134</v>
      </c>
      <c r="I1363" t="s">
        <v>79</v>
      </c>
      <c r="J1363" t="s">
        <v>80</v>
      </c>
      <c r="K1363" t="s">
        <v>110</v>
      </c>
      <c r="L1363" s="6">
        <v>51661.599999999999</v>
      </c>
      <c r="M1363">
        <v>42852.77</v>
      </c>
      <c r="N1363" t="s">
        <v>192</v>
      </c>
      <c r="O1363">
        <v>15</v>
      </c>
      <c r="P1363">
        <v>225</v>
      </c>
      <c r="Q1363">
        <v>3</v>
      </c>
      <c r="R1363">
        <v>109</v>
      </c>
      <c r="S1363">
        <v>220.7</v>
      </c>
      <c r="T1363" t="s">
        <v>4237</v>
      </c>
      <c r="U1363" s="7">
        <f t="shared" si="84"/>
        <v>59</v>
      </c>
      <c r="V1363" s="7">
        <f t="shared" si="87"/>
        <v>15</v>
      </c>
      <c r="W1363" s="6">
        <f t="shared" si="85"/>
        <v>8808.8300000000017</v>
      </c>
      <c r="X1363" t="str">
        <f t="shared" si="86"/>
        <v>Middle Age</v>
      </c>
    </row>
    <row r="1364" spans="1:24">
      <c r="A1364" t="s">
        <v>3042</v>
      </c>
      <c r="B1364" t="s">
        <v>1001</v>
      </c>
      <c r="C1364" t="s">
        <v>40</v>
      </c>
      <c r="D1364" s="5">
        <v>21966</v>
      </c>
      <c r="E1364" s="5">
        <v>45520</v>
      </c>
      <c r="F1364" s="5">
        <v>45521</v>
      </c>
      <c r="G1364" t="s">
        <v>152</v>
      </c>
      <c r="H1364" t="s">
        <v>124</v>
      </c>
      <c r="I1364" t="s">
        <v>96</v>
      </c>
      <c r="J1364" t="s">
        <v>34</v>
      </c>
      <c r="K1364" t="s">
        <v>55</v>
      </c>
      <c r="L1364" s="6">
        <v>34814.660000000003</v>
      </c>
      <c r="M1364">
        <v>23413.9</v>
      </c>
      <c r="N1364" t="s">
        <v>73</v>
      </c>
      <c r="O1364">
        <v>1</v>
      </c>
      <c r="P1364">
        <v>127</v>
      </c>
      <c r="Q1364">
        <v>4</v>
      </c>
      <c r="R1364">
        <v>110</v>
      </c>
      <c r="S1364">
        <v>183.1</v>
      </c>
      <c r="T1364" t="s">
        <v>65</v>
      </c>
      <c r="U1364" s="7">
        <f t="shared" si="84"/>
        <v>64</v>
      </c>
      <c r="V1364" s="7">
        <f t="shared" si="87"/>
        <v>1</v>
      </c>
      <c r="W1364" s="6">
        <f t="shared" si="85"/>
        <v>11400.760000000002</v>
      </c>
      <c r="X1364" t="str">
        <f t="shared" si="86"/>
        <v>Senior</v>
      </c>
    </row>
    <row r="1365" spans="1:24">
      <c r="A1365" t="s">
        <v>3043</v>
      </c>
      <c r="B1365" t="s">
        <v>545</v>
      </c>
      <c r="C1365" t="s">
        <v>133</v>
      </c>
      <c r="D1365" s="5">
        <v>29928</v>
      </c>
      <c r="E1365" s="5">
        <v>45723</v>
      </c>
      <c r="F1365" s="5">
        <v>45737</v>
      </c>
      <c r="G1365" t="s">
        <v>117</v>
      </c>
      <c r="H1365" t="s">
        <v>32</v>
      </c>
      <c r="I1365" t="s">
        <v>119</v>
      </c>
      <c r="J1365" t="s">
        <v>64</v>
      </c>
      <c r="K1365" t="s">
        <v>27</v>
      </c>
      <c r="L1365" s="6">
        <v>113974.15</v>
      </c>
      <c r="M1365">
        <v>97081.99</v>
      </c>
      <c r="N1365" t="s">
        <v>73</v>
      </c>
      <c r="O1365">
        <v>14</v>
      </c>
      <c r="P1365">
        <v>157</v>
      </c>
      <c r="Q1365">
        <v>5</v>
      </c>
      <c r="R1365">
        <v>173</v>
      </c>
      <c r="S1365">
        <v>235.7</v>
      </c>
      <c r="T1365" t="s">
        <v>37</v>
      </c>
      <c r="U1365" s="7">
        <f t="shared" si="84"/>
        <v>43</v>
      </c>
      <c r="V1365" s="7">
        <f t="shared" si="87"/>
        <v>14</v>
      </c>
      <c r="W1365" s="6">
        <f t="shared" si="85"/>
        <v>16892.159999999989</v>
      </c>
      <c r="X1365" t="str">
        <f t="shared" si="86"/>
        <v>Middle Age</v>
      </c>
    </row>
    <row r="1366" spans="1:24">
      <c r="A1366" t="s">
        <v>3045</v>
      </c>
      <c r="B1366" t="s">
        <v>1509</v>
      </c>
      <c r="C1366" t="s">
        <v>40</v>
      </c>
      <c r="D1366" s="5">
        <v>25638</v>
      </c>
      <c r="E1366" s="5">
        <v>45907</v>
      </c>
      <c r="F1366" s="5">
        <v>45916</v>
      </c>
      <c r="G1366" t="s">
        <v>77</v>
      </c>
      <c r="H1366" t="s">
        <v>44</v>
      </c>
      <c r="I1366" t="s">
        <v>45</v>
      </c>
      <c r="J1366" t="s">
        <v>34</v>
      </c>
      <c r="K1366" t="s">
        <v>120</v>
      </c>
      <c r="L1366" s="6">
        <v>160951.98000000001</v>
      </c>
      <c r="M1366">
        <v>119503.78</v>
      </c>
      <c r="N1366" t="s">
        <v>192</v>
      </c>
      <c r="O1366">
        <v>9</v>
      </c>
      <c r="P1366">
        <v>134</v>
      </c>
      <c r="Q1366">
        <v>5</v>
      </c>
      <c r="R1366">
        <v>155</v>
      </c>
      <c r="S1366">
        <v>156.5</v>
      </c>
      <c r="T1366" t="s">
        <v>65</v>
      </c>
      <c r="U1366" s="7">
        <f t="shared" si="84"/>
        <v>55</v>
      </c>
      <c r="V1366" s="7">
        <f t="shared" si="87"/>
        <v>9</v>
      </c>
      <c r="W1366" s="6">
        <f t="shared" si="85"/>
        <v>41448.200000000012</v>
      </c>
      <c r="X1366" t="str">
        <f t="shared" si="86"/>
        <v>Middle Age</v>
      </c>
    </row>
    <row r="1367" spans="1:24">
      <c r="A1367" t="s">
        <v>3048</v>
      </c>
      <c r="B1367" t="s">
        <v>472</v>
      </c>
      <c r="C1367" t="s">
        <v>40</v>
      </c>
      <c r="D1367" s="5">
        <v>21525</v>
      </c>
      <c r="E1367" s="5">
        <v>45009</v>
      </c>
      <c r="F1367" s="5">
        <v>45010</v>
      </c>
      <c r="G1367" t="s">
        <v>105</v>
      </c>
      <c r="H1367" t="s">
        <v>118</v>
      </c>
      <c r="I1367" t="s">
        <v>25</v>
      </c>
      <c r="J1367" t="s">
        <v>46</v>
      </c>
      <c r="K1367" t="s">
        <v>120</v>
      </c>
      <c r="L1367" s="6">
        <v>73446.509999999995</v>
      </c>
      <c r="M1367">
        <v>45822.84</v>
      </c>
      <c r="N1367" t="s">
        <v>35</v>
      </c>
      <c r="O1367">
        <v>1</v>
      </c>
      <c r="P1367">
        <v>63</v>
      </c>
      <c r="Q1367">
        <v>4</v>
      </c>
      <c r="R1367">
        <v>131</v>
      </c>
      <c r="S1367">
        <v>174.6</v>
      </c>
      <c r="T1367" t="s">
        <v>65</v>
      </c>
      <c r="U1367" s="7">
        <f t="shared" si="84"/>
        <v>64</v>
      </c>
      <c r="V1367" s="7">
        <f t="shared" si="87"/>
        <v>1</v>
      </c>
      <c r="W1367" s="6">
        <f t="shared" si="85"/>
        <v>27623.67</v>
      </c>
      <c r="X1367" t="str">
        <f t="shared" si="86"/>
        <v>Senior</v>
      </c>
    </row>
    <row r="1368" spans="1:24">
      <c r="A1368" t="s">
        <v>3051</v>
      </c>
      <c r="B1368" t="s">
        <v>624</v>
      </c>
      <c r="C1368" t="s">
        <v>40</v>
      </c>
      <c r="D1368" s="5">
        <v>23411</v>
      </c>
      <c r="E1368" s="5">
        <v>45759</v>
      </c>
      <c r="F1368" s="5" t="s">
        <v>4237</v>
      </c>
      <c r="G1368" t="s">
        <v>105</v>
      </c>
      <c r="H1368" t="s">
        <v>78</v>
      </c>
      <c r="I1368" t="s">
        <v>45</v>
      </c>
      <c r="J1368" t="s">
        <v>46</v>
      </c>
      <c r="K1368" t="s">
        <v>120</v>
      </c>
      <c r="L1368" s="6">
        <v>154101.72</v>
      </c>
      <c r="M1368">
        <v>116258.04</v>
      </c>
      <c r="N1368" t="s">
        <v>192</v>
      </c>
      <c r="O1368">
        <v>11</v>
      </c>
      <c r="P1368">
        <v>237</v>
      </c>
      <c r="Q1368">
        <v>4</v>
      </c>
      <c r="R1368">
        <v>92</v>
      </c>
      <c r="S1368">
        <v>178.4</v>
      </c>
      <c r="T1368" t="s">
        <v>47</v>
      </c>
      <c r="U1368" s="7">
        <f t="shared" si="84"/>
        <v>61</v>
      </c>
      <c r="V1368" s="7" t="s">
        <v>4237</v>
      </c>
      <c r="W1368" s="6">
        <f t="shared" si="85"/>
        <v>37843.680000000008</v>
      </c>
      <c r="X1368" t="str">
        <f t="shared" si="86"/>
        <v>Senior</v>
      </c>
    </row>
    <row r="1369" spans="1:24">
      <c r="A1369" t="s">
        <v>3055</v>
      </c>
      <c r="B1369" t="s">
        <v>280</v>
      </c>
      <c r="C1369" t="s">
        <v>40</v>
      </c>
      <c r="D1369" s="5">
        <v>38176</v>
      </c>
      <c r="E1369" s="5">
        <v>45024</v>
      </c>
      <c r="F1369" s="5" t="s">
        <v>4237</v>
      </c>
      <c r="G1369" t="s">
        <v>117</v>
      </c>
      <c r="H1369" t="s">
        <v>113</v>
      </c>
      <c r="I1369" t="s">
        <v>45</v>
      </c>
      <c r="J1369" t="s">
        <v>34</v>
      </c>
      <c r="K1369" t="s">
        <v>55</v>
      </c>
      <c r="L1369" s="6">
        <v>211772.05</v>
      </c>
      <c r="M1369">
        <v>142471.6</v>
      </c>
      <c r="N1369" t="s">
        <v>35</v>
      </c>
      <c r="O1369">
        <v>16</v>
      </c>
      <c r="P1369">
        <v>132</v>
      </c>
      <c r="Q1369">
        <v>4</v>
      </c>
      <c r="R1369">
        <v>154</v>
      </c>
      <c r="S1369">
        <v>224</v>
      </c>
      <c r="T1369" t="s">
        <v>65</v>
      </c>
      <c r="U1369" s="7">
        <f t="shared" si="84"/>
        <v>18</v>
      </c>
      <c r="V1369" s="7" t="s">
        <v>4237</v>
      </c>
      <c r="W1369" s="6">
        <f t="shared" si="85"/>
        <v>69300.449999999983</v>
      </c>
      <c r="X1369" t="str">
        <f t="shared" si="86"/>
        <v>Adult</v>
      </c>
    </row>
    <row r="1370" spans="1:24">
      <c r="A1370" t="s">
        <v>3057</v>
      </c>
      <c r="B1370" t="s">
        <v>3110</v>
      </c>
      <c r="C1370" t="s">
        <v>40</v>
      </c>
      <c r="D1370" s="5">
        <v>18860</v>
      </c>
      <c r="E1370" s="5">
        <v>45400</v>
      </c>
      <c r="F1370" s="5">
        <v>45406</v>
      </c>
      <c r="G1370" t="s">
        <v>62</v>
      </c>
      <c r="H1370" t="s">
        <v>134</v>
      </c>
      <c r="I1370" t="s">
        <v>119</v>
      </c>
      <c r="J1370" t="s">
        <v>97</v>
      </c>
      <c r="K1370" t="s">
        <v>120</v>
      </c>
      <c r="L1370" s="6">
        <v>113538.17</v>
      </c>
      <c r="M1370">
        <v>91249.44</v>
      </c>
      <c r="N1370" t="s">
        <v>73</v>
      </c>
      <c r="O1370">
        <v>6</v>
      </c>
      <c r="P1370">
        <v>103</v>
      </c>
      <c r="Q1370">
        <v>4</v>
      </c>
      <c r="R1370">
        <v>92</v>
      </c>
      <c r="S1370">
        <v>133.19999999999999</v>
      </c>
      <c r="T1370" t="s">
        <v>65</v>
      </c>
      <c r="U1370" s="7">
        <f t="shared" si="84"/>
        <v>72</v>
      </c>
      <c r="V1370" s="7">
        <f t="shared" si="87"/>
        <v>6</v>
      </c>
      <c r="W1370" s="6">
        <f t="shared" si="85"/>
        <v>22288.729999999996</v>
      </c>
      <c r="X1370" t="str">
        <f t="shared" si="86"/>
        <v>Senior</v>
      </c>
    </row>
    <row r="1371" spans="1:24">
      <c r="A1371" t="s">
        <v>3061</v>
      </c>
      <c r="B1371" t="s">
        <v>173</v>
      </c>
      <c r="C1371" t="s">
        <v>40</v>
      </c>
      <c r="D1371" s="5">
        <v>31101</v>
      </c>
      <c r="E1371" s="5">
        <v>45869</v>
      </c>
      <c r="F1371" s="5">
        <v>45871</v>
      </c>
      <c r="G1371" t="s">
        <v>152</v>
      </c>
      <c r="H1371" t="s">
        <v>95</v>
      </c>
      <c r="I1371" t="s">
        <v>96</v>
      </c>
      <c r="J1371" t="s">
        <v>179</v>
      </c>
      <c r="K1371" t="s">
        <v>120</v>
      </c>
      <c r="L1371" s="6">
        <v>124973.93</v>
      </c>
      <c r="M1371">
        <v>84411.51</v>
      </c>
      <c r="N1371" t="s">
        <v>192</v>
      </c>
      <c r="O1371">
        <v>2</v>
      </c>
      <c r="P1371">
        <v>56</v>
      </c>
      <c r="Q1371">
        <v>4</v>
      </c>
      <c r="R1371">
        <v>90</v>
      </c>
      <c r="S1371">
        <v>139.30000000000001</v>
      </c>
      <c r="T1371" t="s">
        <v>4237</v>
      </c>
      <c r="U1371" s="7">
        <f t="shared" si="84"/>
        <v>40</v>
      </c>
      <c r="V1371" s="7">
        <f t="shared" si="87"/>
        <v>2</v>
      </c>
      <c r="W1371" s="6">
        <f t="shared" si="85"/>
        <v>40562.42</v>
      </c>
      <c r="X1371" t="str">
        <f t="shared" si="86"/>
        <v>Middle Age</v>
      </c>
    </row>
    <row r="1372" spans="1:24">
      <c r="A1372" t="s">
        <v>3063</v>
      </c>
      <c r="B1372" t="s">
        <v>607</v>
      </c>
      <c r="C1372" t="s">
        <v>40</v>
      </c>
      <c r="D1372" s="5">
        <v>38000</v>
      </c>
      <c r="E1372" s="5">
        <v>45777</v>
      </c>
      <c r="F1372" s="5">
        <v>45792</v>
      </c>
      <c r="G1372" t="s">
        <v>94</v>
      </c>
      <c r="H1372" t="s">
        <v>124</v>
      </c>
      <c r="I1372" t="s">
        <v>33</v>
      </c>
      <c r="J1372" t="s">
        <v>46</v>
      </c>
      <c r="K1372" t="s">
        <v>27</v>
      </c>
      <c r="L1372" s="6">
        <v>98561.34</v>
      </c>
      <c r="M1372">
        <v>85338.07</v>
      </c>
      <c r="N1372" t="s">
        <v>73</v>
      </c>
      <c r="O1372">
        <v>15</v>
      </c>
      <c r="P1372">
        <v>205</v>
      </c>
      <c r="Q1372">
        <v>1</v>
      </c>
      <c r="R1372">
        <v>113</v>
      </c>
      <c r="S1372">
        <v>161.9</v>
      </c>
      <c r="T1372" t="s">
        <v>37</v>
      </c>
      <c r="U1372" s="7">
        <f t="shared" si="84"/>
        <v>21</v>
      </c>
      <c r="V1372" s="7">
        <f t="shared" si="87"/>
        <v>15</v>
      </c>
      <c r="W1372" s="6">
        <f t="shared" si="85"/>
        <v>13223.26999999999</v>
      </c>
      <c r="X1372" t="str">
        <f t="shared" si="86"/>
        <v>Adult</v>
      </c>
    </row>
    <row r="1373" spans="1:24">
      <c r="A1373" t="s">
        <v>3064</v>
      </c>
      <c r="B1373" t="s">
        <v>511</v>
      </c>
      <c r="C1373" t="s">
        <v>40</v>
      </c>
      <c r="D1373" s="5">
        <v>18467</v>
      </c>
      <c r="E1373" s="5">
        <v>45320</v>
      </c>
      <c r="F1373" s="5" t="s">
        <v>4237</v>
      </c>
      <c r="G1373" t="s">
        <v>89</v>
      </c>
      <c r="H1373" t="s">
        <v>63</v>
      </c>
      <c r="I1373" t="s">
        <v>45</v>
      </c>
      <c r="J1373" t="s">
        <v>179</v>
      </c>
      <c r="K1373" t="s">
        <v>55</v>
      </c>
      <c r="L1373" s="6">
        <v>103479.27</v>
      </c>
      <c r="M1373">
        <v>93652.93</v>
      </c>
      <c r="N1373" t="s">
        <v>73</v>
      </c>
      <c r="O1373">
        <v>2</v>
      </c>
      <c r="P1373">
        <v>133</v>
      </c>
      <c r="Q1373">
        <v>4</v>
      </c>
      <c r="R1373">
        <v>144</v>
      </c>
      <c r="S1373">
        <v>217.9</v>
      </c>
      <c r="T1373" t="s">
        <v>37</v>
      </c>
      <c r="U1373" s="7">
        <f t="shared" si="84"/>
        <v>73</v>
      </c>
      <c r="V1373" s="7" t="s">
        <v>4237</v>
      </c>
      <c r="W1373" s="6">
        <f t="shared" si="85"/>
        <v>9826.3400000000111</v>
      </c>
      <c r="X1373" t="str">
        <f t="shared" si="86"/>
        <v>Senior</v>
      </c>
    </row>
    <row r="1374" spans="1:24">
      <c r="A1374" t="s">
        <v>3066</v>
      </c>
      <c r="B1374" t="s">
        <v>684</v>
      </c>
      <c r="C1374" t="s">
        <v>40</v>
      </c>
      <c r="D1374" s="5">
        <v>36640</v>
      </c>
      <c r="E1374" s="5">
        <v>45596</v>
      </c>
      <c r="F1374" s="5">
        <v>45606</v>
      </c>
      <c r="G1374" t="s">
        <v>152</v>
      </c>
      <c r="H1374" t="s">
        <v>63</v>
      </c>
      <c r="I1374" t="s">
        <v>33</v>
      </c>
      <c r="J1374" t="s">
        <v>34</v>
      </c>
      <c r="K1374" t="s">
        <v>55</v>
      </c>
      <c r="L1374" s="6">
        <v>225300.26</v>
      </c>
      <c r="M1374">
        <v>181622.98</v>
      </c>
      <c r="N1374" t="s">
        <v>73</v>
      </c>
      <c r="O1374">
        <v>10</v>
      </c>
      <c r="P1374">
        <v>8</v>
      </c>
      <c r="Q1374">
        <v>5</v>
      </c>
      <c r="R1374">
        <v>95</v>
      </c>
      <c r="S1374">
        <v>104</v>
      </c>
      <c r="T1374" t="s">
        <v>4237</v>
      </c>
      <c r="U1374" s="7">
        <f t="shared" si="84"/>
        <v>24</v>
      </c>
      <c r="V1374" s="7">
        <f t="shared" si="87"/>
        <v>10</v>
      </c>
      <c r="W1374" s="6">
        <f t="shared" si="85"/>
        <v>43677.279999999999</v>
      </c>
      <c r="X1374" t="str">
        <f t="shared" si="86"/>
        <v>Adult</v>
      </c>
    </row>
    <row r="1375" spans="1:24">
      <c r="A1375" t="s">
        <v>3067</v>
      </c>
      <c r="B1375" t="s">
        <v>2249</v>
      </c>
      <c r="C1375" t="s">
        <v>40</v>
      </c>
      <c r="D1375" s="5">
        <v>18697</v>
      </c>
      <c r="E1375" s="5">
        <v>45160</v>
      </c>
      <c r="F1375" s="5">
        <v>45161</v>
      </c>
      <c r="G1375" t="s">
        <v>161</v>
      </c>
      <c r="H1375" t="s">
        <v>63</v>
      </c>
      <c r="I1375" t="s">
        <v>25</v>
      </c>
      <c r="J1375" t="s">
        <v>34</v>
      </c>
      <c r="K1375" t="s">
        <v>55</v>
      </c>
      <c r="L1375" s="6">
        <v>184447.74</v>
      </c>
      <c r="M1375">
        <v>161199.22</v>
      </c>
      <c r="N1375" t="s">
        <v>73</v>
      </c>
      <c r="O1375">
        <v>1</v>
      </c>
      <c r="P1375">
        <v>34</v>
      </c>
      <c r="Q1375">
        <v>4</v>
      </c>
      <c r="R1375">
        <v>141</v>
      </c>
      <c r="S1375">
        <v>72.599999999999994</v>
      </c>
      <c r="T1375" t="s">
        <v>4237</v>
      </c>
      <c r="U1375" s="7">
        <f t="shared" si="84"/>
        <v>72</v>
      </c>
      <c r="V1375" s="7">
        <f t="shared" si="87"/>
        <v>1</v>
      </c>
      <c r="W1375" s="6">
        <f t="shared" si="85"/>
        <v>23248.51999999999</v>
      </c>
      <c r="X1375" t="str">
        <f t="shared" si="86"/>
        <v>Senior</v>
      </c>
    </row>
    <row r="1376" spans="1:24">
      <c r="A1376" t="s">
        <v>3069</v>
      </c>
      <c r="B1376" t="s">
        <v>992</v>
      </c>
      <c r="C1376" t="s">
        <v>40</v>
      </c>
      <c r="D1376" s="5">
        <v>18995</v>
      </c>
      <c r="E1376" s="5">
        <v>45565</v>
      </c>
      <c r="F1376" s="5">
        <v>45576</v>
      </c>
      <c r="G1376" t="s">
        <v>152</v>
      </c>
      <c r="H1376" t="s">
        <v>113</v>
      </c>
      <c r="I1376" t="s">
        <v>53</v>
      </c>
      <c r="J1376" t="s">
        <v>97</v>
      </c>
      <c r="K1376" t="s">
        <v>27</v>
      </c>
      <c r="L1376" s="6">
        <v>157482.82999999999</v>
      </c>
      <c r="M1376">
        <v>129425.9</v>
      </c>
      <c r="N1376" t="s">
        <v>56</v>
      </c>
      <c r="O1376">
        <v>11</v>
      </c>
      <c r="P1376">
        <v>233</v>
      </c>
      <c r="Q1376">
        <v>1</v>
      </c>
      <c r="R1376">
        <v>173</v>
      </c>
      <c r="S1376">
        <v>143</v>
      </c>
      <c r="T1376" t="s">
        <v>37</v>
      </c>
      <c r="U1376" s="7">
        <f t="shared" si="84"/>
        <v>72</v>
      </c>
      <c r="V1376" s="7">
        <f t="shared" si="87"/>
        <v>11</v>
      </c>
      <c r="W1376" s="6">
        <f t="shared" si="85"/>
        <v>28056.929999999993</v>
      </c>
      <c r="X1376" t="str">
        <f t="shared" si="86"/>
        <v>Senior</v>
      </c>
    </row>
    <row r="1377" spans="1:24">
      <c r="A1377" t="s">
        <v>3071</v>
      </c>
      <c r="B1377" t="s">
        <v>922</v>
      </c>
      <c r="C1377" t="s">
        <v>40</v>
      </c>
      <c r="D1377" s="5">
        <v>23202</v>
      </c>
      <c r="E1377" s="5">
        <v>45924</v>
      </c>
      <c r="F1377" s="5">
        <v>45929</v>
      </c>
      <c r="G1377" t="s">
        <v>109</v>
      </c>
      <c r="H1377" t="s">
        <v>63</v>
      </c>
      <c r="I1377" t="s">
        <v>119</v>
      </c>
      <c r="J1377" t="s">
        <v>64</v>
      </c>
      <c r="K1377" t="s">
        <v>161</v>
      </c>
      <c r="L1377" s="6">
        <v>229285.35</v>
      </c>
      <c r="M1377">
        <v>193827.28</v>
      </c>
      <c r="N1377" t="s">
        <v>192</v>
      </c>
      <c r="O1377">
        <v>5</v>
      </c>
      <c r="P1377">
        <v>139</v>
      </c>
      <c r="Q1377">
        <v>4</v>
      </c>
      <c r="R1377">
        <v>120</v>
      </c>
      <c r="S1377">
        <v>136.4</v>
      </c>
      <c r="T1377" t="s">
        <v>65</v>
      </c>
      <c r="U1377" s="7">
        <f t="shared" si="84"/>
        <v>62</v>
      </c>
      <c r="V1377" s="7">
        <f t="shared" si="87"/>
        <v>5</v>
      </c>
      <c r="W1377" s="6">
        <f t="shared" si="85"/>
        <v>35458.070000000007</v>
      </c>
      <c r="X1377" t="str">
        <f t="shared" si="86"/>
        <v>Senior</v>
      </c>
    </row>
    <row r="1378" spans="1:24">
      <c r="A1378" t="s">
        <v>3073</v>
      </c>
      <c r="B1378" t="s">
        <v>104</v>
      </c>
      <c r="C1378" t="s">
        <v>40</v>
      </c>
      <c r="D1378" s="5">
        <v>23307</v>
      </c>
      <c r="E1378" s="5">
        <v>44964</v>
      </c>
      <c r="F1378" s="5">
        <v>44973</v>
      </c>
      <c r="G1378" t="s">
        <v>161</v>
      </c>
      <c r="H1378" t="s">
        <v>153</v>
      </c>
      <c r="I1378" t="s">
        <v>79</v>
      </c>
      <c r="J1378" t="s">
        <v>34</v>
      </c>
      <c r="K1378" t="s">
        <v>27</v>
      </c>
      <c r="L1378" s="6">
        <v>158911.67000000001</v>
      </c>
      <c r="M1378">
        <v>116219.56</v>
      </c>
      <c r="N1378" t="s">
        <v>4237</v>
      </c>
      <c r="O1378">
        <v>9</v>
      </c>
      <c r="P1378">
        <v>7</v>
      </c>
      <c r="Q1378">
        <v>4</v>
      </c>
      <c r="R1378">
        <v>104</v>
      </c>
      <c r="S1378">
        <v>210.4</v>
      </c>
      <c r="T1378" t="s">
        <v>37</v>
      </c>
      <c r="U1378" s="7">
        <f t="shared" si="84"/>
        <v>59</v>
      </c>
      <c r="V1378" s="7">
        <f t="shared" si="87"/>
        <v>9</v>
      </c>
      <c r="W1378" s="6">
        <f t="shared" si="85"/>
        <v>42692.110000000015</v>
      </c>
      <c r="X1378" t="str">
        <f t="shared" si="86"/>
        <v>Middle Age</v>
      </c>
    </row>
    <row r="1379" spans="1:24">
      <c r="A1379" t="s">
        <v>3075</v>
      </c>
      <c r="B1379" t="s">
        <v>485</v>
      </c>
      <c r="C1379" t="s">
        <v>133</v>
      </c>
      <c r="D1379" s="5">
        <v>23699</v>
      </c>
      <c r="E1379" s="5">
        <v>45529</v>
      </c>
      <c r="F1379" s="5">
        <v>45542</v>
      </c>
      <c r="G1379" t="s">
        <v>152</v>
      </c>
      <c r="H1379" t="s">
        <v>124</v>
      </c>
      <c r="I1379" t="s">
        <v>33</v>
      </c>
      <c r="J1379" t="s">
        <v>46</v>
      </c>
      <c r="K1379" t="s">
        <v>27</v>
      </c>
      <c r="L1379" s="6">
        <v>16025.65</v>
      </c>
      <c r="M1379">
        <v>11809.77</v>
      </c>
      <c r="N1379" t="s">
        <v>35</v>
      </c>
      <c r="O1379">
        <v>13</v>
      </c>
      <c r="P1379">
        <v>71</v>
      </c>
      <c r="Q1379">
        <v>4</v>
      </c>
      <c r="R1379">
        <v>139</v>
      </c>
      <c r="S1379">
        <v>259.10000000000002</v>
      </c>
      <c r="T1379" t="s">
        <v>65</v>
      </c>
      <c r="U1379" s="7">
        <f t="shared" si="84"/>
        <v>59</v>
      </c>
      <c r="V1379" s="7">
        <f t="shared" si="87"/>
        <v>13</v>
      </c>
      <c r="W1379" s="6">
        <f t="shared" si="85"/>
        <v>4215.8799999999992</v>
      </c>
      <c r="X1379" t="str">
        <f t="shared" si="86"/>
        <v>Middle Age</v>
      </c>
    </row>
    <row r="1380" spans="1:24">
      <c r="A1380" t="s">
        <v>3076</v>
      </c>
      <c r="B1380" t="s">
        <v>684</v>
      </c>
      <c r="C1380" t="s">
        <v>40</v>
      </c>
      <c r="D1380" s="5">
        <v>36881</v>
      </c>
      <c r="E1380" s="5">
        <v>45559</v>
      </c>
      <c r="F1380" s="5">
        <v>45575</v>
      </c>
      <c r="G1380" t="s">
        <v>152</v>
      </c>
      <c r="H1380" t="s">
        <v>95</v>
      </c>
      <c r="I1380" t="s">
        <v>25</v>
      </c>
      <c r="J1380" t="s">
        <v>64</v>
      </c>
      <c r="K1380" t="s">
        <v>55</v>
      </c>
      <c r="L1380" s="6">
        <v>162771.71</v>
      </c>
      <c r="M1380">
        <v>136986.06</v>
      </c>
      <c r="N1380" t="s">
        <v>73</v>
      </c>
      <c r="O1380">
        <v>16</v>
      </c>
      <c r="P1380">
        <v>35</v>
      </c>
      <c r="Q1380">
        <v>4</v>
      </c>
      <c r="R1380">
        <v>119</v>
      </c>
      <c r="S1380">
        <v>193.9</v>
      </c>
      <c r="T1380" t="s">
        <v>37</v>
      </c>
      <c r="U1380" s="7">
        <f t="shared" si="84"/>
        <v>23</v>
      </c>
      <c r="V1380" s="7">
        <f t="shared" si="87"/>
        <v>16</v>
      </c>
      <c r="W1380" s="6">
        <f t="shared" si="85"/>
        <v>25785.649999999994</v>
      </c>
      <c r="X1380" t="str">
        <f t="shared" si="86"/>
        <v>Adult</v>
      </c>
    </row>
    <row r="1381" spans="1:24">
      <c r="A1381" t="s">
        <v>3078</v>
      </c>
      <c r="B1381" t="s">
        <v>524</v>
      </c>
      <c r="C1381" t="s">
        <v>133</v>
      </c>
      <c r="D1381" s="5">
        <v>25961</v>
      </c>
      <c r="E1381" s="5">
        <v>45469</v>
      </c>
      <c r="F1381" s="5">
        <v>45478</v>
      </c>
      <c r="G1381" t="s">
        <v>105</v>
      </c>
      <c r="H1381" t="s">
        <v>124</v>
      </c>
      <c r="I1381" t="s">
        <v>79</v>
      </c>
      <c r="J1381" t="s">
        <v>71</v>
      </c>
      <c r="K1381" t="s">
        <v>120</v>
      </c>
      <c r="L1381" s="6">
        <v>72772.399999999994</v>
      </c>
      <c r="M1381">
        <v>65834</v>
      </c>
      <c r="N1381" t="s">
        <v>56</v>
      </c>
      <c r="O1381">
        <v>9</v>
      </c>
      <c r="P1381">
        <v>133</v>
      </c>
      <c r="Q1381">
        <v>3</v>
      </c>
      <c r="R1381">
        <v>166</v>
      </c>
      <c r="S1381">
        <v>241.6</v>
      </c>
      <c r="T1381" t="s">
        <v>37</v>
      </c>
      <c r="U1381" s="7">
        <f t="shared" si="84"/>
        <v>53</v>
      </c>
      <c r="V1381" s="7">
        <f t="shared" si="87"/>
        <v>9</v>
      </c>
      <c r="W1381" s="6">
        <f t="shared" si="85"/>
        <v>6938.3999999999942</v>
      </c>
      <c r="X1381" t="str">
        <f t="shared" si="86"/>
        <v>Middle Age</v>
      </c>
    </row>
    <row r="1382" spans="1:24">
      <c r="A1382" t="s">
        <v>3081</v>
      </c>
      <c r="B1382" t="s">
        <v>515</v>
      </c>
      <c r="C1382" t="s">
        <v>40</v>
      </c>
      <c r="D1382" s="5">
        <v>37807</v>
      </c>
      <c r="E1382" s="5">
        <v>44969</v>
      </c>
      <c r="F1382" s="5">
        <v>44976</v>
      </c>
      <c r="G1382" t="s">
        <v>94</v>
      </c>
      <c r="H1382" t="s">
        <v>86</v>
      </c>
      <c r="I1382" t="s">
        <v>33</v>
      </c>
      <c r="J1382" t="s">
        <v>80</v>
      </c>
      <c r="K1382" t="s">
        <v>161</v>
      </c>
      <c r="L1382" s="6">
        <v>149571.76999999999</v>
      </c>
      <c r="M1382">
        <v>98646.34</v>
      </c>
      <c r="N1382" t="s">
        <v>35</v>
      </c>
      <c r="O1382">
        <v>7</v>
      </c>
      <c r="P1382">
        <v>84</v>
      </c>
      <c r="Q1382">
        <v>3</v>
      </c>
      <c r="R1382">
        <v>150</v>
      </c>
      <c r="S1382">
        <v>197.3</v>
      </c>
      <c r="T1382" t="s">
        <v>37</v>
      </c>
      <c r="U1382" s="7">
        <f t="shared" si="84"/>
        <v>19</v>
      </c>
      <c r="V1382" s="7">
        <f t="shared" si="87"/>
        <v>7</v>
      </c>
      <c r="W1382" s="6">
        <f t="shared" si="85"/>
        <v>50925.429999999993</v>
      </c>
      <c r="X1382" t="str">
        <f t="shared" si="86"/>
        <v>Adult</v>
      </c>
    </row>
    <row r="1383" spans="1:24">
      <c r="A1383" t="s">
        <v>3082</v>
      </c>
      <c r="B1383" t="s">
        <v>1054</v>
      </c>
      <c r="C1383" t="s">
        <v>133</v>
      </c>
      <c r="D1383" s="5">
        <v>25730</v>
      </c>
      <c r="E1383" s="5">
        <v>45716</v>
      </c>
      <c r="F1383" s="5">
        <v>45719</v>
      </c>
      <c r="G1383" t="s">
        <v>62</v>
      </c>
      <c r="H1383" t="s">
        <v>134</v>
      </c>
      <c r="I1383" t="s">
        <v>79</v>
      </c>
      <c r="J1383" t="s">
        <v>97</v>
      </c>
      <c r="K1383" t="s">
        <v>161</v>
      </c>
      <c r="L1383" s="6">
        <v>208202.66</v>
      </c>
      <c r="M1383">
        <v>179056.11</v>
      </c>
      <c r="N1383" t="s">
        <v>73</v>
      </c>
      <c r="O1383">
        <v>3</v>
      </c>
      <c r="P1383">
        <v>36</v>
      </c>
      <c r="Q1383">
        <v>5</v>
      </c>
      <c r="R1383">
        <v>134</v>
      </c>
      <c r="S1383">
        <v>83.8</v>
      </c>
      <c r="T1383" t="s">
        <v>37</v>
      </c>
      <c r="U1383" s="7">
        <f t="shared" si="84"/>
        <v>54</v>
      </c>
      <c r="V1383" s="7">
        <f t="shared" si="87"/>
        <v>3</v>
      </c>
      <c r="W1383" s="6">
        <f t="shared" si="85"/>
        <v>29146.550000000017</v>
      </c>
      <c r="X1383" t="str">
        <f t="shared" si="86"/>
        <v>Middle Age</v>
      </c>
    </row>
    <row r="1384" spans="1:24">
      <c r="A1384" t="s">
        <v>3084</v>
      </c>
      <c r="B1384" t="s">
        <v>390</v>
      </c>
      <c r="C1384" t="s">
        <v>133</v>
      </c>
      <c r="D1384" s="5">
        <v>33398</v>
      </c>
      <c r="E1384" s="5">
        <v>44954</v>
      </c>
      <c r="F1384" s="5">
        <v>44969</v>
      </c>
      <c r="G1384" t="s">
        <v>161</v>
      </c>
      <c r="H1384" t="s">
        <v>124</v>
      </c>
      <c r="I1384" t="s">
        <v>79</v>
      </c>
      <c r="J1384" t="s">
        <v>80</v>
      </c>
      <c r="K1384" t="s">
        <v>110</v>
      </c>
      <c r="L1384" s="6">
        <v>53366.71</v>
      </c>
      <c r="M1384">
        <v>48439.89</v>
      </c>
      <c r="N1384" t="s">
        <v>91</v>
      </c>
      <c r="O1384">
        <v>15</v>
      </c>
      <c r="P1384">
        <v>52</v>
      </c>
      <c r="Q1384">
        <v>4</v>
      </c>
      <c r="R1384">
        <v>152</v>
      </c>
      <c r="S1384">
        <v>170.6</v>
      </c>
      <c r="T1384" t="s">
        <v>37</v>
      </c>
      <c r="U1384" s="7">
        <f t="shared" si="84"/>
        <v>31</v>
      </c>
      <c r="V1384" s="7">
        <f t="shared" si="87"/>
        <v>15</v>
      </c>
      <c r="W1384" s="6">
        <f t="shared" si="85"/>
        <v>4926.82</v>
      </c>
      <c r="X1384" t="str">
        <f t="shared" si="86"/>
        <v>Adult</v>
      </c>
    </row>
    <row r="1385" spans="1:24">
      <c r="A1385" t="s">
        <v>3086</v>
      </c>
      <c r="B1385" t="s">
        <v>1935</v>
      </c>
      <c r="C1385" t="s">
        <v>133</v>
      </c>
      <c r="D1385" s="5">
        <v>36797</v>
      </c>
      <c r="E1385" s="5">
        <v>45180</v>
      </c>
      <c r="F1385" s="5">
        <v>45190</v>
      </c>
      <c r="G1385" t="s">
        <v>89</v>
      </c>
      <c r="H1385" t="s">
        <v>32</v>
      </c>
      <c r="I1385" t="s">
        <v>33</v>
      </c>
      <c r="J1385" t="s">
        <v>71</v>
      </c>
      <c r="K1385" t="s">
        <v>55</v>
      </c>
      <c r="L1385" s="6">
        <v>146933.53</v>
      </c>
      <c r="M1385">
        <v>145859.34</v>
      </c>
      <c r="N1385" t="s">
        <v>91</v>
      </c>
      <c r="O1385">
        <v>10</v>
      </c>
      <c r="P1385">
        <v>79</v>
      </c>
      <c r="Q1385">
        <v>5</v>
      </c>
      <c r="R1385">
        <v>167</v>
      </c>
      <c r="S1385">
        <v>186</v>
      </c>
      <c r="T1385" t="s">
        <v>37</v>
      </c>
      <c r="U1385" s="7">
        <f t="shared" si="84"/>
        <v>22</v>
      </c>
      <c r="V1385" s="7">
        <f t="shared" si="87"/>
        <v>10</v>
      </c>
      <c r="W1385" s="6">
        <f t="shared" si="85"/>
        <v>1074.1900000000023</v>
      </c>
      <c r="X1385" t="str">
        <f t="shared" si="86"/>
        <v>Adult</v>
      </c>
    </row>
    <row r="1386" spans="1:24">
      <c r="A1386" t="s">
        <v>3087</v>
      </c>
      <c r="B1386" t="s">
        <v>604</v>
      </c>
      <c r="C1386" t="s">
        <v>133</v>
      </c>
      <c r="D1386" s="5">
        <v>39763</v>
      </c>
      <c r="E1386" s="5">
        <v>45397</v>
      </c>
      <c r="F1386" s="5">
        <v>45410</v>
      </c>
      <c r="G1386" t="s">
        <v>77</v>
      </c>
      <c r="H1386" t="s">
        <v>113</v>
      </c>
      <c r="I1386" t="s">
        <v>45</v>
      </c>
      <c r="J1386" t="s">
        <v>97</v>
      </c>
      <c r="K1386" t="s">
        <v>120</v>
      </c>
      <c r="L1386" s="6">
        <v>10357.77</v>
      </c>
      <c r="M1386">
        <v>8483.5300000000007</v>
      </c>
      <c r="N1386" t="s">
        <v>35</v>
      </c>
      <c r="O1386">
        <v>13</v>
      </c>
      <c r="P1386">
        <v>235</v>
      </c>
      <c r="Q1386">
        <v>4</v>
      </c>
      <c r="R1386">
        <v>103</v>
      </c>
      <c r="S1386">
        <v>161.9</v>
      </c>
      <c r="T1386" t="s">
        <v>37</v>
      </c>
      <c r="U1386" s="7">
        <f t="shared" si="84"/>
        <v>15</v>
      </c>
      <c r="V1386" s="7">
        <f t="shared" si="87"/>
        <v>13</v>
      </c>
      <c r="W1386" s="6">
        <f t="shared" si="85"/>
        <v>1874.2399999999998</v>
      </c>
      <c r="X1386" t="str">
        <f t="shared" si="86"/>
        <v>Child</v>
      </c>
    </row>
    <row r="1387" spans="1:24">
      <c r="A1387" t="s">
        <v>3089</v>
      </c>
      <c r="B1387" t="s">
        <v>324</v>
      </c>
      <c r="C1387" t="s">
        <v>133</v>
      </c>
      <c r="D1387" s="5">
        <v>20649</v>
      </c>
      <c r="E1387" s="5">
        <v>45499</v>
      </c>
      <c r="F1387" s="5" t="s">
        <v>4237</v>
      </c>
      <c r="G1387" t="s">
        <v>62</v>
      </c>
      <c r="H1387" t="s">
        <v>86</v>
      </c>
      <c r="I1387" t="s">
        <v>79</v>
      </c>
      <c r="J1387" t="s">
        <v>97</v>
      </c>
      <c r="K1387" t="s">
        <v>27</v>
      </c>
      <c r="L1387" s="6">
        <v>135592.03</v>
      </c>
      <c r="M1387">
        <v>130356.99</v>
      </c>
      <c r="N1387" t="s">
        <v>73</v>
      </c>
      <c r="O1387">
        <v>18</v>
      </c>
      <c r="P1387">
        <v>61</v>
      </c>
      <c r="Q1387">
        <v>4</v>
      </c>
      <c r="R1387">
        <v>157</v>
      </c>
      <c r="S1387">
        <v>228.9</v>
      </c>
      <c r="T1387" t="s">
        <v>4237</v>
      </c>
      <c r="U1387" s="7">
        <f t="shared" si="84"/>
        <v>68</v>
      </c>
      <c r="V1387" s="7" t="s">
        <v>4237</v>
      </c>
      <c r="W1387" s="6">
        <f t="shared" si="85"/>
        <v>5235.0399999999936</v>
      </c>
      <c r="X1387" t="str">
        <f t="shared" si="86"/>
        <v>Senior</v>
      </c>
    </row>
    <row r="1388" spans="1:24">
      <c r="A1388" t="s">
        <v>3091</v>
      </c>
      <c r="B1388" t="s">
        <v>744</v>
      </c>
      <c r="C1388" t="s">
        <v>40</v>
      </c>
      <c r="D1388" s="5">
        <v>31809</v>
      </c>
      <c r="E1388" s="5">
        <v>45700</v>
      </c>
      <c r="F1388" s="5" t="s">
        <v>4237</v>
      </c>
      <c r="G1388" t="s">
        <v>43</v>
      </c>
      <c r="H1388" t="s">
        <v>153</v>
      </c>
      <c r="I1388" t="s">
        <v>53</v>
      </c>
      <c r="J1388" t="s">
        <v>80</v>
      </c>
      <c r="K1388" t="s">
        <v>110</v>
      </c>
      <c r="L1388" s="6">
        <v>179641.8</v>
      </c>
      <c r="M1388">
        <v>128961.5</v>
      </c>
      <c r="N1388" t="s">
        <v>192</v>
      </c>
      <c r="O1388">
        <v>14</v>
      </c>
      <c r="P1388">
        <v>106</v>
      </c>
      <c r="Q1388">
        <v>1</v>
      </c>
      <c r="R1388">
        <v>108</v>
      </c>
      <c r="S1388">
        <v>148</v>
      </c>
      <c r="T1388" t="s">
        <v>4237</v>
      </c>
      <c r="U1388" s="7">
        <f t="shared" si="84"/>
        <v>38</v>
      </c>
      <c r="V1388" s="7" t="s">
        <v>4237</v>
      </c>
      <c r="W1388" s="6">
        <f t="shared" si="85"/>
        <v>50680.299999999988</v>
      </c>
      <c r="X1388" t="str">
        <f t="shared" si="86"/>
        <v>Adult</v>
      </c>
    </row>
    <row r="1389" spans="1:24">
      <c r="A1389" t="s">
        <v>3093</v>
      </c>
      <c r="B1389" t="s">
        <v>762</v>
      </c>
      <c r="C1389" t="s">
        <v>133</v>
      </c>
      <c r="D1389" s="5">
        <v>33295</v>
      </c>
      <c r="E1389" s="5">
        <v>45428</v>
      </c>
      <c r="F1389" s="5" t="s">
        <v>4237</v>
      </c>
      <c r="G1389" t="s">
        <v>43</v>
      </c>
      <c r="H1389" t="s">
        <v>124</v>
      </c>
      <c r="I1389" t="s">
        <v>33</v>
      </c>
      <c r="J1389" t="s">
        <v>179</v>
      </c>
      <c r="K1389" t="s">
        <v>55</v>
      </c>
      <c r="L1389" s="6">
        <v>133518.13</v>
      </c>
      <c r="M1389">
        <v>96562.44</v>
      </c>
      <c r="N1389" t="s">
        <v>35</v>
      </c>
      <c r="O1389">
        <v>11</v>
      </c>
      <c r="P1389">
        <v>226</v>
      </c>
      <c r="Q1389">
        <v>4</v>
      </c>
      <c r="R1389">
        <v>168</v>
      </c>
      <c r="S1389">
        <v>239.1</v>
      </c>
      <c r="T1389" t="s">
        <v>37</v>
      </c>
      <c r="U1389" s="7">
        <f t="shared" si="84"/>
        <v>33</v>
      </c>
      <c r="V1389" s="7" t="s">
        <v>4237</v>
      </c>
      <c r="W1389" s="6">
        <f t="shared" si="85"/>
        <v>36955.69</v>
      </c>
      <c r="X1389" t="str">
        <f t="shared" si="86"/>
        <v>Adult</v>
      </c>
    </row>
    <row r="1390" spans="1:24">
      <c r="A1390" t="s">
        <v>3094</v>
      </c>
      <c r="B1390" t="s">
        <v>857</v>
      </c>
      <c r="C1390" t="s">
        <v>40</v>
      </c>
      <c r="D1390" s="5">
        <v>19609</v>
      </c>
      <c r="E1390" s="5">
        <v>45784</v>
      </c>
      <c r="F1390" s="5">
        <v>45802</v>
      </c>
      <c r="G1390" t="s">
        <v>43</v>
      </c>
      <c r="H1390" t="s">
        <v>153</v>
      </c>
      <c r="I1390" t="s">
        <v>53</v>
      </c>
      <c r="J1390" t="s">
        <v>26</v>
      </c>
      <c r="K1390" t="s">
        <v>161</v>
      </c>
      <c r="L1390" s="6">
        <v>74500.39</v>
      </c>
      <c r="M1390">
        <v>69794.81</v>
      </c>
      <c r="N1390" t="s">
        <v>73</v>
      </c>
      <c r="O1390">
        <v>18</v>
      </c>
      <c r="P1390">
        <v>125</v>
      </c>
      <c r="Q1390">
        <v>4</v>
      </c>
      <c r="R1390">
        <v>96</v>
      </c>
      <c r="S1390">
        <v>169.8</v>
      </c>
      <c r="T1390" t="s">
        <v>37</v>
      </c>
      <c r="U1390" s="7">
        <f t="shared" si="84"/>
        <v>71</v>
      </c>
      <c r="V1390" s="7">
        <f t="shared" si="87"/>
        <v>18</v>
      </c>
      <c r="W1390" s="6">
        <f t="shared" si="85"/>
        <v>4705.5800000000017</v>
      </c>
      <c r="X1390" t="str">
        <f t="shared" si="86"/>
        <v>Senior</v>
      </c>
    </row>
    <row r="1391" spans="1:24">
      <c r="A1391" t="s">
        <v>3095</v>
      </c>
      <c r="B1391" t="s">
        <v>274</v>
      </c>
      <c r="C1391" t="s">
        <v>133</v>
      </c>
      <c r="D1391" s="5">
        <v>36541</v>
      </c>
      <c r="E1391" s="5">
        <v>44941</v>
      </c>
      <c r="F1391" s="5">
        <v>44947</v>
      </c>
      <c r="G1391" t="s">
        <v>109</v>
      </c>
      <c r="H1391" t="s">
        <v>32</v>
      </c>
      <c r="I1391" t="s">
        <v>96</v>
      </c>
      <c r="J1391" t="s">
        <v>64</v>
      </c>
      <c r="K1391" t="s">
        <v>110</v>
      </c>
      <c r="L1391" s="6">
        <v>206767.88</v>
      </c>
      <c r="M1391">
        <v>146694.66</v>
      </c>
      <c r="N1391" t="s">
        <v>91</v>
      </c>
      <c r="O1391">
        <v>6</v>
      </c>
      <c r="P1391">
        <v>138</v>
      </c>
      <c r="Q1391">
        <v>4</v>
      </c>
      <c r="R1391">
        <v>157</v>
      </c>
      <c r="S1391">
        <v>187</v>
      </c>
      <c r="T1391" t="s">
        <v>37</v>
      </c>
      <c r="U1391" s="7">
        <f t="shared" si="84"/>
        <v>22</v>
      </c>
      <c r="V1391" s="7">
        <f t="shared" si="87"/>
        <v>6</v>
      </c>
      <c r="W1391" s="6">
        <f t="shared" si="85"/>
        <v>60073.22</v>
      </c>
      <c r="X1391" t="str">
        <f t="shared" si="86"/>
        <v>Adult</v>
      </c>
    </row>
    <row r="1392" spans="1:24">
      <c r="A1392" t="s">
        <v>3096</v>
      </c>
      <c r="B1392" t="s">
        <v>1017</v>
      </c>
      <c r="C1392" t="s">
        <v>40</v>
      </c>
      <c r="D1392" s="5">
        <v>24111</v>
      </c>
      <c r="E1392" s="5">
        <v>45534</v>
      </c>
      <c r="F1392" s="5">
        <v>45542</v>
      </c>
      <c r="G1392" t="s">
        <v>117</v>
      </c>
      <c r="H1392" t="s">
        <v>44</v>
      </c>
      <c r="I1392" t="s">
        <v>33</v>
      </c>
      <c r="J1392" t="s">
        <v>46</v>
      </c>
      <c r="K1392" t="s">
        <v>55</v>
      </c>
      <c r="L1392" s="6">
        <v>74681.16</v>
      </c>
      <c r="M1392">
        <v>46060.05</v>
      </c>
      <c r="N1392" t="s">
        <v>56</v>
      </c>
      <c r="O1392">
        <v>8</v>
      </c>
      <c r="P1392">
        <v>142</v>
      </c>
      <c r="Q1392">
        <v>4</v>
      </c>
      <c r="R1392">
        <v>190</v>
      </c>
      <c r="S1392">
        <v>129.1</v>
      </c>
      <c r="T1392" t="s">
        <v>37</v>
      </c>
      <c r="U1392" s="7">
        <f t="shared" si="84"/>
        <v>58</v>
      </c>
      <c r="V1392" s="7">
        <f t="shared" si="87"/>
        <v>8</v>
      </c>
      <c r="W1392" s="6">
        <f t="shared" si="85"/>
        <v>28621.11</v>
      </c>
      <c r="X1392" t="str">
        <f t="shared" si="86"/>
        <v>Middle Age</v>
      </c>
    </row>
    <row r="1393" spans="1:24">
      <c r="A1393" t="s">
        <v>3099</v>
      </c>
      <c r="B1393" t="s">
        <v>867</v>
      </c>
      <c r="C1393" t="s">
        <v>133</v>
      </c>
      <c r="D1393" s="5">
        <v>23981</v>
      </c>
      <c r="E1393" s="5">
        <v>45644</v>
      </c>
      <c r="F1393" s="5">
        <v>45656</v>
      </c>
      <c r="G1393" t="s">
        <v>152</v>
      </c>
      <c r="H1393" t="s">
        <v>63</v>
      </c>
      <c r="I1393" t="s">
        <v>25</v>
      </c>
      <c r="J1393" t="s">
        <v>71</v>
      </c>
      <c r="K1393" t="s">
        <v>55</v>
      </c>
      <c r="L1393" s="6">
        <v>208315.86</v>
      </c>
      <c r="M1393">
        <v>179827.91</v>
      </c>
      <c r="N1393" t="s">
        <v>35</v>
      </c>
      <c r="O1393">
        <v>12</v>
      </c>
      <c r="P1393">
        <v>143</v>
      </c>
      <c r="Q1393">
        <v>4</v>
      </c>
      <c r="R1393">
        <v>136</v>
      </c>
      <c r="S1393">
        <v>77.400000000000006</v>
      </c>
      <c r="T1393" t="s">
        <v>4237</v>
      </c>
      <c r="U1393" s="7">
        <f t="shared" si="84"/>
        <v>59</v>
      </c>
      <c r="V1393" s="7">
        <f t="shared" si="87"/>
        <v>12</v>
      </c>
      <c r="W1393" s="6">
        <f t="shared" si="85"/>
        <v>28487.949999999983</v>
      </c>
      <c r="X1393" t="str">
        <f t="shared" si="86"/>
        <v>Middle Age</v>
      </c>
    </row>
    <row r="1394" spans="1:24">
      <c r="A1394" t="s">
        <v>3100</v>
      </c>
      <c r="B1394" t="s">
        <v>392</v>
      </c>
      <c r="C1394" t="s">
        <v>133</v>
      </c>
      <c r="D1394" s="5">
        <v>18390</v>
      </c>
      <c r="E1394" s="5">
        <v>45356</v>
      </c>
      <c r="F1394" s="5">
        <v>45364</v>
      </c>
      <c r="G1394" t="s">
        <v>94</v>
      </c>
      <c r="H1394" t="s">
        <v>63</v>
      </c>
      <c r="I1394" t="s">
        <v>33</v>
      </c>
      <c r="J1394" t="s">
        <v>64</v>
      </c>
      <c r="K1394" t="s">
        <v>27</v>
      </c>
      <c r="L1394" s="6">
        <v>106579.79</v>
      </c>
      <c r="M1394">
        <v>78299.86</v>
      </c>
      <c r="N1394" t="s">
        <v>91</v>
      </c>
      <c r="O1394">
        <v>8</v>
      </c>
      <c r="P1394">
        <v>26</v>
      </c>
      <c r="Q1394">
        <v>5</v>
      </c>
      <c r="R1394">
        <v>141</v>
      </c>
      <c r="S1394">
        <v>75.900000000000006</v>
      </c>
      <c r="T1394" t="s">
        <v>37</v>
      </c>
      <c r="U1394" s="7">
        <f t="shared" si="84"/>
        <v>73</v>
      </c>
      <c r="V1394" s="7">
        <f t="shared" si="87"/>
        <v>8</v>
      </c>
      <c r="W1394" s="6">
        <f t="shared" si="85"/>
        <v>28279.929999999993</v>
      </c>
      <c r="X1394" t="str">
        <f t="shared" si="86"/>
        <v>Senior</v>
      </c>
    </row>
    <row r="1395" spans="1:24">
      <c r="A1395" t="s">
        <v>3101</v>
      </c>
      <c r="B1395" t="s">
        <v>249</v>
      </c>
      <c r="C1395" t="s">
        <v>133</v>
      </c>
      <c r="D1395" s="5">
        <v>21379</v>
      </c>
      <c r="E1395" s="5">
        <v>45391</v>
      </c>
      <c r="F1395" s="5">
        <v>45399</v>
      </c>
      <c r="G1395" t="s">
        <v>161</v>
      </c>
      <c r="H1395" t="s">
        <v>44</v>
      </c>
      <c r="I1395" t="s">
        <v>25</v>
      </c>
      <c r="J1395" t="s">
        <v>64</v>
      </c>
      <c r="K1395" t="s">
        <v>120</v>
      </c>
      <c r="L1395" s="6">
        <v>238475.21</v>
      </c>
      <c r="M1395">
        <v>174473.5</v>
      </c>
      <c r="N1395" t="s">
        <v>56</v>
      </c>
      <c r="O1395">
        <v>8</v>
      </c>
      <c r="P1395">
        <v>21</v>
      </c>
      <c r="Q1395">
        <v>4</v>
      </c>
      <c r="R1395">
        <v>100</v>
      </c>
      <c r="S1395">
        <v>201.3</v>
      </c>
      <c r="T1395" t="s">
        <v>37</v>
      </c>
      <c r="U1395" s="7">
        <f t="shared" si="84"/>
        <v>65</v>
      </c>
      <c r="V1395" s="7">
        <f t="shared" si="87"/>
        <v>8</v>
      </c>
      <c r="W1395" s="6">
        <f t="shared" si="85"/>
        <v>64001.709999999992</v>
      </c>
      <c r="X1395" t="str">
        <f t="shared" si="86"/>
        <v>Senior</v>
      </c>
    </row>
    <row r="1396" spans="1:24">
      <c r="A1396" t="s">
        <v>3102</v>
      </c>
      <c r="B1396" t="s">
        <v>875</v>
      </c>
      <c r="C1396" t="s">
        <v>40</v>
      </c>
      <c r="D1396" s="5">
        <v>27998</v>
      </c>
      <c r="E1396" s="5">
        <v>45403</v>
      </c>
      <c r="F1396" s="5">
        <v>45356</v>
      </c>
      <c r="G1396" t="s">
        <v>43</v>
      </c>
      <c r="H1396" t="s">
        <v>86</v>
      </c>
      <c r="I1396" t="s">
        <v>119</v>
      </c>
      <c r="J1396" t="s">
        <v>64</v>
      </c>
      <c r="K1396" t="s">
        <v>110</v>
      </c>
      <c r="L1396" s="6">
        <v>93847.360000000001</v>
      </c>
      <c r="M1396">
        <v>83799.67</v>
      </c>
      <c r="N1396" t="s">
        <v>35</v>
      </c>
      <c r="O1396">
        <v>12</v>
      </c>
      <c r="P1396">
        <v>66</v>
      </c>
      <c r="Q1396">
        <v>5</v>
      </c>
      <c r="R1396">
        <v>113</v>
      </c>
      <c r="S1396">
        <v>120.1</v>
      </c>
      <c r="T1396" t="s">
        <v>47</v>
      </c>
      <c r="U1396" s="7">
        <f t="shared" si="84"/>
        <v>47</v>
      </c>
      <c r="V1396" s="7">
        <f t="shared" si="87"/>
        <v>-47</v>
      </c>
      <c r="W1396" s="6">
        <f t="shared" si="85"/>
        <v>10047.690000000002</v>
      </c>
      <c r="X1396" t="str">
        <f t="shared" si="86"/>
        <v>Middle Age</v>
      </c>
    </row>
    <row r="1397" spans="1:24">
      <c r="A1397" t="s">
        <v>4189</v>
      </c>
      <c r="B1397" t="s">
        <v>1125</v>
      </c>
      <c r="C1397" t="s">
        <v>133</v>
      </c>
      <c r="D1397" s="5">
        <v>31843</v>
      </c>
      <c r="E1397" s="5">
        <v>45677</v>
      </c>
      <c r="F1397" s="5">
        <v>45692</v>
      </c>
      <c r="G1397" t="s">
        <v>109</v>
      </c>
      <c r="H1397" t="s">
        <v>52</v>
      </c>
      <c r="I1397" t="s">
        <v>96</v>
      </c>
      <c r="J1397" t="s">
        <v>64</v>
      </c>
      <c r="K1397" t="s">
        <v>120</v>
      </c>
      <c r="L1397" s="6">
        <v>13351.6</v>
      </c>
      <c r="M1397">
        <v>9203.9699999999993</v>
      </c>
      <c r="N1397" t="s">
        <v>4237</v>
      </c>
      <c r="O1397">
        <v>15</v>
      </c>
      <c r="P1397">
        <v>91</v>
      </c>
      <c r="Q1397">
        <v>4</v>
      </c>
      <c r="R1397">
        <v>109</v>
      </c>
      <c r="S1397">
        <v>94.4</v>
      </c>
      <c r="T1397" t="s">
        <v>37</v>
      </c>
      <c r="U1397" s="7">
        <f t="shared" si="84"/>
        <v>37</v>
      </c>
      <c r="V1397" s="7">
        <f t="shared" si="87"/>
        <v>15</v>
      </c>
      <c r="W1397" s="6">
        <f t="shared" si="85"/>
        <v>4147.630000000001</v>
      </c>
      <c r="X1397" t="str">
        <f t="shared" si="86"/>
        <v>Adult</v>
      </c>
    </row>
    <row r="1398" spans="1:24">
      <c r="A1398" t="s">
        <v>3106</v>
      </c>
      <c r="B1398" t="s">
        <v>613</v>
      </c>
      <c r="C1398" t="s">
        <v>133</v>
      </c>
      <c r="D1398" s="5">
        <v>38446</v>
      </c>
      <c r="E1398" s="5">
        <v>45756</v>
      </c>
      <c r="F1398" s="5">
        <v>45908</v>
      </c>
      <c r="G1398" t="s">
        <v>161</v>
      </c>
      <c r="H1398" t="s">
        <v>52</v>
      </c>
      <c r="I1398" t="s">
        <v>33</v>
      </c>
      <c r="J1398" t="s">
        <v>71</v>
      </c>
      <c r="K1398" t="s">
        <v>55</v>
      </c>
      <c r="L1398" s="6">
        <v>42714.28</v>
      </c>
      <c r="M1398">
        <v>31386.58</v>
      </c>
      <c r="N1398" t="s">
        <v>192</v>
      </c>
      <c r="O1398">
        <v>4</v>
      </c>
      <c r="P1398">
        <v>79</v>
      </c>
      <c r="Q1398">
        <v>4</v>
      </c>
      <c r="R1398">
        <v>129</v>
      </c>
      <c r="S1398">
        <v>258.89999999999998</v>
      </c>
      <c r="T1398" t="s">
        <v>65</v>
      </c>
      <c r="U1398" s="7">
        <f t="shared" si="84"/>
        <v>20</v>
      </c>
      <c r="V1398" s="7">
        <f t="shared" si="87"/>
        <v>152</v>
      </c>
      <c r="W1398" s="6">
        <f t="shared" si="85"/>
        <v>11327.699999999997</v>
      </c>
      <c r="X1398" t="str">
        <f t="shared" si="86"/>
        <v>Adult</v>
      </c>
    </row>
    <row r="1399" spans="1:24">
      <c r="A1399" t="s">
        <v>3109</v>
      </c>
      <c r="B1399" t="s">
        <v>3110</v>
      </c>
      <c r="C1399" t="s">
        <v>133</v>
      </c>
      <c r="D1399" s="5">
        <v>27678</v>
      </c>
      <c r="E1399" s="5" t="s">
        <v>4237</v>
      </c>
      <c r="F1399" s="5">
        <v>45573</v>
      </c>
      <c r="G1399" t="s">
        <v>89</v>
      </c>
      <c r="H1399" t="s">
        <v>63</v>
      </c>
      <c r="I1399" t="s">
        <v>33</v>
      </c>
      <c r="J1399" t="s">
        <v>179</v>
      </c>
      <c r="K1399" t="s">
        <v>55</v>
      </c>
      <c r="L1399" s="6">
        <v>50033.91</v>
      </c>
      <c r="M1399">
        <v>48424.53</v>
      </c>
      <c r="N1399" t="s">
        <v>35</v>
      </c>
      <c r="O1399">
        <v>11</v>
      </c>
      <c r="P1399">
        <v>171</v>
      </c>
      <c r="Q1399">
        <v>2</v>
      </c>
      <c r="R1399">
        <v>153</v>
      </c>
      <c r="S1399">
        <v>146.6</v>
      </c>
      <c r="T1399" t="s">
        <v>37</v>
      </c>
      <c r="U1399" s="7" t="s">
        <v>4237</v>
      </c>
      <c r="V1399" s="7" t="s">
        <v>4237</v>
      </c>
      <c r="W1399" s="6">
        <f t="shared" si="85"/>
        <v>1609.3800000000047</v>
      </c>
      <c r="X1399" t="s">
        <v>4237</v>
      </c>
    </row>
    <row r="1400" spans="1:24">
      <c r="A1400" t="s">
        <v>3113</v>
      </c>
      <c r="B1400" t="s">
        <v>1050</v>
      </c>
      <c r="C1400" t="s">
        <v>40</v>
      </c>
      <c r="D1400" s="5">
        <v>28915</v>
      </c>
      <c r="E1400" s="5">
        <v>45427</v>
      </c>
      <c r="F1400" s="5" t="s">
        <v>4237</v>
      </c>
      <c r="G1400" t="s">
        <v>43</v>
      </c>
      <c r="H1400" t="s">
        <v>63</v>
      </c>
      <c r="I1400" t="s">
        <v>79</v>
      </c>
      <c r="J1400" t="s">
        <v>71</v>
      </c>
      <c r="K1400" t="s">
        <v>55</v>
      </c>
      <c r="L1400" s="6">
        <v>5523.31</v>
      </c>
      <c r="M1400">
        <v>4810.37</v>
      </c>
      <c r="N1400" t="s">
        <v>35</v>
      </c>
      <c r="O1400">
        <v>11</v>
      </c>
      <c r="P1400">
        <v>175</v>
      </c>
      <c r="Q1400">
        <v>5</v>
      </c>
      <c r="R1400">
        <v>127</v>
      </c>
      <c r="S1400">
        <v>232.6</v>
      </c>
      <c r="T1400" t="s">
        <v>37</v>
      </c>
      <c r="U1400" s="7">
        <f t="shared" si="84"/>
        <v>45</v>
      </c>
      <c r="V1400" s="7" t="s">
        <v>4237</v>
      </c>
      <c r="W1400" s="6">
        <f t="shared" si="85"/>
        <v>712.94000000000051</v>
      </c>
      <c r="X1400" t="str">
        <f t="shared" si="86"/>
        <v>Middle Age</v>
      </c>
    </row>
    <row r="1401" spans="1:24">
      <c r="A1401" t="s">
        <v>3115</v>
      </c>
      <c r="B1401" t="s">
        <v>744</v>
      </c>
      <c r="C1401" t="s">
        <v>40</v>
      </c>
      <c r="D1401" s="5">
        <v>24330</v>
      </c>
      <c r="E1401" s="5">
        <v>45524</v>
      </c>
      <c r="F1401" s="5">
        <v>45537</v>
      </c>
      <c r="G1401" t="s">
        <v>62</v>
      </c>
      <c r="H1401" t="s">
        <v>44</v>
      </c>
      <c r="I1401" t="s">
        <v>53</v>
      </c>
      <c r="J1401" t="s">
        <v>97</v>
      </c>
      <c r="K1401" t="s">
        <v>161</v>
      </c>
      <c r="L1401" s="6">
        <v>59134.07</v>
      </c>
      <c r="M1401">
        <v>52822.47</v>
      </c>
      <c r="N1401" t="s">
        <v>192</v>
      </c>
      <c r="O1401">
        <v>13</v>
      </c>
      <c r="P1401">
        <v>234</v>
      </c>
      <c r="Q1401">
        <v>5</v>
      </c>
      <c r="R1401">
        <v>106</v>
      </c>
      <c r="S1401">
        <v>211</v>
      </c>
      <c r="T1401" t="s">
        <v>37</v>
      </c>
      <c r="U1401" s="7">
        <f t="shared" si="84"/>
        <v>58</v>
      </c>
      <c r="V1401" s="7">
        <f t="shared" si="87"/>
        <v>13</v>
      </c>
      <c r="W1401" s="6">
        <f t="shared" si="85"/>
        <v>6311.5999999999985</v>
      </c>
      <c r="X1401" t="str">
        <f t="shared" si="86"/>
        <v>Middle Age</v>
      </c>
    </row>
    <row r="1402" spans="1:24">
      <c r="A1402" t="s">
        <v>3118</v>
      </c>
      <c r="B1402" t="s">
        <v>444</v>
      </c>
      <c r="C1402" t="s">
        <v>40</v>
      </c>
      <c r="D1402" s="5">
        <v>21609</v>
      </c>
      <c r="E1402" s="5">
        <v>45971</v>
      </c>
      <c r="F1402" s="5">
        <v>45951</v>
      </c>
      <c r="G1402" t="s">
        <v>105</v>
      </c>
      <c r="H1402" t="s">
        <v>86</v>
      </c>
      <c r="I1402" t="s">
        <v>45</v>
      </c>
      <c r="J1402" t="s">
        <v>26</v>
      </c>
      <c r="K1402" t="s">
        <v>120</v>
      </c>
      <c r="L1402" s="6">
        <v>236774.05</v>
      </c>
      <c r="M1402">
        <v>206975.19</v>
      </c>
      <c r="N1402" t="s">
        <v>56</v>
      </c>
      <c r="O1402">
        <v>10</v>
      </c>
      <c r="P1402">
        <v>85</v>
      </c>
      <c r="Q1402">
        <v>1</v>
      </c>
      <c r="R1402">
        <v>145</v>
      </c>
      <c r="S1402">
        <v>76.400000000000006</v>
      </c>
      <c r="T1402" t="s">
        <v>65</v>
      </c>
      <c r="U1402" s="7">
        <f t="shared" si="84"/>
        <v>66</v>
      </c>
      <c r="V1402" s="7">
        <f t="shared" si="87"/>
        <v>-20</v>
      </c>
      <c r="W1402" s="6">
        <f t="shared" si="85"/>
        <v>29798.859999999986</v>
      </c>
      <c r="X1402" t="str">
        <f t="shared" si="86"/>
        <v>Senior</v>
      </c>
    </row>
    <row r="1403" spans="1:24">
      <c r="A1403" t="s">
        <v>3120</v>
      </c>
      <c r="B1403" t="s">
        <v>1598</v>
      </c>
      <c r="C1403" t="s">
        <v>40</v>
      </c>
      <c r="D1403" s="5">
        <v>36100</v>
      </c>
      <c r="E1403" s="5">
        <v>45943</v>
      </c>
      <c r="F1403" s="5" t="s">
        <v>4237</v>
      </c>
      <c r="G1403" t="s">
        <v>152</v>
      </c>
      <c r="H1403" t="s">
        <v>24</v>
      </c>
      <c r="I1403" t="s">
        <v>33</v>
      </c>
      <c r="J1403" t="s">
        <v>64</v>
      </c>
      <c r="K1403" t="s">
        <v>55</v>
      </c>
      <c r="L1403" s="6">
        <v>108488.26</v>
      </c>
      <c r="M1403">
        <v>85282.57</v>
      </c>
      <c r="N1403" t="s">
        <v>91</v>
      </c>
      <c r="O1403">
        <v>18</v>
      </c>
      <c r="P1403">
        <v>120</v>
      </c>
      <c r="Q1403">
        <v>4</v>
      </c>
      <c r="R1403">
        <v>96</v>
      </c>
      <c r="S1403">
        <v>91.2</v>
      </c>
      <c r="T1403" t="s">
        <v>37</v>
      </c>
      <c r="U1403" s="7">
        <f t="shared" si="84"/>
        <v>26</v>
      </c>
      <c r="V1403" s="7" t="s">
        <v>4237</v>
      </c>
      <c r="W1403" s="6">
        <f t="shared" si="85"/>
        <v>23205.689999999988</v>
      </c>
      <c r="X1403" t="str">
        <f t="shared" si="86"/>
        <v>Adult</v>
      </c>
    </row>
    <row r="1404" spans="1:24">
      <c r="A1404" t="s">
        <v>3122</v>
      </c>
      <c r="B1404" t="s">
        <v>1097</v>
      </c>
      <c r="C1404" t="s">
        <v>40</v>
      </c>
      <c r="D1404" s="5">
        <v>29325</v>
      </c>
      <c r="E1404" s="5">
        <v>45905</v>
      </c>
      <c r="F1404" s="5">
        <v>45907</v>
      </c>
      <c r="G1404" t="s">
        <v>43</v>
      </c>
      <c r="H1404" t="s">
        <v>95</v>
      </c>
      <c r="I1404" t="s">
        <v>119</v>
      </c>
      <c r="J1404" t="s">
        <v>97</v>
      </c>
      <c r="K1404" t="s">
        <v>55</v>
      </c>
      <c r="L1404" s="6">
        <v>209435.07</v>
      </c>
      <c r="M1404">
        <v>199173.78</v>
      </c>
      <c r="N1404" t="s">
        <v>91</v>
      </c>
      <c r="O1404">
        <v>2</v>
      </c>
      <c r="P1404">
        <v>24</v>
      </c>
      <c r="Q1404">
        <v>4</v>
      </c>
      <c r="R1404">
        <v>130</v>
      </c>
      <c r="S1404">
        <v>79.3</v>
      </c>
      <c r="T1404" t="s">
        <v>37</v>
      </c>
      <c r="U1404" s="7">
        <f t="shared" si="84"/>
        <v>45</v>
      </c>
      <c r="V1404" s="7">
        <f t="shared" si="87"/>
        <v>2</v>
      </c>
      <c r="W1404" s="6">
        <f t="shared" si="85"/>
        <v>10261.290000000008</v>
      </c>
      <c r="X1404" t="str">
        <f t="shared" si="86"/>
        <v>Middle Age</v>
      </c>
    </row>
    <row r="1405" spans="1:24">
      <c r="A1405" t="s">
        <v>3123</v>
      </c>
      <c r="B1405" t="s">
        <v>576</v>
      </c>
      <c r="C1405" t="s">
        <v>133</v>
      </c>
      <c r="D1405" s="5">
        <v>18803</v>
      </c>
      <c r="E1405" s="5">
        <v>45652</v>
      </c>
      <c r="F1405" s="5">
        <v>45654</v>
      </c>
      <c r="G1405" t="s">
        <v>77</v>
      </c>
      <c r="H1405" t="s">
        <v>118</v>
      </c>
      <c r="I1405" t="s">
        <v>53</v>
      </c>
      <c r="J1405" t="s">
        <v>64</v>
      </c>
      <c r="K1405" t="s">
        <v>110</v>
      </c>
      <c r="L1405" s="6">
        <v>19186.669999999998</v>
      </c>
      <c r="M1405">
        <v>16003.1</v>
      </c>
      <c r="N1405" t="s">
        <v>91</v>
      </c>
      <c r="O1405">
        <v>2</v>
      </c>
      <c r="P1405">
        <v>44</v>
      </c>
      <c r="Q1405">
        <v>4</v>
      </c>
      <c r="R1405">
        <v>140</v>
      </c>
      <c r="S1405">
        <v>166</v>
      </c>
      <c r="T1405" t="s">
        <v>37</v>
      </c>
      <c r="U1405" s="7">
        <f t="shared" si="84"/>
        <v>73</v>
      </c>
      <c r="V1405" s="7">
        <f t="shared" si="87"/>
        <v>2</v>
      </c>
      <c r="W1405" s="6">
        <f t="shared" si="85"/>
        <v>3183.5699999999979</v>
      </c>
      <c r="X1405" t="str">
        <f t="shared" si="86"/>
        <v>Senior</v>
      </c>
    </row>
    <row r="1406" spans="1:24">
      <c r="A1406" t="s">
        <v>3124</v>
      </c>
      <c r="B1406" t="s">
        <v>274</v>
      </c>
      <c r="C1406" t="s">
        <v>40</v>
      </c>
      <c r="D1406" s="5">
        <v>30275</v>
      </c>
      <c r="E1406" s="5">
        <v>44980</v>
      </c>
      <c r="F1406" s="5">
        <v>44997</v>
      </c>
      <c r="G1406" t="s">
        <v>161</v>
      </c>
      <c r="H1406" t="s">
        <v>153</v>
      </c>
      <c r="I1406" t="s">
        <v>25</v>
      </c>
      <c r="J1406" t="s">
        <v>34</v>
      </c>
      <c r="K1406" t="s">
        <v>110</v>
      </c>
      <c r="L1406" s="6">
        <v>126819.83</v>
      </c>
      <c r="M1406">
        <v>92161.11</v>
      </c>
      <c r="N1406" t="s">
        <v>73</v>
      </c>
      <c r="O1406">
        <v>17</v>
      </c>
      <c r="P1406">
        <v>36</v>
      </c>
      <c r="Q1406">
        <v>3</v>
      </c>
      <c r="R1406">
        <v>175</v>
      </c>
      <c r="S1406">
        <v>226.1</v>
      </c>
      <c r="T1406" t="s">
        <v>37</v>
      </c>
      <c r="U1406" s="7">
        <f t="shared" si="84"/>
        <v>40</v>
      </c>
      <c r="V1406" s="7">
        <f t="shared" si="87"/>
        <v>17</v>
      </c>
      <c r="W1406" s="6">
        <f t="shared" si="85"/>
        <v>34658.720000000001</v>
      </c>
      <c r="X1406" t="str">
        <f t="shared" si="86"/>
        <v>Middle Age</v>
      </c>
    </row>
    <row r="1407" spans="1:24">
      <c r="A1407" t="s">
        <v>3125</v>
      </c>
      <c r="B1407" t="s">
        <v>503</v>
      </c>
      <c r="C1407" t="s">
        <v>40</v>
      </c>
      <c r="D1407" s="5">
        <v>30492</v>
      </c>
      <c r="E1407" s="5">
        <v>45805</v>
      </c>
      <c r="F1407" s="5">
        <v>45809</v>
      </c>
      <c r="G1407" t="s">
        <v>161</v>
      </c>
      <c r="H1407" t="s">
        <v>32</v>
      </c>
      <c r="I1407" t="s">
        <v>33</v>
      </c>
      <c r="J1407" t="s">
        <v>71</v>
      </c>
      <c r="K1407" t="s">
        <v>27</v>
      </c>
      <c r="L1407" s="6">
        <v>25252.42</v>
      </c>
      <c r="M1407">
        <v>23670.29</v>
      </c>
      <c r="N1407" t="s">
        <v>35</v>
      </c>
      <c r="O1407">
        <v>4</v>
      </c>
      <c r="P1407">
        <v>132</v>
      </c>
      <c r="Q1407">
        <v>4</v>
      </c>
      <c r="R1407">
        <v>114</v>
      </c>
      <c r="S1407">
        <v>97.4</v>
      </c>
      <c r="T1407" t="s">
        <v>65</v>
      </c>
      <c r="U1407" s="7">
        <f t="shared" si="84"/>
        <v>41</v>
      </c>
      <c r="V1407" s="7">
        <f t="shared" si="87"/>
        <v>4</v>
      </c>
      <c r="W1407" s="6">
        <f t="shared" si="85"/>
        <v>1582.1299999999974</v>
      </c>
      <c r="X1407" t="str">
        <f t="shared" si="86"/>
        <v>Middle Age</v>
      </c>
    </row>
    <row r="1408" spans="1:24">
      <c r="A1408" t="s">
        <v>3126</v>
      </c>
      <c r="B1408" t="s">
        <v>234</v>
      </c>
      <c r="C1408" t="s">
        <v>40</v>
      </c>
      <c r="D1408" s="5">
        <v>39303</v>
      </c>
      <c r="E1408" s="5">
        <v>45156</v>
      </c>
      <c r="F1408" s="5">
        <v>45168</v>
      </c>
      <c r="G1408" t="s">
        <v>77</v>
      </c>
      <c r="H1408" t="s">
        <v>52</v>
      </c>
      <c r="I1408" t="s">
        <v>96</v>
      </c>
      <c r="J1408" t="s">
        <v>97</v>
      </c>
      <c r="K1408" t="s">
        <v>55</v>
      </c>
      <c r="L1408" s="6">
        <v>87238.92</v>
      </c>
      <c r="M1408">
        <v>59232.44</v>
      </c>
      <c r="N1408" t="s">
        <v>91</v>
      </c>
      <c r="O1408">
        <v>12</v>
      </c>
      <c r="P1408">
        <v>150</v>
      </c>
      <c r="Q1408">
        <v>3</v>
      </c>
      <c r="R1408">
        <v>174</v>
      </c>
      <c r="S1408">
        <v>252.3</v>
      </c>
      <c r="T1408" t="s">
        <v>65</v>
      </c>
      <c r="U1408" s="7">
        <f t="shared" si="84"/>
        <v>16</v>
      </c>
      <c r="V1408" s="7">
        <f t="shared" si="87"/>
        <v>12</v>
      </c>
      <c r="W1408" s="6">
        <f t="shared" si="85"/>
        <v>28006.479999999996</v>
      </c>
      <c r="X1408" t="str">
        <f t="shared" si="86"/>
        <v>Child</v>
      </c>
    </row>
    <row r="1409" spans="1:24">
      <c r="A1409" t="s">
        <v>3127</v>
      </c>
      <c r="B1409" t="s">
        <v>164</v>
      </c>
      <c r="C1409" t="s">
        <v>133</v>
      </c>
      <c r="D1409" s="5">
        <v>29691</v>
      </c>
      <c r="E1409" s="5">
        <v>45640</v>
      </c>
      <c r="F1409" s="5">
        <v>45655</v>
      </c>
      <c r="G1409" t="s">
        <v>89</v>
      </c>
      <c r="H1409" t="s">
        <v>153</v>
      </c>
      <c r="I1409" t="s">
        <v>33</v>
      </c>
      <c r="J1409" t="s">
        <v>64</v>
      </c>
      <c r="K1409" t="s">
        <v>27</v>
      </c>
      <c r="L1409" s="6">
        <v>240321.38</v>
      </c>
      <c r="M1409">
        <v>177428.77</v>
      </c>
      <c r="N1409" t="s">
        <v>73</v>
      </c>
      <c r="O1409">
        <v>15</v>
      </c>
      <c r="P1409">
        <v>43</v>
      </c>
      <c r="Q1409">
        <v>2</v>
      </c>
      <c r="R1409">
        <v>120</v>
      </c>
      <c r="S1409">
        <v>130.9</v>
      </c>
      <c r="T1409" t="s">
        <v>37</v>
      </c>
      <c r="U1409" s="7">
        <f t="shared" si="84"/>
        <v>43</v>
      </c>
      <c r="V1409" s="7">
        <f t="shared" si="87"/>
        <v>15</v>
      </c>
      <c r="W1409" s="6">
        <f t="shared" si="85"/>
        <v>62892.610000000015</v>
      </c>
      <c r="X1409" t="str">
        <f t="shared" si="86"/>
        <v>Middle Age</v>
      </c>
    </row>
    <row r="1410" spans="1:24">
      <c r="A1410" t="s">
        <v>3129</v>
      </c>
      <c r="B1410" t="s">
        <v>116</v>
      </c>
      <c r="C1410" t="s">
        <v>40</v>
      </c>
      <c r="D1410" s="5">
        <v>37764</v>
      </c>
      <c r="E1410" s="5">
        <v>45139</v>
      </c>
      <c r="F1410" s="5">
        <v>45145</v>
      </c>
      <c r="G1410" t="s">
        <v>94</v>
      </c>
      <c r="H1410" t="s">
        <v>153</v>
      </c>
      <c r="I1410" t="s">
        <v>53</v>
      </c>
      <c r="J1410" t="s">
        <v>97</v>
      </c>
      <c r="K1410" t="s">
        <v>55</v>
      </c>
      <c r="L1410" s="6">
        <v>58966.44</v>
      </c>
      <c r="M1410">
        <v>57309.760000000002</v>
      </c>
      <c r="N1410" t="s">
        <v>35</v>
      </c>
      <c r="O1410">
        <v>6</v>
      </c>
      <c r="P1410">
        <v>147</v>
      </c>
      <c r="Q1410">
        <v>4</v>
      </c>
      <c r="R1410">
        <v>190</v>
      </c>
      <c r="S1410">
        <v>163.5</v>
      </c>
      <c r="T1410" t="s">
        <v>65</v>
      </c>
      <c r="U1410" s="7">
        <f t="shared" ref="U1410:U1473" si="88">DATEDIF(D1410,E1410,"Y")</f>
        <v>20</v>
      </c>
      <c r="V1410" s="7">
        <f t="shared" ref="V1410:V1473" si="89">IF(OR(E1410=" ",F1410=" ",E1410="Unknown",F1410="Unknown")," ",F1410-E1410)</f>
        <v>6</v>
      </c>
      <c r="W1410" s="6">
        <f t="shared" ref="W1410:W1473" si="90">L1410-M1410</f>
        <v>1656.6800000000003</v>
      </c>
      <c r="X1410" t="str">
        <f t="shared" ref="X1410:X1473" si="91">IF(OR(U1410="",U1410="Unknown"),"",IF(U1410&lt;18,"Child",IF(U1410&lt;40,"Adult",IF(U1410&lt;60,"Middle Age","Senior"))))</f>
        <v>Adult</v>
      </c>
    </row>
    <row r="1411" spans="1:24">
      <c r="A1411" t="s">
        <v>3130</v>
      </c>
      <c r="B1411" t="s">
        <v>419</v>
      </c>
      <c r="C1411" t="s">
        <v>40</v>
      </c>
      <c r="D1411" s="5">
        <v>30422</v>
      </c>
      <c r="E1411" s="5">
        <v>45274</v>
      </c>
      <c r="F1411" s="5">
        <v>45278</v>
      </c>
      <c r="G1411" t="s">
        <v>161</v>
      </c>
      <c r="H1411" t="s">
        <v>134</v>
      </c>
      <c r="I1411" t="s">
        <v>53</v>
      </c>
      <c r="J1411" t="s">
        <v>97</v>
      </c>
      <c r="K1411" t="s">
        <v>120</v>
      </c>
      <c r="L1411" s="6">
        <v>95506.57</v>
      </c>
      <c r="M1411">
        <v>81635.13</v>
      </c>
      <c r="N1411" t="s">
        <v>91</v>
      </c>
      <c r="O1411">
        <v>4</v>
      </c>
      <c r="P1411">
        <v>163</v>
      </c>
      <c r="Q1411">
        <v>4</v>
      </c>
      <c r="R1411">
        <v>147</v>
      </c>
      <c r="S1411">
        <v>82.8</v>
      </c>
      <c r="T1411" t="s">
        <v>37</v>
      </c>
      <c r="U1411" s="7">
        <f t="shared" si="88"/>
        <v>40</v>
      </c>
      <c r="V1411" s="7">
        <f t="shared" si="89"/>
        <v>4</v>
      </c>
      <c r="W1411" s="6">
        <f t="shared" si="90"/>
        <v>13871.440000000002</v>
      </c>
      <c r="X1411" t="str">
        <f t="shared" si="91"/>
        <v>Middle Age</v>
      </c>
    </row>
    <row r="1412" spans="1:24">
      <c r="A1412" t="s">
        <v>3132</v>
      </c>
      <c r="B1412" t="s">
        <v>2447</v>
      </c>
      <c r="C1412" t="s">
        <v>40</v>
      </c>
      <c r="D1412" s="5">
        <v>39077</v>
      </c>
      <c r="E1412" s="5">
        <v>45400</v>
      </c>
      <c r="F1412" s="5">
        <v>45418</v>
      </c>
      <c r="G1412" t="s">
        <v>94</v>
      </c>
      <c r="H1412" t="s">
        <v>52</v>
      </c>
      <c r="I1412" t="s">
        <v>45</v>
      </c>
      <c r="J1412" t="s">
        <v>34</v>
      </c>
      <c r="K1412" t="s">
        <v>55</v>
      </c>
      <c r="L1412" s="6">
        <v>17647.02</v>
      </c>
      <c r="M1412">
        <v>15396.3</v>
      </c>
      <c r="N1412" t="s">
        <v>56</v>
      </c>
      <c r="O1412">
        <v>18</v>
      </c>
      <c r="P1412">
        <v>106</v>
      </c>
      <c r="Q1412">
        <v>3</v>
      </c>
      <c r="R1412">
        <v>129</v>
      </c>
      <c r="S1412">
        <v>230</v>
      </c>
      <c r="T1412" t="s">
        <v>65</v>
      </c>
      <c r="U1412" s="7">
        <f t="shared" si="88"/>
        <v>17</v>
      </c>
      <c r="V1412" s="7">
        <f t="shared" si="89"/>
        <v>18</v>
      </c>
      <c r="W1412" s="6">
        <f t="shared" si="90"/>
        <v>2250.7200000000012</v>
      </c>
      <c r="X1412" t="str">
        <f t="shared" si="91"/>
        <v>Child</v>
      </c>
    </row>
    <row r="1413" spans="1:24">
      <c r="A1413" t="s">
        <v>3133</v>
      </c>
      <c r="B1413" t="s">
        <v>2029</v>
      </c>
      <c r="C1413" t="s">
        <v>133</v>
      </c>
      <c r="D1413" s="5">
        <v>31385</v>
      </c>
      <c r="E1413" s="5">
        <v>45181</v>
      </c>
      <c r="F1413" s="5" t="s">
        <v>4237</v>
      </c>
      <c r="G1413" t="s">
        <v>89</v>
      </c>
      <c r="H1413" t="s">
        <v>78</v>
      </c>
      <c r="I1413" t="s">
        <v>53</v>
      </c>
      <c r="J1413" t="s">
        <v>64</v>
      </c>
      <c r="K1413" t="s">
        <v>55</v>
      </c>
      <c r="L1413" s="6">
        <v>163847.66</v>
      </c>
      <c r="M1413">
        <v>140129.45000000001</v>
      </c>
      <c r="N1413" t="s">
        <v>56</v>
      </c>
      <c r="O1413">
        <v>17</v>
      </c>
      <c r="P1413">
        <v>87</v>
      </c>
      <c r="Q1413">
        <v>1</v>
      </c>
      <c r="R1413">
        <v>107</v>
      </c>
      <c r="S1413">
        <v>208.5</v>
      </c>
      <c r="T1413" t="s">
        <v>37</v>
      </c>
      <c r="U1413" s="7">
        <f t="shared" si="88"/>
        <v>37</v>
      </c>
      <c r="V1413" s="7" t="s">
        <v>4237</v>
      </c>
      <c r="W1413" s="6">
        <f t="shared" si="90"/>
        <v>23718.209999999992</v>
      </c>
      <c r="X1413" t="str">
        <f t="shared" si="91"/>
        <v>Adult</v>
      </c>
    </row>
    <row r="1414" spans="1:24">
      <c r="A1414" t="s">
        <v>3134</v>
      </c>
      <c r="B1414" t="s">
        <v>806</v>
      </c>
      <c r="C1414" t="s">
        <v>40</v>
      </c>
      <c r="D1414" s="5">
        <v>38814</v>
      </c>
      <c r="E1414" s="5">
        <v>44995</v>
      </c>
      <c r="F1414" s="5">
        <v>45010</v>
      </c>
      <c r="G1414" t="s">
        <v>43</v>
      </c>
      <c r="H1414" t="s">
        <v>134</v>
      </c>
      <c r="I1414" t="s">
        <v>79</v>
      </c>
      <c r="J1414" t="s">
        <v>34</v>
      </c>
      <c r="K1414" t="s">
        <v>120</v>
      </c>
      <c r="L1414" s="6">
        <v>17561.349999999999</v>
      </c>
      <c r="M1414">
        <v>13575.22</v>
      </c>
      <c r="N1414" t="s">
        <v>192</v>
      </c>
      <c r="O1414">
        <v>15</v>
      </c>
      <c r="P1414">
        <v>59</v>
      </c>
      <c r="Q1414">
        <v>4</v>
      </c>
      <c r="R1414">
        <v>101</v>
      </c>
      <c r="S1414">
        <v>89</v>
      </c>
      <c r="T1414" t="s">
        <v>37</v>
      </c>
      <c r="U1414" s="7">
        <f t="shared" si="88"/>
        <v>16</v>
      </c>
      <c r="V1414" s="7">
        <f t="shared" si="89"/>
        <v>15</v>
      </c>
      <c r="W1414" s="6">
        <f t="shared" si="90"/>
        <v>3986.1299999999992</v>
      </c>
      <c r="X1414" t="str">
        <f t="shared" si="91"/>
        <v>Child</v>
      </c>
    </row>
    <row r="1415" spans="1:24">
      <c r="A1415" t="s">
        <v>3135</v>
      </c>
      <c r="B1415" t="s">
        <v>2447</v>
      </c>
      <c r="C1415" t="s">
        <v>133</v>
      </c>
      <c r="D1415" s="5">
        <v>23605</v>
      </c>
      <c r="E1415" s="5">
        <v>45085</v>
      </c>
      <c r="F1415" s="5" t="s">
        <v>4237</v>
      </c>
      <c r="G1415" t="s">
        <v>94</v>
      </c>
      <c r="H1415" t="s">
        <v>32</v>
      </c>
      <c r="I1415" t="s">
        <v>45</v>
      </c>
      <c r="J1415" t="s">
        <v>179</v>
      </c>
      <c r="K1415" t="s">
        <v>55</v>
      </c>
      <c r="L1415" s="6">
        <v>105006.74</v>
      </c>
      <c r="M1415">
        <v>82618.429999999993</v>
      </c>
      <c r="N1415" t="s">
        <v>192</v>
      </c>
      <c r="O1415">
        <v>15</v>
      </c>
      <c r="P1415">
        <v>230</v>
      </c>
      <c r="Q1415">
        <v>1</v>
      </c>
      <c r="R1415">
        <v>91</v>
      </c>
      <c r="S1415">
        <v>124.5</v>
      </c>
      <c r="T1415" t="s">
        <v>65</v>
      </c>
      <c r="U1415" s="7">
        <f t="shared" si="88"/>
        <v>58</v>
      </c>
      <c r="V1415" s="7" t="s">
        <v>4237</v>
      </c>
      <c r="W1415" s="6">
        <f t="shared" si="90"/>
        <v>22388.310000000012</v>
      </c>
      <c r="X1415" t="str">
        <f t="shared" si="91"/>
        <v>Middle Age</v>
      </c>
    </row>
    <row r="1416" spans="1:24">
      <c r="A1416" t="s">
        <v>3137</v>
      </c>
      <c r="B1416" t="s">
        <v>280</v>
      </c>
      <c r="C1416" t="s">
        <v>133</v>
      </c>
      <c r="D1416" s="5">
        <v>26817</v>
      </c>
      <c r="E1416" s="5">
        <v>45796</v>
      </c>
      <c r="F1416" s="5">
        <v>45807</v>
      </c>
      <c r="G1416" t="s">
        <v>117</v>
      </c>
      <c r="H1416" t="s">
        <v>113</v>
      </c>
      <c r="I1416" t="s">
        <v>25</v>
      </c>
      <c r="J1416" t="s">
        <v>46</v>
      </c>
      <c r="K1416" t="s">
        <v>55</v>
      </c>
      <c r="L1416" s="6">
        <v>179834.83</v>
      </c>
      <c r="M1416">
        <v>146633.18</v>
      </c>
      <c r="N1416" t="s">
        <v>35</v>
      </c>
      <c r="O1416">
        <v>11</v>
      </c>
      <c r="P1416">
        <v>239</v>
      </c>
      <c r="Q1416">
        <v>4</v>
      </c>
      <c r="R1416">
        <v>169</v>
      </c>
      <c r="S1416">
        <v>190.8</v>
      </c>
      <c r="T1416" t="s">
        <v>47</v>
      </c>
      <c r="U1416" s="7">
        <f t="shared" si="88"/>
        <v>51</v>
      </c>
      <c r="V1416" s="7">
        <f t="shared" si="89"/>
        <v>11</v>
      </c>
      <c r="W1416" s="6">
        <f t="shared" si="90"/>
        <v>33201.649999999994</v>
      </c>
      <c r="X1416" t="str">
        <f t="shared" si="91"/>
        <v>Middle Age</v>
      </c>
    </row>
    <row r="1417" spans="1:24">
      <c r="A1417" t="s">
        <v>3139</v>
      </c>
      <c r="B1417" t="s">
        <v>622</v>
      </c>
      <c r="C1417" t="s">
        <v>40</v>
      </c>
      <c r="D1417" s="5">
        <v>18510</v>
      </c>
      <c r="E1417" s="5">
        <v>45775</v>
      </c>
      <c r="F1417" s="5">
        <v>45793</v>
      </c>
      <c r="G1417" t="s">
        <v>161</v>
      </c>
      <c r="H1417" t="s">
        <v>44</v>
      </c>
      <c r="I1417" t="s">
        <v>96</v>
      </c>
      <c r="J1417" t="s">
        <v>46</v>
      </c>
      <c r="K1417" t="s">
        <v>161</v>
      </c>
      <c r="L1417" s="6">
        <v>110270.25</v>
      </c>
      <c r="M1417">
        <v>78171.47</v>
      </c>
      <c r="N1417" t="s">
        <v>35</v>
      </c>
      <c r="O1417">
        <v>18</v>
      </c>
      <c r="P1417">
        <v>195</v>
      </c>
      <c r="Q1417">
        <v>4</v>
      </c>
      <c r="R1417">
        <v>189</v>
      </c>
      <c r="S1417">
        <v>85.1</v>
      </c>
      <c r="T1417" t="s">
        <v>4237</v>
      </c>
      <c r="U1417" s="7">
        <f t="shared" si="88"/>
        <v>74</v>
      </c>
      <c r="V1417" s="7">
        <f t="shared" si="89"/>
        <v>18</v>
      </c>
      <c r="W1417" s="6">
        <f t="shared" si="90"/>
        <v>32098.78</v>
      </c>
      <c r="X1417" t="str">
        <f t="shared" si="91"/>
        <v>Senior</v>
      </c>
    </row>
    <row r="1418" spans="1:24">
      <c r="A1418" t="s">
        <v>3141</v>
      </c>
      <c r="B1418" t="s">
        <v>689</v>
      </c>
      <c r="C1418" t="s">
        <v>40</v>
      </c>
      <c r="D1418" s="5">
        <v>37012</v>
      </c>
      <c r="E1418" s="5">
        <v>45283</v>
      </c>
      <c r="F1418" s="5">
        <v>45285</v>
      </c>
      <c r="G1418" t="s">
        <v>43</v>
      </c>
      <c r="H1418" t="s">
        <v>113</v>
      </c>
      <c r="I1418" t="s">
        <v>33</v>
      </c>
      <c r="J1418" t="s">
        <v>46</v>
      </c>
      <c r="K1418" t="s">
        <v>161</v>
      </c>
      <c r="L1418" s="6">
        <v>151351.03</v>
      </c>
      <c r="M1418">
        <v>98646.34</v>
      </c>
      <c r="N1418" t="s">
        <v>73</v>
      </c>
      <c r="O1418">
        <v>2</v>
      </c>
      <c r="P1418">
        <v>14</v>
      </c>
      <c r="Q1418">
        <v>1</v>
      </c>
      <c r="R1418">
        <v>99</v>
      </c>
      <c r="S1418">
        <v>112.6</v>
      </c>
      <c r="T1418" t="s">
        <v>65</v>
      </c>
      <c r="U1418" s="7">
        <f t="shared" si="88"/>
        <v>22</v>
      </c>
      <c r="V1418" s="7">
        <f t="shared" si="89"/>
        <v>2</v>
      </c>
      <c r="W1418" s="6">
        <f t="shared" si="90"/>
        <v>52704.69</v>
      </c>
      <c r="X1418" t="str">
        <f t="shared" si="91"/>
        <v>Adult</v>
      </c>
    </row>
    <row r="1419" spans="1:24">
      <c r="A1419" t="s">
        <v>3142</v>
      </c>
      <c r="B1419" t="s">
        <v>1101</v>
      </c>
      <c r="C1419" t="s">
        <v>133</v>
      </c>
      <c r="D1419" s="5">
        <v>30437</v>
      </c>
      <c r="E1419" s="5">
        <v>45027</v>
      </c>
      <c r="F1419" s="5" t="s">
        <v>4237</v>
      </c>
      <c r="G1419" t="s">
        <v>109</v>
      </c>
      <c r="H1419" t="s">
        <v>24</v>
      </c>
      <c r="I1419" t="s">
        <v>25</v>
      </c>
      <c r="J1419" t="s">
        <v>64</v>
      </c>
      <c r="K1419" t="s">
        <v>55</v>
      </c>
      <c r="L1419" s="6">
        <v>179019.58</v>
      </c>
      <c r="M1419">
        <v>170923.68</v>
      </c>
      <c r="N1419" t="s">
        <v>56</v>
      </c>
      <c r="O1419">
        <v>1</v>
      </c>
      <c r="P1419">
        <v>69</v>
      </c>
      <c r="Q1419">
        <v>4</v>
      </c>
      <c r="R1419">
        <v>139</v>
      </c>
      <c r="S1419">
        <v>170.4</v>
      </c>
      <c r="T1419" t="s">
        <v>47</v>
      </c>
      <c r="U1419" s="7">
        <f t="shared" si="88"/>
        <v>39</v>
      </c>
      <c r="V1419" s="7" t="s">
        <v>4237</v>
      </c>
      <c r="W1419" s="6">
        <f t="shared" si="90"/>
        <v>8095.8999999999942</v>
      </c>
      <c r="X1419" t="str">
        <f t="shared" si="91"/>
        <v>Adult</v>
      </c>
    </row>
    <row r="1420" spans="1:24">
      <c r="A1420" t="s">
        <v>3143</v>
      </c>
      <c r="B1420" t="s">
        <v>1104</v>
      </c>
      <c r="C1420" t="s">
        <v>133</v>
      </c>
      <c r="D1420" s="5">
        <v>20196</v>
      </c>
      <c r="E1420" s="5">
        <v>45007</v>
      </c>
      <c r="F1420" s="5">
        <v>45023</v>
      </c>
      <c r="G1420" t="s">
        <v>161</v>
      </c>
      <c r="H1420" t="s">
        <v>52</v>
      </c>
      <c r="I1420" t="s">
        <v>33</v>
      </c>
      <c r="J1420" t="s">
        <v>64</v>
      </c>
      <c r="K1420" t="s">
        <v>55</v>
      </c>
      <c r="L1420" s="6">
        <v>30246.080000000002</v>
      </c>
      <c r="M1420">
        <v>24879.67</v>
      </c>
      <c r="N1420" t="s">
        <v>73</v>
      </c>
      <c r="O1420">
        <v>16</v>
      </c>
      <c r="P1420">
        <v>207</v>
      </c>
      <c r="Q1420">
        <v>4</v>
      </c>
      <c r="R1420">
        <v>135</v>
      </c>
      <c r="S1420">
        <v>103.6</v>
      </c>
      <c r="T1420" t="s">
        <v>4237</v>
      </c>
      <c r="U1420" s="7">
        <f t="shared" si="88"/>
        <v>67</v>
      </c>
      <c r="V1420" s="7">
        <f t="shared" si="89"/>
        <v>16</v>
      </c>
      <c r="W1420" s="6">
        <f t="shared" si="90"/>
        <v>5366.4100000000035</v>
      </c>
      <c r="X1420" t="str">
        <f t="shared" si="91"/>
        <v>Senior</v>
      </c>
    </row>
    <row r="1421" spans="1:24">
      <c r="A1421" t="s">
        <v>3145</v>
      </c>
      <c r="B1421" t="s">
        <v>850</v>
      </c>
      <c r="C1421" t="s">
        <v>40</v>
      </c>
      <c r="D1421" s="5">
        <v>24159</v>
      </c>
      <c r="E1421" s="5">
        <v>45783</v>
      </c>
      <c r="F1421" s="5">
        <v>45822</v>
      </c>
      <c r="G1421" t="s">
        <v>94</v>
      </c>
      <c r="H1421" t="s">
        <v>32</v>
      </c>
      <c r="I1421" t="s">
        <v>79</v>
      </c>
      <c r="J1421" t="s">
        <v>80</v>
      </c>
      <c r="K1421" t="s">
        <v>120</v>
      </c>
      <c r="L1421" s="6">
        <v>205093.23</v>
      </c>
      <c r="M1421">
        <v>182072.14</v>
      </c>
      <c r="N1421" t="s">
        <v>91</v>
      </c>
      <c r="O1421">
        <v>9</v>
      </c>
      <c r="P1421">
        <v>181</v>
      </c>
      <c r="Q1421">
        <v>4</v>
      </c>
      <c r="R1421">
        <v>189</v>
      </c>
      <c r="S1421">
        <v>226.4</v>
      </c>
      <c r="T1421" t="s">
        <v>4237</v>
      </c>
      <c r="U1421" s="7">
        <f t="shared" si="88"/>
        <v>59</v>
      </c>
      <c r="V1421" s="7">
        <f t="shared" si="89"/>
        <v>39</v>
      </c>
      <c r="W1421" s="6">
        <f t="shared" si="90"/>
        <v>23021.089999999997</v>
      </c>
      <c r="X1421" t="str">
        <f t="shared" si="91"/>
        <v>Middle Age</v>
      </c>
    </row>
    <row r="1422" spans="1:24">
      <c r="A1422" t="s">
        <v>3146</v>
      </c>
      <c r="B1422" t="s">
        <v>49</v>
      </c>
      <c r="C1422" t="s">
        <v>133</v>
      </c>
      <c r="D1422" s="5">
        <v>26985</v>
      </c>
      <c r="E1422" s="5">
        <v>45383</v>
      </c>
      <c r="F1422" s="5">
        <v>45304</v>
      </c>
      <c r="G1422" t="s">
        <v>161</v>
      </c>
      <c r="H1422" t="s">
        <v>113</v>
      </c>
      <c r="I1422" t="s">
        <v>45</v>
      </c>
      <c r="J1422" t="s">
        <v>97</v>
      </c>
      <c r="K1422" t="s">
        <v>55</v>
      </c>
      <c r="L1422" s="6">
        <v>128350.9</v>
      </c>
      <c r="M1422">
        <v>123222.43</v>
      </c>
      <c r="N1422" t="s">
        <v>56</v>
      </c>
      <c r="O1422">
        <v>9</v>
      </c>
      <c r="P1422">
        <v>224</v>
      </c>
      <c r="Q1422">
        <v>4</v>
      </c>
      <c r="R1422">
        <v>146</v>
      </c>
      <c r="S1422">
        <v>190.2</v>
      </c>
      <c r="T1422" t="s">
        <v>65</v>
      </c>
      <c r="U1422" s="7">
        <f t="shared" si="88"/>
        <v>50</v>
      </c>
      <c r="V1422" s="7">
        <f t="shared" si="89"/>
        <v>-79</v>
      </c>
      <c r="W1422" s="6">
        <f t="shared" si="90"/>
        <v>5128.4700000000012</v>
      </c>
      <c r="X1422" t="str">
        <f t="shared" si="91"/>
        <v>Middle Age</v>
      </c>
    </row>
    <row r="1423" spans="1:24">
      <c r="A1423" t="s">
        <v>3148</v>
      </c>
      <c r="B1423" t="s">
        <v>1464</v>
      </c>
      <c r="C1423" t="s">
        <v>133</v>
      </c>
      <c r="D1423" s="5">
        <v>25204</v>
      </c>
      <c r="E1423" s="5">
        <v>45560</v>
      </c>
      <c r="F1423" s="5">
        <v>45573</v>
      </c>
      <c r="G1423" t="s">
        <v>94</v>
      </c>
      <c r="H1423" t="s">
        <v>24</v>
      </c>
      <c r="I1423" t="s">
        <v>96</v>
      </c>
      <c r="J1423" t="s">
        <v>34</v>
      </c>
      <c r="K1423" t="s">
        <v>55</v>
      </c>
      <c r="L1423" s="6">
        <v>60570.31</v>
      </c>
      <c r="M1423">
        <v>40688.720000000001</v>
      </c>
      <c r="N1423" t="s">
        <v>4237</v>
      </c>
      <c r="O1423">
        <v>13</v>
      </c>
      <c r="P1423">
        <v>196</v>
      </c>
      <c r="Q1423">
        <v>5</v>
      </c>
      <c r="R1423">
        <v>161</v>
      </c>
      <c r="S1423">
        <v>210.9</v>
      </c>
      <c r="T1423" t="s">
        <v>37</v>
      </c>
      <c r="U1423" s="7">
        <f t="shared" si="88"/>
        <v>55</v>
      </c>
      <c r="V1423" s="7">
        <f t="shared" si="89"/>
        <v>13</v>
      </c>
      <c r="W1423" s="6">
        <f t="shared" si="90"/>
        <v>19881.589999999997</v>
      </c>
      <c r="X1423" t="str">
        <f t="shared" si="91"/>
        <v>Middle Age</v>
      </c>
    </row>
    <row r="1424" spans="1:24">
      <c r="A1424" t="s">
        <v>3150</v>
      </c>
      <c r="B1424" t="s">
        <v>354</v>
      </c>
      <c r="C1424" t="s">
        <v>40</v>
      </c>
      <c r="D1424" s="5">
        <v>19153</v>
      </c>
      <c r="E1424" s="5" t="s">
        <v>4237</v>
      </c>
      <c r="F1424" s="5">
        <v>45493</v>
      </c>
      <c r="G1424" t="s">
        <v>117</v>
      </c>
      <c r="H1424" t="s">
        <v>52</v>
      </c>
      <c r="I1424" t="s">
        <v>33</v>
      </c>
      <c r="J1424" t="s">
        <v>26</v>
      </c>
      <c r="K1424" t="s">
        <v>55</v>
      </c>
      <c r="L1424" s="6">
        <v>107304.98</v>
      </c>
      <c r="M1424">
        <v>84164.17</v>
      </c>
      <c r="N1424" t="s">
        <v>192</v>
      </c>
      <c r="O1424">
        <v>5</v>
      </c>
      <c r="P1424">
        <v>83</v>
      </c>
      <c r="Q1424">
        <v>4</v>
      </c>
      <c r="R1424">
        <v>145</v>
      </c>
      <c r="S1424">
        <v>223.3</v>
      </c>
      <c r="T1424" t="s">
        <v>37</v>
      </c>
      <c r="U1424" s="7" t="s">
        <v>4237</v>
      </c>
      <c r="V1424" s="7" t="s">
        <v>4237</v>
      </c>
      <c r="W1424" s="6">
        <f t="shared" si="90"/>
        <v>23140.809999999998</v>
      </c>
      <c r="X1424" t="s">
        <v>4237</v>
      </c>
    </row>
    <row r="1425" spans="1:24">
      <c r="A1425" t="s">
        <v>3152</v>
      </c>
      <c r="B1425" t="s">
        <v>565</v>
      </c>
      <c r="C1425" t="s">
        <v>40</v>
      </c>
      <c r="D1425" s="5">
        <v>28699</v>
      </c>
      <c r="E1425" s="5">
        <v>45943</v>
      </c>
      <c r="F1425" s="5" t="s">
        <v>4237</v>
      </c>
      <c r="G1425" t="s">
        <v>105</v>
      </c>
      <c r="H1425" t="s">
        <v>134</v>
      </c>
      <c r="I1425" t="s">
        <v>33</v>
      </c>
      <c r="J1425" t="s">
        <v>46</v>
      </c>
      <c r="K1425" t="s">
        <v>55</v>
      </c>
      <c r="L1425" s="6">
        <v>144852.57</v>
      </c>
      <c r="M1425">
        <v>128702.26</v>
      </c>
      <c r="N1425" t="s">
        <v>192</v>
      </c>
      <c r="O1425">
        <v>1</v>
      </c>
      <c r="P1425">
        <v>221</v>
      </c>
      <c r="Q1425">
        <v>4</v>
      </c>
      <c r="R1425">
        <v>183</v>
      </c>
      <c r="S1425">
        <v>219.4</v>
      </c>
      <c r="T1425" t="s">
        <v>4237</v>
      </c>
      <c r="U1425" s="7">
        <f t="shared" si="88"/>
        <v>47</v>
      </c>
      <c r="V1425" s="7" t="s">
        <v>4237</v>
      </c>
      <c r="W1425" s="6">
        <f t="shared" si="90"/>
        <v>16150.310000000012</v>
      </c>
      <c r="X1425" t="str">
        <f t="shared" si="91"/>
        <v>Middle Age</v>
      </c>
    </row>
    <row r="1426" spans="1:24">
      <c r="A1426" t="s">
        <v>3154</v>
      </c>
      <c r="B1426" t="s">
        <v>999</v>
      </c>
      <c r="C1426" t="s">
        <v>40</v>
      </c>
      <c r="D1426" s="5">
        <v>40183</v>
      </c>
      <c r="E1426" s="5">
        <v>45674</v>
      </c>
      <c r="F1426" s="5">
        <v>45675</v>
      </c>
      <c r="G1426" t="s">
        <v>105</v>
      </c>
      <c r="H1426" t="s">
        <v>63</v>
      </c>
      <c r="I1426" t="s">
        <v>96</v>
      </c>
      <c r="J1426" t="s">
        <v>71</v>
      </c>
      <c r="K1426" t="s">
        <v>120</v>
      </c>
      <c r="L1426" s="6">
        <v>155381.25</v>
      </c>
      <c r="M1426">
        <v>138595.39000000001</v>
      </c>
      <c r="N1426" t="s">
        <v>192</v>
      </c>
      <c r="O1426">
        <v>1</v>
      </c>
      <c r="P1426">
        <v>205</v>
      </c>
      <c r="Q1426">
        <v>4</v>
      </c>
      <c r="R1426">
        <v>131</v>
      </c>
      <c r="S1426">
        <v>157.1</v>
      </c>
      <c r="T1426" t="s">
        <v>65</v>
      </c>
      <c r="U1426" s="7">
        <f t="shared" si="88"/>
        <v>15</v>
      </c>
      <c r="V1426" s="7">
        <f t="shared" si="89"/>
        <v>1</v>
      </c>
      <c r="W1426" s="6">
        <f t="shared" si="90"/>
        <v>16785.859999999986</v>
      </c>
      <c r="X1426" t="str">
        <f t="shared" si="91"/>
        <v>Child</v>
      </c>
    </row>
    <row r="1427" spans="1:24">
      <c r="A1427" t="s">
        <v>3157</v>
      </c>
      <c r="B1427" t="s">
        <v>1393</v>
      </c>
      <c r="C1427" t="s">
        <v>133</v>
      </c>
      <c r="D1427" s="5">
        <v>23128</v>
      </c>
      <c r="E1427" s="5">
        <v>45619</v>
      </c>
      <c r="F1427" s="5">
        <v>45628</v>
      </c>
      <c r="G1427" t="s">
        <v>152</v>
      </c>
      <c r="H1427" t="s">
        <v>153</v>
      </c>
      <c r="I1427" t="s">
        <v>119</v>
      </c>
      <c r="J1427" t="s">
        <v>179</v>
      </c>
      <c r="K1427" t="s">
        <v>110</v>
      </c>
      <c r="L1427" s="6">
        <v>249922.52</v>
      </c>
      <c r="M1427">
        <v>246324.71</v>
      </c>
      <c r="N1427" t="s">
        <v>35</v>
      </c>
      <c r="O1427">
        <v>9</v>
      </c>
      <c r="P1427">
        <v>204</v>
      </c>
      <c r="Q1427">
        <v>1</v>
      </c>
      <c r="R1427">
        <v>177</v>
      </c>
      <c r="S1427">
        <v>155.4</v>
      </c>
      <c r="T1427" t="s">
        <v>37</v>
      </c>
      <c r="U1427" s="7">
        <f t="shared" si="88"/>
        <v>61</v>
      </c>
      <c r="V1427" s="7">
        <f t="shared" si="89"/>
        <v>9</v>
      </c>
      <c r="W1427" s="6">
        <f t="shared" si="90"/>
        <v>3597.8099999999977</v>
      </c>
      <c r="X1427" t="str">
        <f t="shared" si="91"/>
        <v>Senior</v>
      </c>
    </row>
    <row r="1428" spans="1:24">
      <c r="A1428" t="s">
        <v>3158</v>
      </c>
      <c r="B1428" t="s">
        <v>1119</v>
      </c>
      <c r="C1428" t="s">
        <v>133</v>
      </c>
      <c r="D1428" s="5">
        <v>37704</v>
      </c>
      <c r="E1428" s="5">
        <v>45800</v>
      </c>
      <c r="F1428" s="5" t="s">
        <v>4237</v>
      </c>
      <c r="G1428" t="s">
        <v>43</v>
      </c>
      <c r="H1428" t="s">
        <v>134</v>
      </c>
      <c r="I1428" t="s">
        <v>25</v>
      </c>
      <c r="J1428" t="s">
        <v>97</v>
      </c>
      <c r="K1428" t="s">
        <v>27</v>
      </c>
      <c r="L1428" s="6">
        <v>195022.36</v>
      </c>
      <c r="M1428">
        <v>167559.9</v>
      </c>
      <c r="N1428" t="s">
        <v>56</v>
      </c>
      <c r="O1428">
        <v>13</v>
      </c>
      <c r="P1428">
        <v>83</v>
      </c>
      <c r="Q1428">
        <v>5</v>
      </c>
      <c r="R1428">
        <v>159</v>
      </c>
      <c r="S1428">
        <v>102.8</v>
      </c>
      <c r="T1428" t="s">
        <v>37</v>
      </c>
      <c r="U1428" s="7">
        <f t="shared" si="88"/>
        <v>22</v>
      </c>
      <c r="V1428" s="7" t="s">
        <v>4237</v>
      </c>
      <c r="W1428" s="6">
        <f t="shared" si="90"/>
        <v>27462.459999999992</v>
      </c>
      <c r="X1428" t="str">
        <f t="shared" si="91"/>
        <v>Adult</v>
      </c>
    </row>
    <row r="1429" spans="1:24">
      <c r="A1429" t="s">
        <v>3159</v>
      </c>
      <c r="B1429" t="s">
        <v>373</v>
      </c>
      <c r="C1429" t="s">
        <v>40</v>
      </c>
      <c r="D1429" s="5">
        <v>24175</v>
      </c>
      <c r="E1429" s="5">
        <v>45932</v>
      </c>
      <c r="F1429" s="5">
        <v>45936</v>
      </c>
      <c r="G1429" t="s">
        <v>109</v>
      </c>
      <c r="H1429" t="s">
        <v>118</v>
      </c>
      <c r="I1429" t="s">
        <v>33</v>
      </c>
      <c r="J1429" t="s">
        <v>64</v>
      </c>
      <c r="K1429" t="s">
        <v>110</v>
      </c>
      <c r="L1429" s="6">
        <v>30144.83</v>
      </c>
      <c r="M1429">
        <v>29646.03</v>
      </c>
      <c r="N1429" t="s">
        <v>4237</v>
      </c>
      <c r="O1429">
        <v>4</v>
      </c>
      <c r="P1429">
        <v>114</v>
      </c>
      <c r="Q1429">
        <v>5</v>
      </c>
      <c r="R1429">
        <v>92</v>
      </c>
      <c r="S1429">
        <v>232.4</v>
      </c>
      <c r="T1429" t="s">
        <v>4237</v>
      </c>
      <c r="U1429" s="7">
        <f t="shared" si="88"/>
        <v>59</v>
      </c>
      <c r="V1429" s="7">
        <f t="shared" si="89"/>
        <v>4</v>
      </c>
      <c r="W1429" s="6">
        <f t="shared" si="90"/>
        <v>498.80000000000291</v>
      </c>
      <c r="X1429" t="str">
        <f t="shared" si="91"/>
        <v>Middle Age</v>
      </c>
    </row>
    <row r="1430" spans="1:24">
      <c r="A1430" t="s">
        <v>4190</v>
      </c>
      <c r="B1430" t="s">
        <v>624</v>
      </c>
      <c r="C1430" t="s">
        <v>133</v>
      </c>
      <c r="D1430" s="5">
        <v>29527</v>
      </c>
      <c r="E1430" s="5">
        <v>44970</v>
      </c>
      <c r="F1430" s="5" t="s">
        <v>4237</v>
      </c>
      <c r="G1430" t="s">
        <v>94</v>
      </c>
      <c r="H1430" t="s">
        <v>78</v>
      </c>
      <c r="I1430" t="s">
        <v>96</v>
      </c>
      <c r="J1430" t="s">
        <v>64</v>
      </c>
      <c r="K1430" t="s">
        <v>161</v>
      </c>
      <c r="L1430" s="6">
        <v>7049.72</v>
      </c>
      <c r="M1430">
        <v>6937.51</v>
      </c>
      <c r="N1430" t="s">
        <v>192</v>
      </c>
      <c r="O1430">
        <v>17</v>
      </c>
      <c r="P1430">
        <v>127</v>
      </c>
      <c r="Q1430">
        <v>5</v>
      </c>
      <c r="R1430">
        <v>119</v>
      </c>
      <c r="S1430">
        <v>103.8</v>
      </c>
      <c r="T1430" t="s">
        <v>37</v>
      </c>
      <c r="U1430" s="7">
        <f t="shared" si="88"/>
        <v>42</v>
      </c>
      <c r="V1430" s="7" t="s">
        <v>4237</v>
      </c>
      <c r="W1430" s="6">
        <f t="shared" si="90"/>
        <v>112.21000000000004</v>
      </c>
      <c r="X1430" t="str">
        <f t="shared" si="91"/>
        <v>Middle Age</v>
      </c>
    </row>
    <row r="1431" spans="1:24">
      <c r="A1431" t="s">
        <v>3161</v>
      </c>
      <c r="B1431" t="s">
        <v>417</v>
      </c>
      <c r="C1431" t="s">
        <v>133</v>
      </c>
      <c r="D1431" s="5">
        <v>27882</v>
      </c>
      <c r="E1431" s="5">
        <v>45433</v>
      </c>
      <c r="F1431" s="5">
        <v>45436</v>
      </c>
      <c r="G1431" t="s">
        <v>89</v>
      </c>
      <c r="H1431" t="s">
        <v>124</v>
      </c>
      <c r="I1431" t="s">
        <v>33</v>
      </c>
      <c r="J1431" t="s">
        <v>64</v>
      </c>
      <c r="K1431" t="s">
        <v>55</v>
      </c>
      <c r="L1431" s="6">
        <v>226655.79</v>
      </c>
      <c r="M1431">
        <v>188213.55</v>
      </c>
      <c r="N1431" t="s">
        <v>192</v>
      </c>
      <c r="O1431">
        <v>3</v>
      </c>
      <c r="P1431">
        <v>96</v>
      </c>
      <c r="Q1431">
        <v>5</v>
      </c>
      <c r="R1431">
        <v>102</v>
      </c>
      <c r="S1431">
        <v>255.7</v>
      </c>
      <c r="T1431" t="s">
        <v>4237</v>
      </c>
      <c r="U1431" s="7">
        <f t="shared" si="88"/>
        <v>48</v>
      </c>
      <c r="V1431" s="7">
        <f t="shared" si="89"/>
        <v>3</v>
      </c>
      <c r="W1431" s="6">
        <f t="shared" si="90"/>
        <v>38442.24000000002</v>
      </c>
      <c r="X1431" t="str">
        <f t="shared" si="91"/>
        <v>Middle Age</v>
      </c>
    </row>
    <row r="1432" spans="1:24">
      <c r="A1432" t="s">
        <v>3162</v>
      </c>
      <c r="B1432" t="s">
        <v>342</v>
      </c>
      <c r="C1432" t="s">
        <v>133</v>
      </c>
      <c r="D1432" s="5">
        <v>24173</v>
      </c>
      <c r="E1432" s="5">
        <v>45521</v>
      </c>
      <c r="F1432" s="5">
        <v>45528</v>
      </c>
      <c r="G1432" t="s">
        <v>94</v>
      </c>
      <c r="H1432" t="s">
        <v>153</v>
      </c>
      <c r="I1432" t="s">
        <v>33</v>
      </c>
      <c r="J1432" t="s">
        <v>46</v>
      </c>
      <c r="K1432" t="s">
        <v>55</v>
      </c>
      <c r="L1432" s="6">
        <v>220432.28</v>
      </c>
      <c r="M1432">
        <v>173081.72</v>
      </c>
      <c r="N1432" t="s">
        <v>91</v>
      </c>
      <c r="O1432">
        <v>7</v>
      </c>
      <c r="P1432">
        <v>121</v>
      </c>
      <c r="Q1432">
        <v>3</v>
      </c>
      <c r="R1432">
        <v>157</v>
      </c>
      <c r="S1432">
        <v>165.2</v>
      </c>
      <c r="T1432" t="s">
        <v>37</v>
      </c>
      <c r="U1432" s="7">
        <f t="shared" si="88"/>
        <v>58</v>
      </c>
      <c r="V1432" s="7">
        <f t="shared" si="89"/>
        <v>7</v>
      </c>
      <c r="W1432" s="6">
        <f t="shared" si="90"/>
        <v>47350.559999999998</v>
      </c>
      <c r="X1432" t="str">
        <f t="shared" si="91"/>
        <v>Middle Age</v>
      </c>
    </row>
    <row r="1433" spans="1:24">
      <c r="A1433" t="s">
        <v>3163</v>
      </c>
      <c r="B1433" t="s">
        <v>611</v>
      </c>
      <c r="C1433" t="s">
        <v>133</v>
      </c>
      <c r="D1433" s="5">
        <v>34015</v>
      </c>
      <c r="E1433" s="5">
        <v>45345</v>
      </c>
      <c r="F1433" s="5">
        <v>45348</v>
      </c>
      <c r="G1433" t="s">
        <v>105</v>
      </c>
      <c r="H1433" t="s">
        <v>24</v>
      </c>
      <c r="I1433" t="s">
        <v>119</v>
      </c>
      <c r="J1433" t="s">
        <v>46</v>
      </c>
      <c r="K1433" t="s">
        <v>27</v>
      </c>
      <c r="L1433" s="6">
        <v>51472.28</v>
      </c>
      <c r="M1433">
        <v>40735.24</v>
      </c>
      <c r="N1433" t="s">
        <v>56</v>
      </c>
      <c r="O1433">
        <v>3</v>
      </c>
      <c r="P1433">
        <v>160</v>
      </c>
      <c r="Q1433">
        <v>3</v>
      </c>
      <c r="R1433">
        <v>125</v>
      </c>
      <c r="S1433">
        <v>233.8</v>
      </c>
      <c r="T1433" t="s">
        <v>4237</v>
      </c>
      <c r="U1433" s="7">
        <f t="shared" si="88"/>
        <v>31</v>
      </c>
      <c r="V1433" s="7">
        <f t="shared" si="89"/>
        <v>3</v>
      </c>
      <c r="W1433" s="6">
        <f t="shared" si="90"/>
        <v>10737.04</v>
      </c>
      <c r="X1433" t="str">
        <f t="shared" si="91"/>
        <v>Adult</v>
      </c>
    </row>
    <row r="1434" spans="1:24">
      <c r="A1434" t="s">
        <v>3165</v>
      </c>
      <c r="B1434" t="s">
        <v>1700</v>
      </c>
      <c r="C1434" t="s">
        <v>133</v>
      </c>
      <c r="D1434" s="5">
        <v>38628</v>
      </c>
      <c r="E1434" s="5">
        <v>45278</v>
      </c>
      <c r="F1434" s="5">
        <v>45295</v>
      </c>
      <c r="G1434" t="s">
        <v>77</v>
      </c>
      <c r="H1434" t="s">
        <v>124</v>
      </c>
      <c r="I1434" t="s">
        <v>33</v>
      </c>
      <c r="J1434" t="s">
        <v>34</v>
      </c>
      <c r="K1434" t="s">
        <v>110</v>
      </c>
      <c r="L1434" s="6">
        <v>66134.960000000006</v>
      </c>
      <c r="M1434">
        <v>48513.86</v>
      </c>
      <c r="N1434" t="s">
        <v>192</v>
      </c>
      <c r="O1434">
        <v>17</v>
      </c>
      <c r="P1434">
        <v>162</v>
      </c>
      <c r="Q1434">
        <v>2</v>
      </c>
      <c r="R1434">
        <v>96</v>
      </c>
      <c r="S1434">
        <v>126</v>
      </c>
      <c r="T1434" t="s">
        <v>37</v>
      </c>
      <c r="U1434" s="7">
        <f t="shared" si="88"/>
        <v>18</v>
      </c>
      <c r="V1434" s="7">
        <f t="shared" si="89"/>
        <v>17</v>
      </c>
      <c r="W1434" s="6">
        <f t="shared" si="90"/>
        <v>17621.100000000006</v>
      </c>
      <c r="X1434" t="str">
        <f t="shared" si="91"/>
        <v>Adult</v>
      </c>
    </row>
    <row r="1435" spans="1:24">
      <c r="A1435" t="s">
        <v>3167</v>
      </c>
      <c r="B1435" t="s">
        <v>587</v>
      </c>
      <c r="C1435" t="s">
        <v>133</v>
      </c>
      <c r="D1435" s="5">
        <v>18749</v>
      </c>
      <c r="E1435" s="5">
        <v>45467</v>
      </c>
      <c r="F1435" s="5">
        <v>45470</v>
      </c>
      <c r="G1435" t="s">
        <v>152</v>
      </c>
      <c r="H1435" t="s">
        <v>32</v>
      </c>
      <c r="I1435" t="s">
        <v>33</v>
      </c>
      <c r="J1435" t="s">
        <v>64</v>
      </c>
      <c r="K1435" t="s">
        <v>110</v>
      </c>
      <c r="L1435" s="6">
        <v>19592.669999999998</v>
      </c>
      <c r="M1435">
        <v>16446.28</v>
      </c>
      <c r="N1435" t="s">
        <v>35</v>
      </c>
      <c r="O1435">
        <v>3</v>
      </c>
      <c r="P1435">
        <v>76</v>
      </c>
      <c r="Q1435">
        <v>4</v>
      </c>
      <c r="R1435">
        <v>190</v>
      </c>
      <c r="S1435">
        <v>200.8</v>
      </c>
      <c r="T1435" t="s">
        <v>37</v>
      </c>
      <c r="U1435" s="7">
        <f t="shared" si="88"/>
        <v>73</v>
      </c>
      <c r="V1435" s="7">
        <f t="shared" si="89"/>
        <v>3</v>
      </c>
      <c r="W1435" s="6">
        <f t="shared" si="90"/>
        <v>3146.3899999999994</v>
      </c>
      <c r="X1435" t="str">
        <f t="shared" si="91"/>
        <v>Senior</v>
      </c>
    </row>
    <row r="1436" spans="1:24">
      <c r="A1436" t="s">
        <v>3168</v>
      </c>
      <c r="B1436" t="s">
        <v>2029</v>
      </c>
      <c r="C1436" t="s">
        <v>40</v>
      </c>
      <c r="D1436" s="5">
        <v>33635</v>
      </c>
      <c r="E1436" s="5">
        <v>45160</v>
      </c>
      <c r="F1436" s="5">
        <v>45171</v>
      </c>
      <c r="G1436" t="s">
        <v>105</v>
      </c>
      <c r="H1436" t="s">
        <v>134</v>
      </c>
      <c r="I1436" t="s">
        <v>33</v>
      </c>
      <c r="J1436" t="s">
        <v>80</v>
      </c>
      <c r="K1436" t="s">
        <v>55</v>
      </c>
      <c r="L1436" s="6">
        <v>238711.99</v>
      </c>
      <c r="M1436">
        <v>225292.5</v>
      </c>
      <c r="N1436" t="s">
        <v>73</v>
      </c>
      <c r="O1436">
        <v>11</v>
      </c>
      <c r="P1436">
        <v>127</v>
      </c>
      <c r="Q1436">
        <v>1</v>
      </c>
      <c r="R1436">
        <v>178</v>
      </c>
      <c r="S1436">
        <v>78.8</v>
      </c>
      <c r="T1436" t="s">
        <v>4237</v>
      </c>
      <c r="U1436" s="7">
        <f t="shared" si="88"/>
        <v>31</v>
      </c>
      <c r="V1436" s="7">
        <f t="shared" si="89"/>
        <v>11</v>
      </c>
      <c r="W1436" s="6">
        <f t="shared" si="90"/>
        <v>13419.489999999991</v>
      </c>
      <c r="X1436" t="str">
        <f t="shared" si="91"/>
        <v>Adult</v>
      </c>
    </row>
    <row r="1437" spans="1:24">
      <c r="A1437" t="s">
        <v>3170</v>
      </c>
      <c r="B1437" t="s">
        <v>1200</v>
      </c>
      <c r="C1437" t="s">
        <v>40</v>
      </c>
      <c r="D1437" s="5">
        <v>23230</v>
      </c>
      <c r="E1437" s="5">
        <v>45410</v>
      </c>
      <c r="F1437" s="5">
        <v>45426</v>
      </c>
      <c r="G1437" t="s">
        <v>152</v>
      </c>
      <c r="H1437" t="s">
        <v>24</v>
      </c>
      <c r="I1437" t="s">
        <v>33</v>
      </c>
      <c r="J1437" t="s">
        <v>179</v>
      </c>
      <c r="K1437" t="s">
        <v>110</v>
      </c>
      <c r="L1437" s="6">
        <v>26682.39</v>
      </c>
      <c r="M1437">
        <v>23205.79</v>
      </c>
      <c r="N1437" t="s">
        <v>192</v>
      </c>
      <c r="O1437">
        <v>16</v>
      </c>
      <c r="P1437">
        <v>110</v>
      </c>
      <c r="Q1437">
        <v>3</v>
      </c>
      <c r="R1437">
        <v>99</v>
      </c>
      <c r="S1437">
        <v>227.1</v>
      </c>
      <c r="T1437" t="s">
        <v>37</v>
      </c>
      <c r="U1437" s="7">
        <f t="shared" si="88"/>
        <v>60</v>
      </c>
      <c r="V1437" s="7">
        <f t="shared" si="89"/>
        <v>16</v>
      </c>
      <c r="W1437" s="6">
        <f t="shared" si="90"/>
        <v>3476.5999999999985</v>
      </c>
      <c r="X1437" t="str">
        <f t="shared" si="91"/>
        <v>Senior</v>
      </c>
    </row>
    <row r="1438" spans="1:24">
      <c r="A1438" t="s">
        <v>3173</v>
      </c>
      <c r="B1438" t="s">
        <v>852</v>
      </c>
      <c r="C1438" t="s">
        <v>133</v>
      </c>
      <c r="D1438" s="5">
        <v>19439</v>
      </c>
      <c r="E1438" s="5">
        <v>45568</v>
      </c>
      <c r="F1438" s="5">
        <v>45571</v>
      </c>
      <c r="G1438" t="s">
        <v>109</v>
      </c>
      <c r="H1438" t="s">
        <v>86</v>
      </c>
      <c r="I1438" t="s">
        <v>119</v>
      </c>
      <c r="J1438" t="s">
        <v>64</v>
      </c>
      <c r="K1438" t="s">
        <v>161</v>
      </c>
      <c r="L1438" s="6">
        <v>181162.12</v>
      </c>
      <c r="M1438">
        <v>171850.62</v>
      </c>
      <c r="N1438" t="s">
        <v>35</v>
      </c>
      <c r="O1438">
        <v>3</v>
      </c>
      <c r="P1438">
        <v>26</v>
      </c>
      <c r="Q1438">
        <v>2</v>
      </c>
      <c r="R1438">
        <v>161</v>
      </c>
      <c r="S1438">
        <v>205.1</v>
      </c>
      <c r="T1438" t="s">
        <v>37</v>
      </c>
      <c r="U1438" s="7">
        <f t="shared" si="88"/>
        <v>71</v>
      </c>
      <c r="V1438" s="7">
        <f t="shared" si="89"/>
        <v>3</v>
      </c>
      <c r="W1438" s="6">
        <f t="shared" si="90"/>
        <v>9311.5</v>
      </c>
      <c r="X1438" t="str">
        <f t="shared" si="91"/>
        <v>Senior</v>
      </c>
    </row>
    <row r="1439" spans="1:24">
      <c r="A1439" t="s">
        <v>3176</v>
      </c>
      <c r="B1439" t="s">
        <v>1362</v>
      </c>
      <c r="C1439" t="s">
        <v>133</v>
      </c>
      <c r="D1439" s="5">
        <v>29422</v>
      </c>
      <c r="E1439" s="5">
        <v>45317</v>
      </c>
      <c r="F1439" s="5">
        <v>45326</v>
      </c>
      <c r="G1439" t="s">
        <v>94</v>
      </c>
      <c r="H1439" t="s">
        <v>32</v>
      </c>
      <c r="I1439" t="s">
        <v>33</v>
      </c>
      <c r="J1439" t="s">
        <v>64</v>
      </c>
      <c r="K1439" t="s">
        <v>120</v>
      </c>
      <c r="L1439" s="6">
        <v>110662.79</v>
      </c>
      <c r="M1439">
        <v>105594.87</v>
      </c>
      <c r="N1439" t="s">
        <v>4237</v>
      </c>
      <c r="O1439">
        <v>9</v>
      </c>
      <c r="P1439">
        <v>70</v>
      </c>
      <c r="Q1439">
        <v>4</v>
      </c>
      <c r="R1439">
        <v>132</v>
      </c>
      <c r="S1439">
        <v>141.4</v>
      </c>
      <c r="T1439" t="s">
        <v>65</v>
      </c>
      <c r="U1439" s="7">
        <f t="shared" si="88"/>
        <v>43</v>
      </c>
      <c r="V1439" s="7">
        <f t="shared" si="89"/>
        <v>9</v>
      </c>
      <c r="W1439" s="6">
        <f t="shared" si="90"/>
        <v>5067.9199999999983</v>
      </c>
      <c r="X1439" t="str">
        <f t="shared" si="91"/>
        <v>Middle Age</v>
      </c>
    </row>
    <row r="1440" spans="1:24">
      <c r="A1440" t="s">
        <v>3178</v>
      </c>
      <c r="B1440" t="s">
        <v>394</v>
      </c>
      <c r="C1440" t="s">
        <v>40</v>
      </c>
      <c r="D1440" s="5">
        <v>36519</v>
      </c>
      <c r="E1440" s="5">
        <v>45934</v>
      </c>
      <c r="F1440" s="5">
        <v>45945</v>
      </c>
      <c r="G1440" t="s">
        <v>161</v>
      </c>
      <c r="H1440" t="s">
        <v>153</v>
      </c>
      <c r="I1440" t="s">
        <v>53</v>
      </c>
      <c r="J1440" t="s">
        <v>34</v>
      </c>
      <c r="K1440" t="s">
        <v>55</v>
      </c>
      <c r="L1440" s="6">
        <v>194850.95</v>
      </c>
      <c r="M1440">
        <v>182770.26</v>
      </c>
      <c r="N1440" t="s">
        <v>192</v>
      </c>
      <c r="O1440">
        <v>11</v>
      </c>
      <c r="P1440">
        <v>81</v>
      </c>
      <c r="Q1440">
        <v>4</v>
      </c>
      <c r="R1440">
        <v>161</v>
      </c>
      <c r="S1440">
        <v>227.2</v>
      </c>
      <c r="T1440" t="s">
        <v>37</v>
      </c>
      <c r="U1440" s="7">
        <f t="shared" si="88"/>
        <v>25</v>
      </c>
      <c r="V1440" s="7">
        <f t="shared" si="89"/>
        <v>11</v>
      </c>
      <c r="W1440" s="6">
        <f t="shared" si="90"/>
        <v>12080.690000000002</v>
      </c>
      <c r="X1440" t="str">
        <f t="shared" si="91"/>
        <v>Adult</v>
      </c>
    </row>
    <row r="1441" spans="1:24">
      <c r="A1441" t="s">
        <v>3179</v>
      </c>
      <c r="B1441" t="s">
        <v>1153</v>
      </c>
      <c r="C1441" t="s">
        <v>40</v>
      </c>
      <c r="D1441" s="5">
        <v>27182</v>
      </c>
      <c r="E1441" s="5">
        <v>45464</v>
      </c>
      <c r="F1441" s="5">
        <v>45473</v>
      </c>
      <c r="G1441" t="s">
        <v>161</v>
      </c>
      <c r="H1441" t="s">
        <v>44</v>
      </c>
      <c r="I1441" t="s">
        <v>96</v>
      </c>
      <c r="J1441" t="s">
        <v>97</v>
      </c>
      <c r="K1441" t="s">
        <v>120</v>
      </c>
      <c r="L1441" s="6">
        <v>156972.47</v>
      </c>
      <c r="M1441">
        <v>145941.39000000001</v>
      </c>
      <c r="N1441" t="s">
        <v>35</v>
      </c>
      <c r="O1441">
        <v>9</v>
      </c>
      <c r="P1441">
        <v>196</v>
      </c>
      <c r="Q1441">
        <v>4</v>
      </c>
      <c r="R1441">
        <v>153</v>
      </c>
      <c r="S1441">
        <v>220.3</v>
      </c>
      <c r="T1441" t="s">
        <v>37</v>
      </c>
      <c r="U1441" s="7">
        <f t="shared" si="88"/>
        <v>50</v>
      </c>
      <c r="V1441" s="7">
        <f t="shared" si="89"/>
        <v>9</v>
      </c>
      <c r="W1441" s="6">
        <f t="shared" si="90"/>
        <v>11031.079999999987</v>
      </c>
      <c r="X1441" t="str">
        <f t="shared" si="91"/>
        <v>Middle Age</v>
      </c>
    </row>
    <row r="1442" spans="1:24">
      <c r="A1442" t="s">
        <v>3181</v>
      </c>
      <c r="B1442" t="s">
        <v>965</v>
      </c>
      <c r="C1442" t="s">
        <v>40</v>
      </c>
      <c r="D1442" s="5">
        <v>40392</v>
      </c>
      <c r="E1442" s="5">
        <v>45527</v>
      </c>
      <c r="F1442" s="5">
        <v>45532</v>
      </c>
      <c r="G1442" t="s">
        <v>43</v>
      </c>
      <c r="H1442" t="s">
        <v>153</v>
      </c>
      <c r="I1442" t="s">
        <v>33</v>
      </c>
      <c r="J1442" t="s">
        <v>71</v>
      </c>
      <c r="K1442" t="s">
        <v>55</v>
      </c>
      <c r="L1442" s="6">
        <v>39592.230000000003</v>
      </c>
      <c r="M1442">
        <v>33003.51</v>
      </c>
      <c r="N1442" t="s">
        <v>35</v>
      </c>
      <c r="O1442">
        <v>5</v>
      </c>
      <c r="P1442">
        <v>102</v>
      </c>
      <c r="Q1442">
        <v>4</v>
      </c>
      <c r="R1442">
        <v>100</v>
      </c>
      <c r="S1442">
        <v>153.4</v>
      </c>
      <c r="T1442" t="s">
        <v>37</v>
      </c>
      <c r="U1442" s="7">
        <f t="shared" si="88"/>
        <v>14</v>
      </c>
      <c r="V1442" s="7">
        <f t="shared" si="89"/>
        <v>5</v>
      </c>
      <c r="W1442" s="6">
        <f t="shared" si="90"/>
        <v>6588.7200000000012</v>
      </c>
      <c r="X1442" t="str">
        <f t="shared" si="91"/>
        <v>Child</v>
      </c>
    </row>
    <row r="1443" spans="1:24">
      <c r="A1443" t="s">
        <v>3183</v>
      </c>
      <c r="B1443" t="s">
        <v>857</v>
      </c>
      <c r="C1443" t="s">
        <v>40</v>
      </c>
      <c r="D1443" s="5">
        <v>34274</v>
      </c>
      <c r="E1443" s="5">
        <v>45442</v>
      </c>
      <c r="F1443" s="5">
        <v>45446</v>
      </c>
      <c r="G1443" t="s">
        <v>94</v>
      </c>
      <c r="H1443" t="s">
        <v>52</v>
      </c>
      <c r="I1443" t="s">
        <v>119</v>
      </c>
      <c r="J1443" t="s">
        <v>179</v>
      </c>
      <c r="K1443" t="s">
        <v>55</v>
      </c>
      <c r="L1443" s="6">
        <v>9750.7900000000009</v>
      </c>
      <c r="M1443">
        <v>7685.96</v>
      </c>
      <c r="N1443" t="s">
        <v>35</v>
      </c>
      <c r="O1443">
        <v>4</v>
      </c>
      <c r="P1443">
        <v>25</v>
      </c>
      <c r="Q1443">
        <v>4</v>
      </c>
      <c r="R1443">
        <v>134</v>
      </c>
      <c r="S1443">
        <v>214</v>
      </c>
      <c r="T1443" t="s">
        <v>37</v>
      </c>
      <c r="U1443" s="7">
        <f t="shared" si="88"/>
        <v>30</v>
      </c>
      <c r="V1443" s="7">
        <f t="shared" si="89"/>
        <v>4</v>
      </c>
      <c r="W1443" s="6">
        <f t="shared" si="90"/>
        <v>2064.8300000000008</v>
      </c>
      <c r="X1443" t="str">
        <f t="shared" si="91"/>
        <v>Adult</v>
      </c>
    </row>
    <row r="1444" spans="1:24">
      <c r="A1444" t="s">
        <v>3185</v>
      </c>
      <c r="B1444" t="s">
        <v>760</v>
      </c>
      <c r="C1444" t="s">
        <v>133</v>
      </c>
      <c r="D1444" s="5">
        <v>28322</v>
      </c>
      <c r="E1444" s="5">
        <v>45195</v>
      </c>
      <c r="F1444" s="5">
        <v>45198</v>
      </c>
      <c r="G1444" t="s">
        <v>62</v>
      </c>
      <c r="H1444" t="s">
        <v>78</v>
      </c>
      <c r="I1444" t="s">
        <v>53</v>
      </c>
      <c r="J1444" t="s">
        <v>64</v>
      </c>
      <c r="K1444" t="s">
        <v>120</v>
      </c>
      <c r="L1444" s="6">
        <v>190531.51</v>
      </c>
      <c r="M1444">
        <v>166878.62</v>
      </c>
      <c r="N1444" t="s">
        <v>192</v>
      </c>
      <c r="O1444">
        <v>3</v>
      </c>
      <c r="P1444">
        <v>35</v>
      </c>
      <c r="Q1444">
        <v>5</v>
      </c>
      <c r="R1444">
        <v>116</v>
      </c>
      <c r="S1444">
        <v>72</v>
      </c>
      <c r="T1444" t="s">
        <v>4237</v>
      </c>
      <c r="U1444" s="7">
        <f t="shared" si="88"/>
        <v>46</v>
      </c>
      <c r="V1444" s="7">
        <f t="shared" si="89"/>
        <v>3</v>
      </c>
      <c r="W1444" s="6">
        <f t="shared" si="90"/>
        <v>23652.890000000014</v>
      </c>
      <c r="X1444" t="str">
        <f t="shared" si="91"/>
        <v>Middle Age</v>
      </c>
    </row>
    <row r="1445" spans="1:24">
      <c r="A1445" t="s">
        <v>3187</v>
      </c>
      <c r="B1445" t="s">
        <v>173</v>
      </c>
      <c r="C1445" t="s">
        <v>133</v>
      </c>
      <c r="D1445" s="5">
        <v>39347</v>
      </c>
      <c r="E1445" s="5">
        <v>45136</v>
      </c>
      <c r="F1445" s="5">
        <v>45142</v>
      </c>
      <c r="G1445" t="s">
        <v>152</v>
      </c>
      <c r="H1445" t="s">
        <v>63</v>
      </c>
      <c r="I1445" t="s">
        <v>96</v>
      </c>
      <c r="J1445" t="s">
        <v>71</v>
      </c>
      <c r="K1445" t="s">
        <v>120</v>
      </c>
      <c r="L1445" s="6">
        <v>172798.26</v>
      </c>
      <c r="M1445">
        <v>98646.34</v>
      </c>
      <c r="N1445" t="s">
        <v>192</v>
      </c>
      <c r="O1445">
        <v>6</v>
      </c>
      <c r="P1445">
        <v>105</v>
      </c>
      <c r="Q1445">
        <v>4</v>
      </c>
      <c r="R1445">
        <v>159</v>
      </c>
      <c r="S1445">
        <v>163.5</v>
      </c>
      <c r="T1445" t="s">
        <v>47</v>
      </c>
      <c r="U1445" s="7">
        <f t="shared" si="88"/>
        <v>15</v>
      </c>
      <c r="V1445" s="7">
        <f t="shared" si="89"/>
        <v>6</v>
      </c>
      <c r="W1445" s="6">
        <f t="shared" si="90"/>
        <v>74151.920000000013</v>
      </c>
      <c r="X1445" t="str">
        <f t="shared" si="91"/>
        <v>Child</v>
      </c>
    </row>
    <row r="1446" spans="1:24">
      <c r="A1446" t="s">
        <v>3189</v>
      </c>
      <c r="B1446" t="s">
        <v>321</v>
      </c>
      <c r="C1446" t="s">
        <v>40</v>
      </c>
      <c r="D1446" s="5">
        <v>38196</v>
      </c>
      <c r="E1446" s="5">
        <v>45271</v>
      </c>
      <c r="F1446" s="5">
        <v>45273</v>
      </c>
      <c r="G1446" t="s">
        <v>43</v>
      </c>
      <c r="H1446" t="s">
        <v>153</v>
      </c>
      <c r="I1446" t="s">
        <v>45</v>
      </c>
      <c r="J1446" t="s">
        <v>34</v>
      </c>
      <c r="K1446" t="s">
        <v>55</v>
      </c>
      <c r="L1446" s="6">
        <v>17911.509999999998</v>
      </c>
      <c r="M1446">
        <v>17519.669999999998</v>
      </c>
      <c r="N1446" t="s">
        <v>192</v>
      </c>
      <c r="O1446">
        <v>2</v>
      </c>
      <c r="P1446">
        <v>163</v>
      </c>
      <c r="Q1446">
        <v>5</v>
      </c>
      <c r="R1446">
        <v>169</v>
      </c>
      <c r="S1446">
        <v>90.1</v>
      </c>
      <c r="T1446" t="s">
        <v>37</v>
      </c>
      <c r="U1446" s="7">
        <f t="shared" si="88"/>
        <v>19</v>
      </c>
      <c r="V1446" s="7">
        <f t="shared" si="89"/>
        <v>2</v>
      </c>
      <c r="W1446" s="6">
        <f t="shared" si="90"/>
        <v>391.84000000000015</v>
      </c>
      <c r="X1446" t="str">
        <f t="shared" si="91"/>
        <v>Adult</v>
      </c>
    </row>
    <row r="1447" spans="1:24">
      <c r="A1447" t="s">
        <v>3190</v>
      </c>
      <c r="B1447" t="s">
        <v>1818</v>
      </c>
      <c r="C1447" t="s">
        <v>40</v>
      </c>
      <c r="D1447" s="5">
        <v>21344</v>
      </c>
      <c r="E1447" s="5">
        <v>45696</v>
      </c>
      <c r="F1447" s="5">
        <v>45713</v>
      </c>
      <c r="G1447" t="s">
        <v>62</v>
      </c>
      <c r="H1447" t="s">
        <v>78</v>
      </c>
      <c r="I1447" t="s">
        <v>25</v>
      </c>
      <c r="J1447" t="s">
        <v>64</v>
      </c>
      <c r="K1447" t="s">
        <v>161</v>
      </c>
      <c r="L1447" s="6">
        <v>39172.58</v>
      </c>
      <c r="M1447">
        <v>37681.18</v>
      </c>
      <c r="N1447" t="s">
        <v>192</v>
      </c>
      <c r="O1447">
        <v>17</v>
      </c>
      <c r="P1447">
        <v>97</v>
      </c>
      <c r="Q1447">
        <v>1</v>
      </c>
      <c r="R1447">
        <v>160</v>
      </c>
      <c r="S1447">
        <v>258.89999999999998</v>
      </c>
      <c r="T1447" t="s">
        <v>37</v>
      </c>
      <c r="U1447" s="7">
        <f t="shared" si="88"/>
        <v>66</v>
      </c>
      <c r="V1447" s="7">
        <f t="shared" si="89"/>
        <v>17</v>
      </c>
      <c r="W1447" s="6">
        <f t="shared" si="90"/>
        <v>1491.4000000000015</v>
      </c>
      <c r="X1447" t="str">
        <f t="shared" si="91"/>
        <v>Senior</v>
      </c>
    </row>
    <row r="1448" spans="1:24">
      <c r="A1448" t="s">
        <v>3193</v>
      </c>
      <c r="B1448" t="s">
        <v>591</v>
      </c>
      <c r="C1448" t="s">
        <v>40</v>
      </c>
      <c r="D1448" s="5">
        <v>32997</v>
      </c>
      <c r="E1448" s="5">
        <v>45041</v>
      </c>
      <c r="F1448" s="5">
        <v>45043</v>
      </c>
      <c r="G1448" t="s">
        <v>43</v>
      </c>
      <c r="H1448" t="s">
        <v>134</v>
      </c>
      <c r="I1448" t="s">
        <v>119</v>
      </c>
      <c r="J1448" t="s">
        <v>64</v>
      </c>
      <c r="K1448" t="s">
        <v>55</v>
      </c>
      <c r="L1448" s="6">
        <v>123663.9</v>
      </c>
      <c r="M1448">
        <v>74812.91</v>
      </c>
      <c r="N1448" t="s">
        <v>192</v>
      </c>
      <c r="O1448">
        <v>2</v>
      </c>
      <c r="P1448">
        <v>66</v>
      </c>
      <c r="Q1448">
        <v>4</v>
      </c>
      <c r="R1448">
        <v>93</v>
      </c>
      <c r="S1448">
        <v>213.7</v>
      </c>
      <c r="T1448" t="s">
        <v>65</v>
      </c>
      <c r="U1448" s="7">
        <f t="shared" si="88"/>
        <v>32</v>
      </c>
      <c r="V1448" s="7">
        <f t="shared" si="89"/>
        <v>2</v>
      </c>
      <c r="W1448" s="6">
        <f t="shared" si="90"/>
        <v>48850.989999999991</v>
      </c>
      <c r="X1448" t="str">
        <f t="shared" si="91"/>
        <v>Adult</v>
      </c>
    </row>
    <row r="1449" spans="1:24">
      <c r="A1449" t="s">
        <v>3195</v>
      </c>
      <c r="B1449" t="s">
        <v>765</v>
      </c>
      <c r="C1449" t="s">
        <v>133</v>
      </c>
      <c r="D1449" s="5">
        <v>31724</v>
      </c>
      <c r="E1449" s="5">
        <v>45890</v>
      </c>
      <c r="F1449" s="5">
        <v>45902</v>
      </c>
      <c r="G1449" t="s">
        <v>152</v>
      </c>
      <c r="H1449" t="s">
        <v>44</v>
      </c>
      <c r="I1449" t="s">
        <v>96</v>
      </c>
      <c r="J1449" t="s">
        <v>64</v>
      </c>
      <c r="K1449" t="s">
        <v>110</v>
      </c>
      <c r="L1449" s="6">
        <v>221185.49</v>
      </c>
      <c r="M1449">
        <v>196995.7</v>
      </c>
      <c r="N1449" t="s">
        <v>35</v>
      </c>
      <c r="O1449">
        <v>12</v>
      </c>
      <c r="P1449">
        <v>85</v>
      </c>
      <c r="Q1449">
        <v>4</v>
      </c>
      <c r="R1449">
        <v>121</v>
      </c>
      <c r="S1449">
        <v>163.5</v>
      </c>
      <c r="T1449" t="s">
        <v>37</v>
      </c>
      <c r="U1449" s="7">
        <f t="shared" si="88"/>
        <v>38</v>
      </c>
      <c r="V1449" s="7">
        <f t="shared" si="89"/>
        <v>12</v>
      </c>
      <c r="W1449" s="6">
        <f t="shared" si="90"/>
        <v>24189.789999999979</v>
      </c>
      <c r="X1449" t="str">
        <f t="shared" si="91"/>
        <v>Adult</v>
      </c>
    </row>
    <row r="1450" spans="1:24">
      <c r="A1450" t="s">
        <v>3197</v>
      </c>
      <c r="B1450" t="s">
        <v>1364</v>
      </c>
      <c r="C1450" t="s">
        <v>133</v>
      </c>
      <c r="D1450" s="5">
        <v>39133</v>
      </c>
      <c r="E1450" s="5">
        <v>45598</v>
      </c>
      <c r="F1450" s="5">
        <v>45614</v>
      </c>
      <c r="G1450" t="s">
        <v>77</v>
      </c>
      <c r="H1450" t="s">
        <v>86</v>
      </c>
      <c r="I1450" t="s">
        <v>25</v>
      </c>
      <c r="J1450" t="s">
        <v>64</v>
      </c>
      <c r="K1450" t="s">
        <v>55</v>
      </c>
      <c r="L1450" s="6">
        <v>72480.52</v>
      </c>
      <c r="M1450">
        <v>54550.67</v>
      </c>
      <c r="N1450" t="s">
        <v>35</v>
      </c>
      <c r="O1450">
        <v>16</v>
      </c>
      <c r="P1450">
        <v>102</v>
      </c>
      <c r="Q1450">
        <v>3</v>
      </c>
      <c r="R1450">
        <v>155</v>
      </c>
      <c r="S1450">
        <v>101.3</v>
      </c>
      <c r="T1450" t="s">
        <v>65</v>
      </c>
      <c r="U1450" s="7">
        <f t="shared" si="88"/>
        <v>17</v>
      </c>
      <c r="V1450" s="7">
        <f t="shared" si="89"/>
        <v>16</v>
      </c>
      <c r="W1450" s="6">
        <f t="shared" si="90"/>
        <v>17929.850000000006</v>
      </c>
      <c r="X1450" t="str">
        <f t="shared" si="91"/>
        <v>Child</v>
      </c>
    </row>
    <row r="1451" spans="1:24">
      <c r="A1451" t="s">
        <v>3200</v>
      </c>
      <c r="B1451" t="s">
        <v>1350</v>
      </c>
      <c r="C1451" t="s">
        <v>40</v>
      </c>
      <c r="D1451" s="5">
        <v>22051</v>
      </c>
      <c r="E1451" s="5">
        <v>45092</v>
      </c>
      <c r="F1451" s="5" t="s">
        <v>4237</v>
      </c>
      <c r="G1451" t="s">
        <v>89</v>
      </c>
      <c r="H1451" t="s">
        <v>4236</v>
      </c>
      <c r="I1451" t="s">
        <v>33</v>
      </c>
      <c r="J1451" t="s">
        <v>46</v>
      </c>
      <c r="K1451" t="s">
        <v>120</v>
      </c>
      <c r="L1451" s="6">
        <v>5831.03</v>
      </c>
      <c r="M1451">
        <v>4295.29</v>
      </c>
      <c r="N1451" t="s">
        <v>35</v>
      </c>
      <c r="O1451">
        <v>3</v>
      </c>
      <c r="P1451">
        <v>226</v>
      </c>
      <c r="Q1451">
        <v>2</v>
      </c>
      <c r="R1451">
        <v>157</v>
      </c>
      <c r="S1451">
        <v>190.7</v>
      </c>
      <c r="T1451" t="s">
        <v>37</v>
      </c>
      <c r="U1451" s="7">
        <f t="shared" si="88"/>
        <v>63</v>
      </c>
      <c r="V1451" s="7" t="s">
        <v>4237</v>
      </c>
      <c r="W1451" s="6">
        <f t="shared" si="90"/>
        <v>1535.7399999999998</v>
      </c>
      <c r="X1451" t="str">
        <f t="shared" si="91"/>
        <v>Senior</v>
      </c>
    </row>
    <row r="1452" spans="1:24">
      <c r="A1452" t="s">
        <v>3202</v>
      </c>
      <c r="B1452" t="s">
        <v>39</v>
      </c>
      <c r="C1452" t="s">
        <v>40</v>
      </c>
      <c r="D1452" s="5">
        <v>19889</v>
      </c>
      <c r="E1452" s="5">
        <v>45599</v>
      </c>
      <c r="F1452" s="5">
        <v>45369</v>
      </c>
      <c r="G1452" t="s">
        <v>62</v>
      </c>
      <c r="H1452" t="s">
        <v>32</v>
      </c>
      <c r="I1452" t="s">
        <v>79</v>
      </c>
      <c r="J1452" t="s">
        <v>64</v>
      </c>
      <c r="K1452" t="s">
        <v>55</v>
      </c>
      <c r="L1452" s="6">
        <v>38486.31</v>
      </c>
      <c r="M1452">
        <v>31755.07</v>
      </c>
      <c r="N1452" t="s">
        <v>91</v>
      </c>
      <c r="O1452">
        <v>7</v>
      </c>
      <c r="P1452">
        <v>233</v>
      </c>
      <c r="Q1452">
        <v>5</v>
      </c>
      <c r="R1452">
        <v>147</v>
      </c>
      <c r="S1452">
        <v>113</v>
      </c>
      <c r="T1452" t="s">
        <v>37</v>
      </c>
      <c r="U1452" s="7">
        <f t="shared" si="88"/>
        <v>70</v>
      </c>
      <c r="V1452" s="7">
        <f t="shared" si="89"/>
        <v>-230</v>
      </c>
      <c r="W1452" s="6">
        <f t="shared" si="90"/>
        <v>6731.239999999998</v>
      </c>
      <c r="X1452" t="str">
        <f t="shared" si="91"/>
        <v>Senior</v>
      </c>
    </row>
    <row r="1453" spans="1:24">
      <c r="A1453" t="s">
        <v>3205</v>
      </c>
      <c r="B1453" t="s">
        <v>229</v>
      </c>
      <c r="C1453" t="s">
        <v>40</v>
      </c>
      <c r="D1453" s="5">
        <v>21697</v>
      </c>
      <c r="E1453" s="5">
        <v>45179</v>
      </c>
      <c r="F1453" s="5">
        <v>45186</v>
      </c>
      <c r="G1453" t="s">
        <v>117</v>
      </c>
      <c r="H1453" t="s">
        <v>24</v>
      </c>
      <c r="I1453" t="s">
        <v>96</v>
      </c>
      <c r="J1453" t="s">
        <v>64</v>
      </c>
      <c r="K1453" t="s">
        <v>161</v>
      </c>
      <c r="L1453" s="6">
        <v>23920.77</v>
      </c>
      <c r="M1453">
        <v>16141.71</v>
      </c>
      <c r="N1453" t="s">
        <v>192</v>
      </c>
      <c r="O1453">
        <v>7</v>
      </c>
      <c r="P1453">
        <v>213</v>
      </c>
      <c r="Q1453">
        <v>2</v>
      </c>
      <c r="R1453">
        <v>162</v>
      </c>
      <c r="S1453">
        <v>112.1</v>
      </c>
      <c r="T1453" t="s">
        <v>37</v>
      </c>
      <c r="U1453" s="7">
        <f t="shared" si="88"/>
        <v>64</v>
      </c>
      <c r="V1453" s="7">
        <f t="shared" si="89"/>
        <v>7</v>
      </c>
      <c r="W1453" s="6">
        <f t="shared" si="90"/>
        <v>7779.0600000000013</v>
      </c>
      <c r="X1453" t="str">
        <f t="shared" si="91"/>
        <v>Senior</v>
      </c>
    </row>
    <row r="1454" spans="1:24">
      <c r="A1454" t="s">
        <v>3207</v>
      </c>
      <c r="B1454" t="s">
        <v>1175</v>
      </c>
      <c r="C1454" t="s">
        <v>133</v>
      </c>
      <c r="D1454" s="5">
        <v>26863</v>
      </c>
      <c r="E1454" s="5">
        <v>45167</v>
      </c>
      <c r="F1454" s="5" t="s">
        <v>4237</v>
      </c>
      <c r="G1454" t="s">
        <v>89</v>
      </c>
      <c r="H1454" t="s">
        <v>118</v>
      </c>
      <c r="I1454" t="s">
        <v>119</v>
      </c>
      <c r="J1454" t="s">
        <v>26</v>
      </c>
      <c r="K1454" t="s">
        <v>55</v>
      </c>
      <c r="L1454" s="6">
        <v>229246.34</v>
      </c>
      <c r="M1454">
        <v>198264.5</v>
      </c>
      <c r="N1454" t="s">
        <v>35</v>
      </c>
      <c r="O1454">
        <v>12</v>
      </c>
      <c r="P1454">
        <v>207</v>
      </c>
      <c r="Q1454">
        <v>2</v>
      </c>
      <c r="R1454">
        <v>158</v>
      </c>
      <c r="S1454">
        <v>155.1</v>
      </c>
      <c r="T1454" t="s">
        <v>37</v>
      </c>
      <c r="U1454" s="7">
        <f t="shared" si="88"/>
        <v>50</v>
      </c>
      <c r="V1454" s="7" t="s">
        <v>4237</v>
      </c>
      <c r="W1454" s="6">
        <f t="shared" si="90"/>
        <v>30981.839999999997</v>
      </c>
      <c r="X1454" t="str">
        <f t="shared" si="91"/>
        <v>Middle Age</v>
      </c>
    </row>
    <row r="1455" spans="1:24">
      <c r="A1455" t="s">
        <v>3209</v>
      </c>
      <c r="B1455" t="s">
        <v>1505</v>
      </c>
      <c r="C1455" t="s">
        <v>40</v>
      </c>
      <c r="D1455" s="5">
        <v>20778</v>
      </c>
      <c r="E1455" s="5">
        <v>45718</v>
      </c>
      <c r="F1455" s="5">
        <v>45719</v>
      </c>
      <c r="G1455" t="s">
        <v>105</v>
      </c>
      <c r="H1455" t="s">
        <v>24</v>
      </c>
      <c r="I1455" t="s">
        <v>53</v>
      </c>
      <c r="J1455" t="s">
        <v>34</v>
      </c>
      <c r="K1455" t="s">
        <v>55</v>
      </c>
      <c r="L1455" s="6">
        <v>6498.28</v>
      </c>
      <c r="M1455">
        <v>4596.07</v>
      </c>
      <c r="N1455" t="s">
        <v>192</v>
      </c>
      <c r="O1455">
        <v>1</v>
      </c>
      <c r="P1455">
        <v>84</v>
      </c>
      <c r="Q1455">
        <v>4</v>
      </c>
      <c r="R1455">
        <v>189</v>
      </c>
      <c r="S1455">
        <v>228.7</v>
      </c>
      <c r="T1455" t="s">
        <v>37</v>
      </c>
      <c r="U1455" s="7">
        <f t="shared" si="88"/>
        <v>68</v>
      </c>
      <c r="V1455" s="7">
        <f t="shared" si="89"/>
        <v>1</v>
      </c>
      <c r="W1455" s="6">
        <f t="shared" si="90"/>
        <v>1902.21</v>
      </c>
      <c r="X1455" t="str">
        <f t="shared" si="91"/>
        <v>Senior</v>
      </c>
    </row>
    <row r="1456" spans="1:24">
      <c r="A1456" t="s">
        <v>3211</v>
      </c>
      <c r="B1456" t="s">
        <v>444</v>
      </c>
      <c r="C1456" t="s">
        <v>40</v>
      </c>
      <c r="D1456" s="5">
        <v>28004</v>
      </c>
      <c r="E1456" s="5">
        <v>45657</v>
      </c>
      <c r="F1456" s="5">
        <v>45664</v>
      </c>
      <c r="G1456" t="s">
        <v>77</v>
      </c>
      <c r="H1456" t="s">
        <v>86</v>
      </c>
      <c r="I1456" t="s">
        <v>25</v>
      </c>
      <c r="J1456" t="s">
        <v>64</v>
      </c>
      <c r="K1456" t="s">
        <v>161</v>
      </c>
      <c r="L1456" s="6">
        <v>194220.77</v>
      </c>
      <c r="M1456">
        <v>147680.47</v>
      </c>
      <c r="N1456" t="s">
        <v>192</v>
      </c>
      <c r="O1456">
        <v>7</v>
      </c>
      <c r="P1456">
        <v>231</v>
      </c>
      <c r="Q1456">
        <v>1</v>
      </c>
      <c r="R1456">
        <v>162</v>
      </c>
      <c r="S1456">
        <v>163.5</v>
      </c>
      <c r="T1456" t="s">
        <v>37</v>
      </c>
      <c r="U1456" s="7">
        <f t="shared" si="88"/>
        <v>48</v>
      </c>
      <c r="V1456" s="7">
        <f t="shared" si="89"/>
        <v>7</v>
      </c>
      <c r="W1456" s="6">
        <f t="shared" si="90"/>
        <v>46540.299999999988</v>
      </c>
      <c r="X1456" t="str">
        <f t="shared" si="91"/>
        <v>Middle Age</v>
      </c>
    </row>
    <row r="1457" spans="1:24">
      <c r="A1457" t="s">
        <v>3213</v>
      </c>
      <c r="B1457" t="s">
        <v>126</v>
      </c>
      <c r="C1457" t="s">
        <v>40</v>
      </c>
      <c r="D1457" s="5">
        <v>27623</v>
      </c>
      <c r="E1457" s="5">
        <v>45283</v>
      </c>
      <c r="F1457" s="5">
        <v>45536</v>
      </c>
      <c r="G1457" t="s">
        <v>161</v>
      </c>
      <c r="H1457" t="s">
        <v>134</v>
      </c>
      <c r="I1457" t="s">
        <v>79</v>
      </c>
      <c r="J1457" t="s">
        <v>179</v>
      </c>
      <c r="K1457" t="s">
        <v>55</v>
      </c>
      <c r="L1457" s="6">
        <v>5908.48</v>
      </c>
      <c r="M1457">
        <v>5366.39</v>
      </c>
      <c r="N1457" t="s">
        <v>35</v>
      </c>
      <c r="O1457">
        <v>17</v>
      </c>
      <c r="P1457">
        <v>134</v>
      </c>
      <c r="Q1457">
        <v>4</v>
      </c>
      <c r="R1457">
        <v>98</v>
      </c>
      <c r="S1457">
        <v>236.3</v>
      </c>
      <c r="T1457" t="s">
        <v>47</v>
      </c>
      <c r="U1457" s="7">
        <f t="shared" si="88"/>
        <v>48</v>
      </c>
      <c r="V1457" s="7">
        <f t="shared" si="89"/>
        <v>253</v>
      </c>
      <c r="W1457" s="6">
        <f t="shared" si="90"/>
        <v>542.08999999999924</v>
      </c>
      <c r="X1457" t="str">
        <f t="shared" si="91"/>
        <v>Middle Age</v>
      </c>
    </row>
    <row r="1458" spans="1:24">
      <c r="A1458" t="s">
        <v>3216</v>
      </c>
      <c r="B1458" t="s">
        <v>234</v>
      </c>
      <c r="C1458" t="s">
        <v>133</v>
      </c>
      <c r="D1458" s="5">
        <v>22200</v>
      </c>
      <c r="E1458" s="5">
        <v>45133</v>
      </c>
      <c r="F1458" s="5">
        <v>45148</v>
      </c>
      <c r="G1458" t="s">
        <v>77</v>
      </c>
      <c r="H1458" t="s">
        <v>24</v>
      </c>
      <c r="I1458" t="s">
        <v>45</v>
      </c>
      <c r="J1458" t="s">
        <v>26</v>
      </c>
      <c r="K1458" t="s">
        <v>161</v>
      </c>
      <c r="L1458" s="6">
        <v>12718.69</v>
      </c>
      <c r="M1458">
        <v>10929.83</v>
      </c>
      <c r="N1458" t="s">
        <v>73</v>
      </c>
      <c r="O1458">
        <v>15</v>
      </c>
      <c r="P1458">
        <v>72</v>
      </c>
      <c r="Q1458">
        <v>4</v>
      </c>
      <c r="R1458">
        <v>182</v>
      </c>
      <c r="S1458">
        <v>70.8</v>
      </c>
      <c r="T1458" t="s">
        <v>37</v>
      </c>
      <c r="U1458" s="7">
        <f t="shared" si="88"/>
        <v>62</v>
      </c>
      <c r="V1458" s="7">
        <f t="shared" si="89"/>
        <v>15</v>
      </c>
      <c r="W1458" s="6">
        <f t="shared" si="90"/>
        <v>1788.8600000000006</v>
      </c>
      <c r="X1458" t="str">
        <f t="shared" si="91"/>
        <v>Senior</v>
      </c>
    </row>
    <row r="1459" spans="1:24">
      <c r="A1459" t="s">
        <v>3218</v>
      </c>
      <c r="B1459" t="s">
        <v>1263</v>
      </c>
      <c r="C1459" t="s">
        <v>40</v>
      </c>
      <c r="D1459" s="5">
        <v>30886</v>
      </c>
      <c r="E1459" s="5">
        <v>45864</v>
      </c>
      <c r="F1459" s="5">
        <v>45869</v>
      </c>
      <c r="G1459" t="s">
        <v>62</v>
      </c>
      <c r="H1459" t="s">
        <v>52</v>
      </c>
      <c r="I1459" t="s">
        <v>45</v>
      </c>
      <c r="J1459" t="s">
        <v>26</v>
      </c>
      <c r="K1459" t="s">
        <v>120</v>
      </c>
      <c r="L1459" s="6">
        <v>168316.66</v>
      </c>
      <c r="M1459">
        <v>137294.32</v>
      </c>
      <c r="N1459" t="s">
        <v>35</v>
      </c>
      <c r="O1459">
        <v>5</v>
      </c>
      <c r="P1459">
        <v>113</v>
      </c>
      <c r="Q1459">
        <v>4</v>
      </c>
      <c r="R1459">
        <v>141</v>
      </c>
      <c r="S1459">
        <v>208.2</v>
      </c>
      <c r="T1459" t="s">
        <v>65</v>
      </c>
      <c r="U1459" s="7">
        <f t="shared" si="88"/>
        <v>41</v>
      </c>
      <c r="V1459" s="7">
        <f t="shared" si="89"/>
        <v>5</v>
      </c>
      <c r="W1459" s="6">
        <f t="shared" si="90"/>
        <v>31022.339999999997</v>
      </c>
      <c r="X1459" t="str">
        <f t="shared" si="91"/>
        <v>Middle Age</v>
      </c>
    </row>
    <row r="1460" spans="1:24">
      <c r="A1460" t="s">
        <v>3219</v>
      </c>
      <c r="B1460" t="s">
        <v>354</v>
      </c>
      <c r="C1460" t="s">
        <v>40</v>
      </c>
      <c r="D1460" s="5">
        <v>22610</v>
      </c>
      <c r="E1460" s="5">
        <v>45611</v>
      </c>
      <c r="F1460" s="5" t="s">
        <v>4237</v>
      </c>
      <c r="G1460" t="s">
        <v>62</v>
      </c>
      <c r="H1460" t="s">
        <v>134</v>
      </c>
      <c r="I1460" t="s">
        <v>33</v>
      </c>
      <c r="J1460" t="s">
        <v>179</v>
      </c>
      <c r="K1460" t="s">
        <v>55</v>
      </c>
      <c r="L1460" s="6">
        <v>73614.45</v>
      </c>
      <c r="M1460">
        <v>58898.19</v>
      </c>
      <c r="N1460" t="s">
        <v>91</v>
      </c>
      <c r="O1460">
        <v>8</v>
      </c>
      <c r="P1460">
        <v>86</v>
      </c>
      <c r="Q1460">
        <v>4</v>
      </c>
      <c r="R1460">
        <v>159</v>
      </c>
      <c r="S1460">
        <v>250.6</v>
      </c>
      <c r="T1460" t="s">
        <v>37</v>
      </c>
      <c r="U1460" s="7">
        <f t="shared" si="88"/>
        <v>62</v>
      </c>
      <c r="V1460" s="7" t="s">
        <v>4237</v>
      </c>
      <c r="W1460" s="6">
        <f t="shared" si="90"/>
        <v>14716.259999999995</v>
      </c>
      <c r="X1460" t="str">
        <f t="shared" si="91"/>
        <v>Senior</v>
      </c>
    </row>
    <row r="1461" spans="1:24">
      <c r="A1461" t="s">
        <v>3221</v>
      </c>
      <c r="B1461" t="s">
        <v>356</v>
      </c>
      <c r="C1461" t="s">
        <v>133</v>
      </c>
      <c r="D1461" s="5">
        <v>35193</v>
      </c>
      <c r="E1461" s="5">
        <v>45329</v>
      </c>
      <c r="F1461" s="5">
        <v>45333</v>
      </c>
      <c r="G1461" t="s">
        <v>89</v>
      </c>
      <c r="H1461" t="s">
        <v>124</v>
      </c>
      <c r="I1461" t="s">
        <v>33</v>
      </c>
      <c r="J1461" t="s">
        <v>80</v>
      </c>
      <c r="K1461" t="s">
        <v>55</v>
      </c>
      <c r="L1461" s="6">
        <v>181296.92</v>
      </c>
      <c r="M1461">
        <v>98646.34</v>
      </c>
      <c r="N1461" t="s">
        <v>56</v>
      </c>
      <c r="O1461">
        <v>4</v>
      </c>
      <c r="P1461">
        <v>226</v>
      </c>
      <c r="Q1461">
        <v>4</v>
      </c>
      <c r="R1461">
        <v>142</v>
      </c>
      <c r="S1461">
        <v>152.6</v>
      </c>
      <c r="T1461" t="s">
        <v>37</v>
      </c>
      <c r="U1461" s="7">
        <f t="shared" si="88"/>
        <v>27</v>
      </c>
      <c r="V1461" s="7">
        <f t="shared" si="89"/>
        <v>4</v>
      </c>
      <c r="W1461" s="6">
        <f t="shared" si="90"/>
        <v>82650.580000000016</v>
      </c>
      <c r="X1461" t="str">
        <f t="shared" si="91"/>
        <v>Adult</v>
      </c>
    </row>
    <row r="1462" spans="1:24">
      <c r="A1462" t="s">
        <v>3222</v>
      </c>
      <c r="B1462" t="s">
        <v>274</v>
      </c>
      <c r="C1462" t="s">
        <v>40</v>
      </c>
      <c r="D1462" s="5">
        <v>32439</v>
      </c>
      <c r="E1462" s="5">
        <v>45921</v>
      </c>
      <c r="F1462" s="5">
        <v>45879</v>
      </c>
      <c r="G1462" t="s">
        <v>117</v>
      </c>
      <c r="H1462" t="s">
        <v>134</v>
      </c>
      <c r="I1462" t="s">
        <v>119</v>
      </c>
      <c r="J1462" t="s">
        <v>97</v>
      </c>
      <c r="K1462" t="s">
        <v>55</v>
      </c>
      <c r="L1462" s="6">
        <v>80733.649999999994</v>
      </c>
      <c r="M1462">
        <v>72595.42</v>
      </c>
      <c r="N1462" t="s">
        <v>192</v>
      </c>
      <c r="O1462">
        <v>17</v>
      </c>
      <c r="P1462">
        <v>81</v>
      </c>
      <c r="Q1462">
        <v>3</v>
      </c>
      <c r="R1462">
        <v>123</v>
      </c>
      <c r="S1462">
        <v>133.5</v>
      </c>
      <c r="T1462" t="s">
        <v>37</v>
      </c>
      <c r="U1462" s="7">
        <f t="shared" si="88"/>
        <v>36</v>
      </c>
      <c r="V1462" s="7">
        <f t="shared" si="89"/>
        <v>-42</v>
      </c>
      <c r="W1462" s="6">
        <f t="shared" si="90"/>
        <v>8138.2299999999959</v>
      </c>
      <c r="X1462" t="str">
        <f t="shared" si="91"/>
        <v>Adult</v>
      </c>
    </row>
    <row r="1463" spans="1:24">
      <c r="A1463" t="s">
        <v>3225</v>
      </c>
      <c r="B1463" t="s">
        <v>147</v>
      </c>
      <c r="C1463" t="s">
        <v>40</v>
      </c>
      <c r="D1463" s="5">
        <v>36284</v>
      </c>
      <c r="E1463" s="5">
        <v>45393</v>
      </c>
      <c r="F1463" s="5">
        <v>45410</v>
      </c>
      <c r="G1463" t="s">
        <v>161</v>
      </c>
      <c r="H1463" t="s">
        <v>86</v>
      </c>
      <c r="I1463" t="s">
        <v>79</v>
      </c>
      <c r="J1463" t="s">
        <v>64</v>
      </c>
      <c r="K1463" t="s">
        <v>110</v>
      </c>
      <c r="L1463" s="6">
        <v>132589.54999999999</v>
      </c>
      <c r="M1463">
        <v>117321.12</v>
      </c>
      <c r="N1463" t="s">
        <v>192</v>
      </c>
      <c r="O1463">
        <v>17</v>
      </c>
      <c r="P1463">
        <v>210</v>
      </c>
      <c r="Q1463">
        <v>4</v>
      </c>
      <c r="R1463">
        <v>158</v>
      </c>
      <c r="S1463">
        <v>196.6</v>
      </c>
      <c r="T1463" t="s">
        <v>37</v>
      </c>
      <c r="U1463" s="7">
        <f t="shared" si="88"/>
        <v>24</v>
      </c>
      <c r="V1463" s="7">
        <f t="shared" si="89"/>
        <v>17</v>
      </c>
      <c r="W1463" s="6">
        <f t="shared" si="90"/>
        <v>15268.429999999993</v>
      </c>
      <c r="X1463" t="str">
        <f t="shared" si="91"/>
        <v>Adult</v>
      </c>
    </row>
    <row r="1464" spans="1:24">
      <c r="A1464" t="s">
        <v>3227</v>
      </c>
      <c r="B1464" t="s">
        <v>1097</v>
      </c>
      <c r="C1464" t="s">
        <v>133</v>
      </c>
      <c r="D1464" s="5">
        <v>26885</v>
      </c>
      <c r="E1464" s="5">
        <v>45033</v>
      </c>
      <c r="F1464" s="5">
        <v>45051</v>
      </c>
      <c r="G1464" t="s">
        <v>94</v>
      </c>
      <c r="H1464" t="s">
        <v>32</v>
      </c>
      <c r="I1464" t="s">
        <v>33</v>
      </c>
      <c r="J1464" t="s">
        <v>71</v>
      </c>
      <c r="K1464" t="s">
        <v>55</v>
      </c>
      <c r="L1464" s="6">
        <v>208527.15</v>
      </c>
      <c r="M1464">
        <v>140432.93</v>
      </c>
      <c r="N1464" t="s">
        <v>192</v>
      </c>
      <c r="O1464">
        <v>18</v>
      </c>
      <c r="P1464">
        <v>42</v>
      </c>
      <c r="Q1464">
        <v>4</v>
      </c>
      <c r="R1464">
        <v>119</v>
      </c>
      <c r="S1464">
        <v>189.1</v>
      </c>
      <c r="T1464" t="s">
        <v>37</v>
      </c>
      <c r="U1464" s="7">
        <f t="shared" si="88"/>
        <v>49</v>
      </c>
      <c r="V1464" s="7">
        <f t="shared" si="89"/>
        <v>18</v>
      </c>
      <c r="W1464" s="6">
        <f t="shared" si="90"/>
        <v>68094.22</v>
      </c>
      <c r="X1464" t="str">
        <f t="shared" si="91"/>
        <v>Middle Age</v>
      </c>
    </row>
    <row r="1465" spans="1:24">
      <c r="A1465" t="s">
        <v>3230</v>
      </c>
      <c r="B1465" t="s">
        <v>99</v>
      </c>
      <c r="C1465" t="s">
        <v>133</v>
      </c>
      <c r="D1465" s="5">
        <v>31444</v>
      </c>
      <c r="E1465" s="5">
        <v>45023</v>
      </c>
      <c r="F1465" s="5">
        <v>45027</v>
      </c>
      <c r="G1465" t="s">
        <v>105</v>
      </c>
      <c r="H1465" t="s">
        <v>113</v>
      </c>
      <c r="I1465" t="s">
        <v>119</v>
      </c>
      <c r="J1465" t="s">
        <v>71</v>
      </c>
      <c r="K1465" t="s">
        <v>55</v>
      </c>
      <c r="L1465" s="6">
        <v>86605.08</v>
      </c>
      <c r="M1465">
        <v>84929.06</v>
      </c>
      <c r="N1465" t="s">
        <v>56</v>
      </c>
      <c r="O1465">
        <v>4</v>
      </c>
      <c r="P1465">
        <v>68</v>
      </c>
      <c r="Q1465">
        <v>1</v>
      </c>
      <c r="R1465">
        <v>96</v>
      </c>
      <c r="S1465">
        <v>163.5</v>
      </c>
      <c r="T1465" t="s">
        <v>37</v>
      </c>
      <c r="U1465" s="7">
        <f t="shared" si="88"/>
        <v>37</v>
      </c>
      <c r="V1465" s="7">
        <f t="shared" si="89"/>
        <v>4</v>
      </c>
      <c r="W1465" s="6">
        <f t="shared" si="90"/>
        <v>1676.0200000000041</v>
      </c>
      <c r="X1465" t="str">
        <f t="shared" si="91"/>
        <v>Adult</v>
      </c>
    </row>
    <row r="1466" spans="1:24">
      <c r="A1466" t="s">
        <v>3232</v>
      </c>
      <c r="B1466" t="s">
        <v>895</v>
      </c>
      <c r="C1466" t="s">
        <v>133</v>
      </c>
      <c r="D1466" s="5">
        <v>26259</v>
      </c>
      <c r="E1466" s="5">
        <v>45964</v>
      </c>
      <c r="F1466" s="5">
        <v>45979</v>
      </c>
      <c r="G1466" t="s">
        <v>43</v>
      </c>
      <c r="H1466" t="s">
        <v>86</v>
      </c>
      <c r="I1466" t="s">
        <v>25</v>
      </c>
      <c r="J1466" t="s">
        <v>34</v>
      </c>
      <c r="K1466" t="s">
        <v>55</v>
      </c>
      <c r="L1466" s="6">
        <v>193997.99</v>
      </c>
      <c r="M1466">
        <v>144985.13</v>
      </c>
      <c r="N1466" t="s">
        <v>73</v>
      </c>
      <c r="O1466">
        <v>15</v>
      </c>
      <c r="P1466">
        <v>110</v>
      </c>
      <c r="Q1466">
        <v>4</v>
      </c>
      <c r="R1466">
        <v>137</v>
      </c>
      <c r="S1466">
        <v>226</v>
      </c>
      <c r="T1466" t="s">
        <v>37</v>
      </c>
      <c r="U1466" s="7">
        <f t="shared" si="88"/>
        <v>53</v>
      </c>
      <c r="V1466" s="7">
        <f t="shared" si="89"/>
        <v>15</v>
      </c>
      <c r="W1466" s="6">
        <f t="shared" si="90"/>
        <v>49012.859999999986</v>
      </c>
      <c r="X1466" t="str">
        <f t="shared" si="91"/>
        <v>Middle Age</v>
      </c>
    </row>
    <row r="1467" spans="1:24">
      <c r="A1467" t="s">
        <v>3233</v>
      </c>
      <c r="B1467" t="s">
        <v>568</v>
      </c>
      <c r="C1467" t="s">
        <v>133</v>
      </c>
      <c r="D1467" s="5">
        <v>26299</v>
      </c>
      <c r="E1467" s="5">
        <v>45760</v>
      </c>
      <c r="F1467" s="5">
        <v>45769</v>
      </c>
      <c r="G1467" t="s">
        <v>77</v>
      </c>
      <c r="H1467" t="s">
        <v>134</v>
      </c>
      <c r="I1467" t="s">
        <v>96</v>
      </c>
      <c r="J1467" t="s">
        <v>80</v>
      </c>
      <c r="K1467" t="s">
        <v>55</v>
      </c>
      <c r="L1467" s="6">
        <v>79252.59</v>
      </c>
      <c r="M1467">
        <v>63760.07</v>
      </c>
      <c r="N1467" t="s">
        <v>73</v>
      </c>
      <c r="O1467">
        <v>9</v>
      </c>
      <c r="P1467">
        <v>200</v>
      </c>
      <c r="Q1467">
        <v>4</v>
      </c>
      <c r="R1467">
        <v>133</v>
      </c>
      <c r="S1467">
        <v>96.6</v>
      </c>
      <c r="T1467" t="s">
        <v>37</v>
      </c>
      <c r="U1467" s="7">
        <f t="shared" si="88"/>
        <v>53</v>
      </c>
      <c r="V1467" s="7">
        <f t="shared" si="89"/>
        <v>9</v>
      </c>
      <c r="W1467" s="6">
        <f t="shared" si="90"/>
        <v>15492.519999999997</v>
      </c>
      <c r="X1467" t="str">
        <f t="shared" si="91"/>
        <v>Middle Age</v>
      </c>
    </row>
    <row r="1468" spans="1:24">
      <c r="A1468" t="s">
        <v>3235</v>
      </c>
      <c r="B1468" t="s">
        <v>1305</v>
      </c>
      <c r="C1468" t="s">
        <v>133</v>
      </c>
      <c r="D1468" s="5">
        <v>38875</v>
      </c>
      <c r="E1468" s="5" t="s">
        <v>4237</v>
      </c>
      <c r="F1468" s="5">
        <v>45958</v>
      </c>
      <c r="G1468" t="s">
        <v>152</v>
      </c>
      <c r="H1468" t="s">
        <v>95</v>
      </c>
      <c r="I1468" t="s">
        <v>33</v>
      </c>
      <c r="J1468" t="s">
        <v>46</v>
      </c>
      <c r="K1468" t="s">
        <v>110</v>
      </c>
      <c r="L1468" s="6">
        <v>142035.56</v>
      </c>
      <c r="M1468">
        <v>91294.8</v>
      </c>
      <c r="N1468" t="s">
        <v>192</v>
      </c>
      <c r="O1468">
        <v>11</v>
      </c>
      <c r="P1468">
        <v>121</v>
      </c>
      <c r="Q1468">
        <v>2</v>
      </c>
      <c r="R1468">
        <v>176</v>
      </c>
      <c r="S1468">
        <v>135.4</v>
      </c>
      <c r="T1468" t="s">
        <v>65</v>
      </c>
      <c r="U1468" s="7" t="s">
        <v>4237</v>
      </c>
      <c r="V1468" s="7" t="s">
        <v>4237</v>
      </c>
      <c r="W1468" s="6">
        <f t="shared" si="90"/>
        <v>50740.759999999995</v>
      </c>
      <c r="X1468" t="s">
        <v>4237</v>
      </c>
    </row>
    <row r="1469" spans="1:24">
      <c r="A1469" t="s">
        <v>3237</v>
      </c>
      <c r="B1469" t="s">
        <v>1099</v>
      </c>
      <c r="C1469" t="s">
        <v>40</v>
      </c>
      <c r="D1469" s="5">
        <v>29198</v>
      </c>
      <c r="E1469" s="5">
        <v>45530</v>
      </c>
      <c r="F1469" s="5">
        <v>45540</v>
      </c>
      <c r="G1469" t="s">
        <v>94</v>
      </c>
      <c r="H1469" t="s">
        <v>153</v>
      </c>
      <c r="I1469" t="s">
        <v>53</v>
      </c>
      <c r="J1469" t="s">
        <v>64</v>
      </c>
      <c r="K1469" t="s">
        <v>55</v>
      </c>
      <c r="L1469" s="6">
        <v>176300.31</v>
      </c>
      <c r="M1469">
        <v>159328.16</v>
      </c>
      <c r="N1469" t="s">
        <v>56</v>
      </c>
      <c r="O1469">
        <v>10</v>
      </c>
      <c r="P1469">
        <v>139</v>
      </c>
      <c r="Q1469">
        <v>4</v>
      </c>
      <c r="R1469">
        <v>153</v>
      </c>
      <c r="S1469">
        <v>201.7</v>
      </c>
      <c r="T1469" t="s">
        <v>4237</v>
      </c>
      <c r="U1469" s="7">
        <f t="shared" si="88"/>
        <v>44</v>
      </c>
      <c r="V1469" s="7">
        <f t="shared" si="89"/>
        <v>10</v>
      </c>
      <c r="W1469" s="6">
        <f t="shared" si="90"/>
        <v>16972.149999999994</v>
      </c>
      <c r="X1469" t="str">
        <f t="shared" si="91"/>
        <v>Middle Age</v>
      </c>
    </row>
    <row r="1470" spans="1:24">
      <c r="A1470" t="s">
        <v>3238</v>
      </c>
      <c r="B1470" t="s">
        <v>241</v>
      </c>
      <c r="C1470" t="s">
        <v>40</v>
      </c>
      <c r="D1470" s="5">
        <v>23340</v>
      </c>
      <c r="E1470" s="5">
        <v>45532</v>
      </c>
      <c r="F1470" s="5">
        <v>45536</v>
      </c>
      <c r="G1470" t="s">
        <v>152</v>
      </c>
      <c r="H1470" t="s">
        <v>134</v>
      </c>
      <c r="I1470" t="s">
        <v>33</v>
      </c>
      <c r="J1470" t="s">
        <v>26</v>
      </c>
      <c r="K1470" t="s">
        <v>27</v>
      </c>
      <c r="L1470" s="6">
        <v>7891.34</v>
      </c>
      <c r="M1470">
        <v>6190.93</v>
      </c>
      <c r="N1470" t="s">
        <v>192</v>
      </c>
      <c r="O1470">
        <v>4</v>
      </c>
      <c r="P1470">
        <v>148</v>
      </c>
      <c r="Q1470">
        <v>5</v>
      </c>
      <c r="R1470">
        <v>127</v>
      </c>
      <c r="S1470">
        <v>257</v>
      </c>
      <c r="T1470" t="s">
        <v>37</v>
      </c>
      <c r="U1470" s="7">
        <f t="shared" si="88"/>
        <v>60</v>
      </c>
      <c r="V1470" s="7">
        <f t="shared" si="89"/>
        <v>4</v>
      </c>
      <c r="W1470" s="6">
        <f t="shared" si="90"/>
        <v>1700.4099999999999</v>
      </c>
      <c r="X1470" t="str">
        <f t="shared" si="91"/>
        <v>Senior</v>
      </c>
    </row>
    <row r="1471" spans="1:24">
      <c r="A1471" t="s">
        <v>3241</v>
      </c>
      <c r="B1471" t="s">
        <v>917</v>
      </c>
      <c r="C1471" t="s">
        <v>133</v>
      </c>
      <c r="D1471" s="5">
        <v>25100</v>
      </c>
      <c r="E1471" s="5">
        <v>45073</v>
      </c>
      <c r="F1471" s="5">
        <v>45074</v>
      </c>
      <c r="G1471" t="s">
        <v>105</v>
      </c>
      <c r="H1471" t="s">
        <v>32</v>
      </c>
      <c r="I1471" t="s">
        <v>33</v>
      </c>
      <c r="J1471" t="s">
        <v>46</v>
      </c>
      <c r="K1471" t="s">
        <v>120</v>
      </c>
      <c r="L1471" s="6">
        <v>192337.2</v>
      </c>
      <c r="M1471">
        <v>159776.9</v>
      </c>
      <c r="N1471" t="s">
        <v>73</v>
      </c>
      <c r="O1471">
        <v>1</v>
      </c>
      <c r="P1471">
        <v>63</v>
      </c>
      <c r="Q1471">
        <v>5</v>
      </c>
      <c r="R1471">
        <v>176</v>
      </c>
      <c r="S1471">
        <v>257.7</v>
      </c>
      <c r="T1471" t="s">
        <v>37</v>
      </c>
      <c r="U1471" s="7">
        <f t="shared" si="88"/>
        <v>54</v>
      </c>
      <c r="V1471" s="7">
        <f t="shared" si="89"/>
        <v>1</v>
      </c>
      <c r="W1471" s="6">
        <f t="shared" si="90"/>
        <v>32560.300000000017</v>
      </c>
      <c r="X1471" t="str">
        <f t="shared" si="91"/>
        <v>Middle Age</v>
      </c>
    </row>
    <row r="1472" spans="1:24">
      <c r="A1472" t="s">
        <v>3243</v>
      </c>
      <c r="B1472" t="s">
        <v>833</v>
      </c>
      <c r="C1472" t="s">
        <v>40</v>
      </c>
      <c r="D1472" s="5">
        <v>20066</v>
      </c>
      <c r="E1472" s="5">
        <v>45600</v>
      </c>
      <c r="F1472" s="5">
        <v>45610</v>
      </c>
      <c r="G1472" t="s">
        <v>77</v>
      </c>
      <c r="H1472" t="s">
        <v>95</v>
      </c>
      <c r="I1472" t="s">
        <v>96</v>
      </c>
      <c r="J1472" t="s">
        <v>46</v>
      </c>
      <c r="K1472" t="s">
        <v>120</v>
      </c>
      <c r="L1472" s="6">
        <v>155795.93</v>
      </c>
      <c r="M1472">
        <v>111473.38</v>
      </c>
      <c r="N1472" t="s">
        <v>73</v>
      </c>
      <c r="O1472">
        <v>10</v>
      </c>
      <c r="P1472">
        <v>181</v>
      </c>
      <c r="Q1472">
        <v>2</v>
      </c>
      <c r="R1472">
        <v>109</v>
      </c>
      <c r="S1472">
        <v>169.4</v>
      </c>
      <c r="T1472" t="s">
        <v>37</v>
      </c>
      <c r="U1472" s="7">
        <f t="shared" si="88"/>
        <v>69</v>
      </c>
      <c r="V1472" s="7">
        <f t="shared" si="89"/>
        <v>10</v>
      </c>
      <c r="W1472" s="6">
        <f t="shared" si="90"/>
        <v>44322.549999999988</v>
      </c>
      <c r="X1472" t="str">
        <f t="shared" si="91"/>
        <v>Senior</v>
      </c>
    </row>
    <row r="1473" spans="1:24">
      <c r="A1473" t="s">
        <v>3244</v>
      </c>
      <c r="B1473" t="s">
        <v>112</v>
      </c>
      <c r="C1473" t="s">
        <v>40</v>
      </c>
      <c r="D1473" s="5">
        <v>33087</v>
      </c>
      <c r="E1473" s="5">
        <v>45925</v>
      </c>
      <c r="F1473" s="5">
        <v>45927</v>
      </c>
      <c r="G1473" t="s">
        <v>152</v>
      </c>
      <c r="H1473" t="s">
        <v>32</v>
      </c>
      <c r="I1473" t="s">
        <v>25</v>
      </c>
      <c r="J1473" t="s">
        <v>64</v>
      </c>
      <c r="K1473" t="s">
        <v>55</v>
      </c>
      <c r="L1473" s="6">
        <v>94329.15</v>
      </c>
      <c r="M1473">
        <v>73481.55</v>
      </c>
      <c r="N1473" t="s">
        <v>192</v>
      </c>
      <c r="O1473">
        <v>2</v>
      </c>
      <c r="P1473">
        <v>168</v>
      </c>
      <c r="Q1473">
        <v>4</v>
      </c>
      <c r="R1473">
        <v>141</v>
      </c>
      <c r="S1473">
        <v>143.1</v>
      </c>
      <c r="T1473" t="s">
        <v>47</v>
      </c>
      <c r="U1473" s="7">
        <f t="shared" si="88"/>
        <v>35</v>
      </c>
      <c r="V1473" s="7">
        <f t="shared" si="89"/>
        <v>2</v>
      </c>
      <c r="W1473" s="6">
        <f t="shared" si="90"/>
        <v>20847.599999999991</v>
      </c>
      <c r="X1473" t="str">
        <f t="shared" si="91"/>
        <v>Adult</v>
      </c>
    </row>
    <row r="1474" spans="1:24">
      <c r="A1474" t="s">
        <v>3246</v>
      </c>
      <c r="B1474" t="s">
        <v>433</v>
      </c>
      <c r="C1474" t="s">
        <v>133</v>
      </c>
      <c r="D1474" s="5" t="s">
        <v>4237</v>
      </c>
      <c r="E1474" s="5">
        <v>45932</v>
      </c>
      <c r="F1474" s="5">
        <v>45934</v>
      </c>
      <c r="G1474" t="s">
        <v>117</v>
      </c>
      <c r="H1474" t="s">
        <v>78</v>
      </c>
      <c r="I1474" t="s">
        <v>45</v>
      </c>
      <c r="J1474" t="s">
        <v>34</v>
      </c>
      <c r="K1474" t="s">
        <v>55</v>
      </c>
      <c r="L1474" s="6">
        <v>152055.79</v>
      </c>
      <c r="M1474">
        <v>116271.67</v>
      </c>
      <c r="N1474" t="s">
        <v>91</v>
      </c>
      <c r="O1474">
        <v>2</v>
      </c>
      <c r="P1474">
        <v>174</v>
      </c>
      <c r="Q1474">
        <v>5</v>
      </c>
      <c r="R1474">
        <v>110</v>
      </c>
      <c r="S1474">
        <v>203.1</v>
      </c>
      <c r="T1474" t="s">
        <v>4237</v>
      </c>
      <c r="U1474" s="7" t="s">
        <v>4237</v>
      </c>
      <c r="V1474" s="7">
        <f t="shared" ref="V1474:V1537" si="92">IF(OR(E1474=" ",F1474=" ",E1474="Unknown",F1474="Unknown")," ",F1474-E1474)</f>
        <v>2</v>
      </c>
      <c r="W1474" s="6">
        <f t="shared" ref="W1474:W1537" si="93">L1474-M1474</f>
        <v>35784.12000000001</v>
      </c>
      <c r="X1474" t="s">
        <v>4237</v>
      </c>
    </row>
    <row r="1475" spans="1:24">
      <c r="A1475" t="s">
        <v>3249</v>
      </c>
      <c r="B1475" t="s">
        <v>1452</v>
      </c>
      <c r="C1475" t="s">
        <v>40</v>
      </c>
      <c r="D1475" s="5">
        <v>30117</v>
      </c>
      <c r="E1475" s="5">
        <v>45241</v>
      </c>
      <c r="F1475" s="5">
        <v>45258</v>
      </c>
      <c r="G1475" t="s">
        <v>94</v>
      </c>
      <c r="H1475" t="s">
        <v>124</v>
      </c>
      <c r="I1475" t="s">
        <v>25</v>
      </c>
      <c r="J1475" t="s">
        <v>26</v>
      </c>
      <c r="K1475" t="s">
        <v>55</v>
      </c>
      <c r="L1475" s="6">
        <v>106303.87</v>
      </c>
      <c r="M1475">
        <v>77750.429999999993</v>
      </c>
      <c r="N1475" t="s">
        <v>35</v>
      </c>
      <c r="O1475">
        <v>17</v>
      </c>
      <c r="P1475">
        <v>159</v>
      </c>
      <c r="Q1475">
        <v>5</v>
      </c>
      <c r="R1475">
        <v>111</v>
      </c>
      <c r="S1475">
        <v>161.5</v>
      </c>
      <c r="T1475" t="s">
        <v>65</v>
      </c>
      <c r="U1475" s="7">
        <f t="shared" ref="U1475:U1537" si="94">DATEDIF(D1475,E1475,"Y")</f>
        <v>41</v>
      </c>
      <c r="V1475" s="7">
        <f t="shared" si="92"/>
        <v>17</v>
      </c>
      <c r="W1475" s="6">
        <f t="shared" si="93"/>
        <v>28553.440000000002</v>
      </c>
      <c r="X1475" t="str">
        <f t="shared" ref="X1475:X1537" si="95">IF(OR(U1475="",U1475="Unknown"),"",IF(U1475&lt;18,"Child",IF(U1475&lt;40,"Adult",IF(U1475&lt;60,"Middle Age","Senior"))))</f>
        <v>Middle Age</v>
      </c>
    </row>
    <row r="1476" spans="1:24">
      <c r="A1476" t="s">
        <v>3251</v>
      </c>
      <c r="B1476" t="s">
        <v>850</v>
      </c>
      <c r="C1476" t="s">
        <v>40</v>
      </c>
      <c r="D1476" s="5">
        <v>33385</v>
      </c>
      <c r="E1476" s="5">
        <v>45940</v>
      </c>
      <c r="F1476" s="5">
        <v>45951</v>
      </c>
      <c r="G1476" t="s">
        <v>161</v>
      </c>
      <c r="H1476" t="s">
        <v>118</v>
      </c>
      <c r="I1476" t="s">
        <v>79</v>
      </c>
      <c r="J1476" t="s">
        <v>26</v>
      </c>
      <c r="K1476" t="s">
        <v>110</v>
      </c>
      <c r="L1476" s="6">
        <v>215194.17</v>
      </c>
      <c r="M1476">
        <v>165230.59</v>
      </c>
      <c r="N1476" t="s">
        <v>35</v>
      </c>
      <c r="O1476">
        <v>11</v>
      </c>
      <c r="P1476">
        <v>17</v>
      </c>
      <c r="Q1476">
        <v>3</v>
      </c>
      <c r="R1476">
        <v>104</v>
      </c>
      <c r="S1476">
        <v>222.5</v>
      </c>
      <c r="T1476" t="s">
        <v>37</v>
      </c>
      <c r="U1476" s="7">
        <f t="shared" si="94"/>
        <v>34</v>
      </c>
      <c r="V1476" s="7">
        <f t="shared" si="92"/>
        <v>11</v>
      </c>
      <c r="W1476" s="6">
        <f t="shared" si="93"/>
        <v>49963.580000000016</v>
      </c>
      <c r="X1476" t="str">
        <f t="shared" si="95"/>
        <v>Adult</v>
      </c>
    </row>
    <row r="1477" spans="1:24">
      <c r="A1477" t="s">
        <v>3253</v>
      </c>
      <c r="B1477" t="s">
        <v>584</v>
      </c>
      <c r="C1477" t="s">
        <v>133</v>
      </c>
      <c r="D1477" s="5">
        <v>26350</v>
      </c>
      <c r="E1477" s="5">
        <v>45183</v>
      </c>
      <c r="F1477" s="5">
        <v>45194</v>
      </c>
      <c r="G1477" t="s">
        <v>152</v>
      </c>
      <c r="H1477" t="s">
        <v>24</v>
      </c>
      <c r="I1477" t="s">
        <v>79</v>
      </c>
      <c r="J1477" t="s">
        <v>80</v>
      </c>
      <c r="K1477" t="s">
        <v>110</v>
      </c>
      <c r="L1477" s="6">
        <v>26149.56</v>
      </c>
      <c r="M1477">
        <v>15577.64</v>
      </c>
      <c r="N1477" t="s">
        <v>91</v>
      </c>
      <c r="O1477">
        <v>11</v>
      </c>
      <c r="P1477">
        <v>235</v>
      </c>
      <c r="Q1477">
        <v>4</v>
      </c>
      <c r="R1477">
        <v>153</v>
      </c>
      <c r="S1477">
        <v>228.6</v>
      </c>
      <c r="T1477" t="s">
        <v>37</v>
      </c>
      <c r="U1477" s="7">
        <f t="shared" si="94"/>
        <v>51</v>
      </c>
      <c r="V1477" s="7">
        <f t="shared" si="92"/>
        <v>11</v>
      </c>
      <c r="W1477" s="6">
        <f t="shared" si="93"/>
        <v>10571.920000000002</v>
      </c>
      <c r="X1477" t="str">
        <f t="shared" si="95"/>
        <v>Middle Age</v>
      </c>
    </row>
    <row r="1478" spans="1:24">
      <c r="A1478" t="s">
        <v>3255</v>
      </c>
      <c r="B1478" t="s">
        <v>560</v>
      </c>
      <c r="C1478" t="s">
        <v>133</v>
      </c>
      <c r="D1478" s="5">
        <v>22479</v>
      </c>
      <c r="E1478" s="5">
        <v>45901</v>
      </c>
      <c r="F1478" s="5">
        <v>45912</v>
      </c>
      <c r="G1478" t="s">
        <v>161</v>
      </c>
      <c r="H1478" t="s">
        <v>153</v>
      </c>
      <c r="I1478" t="s">
        <v>119</v>
      </c>
      <c r="J1478" t="s">
        <v>97</v>
      </c>
      <c r="K1478" t="s">
        <v>120</v>
      </c>
      <c r="L1478" s="6">
        <v>167912.59</v>
      </c>
      <c r="M1478">
        <v>144693.26999999999</v>
      </c>
      <c r="N1478" t="s">
        <v>91</v>
      </c>
      <c r="O1478">
        <v>11</v>
      </c>
      <c r="P1478">
        <v>39</v>
      </c>
      <c r="Q1478">
        <v>1</v>
      </c>
      <c r="R1478">
        <v>146</v>
      </c>
      <c r="S1478">
        <v>131.80000000000001</v>
      </c>
      <c r="T1478" t="s">
        <v>37</v>
      </c>
      <c r="U1478" s="7">
        <f t="shared" si="94"/>
        <v>64</v>
      </c>
      <c r="V1478" s="7">
        <f t="shared" si="92"/>
        <v>11</v>
      </c>
      <c r="W1478" s="6">
        <f t="shared" si="93"/>
        <v>23219.320000000007</v>
      </c>
      <c r="X1478" t="str">
        <f t="shared" si="95"/>
        <v>Senior</v>
      </c>
    </row>
    <row r="1479" spans="1:24">
      <c r="A1479" t="s">
        <v>3256</v>
      </c>
      <c r="B1479" t="s">
        <v>879</v>
      </c>
      <c r="C1479" t="s">
        <v>40</v>
      </c>
      <c r="D1479" s="5">
        <v>36112</v>
      </c>
      <c r="E1479" s="5">
        <v>45287</v>
      </c>
      <c r="F1479" s="5">
        <v>45296</v>
      </c>
      <c r="G1479" t="s">
        <v>89</v>
      </c>
      <c r="H1479" t="s">
        <v>44</v>
      </c>
      <c r="I1479" t="s">
        <v>25</v>
      </c>
      <c r="J1479" t="s">
        <v>64</v>
      </c>
      <c r="K1479" t="s">
        <v>55</v>
      </c>
      <c r="L1479" s="6">
        <v>123663.9</v>
      </c>
      <c r="M1479">
        <v>191172.06</v>
      </c>
      <c r="N1479" t="s">
        <v>73</v>
      </c>
      <c r="O1479">
        <v>9</v>
      </c>
      <c r="P1479">
        <v>201</v>
      </c>
      <c r="Q1479">
        <v>4</v>
      </c>
      <c r="R1479">
        <v>147</v>
      </c>
      <c r="S1479">
        <v>248.8</v>
      </c>
      <c r="T1479" t="s">
        <v>37</v>
      </c>
      <c r="U1479" s="7">
        <f t="shared" si="94"/>
        <v>25</v>
      </c>
      <c r="V1479" s="7">
        <f t="shared" si="92"/>
        <v>9</v>
      </c>
      <c r="W1479" s="6">
        <f t="shared" si="93"/>
        <v>-67508.160000000003</v>
      </c>
      <c r="X1479" t="str">
        <f t="shared" si="95"/>
        <v>Adult</v>
      </c>
    </row>
    <row r="1480" spans="1:24">
      <c r="A1480" t="s">
        <v>3257</v>
      </c>
      <c r="B1480" t="s">
        <v>607</v>
      </c>
      <c r="C1480" t="s">
        <v>40</v>
      </c>
      <c r="D1480" s="5">
        <v>36532</v>
      </c>
      <c r="E1480" s="5">
        <v>45110</v>
      </c>
      <c r="F1480" s="5">
        <v>45128</v>
      </c>
      <c r="G1480" t="s">
        <v>62</v>
      </c>
      <c r="H1480" t="s">
        <v>24</v>
      </c>
      <c r="I1480" t="s">
        <v>33</v>
      </c>
      <c r="J1480" t="s">
        <v>46</v>
      </c>
      <c r="K1480" t="s">
        <v>55</v>
      </c>
      <c r="L1480" s="6">
        <v>145815.39000000001</v>
      </c>
      <c r="M1480">
        <v>114224.03</v>
      </c>
      <c r="N1480" t="s">
        <v>192</v>
      </c>
      <c r="O1480">
        <v>18</v>
      </c>
      <c r="P1480">
        <v>194</v>
      </c>
      <c r="Q1480">
        <v>5</v>
      </c>
      <c r="R1480">
        <v>141</v>
      </c>
      <c r="S1480">
        <v>151.6</v>
      </c>
      <c r="T1480" t="s">
        <v>37</v>
      </c>
      <c r="U1480" s="7">
        <f t="shared" si="94"/>
        <v>23</v>
      </c>
      <c r="V1480" s="7">
        <f t="shared" si="92"/>
        <v>18</v>
      </c>
      <c r="W1480" s="6">
        <f t="shared" si="93"/>
        <v>31591.360000000015</v>
      </c>
      <c r="X1480" t="str">
        <f t="shared" si="95"/>
        <v>Adult</v>
      </c>
    </row>
    <row r="1481" spans="1:24">
      <c r="A1481" t="s">
        <v>3259</v>
      </c>
      <c r="B1481" t="s">
        <v>1839</v>
      </c>
      <c r="C1481" t="s">
        <v>133</v>
      </c>
      <c r="D1481" s="5">
        <v>27710</v>
      </c>
      <c r="E1481" s="5">
        <v>45627</v>
      </c>
      <c r="F1481" s="5">
        <v>45642</v>
      </c>
      <c r="G1481" t="s">
        <v>109</v>
      </c>
      <c r="H1481" t="s">
        <v>113</v>
      </c>
      <c r="I1481" t="s">
        <v>119</v>
      </c>
      <c r="J1481" t="s">
        <v>34</v>
      </c>
      <c r="K1481" t="s">
        <v>55</v>
      </c>
      <c r="L1481" s="6">
        <v>211428.93</v>
      </c>
      <c r="M1481">
        <v>162458.76</v>
      </c>
      <c r="N1481" t="s">
        <v>4237</v>
      </c>
      <c r="O1481">
        <v>15</v>
      </c>
      <c r="P1481">
        <v>122</v>
      </c>
      <c r="Q1481">
        <v>4</v>
      </c>
      <c r="R1481">
        <v>182</v>
      </c>
      <c r="S1481">
        <v>96.5</v>
      </c>
      <c r="T1481" t="s">
        <v>4237</v>
      </c>
      <c r="U1481" s="7">
        <f t="shared" si="94"/>
        <v>49</v>
      </c>
      <c r="V1481" s="7">
        <f t="shared" si="92"/>
        <v>15</v>
      </c>
      <c r="W1481" s="6">
        <f t="shared" si="93"/>
        <v>48970.169999999984</v>
      </c>
      <c r="X1481" t="str">
        <f t="shared" si="95"/>
        <v>Middle Age</v>
      </c>
    </row>
    <row r="1482" spans="1:24">
      <c r="A1482" t="s">
        <v>3261</v>
      </c>
      <c r="B1482" t="s">
        <v>429</v>
      </c>
      <c r="C1482" t="s">
        <v>40</v>
      </c>
      <c r="D1482" s="5">
        <v>36674</v>
      </c>
      <c r="E1482" s="5">
        <v>45799</v>
      </c>
      <c r="F1482" s="5">
        <v>45805</v>
      </c>
      <c r="G1482" t="s">
        <v>161</v>
      </c>
      <c r="H1482" t="s">
        <v>32</v>
      </c>
      <c r="I1482" t="s">
        <v>25</v>
      </c>
      <c r="J1482" t="s">
        <v>34</v>
      </c>
      <c r="K1482" t="s">
        <v>27</v>
      </c>
      <c r="L1482" s="6">
        <v>209869.67</v>
      </c>
      <c r="M1482">
        <v>196431.77</v>
      </c>
      <c r="N1482" t="s">
        <v>73</v>
      </c>
      <c r="O1482">
        <v>6</v>
      </c>
      <c r="P1482">
        <v>90</v>
      </c>
      <c r="Q1482">
        <v>4</v>
      </c>
      <c r="R1482">
        <v>149</v>
      </c>
      <c r="S1482">
        <v>111.7</v>
      </c>
      <c r="T1482" t="s">
        <v>37</v>
      </c>
      <c r="U1482" s="7">
        <f t="shared" si="94"/>
        <v>24</v>
      </c>
      <c r="V1482" s="7">
        <f t="shared" si="92"/>
        <v>6</v>
      </c>
      <c r="W1482" s="6">
        <f t="shared" si="93"/>
        <v>13437.900000000023</v>
      </c>
      <c r="X1482" t="str">
        <f t="shared" si="95"/>
        <v>Adult</v>
      </c>
    </row>
    <row r="1483" spans="1:24">
      <c r="A1483" t="s">
        <v>3263</v>
      </c>
      <c r="B1483" t="s">
        <v>112</v>
      </c>
      <c r="C1483" t="s">
        <v>133</v>
      </c>
      <c r="D1483" s="5">
        <v>40112</v>
      </c>
      <c r="E1483" s="5">
        <v>45700</v>
      </c>
      <c r="F1483" s="5">
        <v>45704</v>
      </c>
      <c r="G1483" t="s">
        <v>152</v>
      </c>
      <c r="H1483" t="s">
        <v>32</v>
      </c>
      <c r="I1483" t="s">
        <v>33</v>
      </c>
      <c r="J1483" t="s">
        <v>179</v>
      </c>
      <c r="K1483" t="s">
        <v>120</v>
      </c>
      <c r="L1483" s="6">
        <v>109378.1</v>
      </c>
      <c r="M1483">
        <v>89601.7</v>
      </c>
      <c r="N1483" t="s">
        <v>35</v>
      </c>
      <c r="O1483">
        <v>4</v>
      </c>
      <c r="P1483">
        <v>18</v>
      </c>
      <c r="Q1483">
        <v>4</v>
      </c>
      <c r="R1483">
        <v>145</v>
      </c>
      <c r="S1483">
        <v>231</v>
      </c>
      <c r="T1483" t="s">
        <v>37</v>
      </c>
      <c r="U1483" s="7">
        <f t="shared" si="94"/>
        <v>15</v>
      </c>
      <c r="V1483" s="7">
        <f t="shared" si="92"/>
        <v>4</v>
      </c>
      <c r="W1483" s="6">
        <f t="shared" si="93"/>
        <v>19776.400000000009</v>
      </c>
      <c r="X1483" t="str">
        <f t="shared" si="95"/>
        <v>Child</v>
      </c>
    </row>
    <row r="1484" spans="1:24">
      <c r="A1484" t="s">
        <v>3264</v>
      </c>
      <c r="B1484" t="s">
        <v>1830</v>
      </c>
      <c r="C1484" t="s">
        <v>133</v>
      </c>
      <c r="D1484" s="5">
        <v>25034</v>
      </c>
      <c r="E1484" s="5">
        <v>44993</v>
      </c>
      <c r="F1484" s="5">
        <v>45006</v>
      </c>
      <c r="G1484" t="s">
        <v>89</v>
      </c>
      <c r="H1484" t="s">
        <v>32</v>
      </c>
      <c r="I1484" t="s">
        <v>96</v>
      </c>
      <c r="J1484" t="s">
        <v>64</v>
      </c>
      <c r="K1484" t="s">
        <v>161</v>
      </c>
      <c r="L1484" s="6">
        <v>106497.3</v>
      </c>
      <c r="M1484">
        <v>102120.18</v>
      </c>
      <c r="N1484" t="s">
        <v>4237</v>
      </c>
      <c r="O1484">
        <v>13</v>
      </c>
      <c r="P1484">
        <v>43</v>
      </c>
      <c r="Q1484">
        <v>4</v>
      </c>
      <c r="R1484">
        <v>118</v>
      </c>
      <c r="S1484">
        <v>73.5</v>
      </c>
      <c r="T1484" t="s">
        <v>4237</v>
      </c>
      <c r="U1484" s="7">
        <f t="shared" si="94"/>
        <v>54</v>
      </c>
      <c r="V1484" s="7">
        <f t="shared" si="92"/>
        <v>13</v>
      </c>
      <c r="W1484" s="6">
        <f t="shared" si="93"/>
        <v>4377.1200000000099</v>
      </c>
      <c r="X1484" t="str">
        <f t="shared" si="95"/>
        <v>Middle Age</v>
      </c>
    </row>
    <row r="1485" spans="1:24">
      <c r="A1485" t="s">
        <v>3265</v>
      </c>
      <c r="B1485" t="s">
        <v>1563</v>
      </c>
      <c r="C1485" t="s">
        <v>133</v>
      </c>
      <c r="D1485" s="5">
        <v>31000</v>
      </c>
      <c r="E1485" s="5">
        <v>45289</v>
      </c>
      <c r="F1485" s="5">
        <v>45304</v>
      </c>
      <c r="G1485" t="s">
        <v>89</v>
      </c>
      <c r="H1485" t="s">
        <v>124</v>
      </c>
      <c r="I1485" t="s">
        <v>45</v>
      </c>
      <c r="J1485" t="s">
        <v>179</v>
      </c>
      <c r="K1485" t="s">
        <v>55</v>
      </c>
      <c r="L1485" s="6">
        <v>218495.44</v>
      </c>
      <c r="M1485">
        <v>190301.69</v>
      </c>
      <c r="N1485" t="s">
        <v>73</v>
      </c>
      <c r="O1485">
        <v>15</v>
      </c>
      <c r="P1485">
        <v>117</v>
      </c>
      <c r="Q1485">
        <v>2</v>
      </c>
      <c r="R1485">
        <v>131</v>
      </c>
      <c r="S1485">
        <v>118.9</v>
      </c>
      <c r="T1485" t="s">
        <v>65</v>
      </c>
      <c r="U1485" s="7">
        <f t="shared" si="94"/>
        <v>39</v>
      </c>
      <c r="V1485" s="7">
        <f t="shared" si="92"/>
        <v>15</v>
      </c>
      <c r="W1485" s="6">
        <f t="shared" si="93"/>
        <v>28193.75</v>
      </c>
      <c r="X1485" t="str">
        <f t="shared" si="95"/>
        <v>Adult</v>
      </c>
    </row>
    <row r="1486" spans="1:24">
      <c r="A1486" t="s">
        <v>3267</v>
      </c>
      <c r="B1486" t="s">
        <v>689</v>
      </c>
      <c r="C1486" t="s">
        <v>40</v>
      </c>
      <c r="D1486" s="5">
        <v>36146</v>
      </c>
      <c r="E1486" s="5">
        <v>45062</v>
      </c>
      <c r="F1486" s="5" t="s">
        <v>4237</v>
      </c>
      <c r="G1486" t="s">
        <v>62</v>
      </c>
      <c r="H1486" t="s">
        <v>95</v>
      </c>
      <c r="I1486" t="s">
        <v>53</v>
      </c>
      <c r="J1486" t="s">
        <v>71</v>
      </c>
      <c r="K1486" t="s">
        <v>120</v>
      </c>
      <c r="L1486" s="6">
        <v>188703.86</v>
      </c>
      <c r="M1486">
        <v>142083.98000000001</v>
      </c>
      <c r="N1486" t="s">
        <v>192</v>
      </c>
      <c r="O1486">
        <v>9</v>
      </c>
      <c r="P1486">
        <v>160</v>
      </c>
      <c r="Q1486">
        <v>2</v>
      </c>
      <c r="R1486">
        <v>172</v>
      </c>
      <c r="S1486">
        <v>115.6</v>
      </c>
      <c r="T1486" t="s">
        <v>37</v>
      </c>
      <c r="U1486" s="7">
        <f t="shared" si="94"/>
        <v>24</v>
      </c>
      <c r="V1486" s="7" t="s">
        <v>4237</v>
      </c>
      <c r="W1486" s="6">
        <f t="shared" si="93"/>
        <v>46619.879999999976</v>
      </c>
      <c r="X1486" t="str">
        <f t="shared" si="95"/>
        <v>Adult</v>
      </c>
    </row>
    <row r="1487" spans="1:24">
      <c r="A1487" t="s">
        <v>3268</v>
      </c>
      <c r="B1487" t="s">
        <v>67</v>
      </c>
      <c r="C1487" t="s">
        <v>40</v>
      </c>
      <c r="D1487" s="5">
        <v>36620</v>
      </c>
      <c r="E1487" s="5">
        <v>45055</v>
      </c>
      <c r="F1487" s="5">
        <v>45067</v>
      </c>
      <c r="G1487" t="s">
        <v>161</v>
      </c>
      <c r="H1487" t="s">
        <v>52</v>
      </c>
      <c r="I1487" t="s">
        <v>45</v>
      </c>
      <c r="J1487" t="s">
        <v>34</v>
      </c>
      <c r="K1487" t="s">
        <v>161</v>
      </c>
      <c r="L1487" s="6">
        <v>202269.38</v>
      </c>
      <c r="M1487">
        <v>143186.49</v>
      </c>
      <c r="N1487" t="s">
        <v>56</v>
      </c>
      <c r="O1487">
        <v>12</v>
      </c>
      <c r="P1487">
        <v>236</v>
      </c>
      <c r="Q1487">
        <v>4</v>
      </c>
      <c r="R1487">
        <v>166</v>
      </c>
      <c r="S1487">
        <v>79.2</v>
      </c>
      <c r="T1487" t="s">
        <v>37</v>
      </c>
      <c r="U1487" s="7">
        <f t="shared" si="94"/>
        <v>23</v>
      </c>
      <c r="V1487" s="7">
        <f t="shared" si="92"/>
        <v>12</v>
      </c>
      <c r="W1487" s="6">
        <f t="shared" si="93"/>
        <v>59082.890000000014</v>
      </c>
      <c r="X1487" t="str">
        <f t="shared" si="95"/>
        <v>Adult</v>
      </c>
    </row>
    <row r="1488" spans="1:24">
      <c r="A1488" t="s">
        <v>3270</v>
      </c>
      <c r="B1488" t="s">
        <v>67</v>
      </c>
      <c r="C1488" t="s">
        <v>133</v>
      </c>
      <c r="D1488" s="5">
        <v>38776</v>
      </c>
      <c r="E1488" s="5">
        <v>45075</v>
      </c>
      <c r="F1488" s="5">
        <v>45022</v>
      </c>
      <c r="G1488" t="s">
        <v>43</v>
      </c>
      <c r="H1488" t="s">
        <v>95</v>
      </c>
      <c r="I1488" t="s">
        <v>25</v>
      </c>
      <c r="J1488" t="s">
        <v>179</v>
      </c>
      <c r="K1488" t="s">
        <v>120</v>
      </c>
      <c r="L1488" s="6">
        <v>156848.65</v>
      </c>
      <c r="M1488">
        <v>147093.63</v>
      </c>
      <c r="N1488" t="s">
        <v>56</v>
      </c>
      <c r="O1488">
        <v>6</v>
      </c>
      <c r="P1488">
        <v>17</v>
      </c>
      <c r="Q1488">
        <v>4</v>
      </c>
      <c r="R1488">
        <v>156</v>
      </c>
      <c r="S1488">
        <v>83.8</v>
      </c>
      <c r="T1488" t="s">
        <v>65</v>
      </c>
      <c r="U1488" s="7">
        <f t="shared" si="94"/>
        <v>17</v>
      </c>
      <c r="V1488" s="7">
        <f t="shared" si="92"/>
        <v>-53</v>
      </c>
      <c r="W1488" s="6">
        <f t="shared" si="93"/>
        <v>9755.0199999999895</v>
      </c>
      <c r="X1488" t="str">
        <f t="shared" si="95"/>
        <v>Child</v>
      </c>
    </row>
    <row r="1489" spans="1:24">
      <c r="A1489" t="s">
        <v>3272</v>
      </c>
      <c r="B1489" t="s">
        <v>833</v>
      </c>
      <c r="C1489" t="s">
        <v>40</v>
      </c>
      <c r="D1489" s="5">
        <v>19368</v>
      </c>
      <c r="E1489" s="5">
        <v>45628</v>
      </c>
      <c r="F1489" s="5">
        <v>45645</v>
      </c>
      <c r="G1489" t="s">
        <v>105</v>
      </c>
      <c r="H1489" t="s">
        <v>95</v>
      </c>
      <c r="I1489" t="s">
        <v>53</v>
      </c>
      <c r="J1489" t="s">
        <v>64</v>
      </c>
      <c r="K1489" t="s">
        <v>55</v>
      </c>
      <c r="L1489" s="6">
        <v>249735.02</v>
      </c>
      <c r="M1489">
        <v>193915.14</v>
      </c>
      <c r="N1489" t="s">
        <v>73</v>
      </c>
      <c r="O1489">
        <v>17</v>
      </c>
      <c r="P1489">
        <v>170</v>
      </c>
      <c r="Q1489">
        <v>4</v>
      </c>
      <c r="R1489">
        <v>152</v>
      </c>
      <c r="S1489">
        <v>205.2</v>
      </c>
      <c r="T1489" t="s">
        <v>37</v>
      </c>
      <c r="U1489" s="7">
        <f t="shared" si="94"/>
        <v>71</v>
      </c>
      <c r="V1489" s="7">
        <f t="shared" si="92"/>
        <v>17</v>
      </c>
      <c r="W1489" s="6">
        <f t="shared" si="93"/>
        <v>55819.879999999976</v>
      </c>
      <c r="X1489" t="str">
        <f t="shared" si="95"/>
        <v>Senior</v>
      </c>
    </row>
    <row r="1490" spans="1:24">
      <c r="A1490" t="s">
        <v>3275</v>
      </c>
      <c r="B1490" t="s">
        <v>392</v>
      </c>
      <c r="C1490" t="s">
        <v>133</v>
      </c>
      <c r="D1490" s="5">
        <v>32301</v>
      </c>
      <c r="E1490" s="5">
        <v>45238</v>
      </c>
      <c r="F1490" s="5">
        <v>45248</v>
      </c>
      <c r="G1490" t="s">
        <v>152</v>
      </c>
      <c r="H1490" t="s">
        <v>32</v>
      </c>
      <c r="I1490" t="s">
        <v>79</v>
      </c>
      <c r="J1490" t="s">
        <v>64</v>
      </c>
      <c r="K1490" t="s">
        <v>120</v>
      </c>
      <c r="L1490" s="6">
        <v>162203.82</v>
      </c>
      <c r="M1490">
        <v>143227.01999999999</v>
      </c>
      <c r="N1490" t="s">
        <v>73</v>
      </c>
      <c r="O1490">
        <v>10</v>
      </c>
      <c r="P1490">
        <v>155</v>
      </c>
      <c r="Q1490">
        <v>5</v>
      </c>
      <c r="R1490">
        <v>154</v>
      </c>
      <c r="S1490">
        <v>247.1</v>
      </c>
      <c r="T1490" t="s">
        <v>47</v>
      </c>
      <c r="U1490" s="7">
        <f t="shared" si="94"/>
        <v>35</v>
      </c>
      <c r="V1490" s="7">
        <f t="shared" si="92"/>
        <v>10</v>
      </c>
      <c r="W1490" s="6">
        <f t="shared" si="93"/>
        <v>18976.800000000017</v>
      </c>
      <c r="X1490" t="str">
        <f t="shared" si="95"/>
        <v>Adult</v>
      </c>
    </row>
    <row r="1491" spans="1:24">
      <c r="A1491" t="s">
        <v>3278</v>
      </c>
      <c r="B1491" t="s">
        <v>378</v>
      </c>
      <c r="C1491" t="s">
        <v>40</v>
      </c>
      <c r="D1491" s="5">
        <v>34548</v>
      </c>
      <c r="E1491" s="5">
        <v>46015</v>
      </c>
      <c r="F1491" s="5">
        <v>46113</v>
      </c>
      <c r="G1491" t="s">
        <v>94</v>
      </c>
      <c r="H1491" t="s">
        <v>113</v>
      </c>
      <c r="I1491" t="s">
        <v>53</v>
      </c>
      <c r="J1491" t="s">
        <v>34</v>
      </c>
      <c r="K1491" t="s">
        <v>161</v>
      </c>
      <c r="L1491" s="6">
        <v>127773.15</v>
      </c>
      <c r="M1491">
        <v>113092.07</v>
      </c>
      <c r="N1491" t="s">
        <v>56</v>
      </c>
      <c r="O1491">
        <v>11</v>
      </c>
      <c r="P1491">
        <v>195</v>
      </c>
      <c r="Q1491">
        <v>5</v>
      </c>
      <c r="R1491">
        <v>184</v>
      </c>
      <c r="S1491">
        <v>140.4</v>
      </c>
      <c r="T1491" t="s">
        <v>47</v>
      </c>
      <c r="U1491" s="7">
        <f t="shared" si="94"/>
        <v>31</v>
      </c>
      <c r="V1491" s="7">
        <f t="shared" si="92"/>
        <v>98</v>
      </c>
      <c r="W1491" s="6">
        <f t="shared" si="93"/>
        <v>14681.079999999987</v>
      </c>
      <c r="X1491" t="str">
        <f t="shared" si="95"/>
        <v>Adult</v>
      </c>
    </row>
    <row r="1492" spans="1:24">
      <c r="A1492" t="s">
        <v>3281</v>
      </c>
      <c r="B1492" t="s">
        <v>676</v>
      </c>
      <c r="C1492" t="s">
        <v>40</v>
      </c>
      <c r="D1492" s="5">
        <v>38390</v>
      </c>
      <c r="E1492" s="5">
        <v>45669</v>
      </c>
      <c r="F1492" s="5">
        <v>45681</v>
      </c>
      <c r="G1492" t="s">
        <v>94</v>
      </c>
      <c r="H1492" t="s">
        <v>124</v>
      </c>
      <c r="I1492" t="s">
        <v>45</v>
      </c>
      <c r="J1492" t="s">
        <v>34</v>
      </c>
      <c r="K1492" t="s">
        <v>120</v>
      </c>
      <c r="L1492" s="6">
        <v>91999.93</v>
      </c>
      <c r="M1492">
        <v>76791.009999999995</v>
      </c>
      <c r="N1492" t="s">
        <v>192</v>
      </c>
      <c r="O1492">
        <v>12</v>
      </c>
      <c r="P1492">
        <v>161</v>
      </c>
      <c r="Q1492">
        <v>4</v>
      </c>
      <c r="R1492">
        <v>121</v>
      </c>
      <c r="S1492">
        <v>92.3</v>
      </c>
      <c r="T1492" t="s">
        <v>65</v>
      </c>
      <c r="U1492" s="7">
        <f t="shared" si="94"/>
        <v>19</v>
      </c>
      <c r="V1492" s="7">
        <f t="shared" si="92"/>
        <v>12</v>
      </c>
      <c r="W1492" s="6">
        <f t="shared" si="93"/>
        <v>15208.919999999998</v>
      </c>
      <c r="X1492" t="str">
        <f t="shared" si="95"/>
        <v>Adult</v>
      </c>
    </row>
    <row r="1493" spans="1:24">
      <c r="A1493" t="s">
        <v>3282</v>
      </c>
      <c r="B1493" t="s">
        <v>825</v>
      </c>
      <c r="C1493" t="s">
        <v>133</v>
      </c>
      <c r="D1493" s="5">
        <v>38909</v>
      </c>
      <c r="E1493" s="5">
        <v>45822</v>
      </c>
      <c r="F1493" s="5">
        <v>45828</v>
      </c>
      <c r="G1493" t="s">
        <v>77</v>
      </c>
      <c r="H1493" t="s">
        <v>86</v>
      </c>
      <c r="I1493" t="s">
        <v>45</v>
      </c>
      <c r="J1493" t="s">
        <v>46</v>
      </c>
      <c r="K1493" t="s">
        <v>161</v>
      </c>
      <c r="L1493" s="6">
        <v>7203.75</v>
      </c>
      <c r="M1493">
        <v>6247.06</v>
      </c>
      <c r="N1493" t="s">
        <v>35</v>
      </c>
      <c r="O1493">
        <v>6</v>
      </c>
      <c r="P1493">
        <v>224</v>
      </c>
      <c r="Q1493">
        <v>5</v>
      </c>
      <c r="R1493">
        <v>188</v>
      </c>
      <c r="S1493">
        <v>132</v>
      </c>
      <c r="T1493" t="s">
        <v>37</v>
      </c>
      <c r="U1493" s="7">
        <f t="shared" si="94"/>
        <v>18</v>
      </c>
      <c r="V1493" s="7">
        <f t="shared" si="92"/>
        <v>6</v>
      </c>
      <c r="W1493" s="6">
        <f t="shared" si="93"/>
        <v>956.6899999999996</v>
      </c>
      <c r="X1493" t="str">
        <f t="shared" si="95"/>
        <v>Adult</v>
      </c>
    </row>
    <row r="1494" spans="1:24">
      <c r="A1494" t="s">
        <v>3283</v>
      </c>
      <c r="B1494" t="s">
        <v>288</v>
      </c>
      <c r="C1494" t="s">
        <v>133</v>
      </c>
      <c r="D1494" s="5">
        <v>31530</v>
      </c>
      <c r="E1494" s="5">
        <v>45852</v>
      </c>
      <c r="F1494" s="5">
        <v>45853</v>
      </c>
      <c r="G1494" t="s">
        <v>94</v>
      </c>
      <c r="H1494" t="s">
        <v>124</v>
      </c>
      <c r="I1494" t="s">
        <v>119</v>
      </c>
      <c r="J1494" t="s">
        <v>64</v>
      </c>
      <c r="K1494" t="s">
        <v>110</v>
      </c>
      <c r="L1494" s="6">
        <v>238057.14</v>
      </c>
      <c r="M1494">
        <v>154852.45000000001</v>
      </c>
      <c r="N1494" t="s">
        <v>192</v>
      </c>
      <c r="O1494">
        <v>1</v>
      </c>
      <c r="P1494">
        <v>9</v>
      </c>
      <c r="Q1494">
        <v>4</v>
      </c>
      <c r="R1494">
        <v>97</v>
      </c>
      <c r="S1494">
        <v>163.5</v>
      </c>
      <c r="T1494" t="s">
        <v>37</v>
      </c>
      <c r="U1494" s="7">
        <f t="shared" si="94"/>
        <v>39</v>
      </c>
      <c r="V1494" s="7">
        <f t="shared" si="92"/>
        <v>1</v>
      </c>
      <c r="W1494" s="6">
        <f t="shared" si="93"/>
        <v>83204.69</v>
      </c>
      <c r="X1494" t="str">
        <f t="shared" si="95"/>
        <v>Adult</v>
      </c>
    </row>
    <row r="1495" spans="1:24">
      <c r="A1495" t="s">
        <v>3284</v>
      </c>
      <c r="B1495" t="s">
        <v>2483</v>
      </c>
      <c r="C1495" t="s">
        <v>133</v>
      </c>
      <c r="D1495" s="5">
        <v>33109</v>
      </c>
      <c r="E1495" s="5">
        <v>44977</v>
      </c>
      <c r="F1495" s="5">
        <v>44984</v>
      </c>
      <c r="G1495" t="s">
        <v>94</v>
      </c>
      <c r="H1495" t="s">
        <v>52</v>
      </c>
      <c r="I1495" t="s">
        <v>96</v>
      </c>
      <c r="J1495" t="s">
        <v>34</v>
      </c>
      <c r="K1495" t="s">
        <v>55</v>
      </c>
      <c r="L1495" s="6">
        <v>120507.84</v>
      </c>
      <c r="M1495">
        <v>111727.15</v>
      </c>
      <c r="N1495" t="s">
        <v>91</v>
      </c>
      <c r="O1495">
        <v>7</v>
      </c>
      <c r="P1495">
        <v>222</v>
      </c>
      <c r="Q1495">
        <v>4</v>
      </c>
      <c r="R1495">
        <v>155</v>
      </c>
      <c r="S1495">
        <v>202.4</v>
      </c>
      <c r="T1495" t="s">
        <v>37</v>
      </c>
      <c r="U1495" s="7">
        <f t="shared" si="94"/>
        <v>32</v>
      </c>
      <c r="V1495" s="7">
        <f t="shared" si="92"/>
        <v>7</v>
      </c>
      <c r="W1495" s="6">
        <f t="shared" si="93"/>
        <v>8780.6900000000023</v>
      </c>
      <c r="X1495" t="str">
        <f t="shared" si="95"/>
        <v>Adult</v>
      </c>
    </row>
    <row r="1496" spans="1:24">
      <c r="A1496" t="s">
        <v>3285</v>
      </c>
      <c r="B1496" t="s">
        <v>1748</v>
      </c>
      <c r="C1496" t="s">
        <v>133</v>
      </c>
      <c r="D1496" s="5">
        <v>30973</v>
      </c>
      <c r="E1496" s="5">
        <v>45081</v>
      </c>
      <c r="F1496" s="5">
        <v>45087</v>
      </c>
      <c r="G1496" t="s">
        <v>152</v>
      </c>
      <c r="H1496" t="s">
        <v>78</v>
      </c>
      <c r="I1496" t="s">
        <v>45</v>
      </c>
      <c r="J1496" t="s">
        <v>64</v>
      </c>
      <c r="K1496" t="s">
        <v>161</v>
      </c>
      <c r="L1496" s="6">
        <v>99110.69</v>
      </c>
      <c r="M1496">
        <v>82843.679999999993</v>
      </c>
      <c r="N1496" t="s">
        <v>192</v>
      </c>
      <c r="O1496">
        <v>6</v>
      </c>
      <c r="P1496">
        <v>196</v>
      </c>
      <c r="Q1496">
        <v>5</v>
      </c>
      <c r="R1496">
        <v>114</v>
      </c>
      <c r="S1496">
        <v>214.3</v>
      </c>
      <c r="T1496" t="s">
        <v>37</v>
      </c>
      <c r="U1496" s="7">
        <f t="shared" si="94"/>
        <v>38</v>
      </c>
      <c r="V1496" s="7">
        <f t="shared" si="92"/>
        <v>6</v>
      </c>
      <c r="W1496" s="6">
        <f t="shared" si="93"/>
        <v>16267.010000000009</v>
      </c>
      <c r="X1496" t="str">
        <f t="shared" si="95"/>
        <v>Adult</v>
      </c>
    </row>
    <row r="1497" spans="1:24">
      <c r="A1497" t="s">
        <v>3287</v>
      </c>
      <c r="B1497" t="s">
        <v>295</v>
      </c>
      <c r="C1497" t="s">
        <v>133</v>
      </c>
      <c r="D1497" s="5" t="s">
        <v>4237</v>
      </c>
      <c r="E1497" s="5">
        <v>45541</v>
      </c>
      <c r="F1497" s="5">
        <v>45461</v>
      </c>
      <c r="G1497" t="s">
        <v>62</v>
      </c>
      <c r="H1497" t="s">
        <v>118</v>
      </c>
      <c r="I1497" t="s">
        <v>79</v>
      </c>
      <c r="J1497" t="s">
        <v>26</v>
      </c>
      <c r="K1497" t="s">
        <v>161</v>
      </c>
      <c r="L1497" s="6">
        <v>54400.53</v>
      </c>
      <c r="M1497">
        <v>45384.75</v>
      </c>
      <c r="N1497" t="s">
        <v>91</v>
      </c>
      <c r="O1497">
        <v>9</v>
      </c>
      <c r="P1497">
        <v>148</v>
      </c>
      <c r="Q1497">
        <v>4</v>
      </c>
      <c r="R1497">
        <v>95</v>
      </c>
      <c r="S1497">
        <v>244</v>
      </c>
      <c r="T1497" t="s">
        <v>37</v>
      </c>
      <c r="U1497" s="7" t="s">
        <v>4237</v>
      </c>
      <c r="V1497" s="7">
        <f t="shared" si="92"/>
        <v>-80</v>
      </c>
      <c r="W1497" s="6">
        <f t="shared" si="93"/>
        <v>9015.7799999999988</v>
      </c>
      <c r="X1497" t="s">
        <v>4237</v>
      </c>
    </row>
    <row r="1498" spans="1:24">
      <c r="A1498" t="s">
        <v>3290</v>
      </c>
      <c r="B1498" t="s">
        <v>1480</v>
      </c>
      <c r="C1498" t="s">
        <v>133</v>
      </c>
      <c r="D1498" s="5">
        <v>18406</v>
      </c>
      <c r="E1498" s="5" t="s">
        <v>4237</v>
      </c>
      <c r="F1498" s="5">
        <v>45322</v>
      </c>
      <c r="G1498" t="s">
        <v>161</v>
      </c>
      <c r="H1498" t="s">
        <v>32</v>
      </c>
      <c r="I1498" t="s">
        <v>33</v>
      </c>
      <c r="J1498" t="s">
        <v>179</v>
      </c>
      <c r="K1498" t="s">
        <v>110</v>
      </c>
      <c r="L1498" s="6">
        <v>63252.94</v>
      </c>
      <c r="M1498">
        <v>40710.6</v>
      </c>
      <c r="N1498" t="s">
        <v>192</v>
      </c>
      <c r="O1498">
        <v>16</v>
      </c>
      <c r="P1498">
        <v>8</v>
      </c>
      <c r="Q1498">
        <v>5</v>
      </c>
      <c r="R1498">
        <v>138</v>
      </c>
      <c r="S1498">
        <v>183.7</v>
      </c>
      <c r="T1498" t="s">
        <v>4237</v>
      </c>
      <c r="U1498" s="7" t="s">
        <v>4237</v>
      </c>
      <c r="V1498" s="7" t="s">
        <v>4237</v>
      </c>
      <c r="W1498" s="6">
        <f t="shared" si="93"/>
        <v>22542.340000000004</v>
      </c>
      <c r="X1498" t="s">
        <v>4237</v>
      </c>
    </row>
    <row r="1499" spans="1:24">
      <c r="A1499" t="s">
        <v>3292</v>
      </c>
      <c r="B1499" t="s">
        <v>3110</v>
      </c>
      <c r="C1499" t="s">
        <v>133</v>
      </c>
      <c r="D1499" s="5">
        <v>38985</v>
      </c>
      <c r="E1499" s="5" t="s">
        <v>4237</v>
      </c>
      <c r="F1499" s="5">
        <v>46002</v>
      </c>
      <c r="G1499" t="s">
        <v>89</v>
      </c>
      <c r="H1499" t="s">
        <v>52</v>
      </c>
      <c r="I1499" t="s">
        <v>33</v>
      </c>
      <c r="J1499" t="s">
        <v>179</v>
      </c>
      <c r="K1499" t="s">
        <v>55</v>
      </c>
      <c r="L1499" s="6">
        <v>116446.48</v>
      </c>
      <c r="M1499">
        <v>102327.55</v>
      </c>
      <c r="N1499" t="s">
        <v>192</v>
      </c>
      <c r="O1499">
        <v>13</v>
      </c>
      <c r="P1499">
        <v>49</v>
      </c>
      <c r="Q1499">
        <v>4</v>
      </c>
      <c r="R1499">
        <v>180</v>
      </c>
      <c r="S1499">
        <v>146</v>
      </c>
      <c r="T1499" t="s">
        <v>47</v>
      </c>
      <c r="U1499" s="7" t="s">
        <v>4237</v>
      </c>
      <c r="V1499" s="7" t="s">
        <v>4237</v>
      </c>
      <c r="W1499" s="6">
        <f t="shared" si="93"/>
        <v>14118.929999999993</v>
      </c>
      <c r="X1499" t="s">
        <v>4237</v>
      </c>
    </row>
    <row r="1500" spans="1:24">
      <c r="A1500" t="s">
        <v>3293</v>
      </c>
      <c r="B1500" t="s">
        <v>579</v>
      </c>
      <c r="C1500" t="s">
        <v>40</v>
      </c>
      <c r="D1500" s="5">
        <v>22490</v>
      </c>
      <c r="E1500" s="5">
        <v>45939</v>
      </c>
      <c r="F1500" s="5">
        <v>45955</v>
      </c>
      <c r="G1500" t="s">
        <v>94</v>
      </c>
      <c r="H1500" t="s">
        <v>52</v>
      </c>
      <c r="I1500" t="s">
        <v>45</v>
      </c>
      <c r="J1500" t="s">
        <v>26</v>
      </c>
      <c r="K1500" t="s">
        <v>55</v>
      </c>
      <c r="L1500" s="6">
        <v>179488.06</v>
      </c>
      <c r="M1500">
        <v>162469.82999999999</v>
      </c>
      <c r="N1500" t="s">
        <v>91</v>
      </c>
      <c r="O1500">
        <v>16</v>
      </c>
      <c r="P1500">
        <v>134</v>
      </c>
      <c r="Q1500">
        <v>1</v>
      </c>
      <c r="R1500">
        <v>128</v>
      </c>
      <c r="S1500">
        <v>114.3</v>
      </c>
      <c r="T1500" t="s">
        <v>65</v>
      </c>
      <c r="U1500" s="7">
        <f t="shared" si="94"/>
        <v>64</v>
      </c>
      <c r="V1500" s="7">
        <f t="shared" si="92"/>
        <v>16</v>
      </c>
      <c r="W1500" s="6">
        <f t="shared" si="93"/>
        <v>17018.23000000001</v>
      </c>
      <c r="X1500" t="str">
        <f t="shared" si="95"/>
        <v>Senior</v>
      </c>
    </row>
    <row r="1501" spans="1:24">
      <c r="A1501" t="s">
        <v>3295</v>
      </c>
      <c r="B1501" t="s">
        <v>324</v>
      </c>
      <c r="C1501" t="s">
        <v>133</v>
      </c>
      <c r="D1501" s="5">
        <v>19995</v>
      </c>
      <c r="E1501" s="5">
        <v>45894</v>
      </c>
      <c r="F1501" s="5">
        <v>45903</v>
      </c>
      <c r="G1501" t="s">
        <v>117</v>
      </c>
      <c r="H1501" t="s">
        <v>52</v>
      </c>
      <c r="I1501" t="s">
        <v>45</v>
      </c>
      <c r="J1501" t="s">
        <v>26</v>
      </c>
      <c r="K1501" t="s">
        <v>110</v>
      </c>
      <c r="L1501" s="6">
        <v>32953.050000000003</v>
      </c>
      <c r="M1501">
        <v>25264.76</v>
      </c>
      <c r="N1501" t="s">
        <v>35</v>
      </c>
      <c r="O1501">
        <v>9</v>
      </c>
      <c r="P1501">
        <v>182</v>
      </c>
      <c r="Q1501">
        <v>4</v>
      </c>
      <c r="R1501">
        <v>129</v>
      </c>
      <c r="S1501">
        <v>143.69999999999999</v>
      </c>
      <c r="T1501" t="s">
        <v>47</v>
      </c>
      <c r="U1501" s="7">
        <f t="shared" si="94"/>
        <v>70</v>
      </c>
      <c r="V1501" s="7">
        <f t="shared" si="92"/>
        <v>9</v>
      </c>
      <c r="W1501" s="6">
        <f t="shared" si="93"/>
        <v>7688.2900000000045</v>
      </c>
      <c r="X1501" t="str">
        <f t="shared" si="95"/>
        <v>Senior</v>
      </c>
    </row>
    <row r="1502" spans="1:24">
      <c r="A1502" t="s">
        <v>3296</v>
      </c>
      <c r="B1502" t="s">
        <v>2270</v>
      </c>
      <c r="C1502" t="s">
        <v>40</v>
      </c>
      <c r="D1502" s="5">
        <v>30577</v>
      </c>
      <c r="E1502" s="5">
        <v>45115</v>
      </c>
      <c r="F1502" s="5">
        <v>45118</v>
      </c>
      <c r="G1502" t="s">
        <v>117</v>
      </c>
      <c r="H1502" t="s">
        <v>78</v>
      </c>
      <c r="I1502" t="s">
        <v>53</v>
      </c>
      <c r="J1502" t="s">
        <v>179</v>
      </c>
      <c r="K1502" t="s">
        <v>55</v>
      </c>
      <c r="L1502" s="6">
        <v>105089.99</v>
      </c>
      <c r="M1502">
        <v>100582.75</v>
      </c>
      <c r="N1502" t="s">
        <v>192</v>
      </c>
      <c r="O1502">
        <v>3</v>
      </c>
      <c r="P1502">
        <v>121</v>
      </c>
      <c r="Q1502">
        <v>4</v>
      </c>
      <c r="R1502">
        <v>134</v>
      </c>
      <c r="S1502">
        <v>94.8</v>
      </c>
      <c r="T1502" t="s">
        <v>37</v>
      </c>
      <c r="U1502" s="7">
        <f t="shared" si="94"/>
        <v>39</v>
      </c>
      <c r="V1502" s="7">
        <f t="shared" si="92"/>
        <v>3</v>
      </c>
      <c r="W1502" s="6">
        <f t="shared" si="93"/>
        <v>4507.2400000000052</v>
      </c>
      <c r="X1502" t="str">
        <f t="shared" si="95"/>
        <v>Adult</v>
      </c>
    </row>
    <row r="1503" spans="1:24">
      <c r="A1503" t="s">
        <v>3297</v>
      </c>
      <c r="B1503" t="s">
        <v>666</v>
      </c>
      <c r="C1503" t="s">
        <v>133</v>
      </c>
      <c r="D1503" s="5">
        <v>35949</v>
      </c>
      <c r="E1503" s="5">
        <v>45388</v>
      </c>
      <c r="F1503" s="5">
        <v>45401</v>
      </c>
      <c r="G1503" t="s">
        <v>62</v>
      </c>
      <c r="H1503" t="s">
        <v>124</v>
      </c>
      <c r="I1503" t="s">
        <v>45</v>
      </c>
      <c r="J1503" t="s">
        <v>64</v>
      </c>
      <c r="K1503" t="s">
        <v>161</v>
      </c>
      <c r="L1503" s="6">
        <v>163954.84</v>
      </c>
      <c r="M1503">
        <v>125359.66</v>
      </c>
      <c r="N1503" t="s">
        <v>73</v>
      </c>
      <c r="O1503">
        <v>13</v>
      </c>
      <c r="P1503">
        <v>119</v>
      </c>
      <c r="Q1503">
        <v>1</v>
      </c>
      <c r="R1503">
        <v>112</v>
      </c>
      <c r="S1503">
        <v>75.7</v>
      </c>
      <c r="T1503" t="s">
        <v>37</v>
      </c>
      <c r="U1503" s="7">
        <f t="shared" si="94"/>
        <v>25</v>
      </c>
      <c r="V1503" s="7">
        <f t="shared" si="92"/>
        <v>13</v>
      </c>
      <c r="W1503" s="6">
        <f t="shared" si="93"/>
        <v>38595.179999999993</v>
      </c>
      <c r="X1503" t="str">
        <f t="shared" si="95"/>
        <v>Adult</v>
      </c>
    </row>
    <row r="1504" spans="1:24">
      <c r="A1504" t="s">
        <v>3298</v>
      </c>
      <c r="B1504" t="s">
        <v>492</v>
      </c>
      <c r="C1504" t="s">
        <v>40</v>
      </c>
      <c r="D1504" s="5">
        <v>21936</v>
      </c>
      <c r="E1504" s="5">
        <v>45505</v>
      </c>
      <c r="F1504" s="5" t="s">
        <v>4237</v>
      </c>
      <c r="G1504" t="s">
        <v>161</v>
      </c>
      <c r="H1504" t="s">
        <v>118</v>
      </c>
      <c r="I1504" t="s">
        <v>25</v>
      </c>
      <c r="J1504" t="s">
        <v>34</v>
      </c>
      <c r="K1504" t="s">
        <v>55</v>
      </c>
      <c r="L1504" s="6">
        <v>184615.73</v>
      </c>
      <c r="M1504">
        <v>167440.6</v>
      </c>
      <c r="N1504" t="s">
        <v>73</v>
      </c>
      <c r="O1504">
        <v>12</v>
      </c>
      <c r="P1504">
        <v>232</v>
      </c>
      <c r="Q1504">
        <v>5</v>
      </c>
      <c r="R1504">
        <v>119</v>
      </c>
      <c r="S1504">
        <v>115.8</v>
      </c>
      <c r="T1504" t="s">
        <v>47</v>
      </c>
      <c r="U1504" s="7">
        <f t="shared" si="94"/>
        <v>64</v>
      </c>
      <c r="V1504" s="7" t="s">
        <v>4237</v>
      </c>
      <c r="W1504" s="6">
        <f t="shared" si="93"/>
        <v>17175.130000000005</v>
      </c>
      <c r="X1504" t="str">
        <f t="shared" si="95"/>
        <v>Senior</v>
      </c>
    </row>
    <row r="1505" spans="1:24">
      <c r="A1505" t="s">
        <v>3300</v>
      </c>
      <c r="B1505" t="s">
        <v>511</v>
      </c>
      <c r="C1505" t="s">
        <v>40</v>
      </c>
      <c r="D1505" s="5">
        <v>19167</v>
      </c>
      <c r="E1505" s="5">
        <v>45079</v>
      </c>
      <c r="F1505" s="5">
        <v>45090</v>
      </c>
      <c r="G1505" t="s">
        <v>94</v>
      </c>
      <c r="H1505" t="s">
        <v>113</v>
      </c>
      <c r="I1505" t="s">
        <v>53</v>
      </c>
      <c r="J1505" t="s">
        <v>179</v>
      </c>
      <c r="K1505" t="s">
        <v>120</v>
      </c>
      <c r="L1505" s="6">
        <v>148941.31</v>
      </c>
      <c r="M1505">
        <v>107663.59</v>
      </c>
      <c r="N1505" t="s">
        <v>56</v>
      </c>
      <c r="O1505">
        <v>11</v>
      </c>
      <c r="P1505">
        <v>226</v>
      </c>
      <c r="Q1505">
        <v>3</v>
      </c>
      <c r="R1505">
        <v>127</v>
      </c>
      <c r="S1505">
        <v>255.3</v>
      </c>
      <c r="T1505" t="s">
        <v>37</v>
      </c>
      <c r="U1505" s="7">
        <f t="shared" si="94"/>
        <v>70</v>
      </c>
      <c r="V1505" s="7">
        <f t="shared" si="92"/>
        <v>11</v>
      </c>
      <c r="W1505" s="6">
        <f t="shared" si="93"/>
        <v>41277.72</v>
      </c>
      <c r="X1505" t="str">
        <f t="shared" si="95"/>
        <v>Senior</v>
      </c>
    </row>
    <row r="1506" spans="1:24">
      <c r="A1506" t="s">
        <v>3302</v>
      </c>
      <c r="B1506" t="s">
        <v>658</v>
      </c>
      <c r="C1506" t="s">
        <v>40</v>
      </c>
      <c r="D1506" s="5">
        <v>24570</v>
      </c>
      <c r="E1506" s="5">
        <v>45134</v>
      </c>
      <c r="F1506" s="5">
        <v>45145</v>
      </c>
      <c r="G1506" t="s">
        <v>152</v>
      </c>
      <c r="H1506" t="s">
        <v>153</v>
      </c>
      <c r="I1506" t="s">
        <v>25</v>
      </c>
      <c r="J1506" t="s">
        <v>179</v>
      </c>
      <c r="K1506" t="s">
        <v>55</v>
      </c>
      <c r="L1506" s="6">
        <v>199363.45</v>
      </c>
      <c r="M1506">
        <v>145653.24</v>
      </c>
      <c r="N1506" t="s">
        <v>56</v>
      </c>
      <c r="O1506">
        <v>11</v>
      </c>
      <c r="P1506">
        <v>41</v>
      </c>
      <c r="Q1506">
        <v>4</v>
      </c>
      <c r="R1506">
        <v>152</v>
      </c>
      <c r="S1506">
        <v>138.5</v>
      </c>
      <c r="T1506" t="s">
        <v>37</v>
      </c>
      <c r="U1506" s="7">
        <f t="shared" si="94"/>
        <v>56</v>
      </c>
      <c r="V1506" s="7">
        <f t="shared" si="92"/>
        <v>11</v>
      </c>
      <c r="W1506" s="6">
        <f t="shared" si="93"/>
        <v>53710.210000000021</v>
      </c>
      <c r="X1506" t="str">
        <f t="shared" si="95"/>
        <v>Middle Age</v>
      </c>
    </row>
    <row r="1507" spans="1:24">
      <c r="A1507" t="s">
        <v>3303</v>
      </c>
      <c r="B1507" t="s">
        <v>1026</v>
      </c>
      <c r="C1507" t="s">
        <v>40</v>
      </c>
      <c r="D1507" s="5">
        <v>30307</v>
      </c>
      <c r="E1507" s="5">
        <v>45521</v>
      </c>
      <c r="F1507" s="5">
        <v>45534</v>
      </c>
      <c r="G1507" t="s">
        <v>109</v>
      </c>
      <c r="H1507" t="s">
        <v>113</v>
      </c>
      <c r="I1507" t="s">
        <v>53</v>
      </c>
      <c r="J1507" t="s">
        <v>179</v>
      </c>
      <c r="K1507" t="s">
        <v>55</v>
      </c>
      <c r="L1507" s="6">
        <v>123663.9</v>
      </c>
      <c r="M1507">
        <v>24777.49</v>
      </c>
      <c r="N1507" t="s">
        <v>73</v>
      </c>
      <c r="O1507">
        <v>13</v>
      </c>
      <c r="P1507">
        <v>239</v>
      </c>
      <c r="Q1507">
        <v>1</v>
      </c>
      <c r="R1507">
        <v>107</v>
      </c>
      <c r="S1507">
        <v>110.6</v>
      </c>
      <c r="T1507" t="s">
        <v>37</v>
      </c>
      <c r="U1507" s="7">
        <f t="shared" si="94"/>
        <v>41</v>
      </c>
      <c r="V1507" s="7">
        <f t="shared" si="92"/>
        <v>13</v>
      </c>
      <c r="W1507" s="6">
        <f t="shared" si="93"/>
        <v>98886.409999999989</v>
      </c>
      <c r="X1507" t="str">
        <f t="shared" si="95"/>
        <v>Middle Age</v>
      </c>
    </row>
    <row r="1508" spans="1:24">
      <c r="A1508" t="s">
        <v>3305</v>
      </c>
      <c r="B1508" t="s">
        <v>1658</v>
      </c>
      <c r="C1508" t="s">
        <v>40</v>
      </c>
      <c r="D1508" s="5">
        <v>25988</v>
      </c>
      <c r="E1508" s="5">
        <v>45257</v>
      </c>
      <c r="F1508" s="5">
        <v>45270</v>
      </c>
      <c r="G1508" t="s">
        <v>77</v>
      </c>
      <c r="H1508" t="s">
        <v>32</v>
      </c>
      <c r="I1508" t="s">
        <v>119</v>
      </c>
      <c r="J1508" t="s">
        <v>179</v>
      </c>
      <c r="K1508" t="s">
        <v>27</v>
      </c>
      <c r="L1508" s="6">
        <v>71939.520000000004</v>
      </c>
      <c r="M1508">
        <v>69466.179999999993</v>
      </c>
      <c r="N1508" t="s">
        <v>56</v>
      </c>
      <c r="O1508">
        <v>13</v>
      </c>
      <c r="P1508">
        <v>170</v>
      </c>
      <c r="Q1508">
        <v>3</v>
      </c>
      <c r="R1508">
        <v>174</v>
      </c>
      <c r="S1508">
        <v>97.6</v>
      </c>
      <c r="T1508" t="s">
        <v>4237</v>
      </c>
      <c r="U1508" s="7">
        <f t="shared" si="94"/>
        <v>52</v>
      </c>
      <c r="V1508" s="7">
        <f t="shared" si="92"/>
        <v>13</v>
      </c>
      <c r="W1508" s="6">
        <f t="shared" si="93"/>
        <v>2473.3400000000111</v>
      </c>
      <c r="X1508" t="str">
        <f t="shared" si="95"/>
        <v>Middle Age</v>
      </c>
    </row>
    <row r="1509" spans="1:24">
      <c r="A1509" t="s">
        <v>3306</v>
      </c>
      <c r="B1509" t="s">
        <v>1537</v>
      </c>
      <c r="C1509" t="s">
        <v>133</v>
      </c>
      <c r="D1509" s="5">
        <v>38726</v>
      </c>
      <c r="E1509" s="5">
        <v>45922</v>
      </c>
      <c r="F1509" s="5" t="s">
        <v>4237</v>
      </c>
      <c r="G1509" t="s">
        <v>161</v>
      </c>
      <c r="H1509" t="s">
        <v>86</v>
      </c>
      <c r="I1509" t="s">
        <v>79</v>
      </c>
      <c r="J1509" t="s">
        <v>46</v>
      </c>
      <c r="K1509" t="s">
        <v>120</v>
      </c>
      <c r="L1509" s="6">
        <v>58801.9</v>
      </c>
      <c r="M1509">
        <v>45414.44</v>
      </c>
      <c r="N1509" t="s">
        <v>35</v>
      </c>
      <c r="O1509">
        <v>3</v>
      </c>
      <c r="P1509">
        <v>80</v>
      </c>
      <c r="Q1509">
        <v>2</v>
      </c>
      <c r="R1509">
        <v>141</v>
      </c>
      <c r="S1509">
        <v>125.4</v>
      </c>
      <c r="T1509" t="s">
        <v>47</v>
      </c>
      <c r="U1509" s="7">
        <f t="shared" si="94"/>
        <v>19</v>
      </c>
      <c r="V1509" s="7" t="s">
        <v>4237</v>
      </c>
      <c r="W1509" s="6">
        <f t="shared" si="93"/>
        <v>13387.46</v>
      </c>
      <c r="X1509" t="str">
        <f t="shared" si="95"/>
        <v>Adult</v>
      </c>
    </row>
    <row r="1510" spans="1:24">
      <c r="A1510" t="s">
        <v>3308</v>
      </c>
      <c r="B1510" t="s">
        <v>88</v>
      </c>
      <c r="C1510" t="s">
        <v>133</v>
      </c>
      <c r="D1510" s="5">
        <v>21874</v>
      </c>
      <c r="E1510" s="5">
        <v>44964</v>
      </c>
      <c r="F1510" s="5">
        <v>44978</v>
      </c>
      <c r="G1510" t="s">
        <v>105</v>
      </c>
      <c r="H1510" t="s">
        <v>44</v>
      </c>
      <c r="I1510" t="s">
        <v>33</v>
      </c>
      <c r="J1510" t="s">
        <v>80</v>
      </c>
      <c r="K1510" t="s">
        <v>27</v>
      </c>
      <c r="L1510" s="6">
        <v>243535.81</v>
      </c>
      <c r="M1510">
        <v>225200.56</v>
      </c>
      <c r="N1510" t="s">
        <v>56</v>
      </c>
      <c r="O1510">
        <v>14</v>
      </c>
      <c r="P1510">
        <v>70</v>
      </c>
      <c r="Q1510">
        <v>3</v>
      </c>
      <c r="R1510">
        <v>147</v>
      </c>
      <c r="S1510">
        <v>200.7</v>
      </c>
      <c r="T1510" t="s">
        <v>37</v>
      </c>
      <c r="U1510" s="7">
        <f t="shared" si="94"/>
        <v>63</v>
      </c>
      <c r="V1510" s="7">
        <f t="shared" si="92"/>
        <v>14</v>
      </c>
      <c r="W1510" s="6">
        <f t="shared" si="93"/>
        <v>18335.25</v>
      </c>
      <c r="X1510" t="str">
        <f t="shared" si="95"/>
        <v>Senior</v>
      </c>
    </row>
    <row r="1511" spans="1:24">
      <c r="A1511" t="s">
        <v>3309</v>
      </c>
      <c r="B1511" t="s">
        <v>39</v>
      </c>
      <c r="C1511" t="s">
        <v>133</v>
      </c>
      <c r="D1511" s="5">
        <v>33739</v>
      </c>
      <c r="E1511" s="5">
        <v>45011</v>
      </c>
      <c r="F1511" s="5">
        <v>45016</v>
      </c>
      <c r="G1511" t="s">
        <v>43</v>
      </c>
      <c r="H1511" t="s">
        <v>24</v>
      </c>
      <c r="I1511" t="s">
        <v>33</v>
      </c>
      <c r="J1511" t="s">
        <v>71</v>
      </c>
      <c r="K1511" t="s">
        <v>27</v>
      </c>
      <c r="L1511" s="6">
        <v>30305.57</v>
      </c>
      <c r="M1511">
        <v>28344.97</v>
      </c>
      <c r="N1511" t="s">
        <v>73</v>
      </c>
      <c r="O1511">
        <v>5</v>
      </c>
      <c r="P1511">
        <v>8</v>
      </c>
      <c r="Q1511">
        <v>3</v>
      </c>
      <c r="R1511">
        <v>112</v>
      </c>
      <c r="S1511">
        <v>139</v>
      </c>
      <c r="T1511" t="s">
        <v>65</v>
      </c>
      <c r="U1511" s="7">
        <f t="shared" si="94"/>
        <v>30</v>
      </c>
      <c r="V1511" s="7">
        <f t="shared" si="92"/>
        <v>5</v>
      </c>
      <c r="W1511" s="6">
        <f t="shared" si="93"/>
        <v>1960.5999999999985</v>
      </c>
      <c r="X1511" t="str">
        <f t="shared" si="95"/>
        <v>Adult</v>
      </c>
    </row>
    <row r="1512" spans="1:24">
      <c r="A1512" t="s">
        <v>3310</v>
      </c>
      <c r="B1512" t="s">
        <v>83</v>
      </c>
      <c r="C1512" t="s">
        <v>40</v>
      </c>
      <c r="D1512" s="5">
        <v>24778</v>
      </c>
      <c r="E1512" s="5">
        <v>45124</v>
      </c>
      <c r="F1512" s="5">
        <v>45137</v>
      </c>
      <c r="G1512" t="s">
        <v>77</v>
      </c>
      <c r="H1512" t="s">
        <v>118</v>
      </c>
      <c r="I1512" t="s">
        <v>25</v>
      </c>
      <c r="J1512" t="s">
        <v>64</v>
      </c>
      <c r="K1512" t="s">
        <v>55</v>
      </c>
      <c r="L1512" s="6">
        <v>193411.4</v>
      </c>
      <c r="M1512">
        <v>167560.07999999999</v>
      </c>
      <c r="N1512" t="s">
        <v>91</v>
      </c>
      <c r="O1512">
        <v>13</v>
      </c>
      <c r="P1512">
        <v>146</v>
      </c>
      <c r="Q1512">
        <v>2</v>
      </c>
      <c r="R1512">
        <v>147</v>
      </c>
      <c r="S1512">
        <v>105.7</v>
      </c>
      <c r="T1512" t="s">
        <v>47</v>
      </c>
      <c r="U1512" s="7">
        <f t="shared" si="94"/>
        <v>55</v>
      </c>
      <c r="V1512" s="7">
        <f t="shared" si="92"/>
        <v>13</v>
      </c>
      <c r="W1512" s="6">
        <f t="shared" si="93"/>
        <v>25851.320000000007</v>
      </c>
      <c r="X1512" t="str">
        <f t="shared" si="95"/>
        <v>Middle Age</v>
      </c>
    </row>
    <row r="1513" spans="1:24">
      <c r="A1513" t="s">
        <v>4191</v>
      </c>
      <c r="B1513" t="s">
        <v>909</v>
      </c>
      <c r="C1513" t="s">
        <v>40</v>
      </c>
      <c r="D1513" s="5">
        <v>21211</v>
      </c>
      <c r="E1513" s="5">
        <v>45710</v>
      </c>
      <c r="F1513" s="5">
        <v>45720</v>
      </c>
      <c r="G1513" t="s">
        <v>161</v>
      </c>
      <c r="H1513" t="s">
        <v>134</v>
      </c>
      <c r="I1513" t="s">
        <v>33</v>
      </c>
      <c r="J1513" t="s">
        <v>34</v>
      </c>
      <c r="K1513" t="s">
        <v>120</v>
      </c>
      <c r="L1513" s="6">
        <v>66779.09</v>
      </c>
      <c r="M1513">
        <v>56794.33</v>
      </c>
      <c r="N1513" t="s">
        <v>56</v>
      </c>
      <c r="O1513">
        <v>10</v>
      </c>
      <c r="P1513">
        <v>102</v>
      </c>
      <c r="Q1513">
        <v>3</v>
      </c>
      <c r="R1513">
        <v>132</v>
      </c>
      <c r="S1513">
        <v>240.8</v>
      </c>
      <c r="T1513" t="s">
        <v>37</v>
      </c>
      <c r="U1513" s="7">
        <f t="shared" si="94"/>
        <v>67</v>
      </c>
      <c r="V1513" s="7">
        <f t="shared" si="92"/>
        <v>10</v>
      </c>
      <c r="W1513" s="6">
        <f t="shared" si="93"/>
        <v>9984.7599999999948</v>
      </c>
      <c r="X1513" t="str">
        <f t="shared" si="95"/>
        <v>Senior</v>
      </c>
    </row>
    <row r="1514" spans="1:24">
      <c r="A1514" t="s">
        <v>3314</v>
      </c>
      <c r="B1514" t="s">
        <v>1256</v>
      </c>
      <c r="C1514" t="s">
        <v>40</v>
      </c>
      <c r="D1514" s="5">
        <v>38736</v>
      </c>
      <c r="E1514" s="5">
        <v>45276</v>
      </c>
      <c r="F1514" s="5">
        <v>45293</v>
      </c>
      <c r="G1514" t="s">
        <v>152</v>
      </c>
      <c r="H1514" t="s">
        <v>124</v>
      </c>
      <c r="I1514" t="s">
        <v>119</v>
      </c>
      <c r="J1514" t="s">
        <v>46</v>
      </c>
      <c r="K1514" t="s">
        <v>27</v>
      </c>
      <c r="L1514" s="6">
        <v>191765.72</v>
      </c>
      <c r="M1514">
        <v>148669.31</v>
      </c>
      <c r="N1514" t="s">
        <v>35</v>
      </c>
      <c r="O1514">
        <v>17</v>
      </c>
      <c r="P1514">
        <v>140</v>
      </c>
      <c r="Q1514">
        <v>3</v>
      </c>
      <c r="R1514">
        <v>131</v>
      </c>
      <c r="S1514">
        <v>199.9</v>
      </c>
      <c r="T1514" t="s">
        <v>47</v>
      </c>
      <c r="U1514" s="7">
        <f t="shared" si="94"/>
        <v>17</v>
      </c>
      <c r="V1514" s="7">
        <f t="shared" si="92"/>
        <v>17</v>
      </c>
      <c r="W1514" s="6">
        <f t="shared" si="93"/>
        <v>43096.41</v>
      </c>
      <c r="X1514" t="str">
        <f t="shared" si="95"/>
        <v>Child</v>
      </c>
    </row>
    <row r="1515" spans="1:24">
      <c r="A1515" t="s">
        <v>3315</v>
      </c>
      <c r="B1515" t="s">
        <v>224</v>
      </c>
      <c r="C1515" t="s">
        <v>40</v>
      </c>
      <c r="D1515" s="5">
        <v>19151</v>
      </c>
      <c r="E1515" s="5">
        <v>46012</v>
      </c>
      <c r="F1515" s="5">
        <v>46019</v>
      </c>
      <c r="G1515" t="s">
        <v>94</v>
      </c>
      <c r="H1515" t="s">
        <v>24</v>
      </c>
      <c r="I1515" t="s">
        <v>119</v>
      </c>
      <c r="J1515" t="s">
        <v>64</v>
      </c>
      <c r="K1515" t="s">
        <v>27</v>
      </c>
      <c r="L1515" s="6">
        <v>6240.44</v>
      </c>
      <c r="M1515">
        <v>5019.57</v>
      </c>
      <c r="N1515" t="s">
        <v>35</v>
      </c>
      <c r="O1515">
        <v>7</v>
      </c>
      <c r="P1515">
        <v>232</v>
      </c>
      <c r="Q1515">
        <v>1</v>
      </c>
      <c r="R1515">
        <v>183</v>
      </c>
      <c r="S1515">
        <v>197.4</v>
      </c>
      <c r="T1515" t="s">
        <v>47</v>
      </c>
      <c r="U1515" s="7">
        <f t="shared" si="94"/>
        <v>73</v>
      </c>
      <c r="V1515" s="7">
        <f t="shared" si="92"/>
        <v>7</v>
      </c>
      <c r="W1515" s="6">
        <f t="shared" si="93"/>
        <v>1220.8699999999999</v>
      </c>
      <c r="X1515" t="str">
        <f t="shared" si="95"/>
        <v>Senior</v>
      </c>
    </row>
    <row r="1516" spans="1:24">
      <c r="A1516" t="s">
        <v>4192</v>
      </c>
      <c r="B1516" t="s">
        <v>155</v>
      </c>
      <c r="C1516" t="s">
        <v>40</v>
      </c>
      <c r="D1516" s="5">
        <v>35441</v>
      </c>
      <c r="E1516" s="5">
        <v>44953</v>
      </c>
      <c r="F1516" s="5">
        <v>44969</v>
      </c>
      <c r="G1516" t="s">
        <v>117</v>
      </c>
      <c r="H1516" t="s">
        <v>32</v>
      </c>
      <c r="I1516" t="s">
        <v>25</v>
      </c>
      <c r="J1516" t="s">
        <v>64</v>
      </c>
      <c r="K1516" t="s">
        <v>55</v>
      </c>
      <c r="L1516" s="6">
        <v>90113.89</v>
      </c>
      <c r="M1516">
        <v>67456.789999999994</v>
      </c>
      <c r="N1516" t="s">
        <v>35</v>
      </c>
      <c r="O1516">
        <v>16</v>
      </c>
      <c r="P1516">
        <v>238</v>
      </c>
      <c r="Q1516">
        <v>5</v>
      </c>
      <c r="R1516">
        <v>134</v>
      </c>
      <c r="S1516">
        <v>247.9</v>
      </c>
      <c r="T1516" t="s">
        <v>65</v>
      </c>
      <c r="U1516" s="7">
        <f t="shared" si="94"/>
        <v>26</v>
      </c>
      <c r="V1516" s="7">
        <f t="shared" si="92"/>
        <v>16</v>
      </c>
      <c r="W1516" s="6">
        <f t="shared" si="93"/>
        <v>22657.100000000006</v>
      </c>
      <c r="X1516" t="str">
        <f t="shared" si="95"/>
        <v>Adult</v>
      </c>
    </row>
    <row r="1517" spans="1:24">
      <c r="A1517" t="s">
        <v>3319</v>
      </c>
      <c r="B1517" t="s">
        <v>796</v>
      </c>
      <c r="C1517" t="s">
        <v>40</v>
      </c>
      <c r="D1517" s="5">
        <v>35595</v>
      </c>
      <c r="E1517" s="5">
        <v>45941</v>
      </c>
      <c r="F1517" s="5">
        <v>45955</v>
      </c>
      <c r="G1517" t="s">
        <v>117</v>
      </c>
      <c r="H1517" t="s">
        <v>32</v>
      </c>
      <c r="I1517" t="s">
        <v>53</v>
      </c>
      <c r="J1517" t="s">
        <v>64</v>
      </c>
      <c r="K1517" t="s">
        <v>55</v>
      </c>
      <c r="L1517" s="6">
        <v>95840.48</v>
      </c>
      <c r="M1517">
        <v>67019.23</v>
      </c>
      <c r="N1517" t="s">
        <v>91</v>
      </c>
      <c r="O1517">
        <v>14</v>
      </c>
      <c r="P1517">
        <v>47</v>
      </c>
      <c r="Q1517">
        <v>4</v>
      </c>
      <c r="R1517">
        <v>117</v>
      </c>
      <c r="S1517">
        <v>101.8</v>
      </c>
      <c r="T1517" t="s">
        <v>65</v>
      </c>
      <c r="U1517" s="7">
        <f t="shared" si="94"/>
        <v>28</v>
      </c>
      <c r="V1517" s="7">
        <f t="shared" si="92"/>
        <v>14</v>
      </c>
      <c r="W1517" s="6">
        <f t="shared" si="93"/>
        <v>28821.25</v>
      </c>
      <c r="X1517" t="str">
        <f t="shared" si="95"/>
        <v>Adult</v>
      </c>
    </row>
    <row r="1518" spans="1:24">
      <c r="A1518" t="s">
        <v>3320</v>
      </c>
      <c r="B1518" t="s">
        <v>328</v>
      </c>
      <c r="C1518" t="s">
        <v>133</v>
      </c>
      <c r="D1518" s="5">
        <v>20036</v>
      </c>
      <c r="E1518" s="5">
        <v>45558</v>
      </c>
      <c r="F1518" s="5" t="s">
        <v>4237</v>
      </c>
      <c r="G1518" t="s">
        <v>77</v>
      </c>
      <c r="H1518" t="s">
        <v>134</v>
      </c>
      <c r="I1518" t="s">
        <v>45</v>
      </c>
      <c r="J1518" t="s">
        <v>97</v>
      </c>
      <c r="K1518" t="s">
        <v>55</v>
      </c>
      <c r="L1518" s="6">
        <v>237457.88</v>
      </c>
      <c r="M1518">
        <v>98646.34</v>
      </c>
      <c r="N1518" t="s">
        <v>192</v>
      </c>
      <c r="O1518">
        <v>7</v>
      </c>
      <c r="P1518">
        <v>212</v>
      </c>
      <c r="Q1518">
        <v>4</v>
      </c>
      <c r="R1518">
        <v>100</v>
      </c>
      <c r="S1518">
        <v>191.8</v>
      </c>
      <c r="T1518" t="s">
        <v>4237</v>
      </c>
      <c r="U1518" s="7">
        <f t="shared" si="94"/>
        <v>69</v>
      </c>
      <c r="V1518" s="7" t="s">
        <v>4237</v>
      </c>
      <c r="W1518" s="6">
        <f t="shared" si="93"/>
        <v>138811.54</v>
      </c>
      <c r="X1518" t="str">
        <f t="shared" si="95"/>
        <v>Senior</v>
      </c>
    </row>
    <row r="1519" spans="1:24">
      <c r="A1519" t="s">
        <v>3321</v>
      </c>
      <c r="B1519" t="s">
        <v>652</v>
      </c>
      <c r="C1519" t="s">
        <v>133</v>
      </c>
      <c r="D1519" s="5">
        <v>35376</v>
      </c>
      <c r="E1519" s="5">
        <v>45874</v>
      </c>
      <c r="F1519" s="5">
        <v>45882</v>
      </c>
      <c r="G1519" t="s">
        <v>161</v>
      </c>
      <c r="H1519" t="s">
        <v>86</v>
      </c>
      <c r="I1519" t="s">
        <v>33</v>
      </c>
      <c r="J1519" t="s">
        <v>64</v>
      </c>
      <c r="K1519" t="s">
        <v>110</v>
      </c>
      <c r="L1519" s="6">
        <v>248836.71</v>
      </c>
      <c r="M1519">
        <v>195628.66</v>
      </c>
      <c r="N1519" t="s">
        <v>192</v>
      </c>
      <c r="O1519">
        <v>8</v>
      </c>
      <c r="P1519">
        <v>121</v>
      </c>
      <c r="Q1519">
        <v>5</v>
      </c>
      <c r="R1519">
        <v>176</v>
      </c>
      <c r="S1519">
        <v>161.5</v>
      </c>
      <c r="T1519" t="s">
        <v>37</v>
      </c>
      <c r="U1519" s="7">
        <f t="shared" si="94"/>
        <v>28</v>
      </c>
      <c r="V1519" s="7">
        <f t="shared" si="92"/>
        <v>8</v>
      </c>
      <c r="W1519" s="6">
        <f t="shared" si="93"/>
        <v>53208.049999999988</v>
      </c>
      <c r="X1519" t="str">
        <f t="shared" si="95"/>
        <v>Adult</v>
      </c>
    </row>
    <row r="1520" spans="1:24">
      <c r="A1520" t="s">
        <v>3322</v>
      </c>
      <c r="B1520" t="s">
        <v>2393</v>
      </c>
      <c r="C1520" t="s">
        <v>40</v>
      </c>
      <c r="D1520" s="5">
        <v>35226</v>
      </c>
      <c r="E1520" s="5">
        <v>45174</v>
      </c>
      <c r="F1520" s="5">
        <v>45183</v>
      </c>
      <c r="G1520" t="s">
        <v>105</v>
      </c>
      <c r="H1520" t="s">
        <v>134</v>
      </c>
      <c r="I1520" t="s">
        <v>79</v>
      </c>
      <c r="J1520" t="s">
        <v>71</v>
      </c>
      <c r="K1520" t="s">
        <v>55</v>
      </c>
      <c r="L1520" s="6">
        <v>114385.94</v>
      </c>
      <c r="M1520">
        <v>82273.61</v>
      </c>
      <c r="N1520" t="s">
        <v>192</v>
      </c>
      <c r="O1520">
        <v>9</v>
      </c>
      <c r="P1520">
        <v>30</v>
      </c>
      <c r="Q1520">
        <v>4</v>
      </c>
      <c r="R1520">
        <v>155</v>
      </c>
      <c r="S1520">
        <v>171.4</v>
      </c>
      <c r="T1520" t="s">
        <v>37</v>
      </c>
      <c r="U1520" s="7">
        <f t="shared" si="94"/>
        <v>27</v>
      </c>
      <c r="V1520" s="7">
        <f t="shared" si="92"/>
        <v>9</v>
      </c>
      <c r="W1520" s="6">
        <f t="shared" si="93"/>
        <v>32112.33</v>
      </c>
      <c r="X1520" t="str">
        <f t="shared" si="95"/>
        <v>Adult</v>
      </c>
    </row>
    <row r="1521" spans="1:24">
      <c r="A1521" t="s">
        <v>3323</v>
      </c>
      <c r="B1521" t="s">
        <v>238</v>
      </c>
      <c r="C1521" t="s">
        <v>133</v>
      </c>
      <c r="D1521" s="5">
        <v>33771</v>
      </c>
      <c r="E1521" s="5">
        <v>45965</v>
      </c>
      <c r="F1521" s="5">
        <v>45969</v>
      </c>
      <c r="G1521" t="s">
        <v>43</v>
      </c>
      <c r="H1521" t="s">
        <v>24</v>
      </c>
      <c r="I1521" t="s">
        <v>25</v>
      </c>
      <c r="J1521" t="s">
        <v>71</v>
      </c>
      <c r="K1521" t="s">
        <v>110</v>
      </c>
      <c r="L1521" s="6">
        <v>224523.39</v>
      </c>
      <c r="M1521">
        <v>182901.83</v>
      </c>
      <c r="N1521" t="s">
        <v>192</v>
      </c>
      <c r="O1521">
        <v>4</v>
      </c>
      <c r="P1521">
        <v>14</v>
      </c>
      <c r="Q1521">
        <v>3</v>
      </c>
      <c r="R1521">
        <v>126</v>
      </c>
      <c r="S1521">
        <v>124</v>
      </c>
      <c r="T1521" t="s">
        <v>37</v>
      </c>
      <c r="U1521" s="7">
        <f t="shared" si="94"/>
        <v>33</v>
      </c>
      <c r="V1521" s="7">
        <f t="shared" si="92"/>
        <v>4</v>
      </c>
      <c r="W1521" s="6">
        <f t="shared" si="93"/>
        <v>41621.560000000027</v>
      </c>
      <c r="X1521" t="str">
        <f t="shared" si="95"/>
        <v>Adult</v>
      </c>
    </row>
    <row r="1522" spans="1:24">
      <c r="A1522" t="s">
        <v>3325</v>
      </c>
      <c r="B1522" t="s">
        <v>1068</v>
      </c>
      <c r="C1522" t="s">
        <v>133</v>
      </c>
      <c r="D1522" s="5">
        <v>31525</v>
      </c>
      <c r="E1522" s="5">
        <v>45118</v>
      </c>
      <c r="F1522" s="5">
        <v>45135</v>
      </c>
      <c r="G1522" t="s">
        <v>77</v>
      </c>
      <c r="H1522" t="s">
        <v>124</v>
      </c>
      <c r="I1522" t="s">
        <v>53</v>
      </c>
      <c r="J1522" t="s">
        <v>64</v>
      </c>
      <c r="K1522" t="s">
        <v>27</v>
      </c>
      <c r="L1522" s="6">
        <v>185188.49</v>
      </c>
      <c r="M1522">
        <v>153890.71</v>
      </c>
      <c r="N1522" t="s">
        <v>35</v>
      </c>
      <c r="O1522">
        <v>17</v>
      </c>
      <c r="P1522">
        <v>6</v>
      </c>
      <c r="Q1522">
        <v>5</v>
      </c>
      <c r="R1522">
        <v>133</v>
      </c>
      <c r="S1522">
        <v>71.3</v>
      </c>
      <c r="T1522" t="s">
        <v>47</v>
      </c>
      <c r="U1522" s="7">
        <f t="shared" si="94"/>
        <v>37</v>
      </c>
      <c r="V1522" s="7">
        <f t="shared" si="92"/>
        <v>17</v>
      </c>
      <c r="W1522" s="6">
        <f t="shared" si="93"/>
        <v>31297.78</v>
      </c>
      <c r="X1522" t="str">
        <f t="shared" si="95"/>
        <v>Adult</v>
      </c>
    </row>
    <row r="1523" spans="1:24">
      <c r="A1523" t="s">
        <v>3326</v>
      </c>
      <c r="B1523" t="s">
        <v>841</v>
      </c>
      <c r="C1523" t="s">
        <v>40</v>
      </c>
      <c r="D1523" s="5" t="s">
        <v>4237</v>
      </c>
      <c r="E1523" s="5">
        <v>45899</v>
      </c>
      <c r="F1523" s="5">
        <v>45904</v>
      </c>
      <c r="G1523" t="s">
        <v>62</v>
      </c>
      <c r="H1523" t="s">
        <v>113</v>
      </c>
      <c r="I1523" t="s">
        <v>33</v>
      </c>
      <c r="J1523" t="s">
        <v>64</v>
      </c>
      <c r="K1523" t="s">
        <v>55</v>
      </c>
      <c r="L1523" s="6">
        <v>28058.11</v>
      </c>
      <c r="M1523">
        <v>22702.76</v>
      </c>
      <c r="N1523" t="s">
        <v>91</v>
      </c>
      <c r="O1523">
        <v>5</v>
      </c>
      <c r="P1523">
        <v>234</v>
      </c>
      <c r="Q1523">
        <v>4</v>
      </c>
      <c r="R1523">
        <v>174</v>
      </c>
      <c r="S1523">
        <v>180.1</v>
      </c>
      <c r="T1523" t="s">
        <v>65</v>
      </c>
      <c r="U1523" s="7" t="s">
        <v>4237</v>
      </c>
      <c r="V1523" s="7">
        <f t="shared" si="92"/>
        <v>5</v>
      </c>
      <c r="W1523" s="6">
        <f t="shared" si="93"/>
        <v>5355.3500000000022</v>
      </c>
      <c r="X1523" t="s">
        <v>4237</v>
      </c>
    </row>
    <row r="1524" spans="1:24">
      <c r="A1524" t="s">
        <v>3329</v>
      </c>
      <c r="B1524" t="s">
        <v>288</v>
      </c>
      <c r="C1524" t="s">
        <v>133</v>
      </c>
      <c r="D1524" s="5">
        <v>18339</v>
      </c>
      <c r="E1524" s="5">
        <v>45936</v>
      </c>
      <c r="F1524" s="5">
        <v>45946</v>
      </c>
      <c r="G1524" t="s">
        <v>152</v>
      </c>
      <c r="H1524" t="s">
        <v>32</v>
      </c>
      <c r="I1524" t="s">
        <v>53</v>
      </c>
      <c r="J1524" t="s">
        <v>34</v>
      </c>
      <c r="K1524" t="s">
        <v>120</v>
      </c>
      <c r="L1524" s="6">
        <v>228555.01</v>
      </c>
      <c r="M1524">
        <v>150611.63</v>
      </c>
      <c r="N1524" t="s">
        <v>91</v>
      </c>
      <c r="O1524">
        <v>10</v>
      </c>
      <c r="P1524">
        <v>135</v>
      </c>
      <c r="Q1524">
        <v>2</v>
      </c>
      <c r="R1524">
        <v>90</v>
      </c>
      <c r="S1524">
        <v>134.30000000000001</v>
      </c>
      <c r="T1524" t="s">
        <v>37</v>
      </c>
      <c r="U1524" s="7">
        <f t="shared" si="94"/>
        <v>75</v>
      </c>
      <c r="V1524" s="7">
        <f t="shared" si="92"/>
        <v>10</v>
      </c>
      <c r="W1524" s="6">
        <f t="shared" si="93"/>
        <v>77943.38</v>
      </c>
      <c r="X1524" t="str">
        <f t="shared" si="95"/>
        <v>Senior</v>
      </c>
    </row>
    <row r="1525" spans="1:24">
      <c r="A1525" t="s">
        <v>3331</v>
      </c>
      <c r="B1525" t="s">
        <v>112</v>
      </c>
      <c r="C1525" t="s">
        <v>133</v>
      </c>
      <c r="D1525" s="5">
        <v>36408</v>
      </c>
      <c r="E1525" s="5">
        <v>45303</v>
      </c>
      <c r="F1525" s="5">
        <v>45318</v>
      </c>
      <c r="G1525" t="s">
        <v>89</v>
      </c>
      <c r="H1525" t="s">
        <v>52</v>
      </c>
      <c r="I1525" t="s">
        <v>96</v>
      </c>
      <c r="J1525" t="s">
        <v>34</v>
      </c>
      <c r="K1525" t="s">
        <v>110</v>
      </c>
      <c r="L1525" s="6">
        <v>144112.78</v>
      </c>
      <c r="M1525">
        <v>126541.04</v>
      </c>
      <c r="N1525" t="s">
        <v>91</v>
      </c>
      <c r="O1525">
        <v>15</v>
      </c>
      <c r="P1525">
        <v>67</v>
      </c>
      <c r="Q1525">
        <v>4</v>
      </c>
      <c r="R1525">
        <v>165</v>
      </c>
      <c r="S1525">
        <v>168.2</v>
      </c>
      <c r="T1525" t="s">
        <v>47</v>
      </c>
      <c r="U1525" s="7">
        <f t="shared" si="94"/>
        <v>24</v>
      </c>
      <c r="V1525" s="7">
        <f t="shared" si="92"/>
        <v>15</v>
      </c>
      <c r="W1525" s="6">
        <f t="shared" si="93"/>
        <v>17571.740000000005</v>
      </c>
      <c r="X1525" t="str">
        <f t="shared" si="95"/>
        <v>Adult</v>
      </c>
    </row>
    <row r="1526" spans="1:24">
      <c r="A1526" t="s">
        <v>3332</v>
      </c>
      <c r="B1526" t="s">
        <v>194</v>
      </c>
      <c r="C1526" t="s">
        <v>133</v>
      </c>
      <c r="D1526" s="5">
        <v>37603</v>
      </c>
      <c r="E1526" s="5">
        <v>45947</v>
      </c>
      <c r="F1526" s="5" t="s">
        <v>4237</v>
      </c>
      <c r="G1526" t="s">
        <v>152</v>
      </c>
      <c r="H1526" t="s">
        <v>118</v>
      </c>
      <c r="I1526" t="s">
        <v>96</v>
      </c>
      <c r="J1526" t="s">
        <v>34</v>
      </c>
      <c r="K1526" t="s">
        <v>161</v>
      </c>
      <c r="L1526" s="6">
        <v>124075.24</v>
      </c>
      <c r="M1526">
        <v>97161.48</v>
      </c>
      <c r="N1526" t="s">
        <v>56</v>
      </c>
      <c r="O1526">
        <v>18</v>
      </c>
      <c r="P1526">
        <v>24</v>
      </c>
      <c r="Q1526">
        <v>3</v>
      </c>
      <c r="R1526">
        <v>161</v>
      </c>
      <c r="S1526">
        <v>238.6</v>
      </c>
      <c r="T1526" t="s">
        <v>37</v>
      </c>
      <c r="U1526" s="7">
        <f t="shared" si="94"/>
        <v>22</v>
      </c>
      <c r="V1526" s="7" t="s">
        <v>4237</v>
      </c>
      <c r="W1526" s="6">
        <f t="shared" si="93"/>
        <v>26913.760000000009</v>
      </c>
      <c r="X1526" t="str">
        <f t="shared" si="95"/>
        <v>Adult</v>
      </c>
    </row>
    <row r="1527" spans="1:24">
      <c r="A1527" t="s">
        <v>3333</v>
      </c>
      <c r="B1527" t="s">
        <v>658</v>
      </c>
      <c r="C1527" t="s">
        <v>133</v>
      </c>
      <c r="D1527" s="5">
        <v>22398</v>
      </c>
      <c r="E1527" s="5">
        <v>45845</v>
      </c>
      <c r="F1527" s="5">
        <v>45863</v>
      </c>
      <c r="G1527" t="s">
        <v>89</v>
      </c>
      <c r="H1527" t="s">
        <v>134</v>
      </c>
      <c r="I1527" t="s">
        <v>33</v>
      </c>
      <c r="J1527" t="s">
        <v>34</v>
      </c>
      <c r="K1527" t="s">
        <v>120</v>
      </c>
      <c r="L1527" s="6">
        <v>231850.41</v>
      </c>
      <c r="M1527">
        <v>217783.75</v>
      </c>
      <c r="N1527" t="s">
        <v>73</v>
      </c>
      <c r="O1527">
        <v>18</v>
      </c>
      <c r="P1527">
        <v>122</v>
      </c>
      <c r="Q1527">
        <v>4</v>
      </c>
      <c r="R1527">
        <v>93</v>
      </c>
      <c r="S1527">
        <v>203.7</v>
      </c>
      <c r="T1527" t="s">
        <v>47</v>
      </c>
      <c r="U1527" s="7">
        <f t="shared" si="94"/>
        <v>64</v>
      </c>
      <c r="V1527" s="7">
        <f t="shared" si="92"/>
        <v>18</v>
      </c>
      <c r="W1527" s="6">
        <f t="shared" si="93"/>
        <v>14066.660000000003</v>
      </c>
      <c r="X1527" t="str">
        <f t="shared" si="95"/>
        <v>Senior</v>
      </c>
    </row>
    <row r="1528" spans="1:24">
      <c r="A1528" t="s">
        <v>4193</v>
      </c>
      <c r="B1528" t="s">
        <v>2447</v>
      </c>
      <c r="C1528" t="s">
        <v>40</v>
      </c>
      <c r="D1528" s="5">
        <v>38911</v>
      </c>
      <c r="E1528" s="5">
        <v>45426</v>
      </c>
      <c r="F1528" s="5">
        <v>45434</v>
      </c>
      <c r="G1528" t="s">
        <v>117</v>
      </c>
      <c r="H1528" t="s">
        <v>113</v>
      </c>
      <c r="I1528" t="s">
        <v>119</v>
      </c>
      <c r="J1528" t="s">
        <v>34</v>
      </c>
      <c r="K1528" t="s">
        <v>120</v>
      </c>
      <c r="L1528" s="6">
        <v>195811.42</v>
      </c>
      <c r="M1528">
        <v>137760.54999999999</v>
      </c>
      <c r="N1528" t="s">
        <v>4237</v>
      </c>
      <c r="O1528">
        <v>8</v>
      </c>
      <c r="P1528">
        <v>61</v>
      </c>
      <c r="Q1528">
        <v>5</v>
      </c>
      <c r="R1528">
        <v>151</v>
      </c>
      <c r="S1528">
        <v>156</v>
      </c>
      <c r="T1528" t="s">
        <v>4237</v>
      </c>
      <c r="U1528" s="7">
        <f t="shared" si="94"/>
        <v>17</v>
      </c>
      <c r="V1528" s="7">
        <f t="shared" si="92"/>
        <v>8</v>
      </c>
      <c r="W1528" s="6">
        <f t="shared" si="93"/>
        <v>58050.870000000024</v>
      </c>
      <c r="X1528" t="str">
        <f t="shared" si="95"/>
        <v>Child</v>
      </c>
    </row>
    <row r="1529" spans="1:24">
      <c r="A1529" t="s">
        <v>3337</v>
      </c>
      <c r="B1529" t="s">
        <v>354</v>
      </c>
      <c r="C1529" t="s">
        <v>133</v>
      </c>
      <c r="D1529" s="5">
        <v>25465</v>
      </c>
      <c r="E1529" s="5">
        <v>45267</v>
      </c>
      <c r="F1529" s="5">
        <v>45274</v>
      </c>
      <c r="G1529" t="s">
        <v>43</v>
      </c>
      <c r="H1529" t="s">
        <v>24</v>
      </c>
      <c r="I1529" t="s">
        <v>96</v>
      </c>
      <c r="J1529" t="s">
        <v>97</v>
      </c>
      <c r="K1529" t="s">
        <v>55</v>
      </c>
      <c r="L1529" s="6">
        <v>68996.62</v>
      </c>
      <c r="M1529">
        <v>48387.6</v>
      </c>
      <c r="N1529" t="s">
        <v>73</v>
      </c>
      <c r="O1529">
        <v>7</v>
      </c>
      <c r="P1529">
        <v>94</v>
      </c>
      <c r="Q1529">
        <v>4</v>
      </c>
      <c r="R1529">
        <v>153</v>
      </c>
      <c r="S1529">
        <v>191.7</v>
      </c>
      <c r="T1529" t="s">
        <v>47</v>
      </c>
      <c r="U1529" s="7">
        <f t="shared" si="94"/>
        <v>54</v>
      </c>
      <c r="V1529" s="7">
        <f t="shared" si="92"/>
        <v>7</v>
      </c>
      <c r="W1529" s="6">
        <f t="shared" si="93"/>
        <v>20609.019999999997</v>
      </c>
      <c r="X1529" t="str">
        <f t="shared" si="95"/>
        <v>Middle Age</v>
      </c>
    </row>
    <row r="1530" spans="1:24">
      <c r="A1530" t="s">
        <v>3338</v>
      </c>
      <c r="B1530" t="s">
        <v>652</v>
      </c>
      <c r="C1530" t="s">
        <v>133</v>
      </c>
      <c r="D1530" s="5">
        <v>23089</v>
      </c>
      <c r="E1530" s="5">
        <v>45524</v>
      </c>
      <c r="F1530" s="5">
        <v>45525</v>
      </c>
      <c r="G1530" t="s">
        <v>94</v>
      </c>
      <c r="H1530" t="s">
        <v>95</v>
      </c>
      <c r="I1530" t="s">
        <v>25</v>
      </c>
      <c r="J1530" t="s">
        <v>64</v>
      </c>
      <c r="K1530" t="s">
        <v>55</v>
      </c>
      <c r="L1530" s="6">
        <v>55433.04</v>
      </c>
      <c r="M1530">
        <v>40300.269999999997</v>
      </c>
      <c r="N1530" t="s">
        <v>35</v>
      </c>
      <c r="O1530">
        <v>1</v>
      </c>
      <c r="P1530">
        <v>45</v>
      </c>
      <c r="Q1530">
        <v>4</v>
      </c>
      <c r="R1530">
        <v>141</v>
      </c>
      <c r="S1530">
        <v>239.5</v>
      </c>
      <c r="T1530" t="s">
        <v>37</v>
      </c>
      <c r="U1530" s="7">
        <f t="shared" si="94"/>
        <v>61</v>
      </c>
      <c r="V1530" s="7">
        <f t="shared" si="92"/>
        <v>1</v>
      </c>
      <c r="W1530" s="6">
        <f t="shared" si="93"/>
        <v>15132.770000000004</v>
      </c>
      <c r="X1530" t="str">
        <f t="shared" si="95"/>
        <v>Senior</v>
      </c>
    </row>
    <row r="1531" spans="1:24">
      <c r="A1531" t="s">
        <v>3339</v>
      </c>
      <c r="B1531" t="s">
        <v>2270</v>
      </c>
      <c r="C1531" t="s">
        <v>133</v>
      </c>
      <c r="D1531" s="5">
        <v>23310</v>
      </c>
      <c r="E1531" s="5">
        <v>45350</v>
      </c>
      <c r="F1531" s="5">
        <v>45353</v>
      </c>
      <c r="G1531" t="s">
        <v>117</v>
      </c>
      <c r="H1531" t="s">
        <v>44</v>
      </c>
      <c r="I1531" t="s">
        <v>25</v>
      </c>
      <c r="J1531" t="s">
        <v>97</v>
      </c>
      <c r="K1531" t="s">
        <v>55</v>
      </c>
      <c r="L1531" s="6">
        <v>169871.22</v>
      </c>
      <c r="M1531">
        <v>148877.82999999999</v>
      </c>
      <c r="N1531" t="s">
        <v>73</v>
      </c>
      <c r="O1531">
        <v>3</v>
      </c>
      <c r="P1531">
        <v>51</v>
      </c>
      <c r="Q1531">
        <v>5</v>
      </c>
      <c r="R1531">
        <v>95</v>
      </c>
      <c r="S1531">
        <v>82.5</v>
      </c>
      <c r="T1531" t="s">
        <v>37</v>
      </c>
      <c r="U1531" s="7">
        <f t="shared" si="94"/>
        <v>60</v>
      </c>
      <c r="V1531" s="7">
        <f t="shared" si="92"/>
        <v>3</v>
      </c>
      <c r="W1531" s="6">
        <f t="shared" si="93"/>
        <v>20993.390000000014</v>
      </c>
      <c r="X1531" t="str">
        <f t="shared" si="95"/>
        <v>Senior</v>
      </c>
    </row>
    <row r="1532" spans="1:24">
      <c r="A1532" t="s">
        <v>3340</v>
      </c>
      <c r="B1532" t="s">
        <v>427</v>
      </c>
      <c r="C1532" t="s">
        <v>40</v>
      </c>
      <c r="D1532" s="5">
        <v>27422</v>
      </c>
      <c r="E1532" s="5">
        <v>45617</v>
      </c>
      <c r="F1532" s="5">
        <v>45628</v>
      </c>
      <c r="G1532" t="s">
        <v>89</v>
      </c>
      <c r="H1532" t="s">
        <v>24</v>
      </c>
      <c r="I1532" t="s">
        <v>96</v>
      </c>
      <c r="J1532" t="s">
        <v>26</v>
      </c>
      <c r="K1532" t="s">
        <v>120</v>
      </c>
      <c r="L1532" s="6">
        <v>15071.36</v>
      </c>
      <c r="M1532">
        <v>10050.93</v>
      </c>
      <c r="N1532" t="s">
        <v>73</v>
      </c>
      <c r="O1532">
        <v>11</v>
      </c>
      <c r="P1532">
        <v>12</v>
      </c>
      <c r="Q1532">
        <v>4</v>
      </c>
      <c r="R1532">
        <v>138</v>
      </c>
      <c r="S1532">
        <v>227.3</v>
      </c>
      <c r="T1532" t="s">
        <v>37</v>
      </c>
      <c r="U1532" s="7">
        <f t="shared" si="94"/>
        <v>49</v>
      </c>
      <c r="V1532" s="7">
        <f t="shared" si="92"/>
        <v>11</v>
      </c>
      <c r="W1532" s="6">
        <f t="shared" si="93"/>
        <v>5020.43</v>
      </c>
      <c r="X1532" t="str">
        <f t="shared" si="95"/>
        <v>Middle Age</v>
      </c>
    </row>
    <row r="1533" spans="1:24">
      <c r="A1533" t="s">
        <v>3341</v>
      </c>
      <c r="B1533" t="s">
        <v>967</v>
      </c>
      <c r="C1533" t="s">
        <v>40</v>
      </c>
      <c r="D1533" s="5">
        <v>20216</v>
      </c>
      <c r="E1533" s="5">
        <v>45398</v>
      </c>
      <c r="F1533" s="5">
        <v>45411</v>
      </c>
      <c r="G1533" t="s">
        <v>77</v>
      </c>
      <c r="H1533" t="s">
        <v>63</v>
      </c>
      <c r="I1533" t="s">
        <v>33</v>
      </c>
      <c r="J1533" t="s">
        <v>46</v>
      </c>
      <c r="K1533" t="s">
        <v>55</v>
      </c>
      <c r="L1533" s="6">
        <v>212121.88</v>
      </c>
      <c r="M1533">
        <v>165212.65</v>
      </c>
      <c r="N1533" t="s">
        <v>192</v>
      </c>
      <c r="O1533">
        <v>13</v>
      </c>
      <c r="P1533">
        <v>206</v>
      </c>
      <c r="Q1533">
        <v>1</v>
      </c>
      <c r="R1533">
        <v>139</v>
      </c>
      <c r="S1533">
        <v>175.8</v>
      </c>
      <c r="T1533" t="s">
        <v>65</v>
      </c>
      <c r="U1533" s="7">
        <f t="shared" si="94"/>
        <v>68</v>
      </c>
      <c r="V1533" s="7">
        <f t="shared" si="92"/>
        <v>13</v>
      </c>
      <c r="W1533" s="6">
        <f t="shared" si="93"/>
        <v>46909.23000000001</v>
      </c>
      <c r="X1533" t="str">
        <f t="shared" si="95"/>
        <v>Senior</v>
      </c>
    </row>
    <row r="1534" spans="1:24">
      <c r="A1534" t="s">
        <v>3342</v>
      </c>
      <c r="B1534" t="s">
        <v>249</v>
      </c>
      <c r="C1534" t="s">
        <v>133</v>
      </c>
      <c r="D1534" s="5">
        <v>31042</v>
      </c>
      <c r="E1534" s="5">
        <v>45163</v>
      </c>
      <c r="F1534" s="5">
        <v>45180</v>
      </c>
      <c r="G1534" t="s">
        <v>105</v>
      </c>
      <c r="H1534" t="s">
        <v>95</v>
      </c>
      <c r="I1534" t="s">
        <v>25</v>
      </c>
      <c r="J1534" t="s">
        <v>71</v>
      </c>
      <c r="K1534" t="s">
        <v>120</v>
      </c>
      <c r="L1534" s="6">
        <v>29224.959999999999</v>
      </c>
      <c r="M1534">
        <v>17535.3</v>
      </c>
      <c r="N1534" t="s">
        <v>73</v>
      </c>
      <c r="O1534">
        <v>17</v>
      </c>
      <c r="P1534">
        <v>112</v>
      </c>
      <c r="Q1534">
        <v>4</v>
      </c>
      <c r="R1534">
        <v>129</v>
      </c>
      <c r="S1534">
        <v>170</v>
      </c>
      <c r="T1534" t="s">
        <v>65</v>
      </c>
      <c r="U1534" s="7">
        <f t="shared" si="94"/>
        <v>38</v>
      </c>
      <c r="V1534" s="7">
        <f t="shared" si="92"/>
        <v>17</v>
      </c>
      <c r="W1534" s="6">
        <f t="shared" si="93"/>
        <v>11689.66</v>
      </c>
      <c r="X1534" t="str">
        <f t="shared" si="95"/>
        <v>Adult</v>
      </c>
    </row>
    <row r="1535" spans="1:24">
      <c r="A1535" t="s">
        <v>3344</v>
      </c>
      <c r="B1535" t="s">
        <v>565</v>
      </c>
      <c r="C1535" t="s">
        <v>133</v>
      </c>
      <c r="D1535" s="5">
        <v>32470</v>
      </c>
      <c r="E1535" s="5">
        <v>45523</v>
      </c>
      <c r="F1535" s="5">
        <v>45533</v>
      </c>
      <c r="G1535" t="s">
        <v>161</v>
      </c>
      <c r="H1535" t="s">
        <v>113</v>
      </c>
      <c r="I1535" t="s">
        <v>53</v>
      </c>
      <c r="J1535" t="s">
        <v>26</v>
      </c>
      <c r="K1535" t="s">
        <v>55</v>
      </c>
      <c r="L1535" s="6">
        <v>198292.36</v>
      </c>
      <c r="M1535">
        <v>197913.64</v>
      </c>
      <c r="N1535" t="s">
        <v>35</v>
      </c>
      <c r="O1535">
        <v>10</v>
      </c>
      <c r="P1535">
        <v>187</v>
      </c>
      <c r="Q1535">
        <v>5</v>
      </c>
      <c r="R1535">
        <v>132</v>
      </c>
      <c r="S1535">
        <v>228</v>
      </c>
      <c r="T1535" t="s">
        <v>37</v>
      </c>
      <c r="U1535" s="7">
        <f t="shared" si="94"/>
        <v>35</v>
      </c>
      <c r="V1535" s="7">
        <f t="shared" si="92"/>
        <v>10</v>
      </c>
      <c r="W1535" s="6">
        <f t="shared" si="93"/>
        <v>378.71999999997206</v>
      </c>
      <c r="X1535" t="str">
        <f t="shared" si="95"/>
        <v>Adult</v>
      </c>
    </row>
    <row r="1536" spans="1:24">
      <c r="A1536" t="s">
        <v>3346</v>
      </c>
      <c r="B1536" t="s">
        <v>1101</v>
      </c>
      <c r="C1536" t="s">
        <v>40</v>
      </c>
      <c r="D1536" s="5">
        <v>38602</v>
      </c>
      <c r="E1536" s="5">
        <v>45832</v>
      </c>
      <c r="F1536" s="5">
        <v>45835</v>
      </c>
      <c r="G1536" t="s">
        <v>105</v>
      </c>
      <c r="H1536" t="s">
        <v>52</v>
      </c>
      <c r="I1536" t="s">
        <v>25</v>
      </c>
      <c r="J1536" t="s">
        <v>71</v>
      </c>
      <c r="K1536" t="s">
        <v>110</v>
      </c>
      <c r="L1536" s="6">
        <v>27013.29</v>
      </c>
      <c r="M1536">
        <v>21703</v>
      </c>
      <c r="N1536" t="s">
        <v>91</v>
      </c>
      <c r="O1536">
        <v>3</v>
      </c>
      <c r="P1536">
        <v>128</v>
      </c>
      <c r="Q1536">
        <v>4</v>
      </c>
      <c r="R1536">
        <v>152</v>
      </c>
      <c r="S1536">
        <v>185.2</v>
      </c>
      <c r="T1536" t="s">
        <v>37</v>
      </c>
      <c r="U1536" s="7">
        <f t="shared" si="94"/>
        <v>19</v>
      </c>
      <c r="V1536" s="7">
        <f t="shared" si="92"/>
        <v>3</v>
      </c>
      <c r="W1536" s="6">
        <f t="shared" si="93"/>
        <v>5310.2900000000009</v>
      </c>
      <c r="X1536" t="str">
        <f t="shared" si="95"/>
        <v>Adult</v>
      </c>
    </row>
    <row r="1537" spans="1:24">
      <c r="A1537" t="s">
        <v>3348</v>
      </c>
      <c r="B1537" t="s">
        <v>967</v>
      </c>
      <c r="C1537" t="s">
        <v>133</v>
      </c>
      <c r="D1537" s="5">
        <v>18911</v>
      </c>
      <c r="E1537" s="5">
        <v>45612</v>
      </c>
      <c r="F1537" s="5">
        <v>45621</v>
      </c>
      <c r="G1537" t="s">
        <v>62</v>
      </c>
      <c r="H1537" t="s">
        <v>95</v>
      </c>
      <c r="I1537" t="s">
        <v>96</v>
      </c>
      <c r="J1537" t="s">
        <v>71</v>
      </c>
      <c r="K1537" t="s">
        <v>55</v>
      </c>
      <c r="L1537" s="6">
        <v>52835.97</v>
      </c>
      <c r="M1537">
        <v>38555.58</v>
      </c>
      <c r="N1537" t="s">
        <v>91</v>
      </c>
      <c r="O1537">
        <v>9</v>
      </c>
      <c r="P1537">
        <v>101</v>
      </c>
      <c r="Q1537">
        <v>4</v>
      </c>
      <c r="R1537">
        <v>141</v>
      </c>
      <c r="S1537">
        <v>178.6</v>
      </c>
      <c r="T1537" t="s">
        <v>37</v>
      </c>
      <c r="U1537" s="7">
        <f t="shared" si="94"/>
        <v>73</v>
      </c>
      <c r="V1537" s="7">
        <f t="shared" si="92"/>
        <v>9</v>
      </c>
      <c r="W1537" s="6">
        <f t="shared" si="93"/>
        <v>14280.39</v>
      </c>
      <c r="X1537" t="str">
        <f t="shared" si="95"/>
        <v>Senior</v>
      </c>
    </row>
    <row r="1538" spans="1:24">
      <c r="A1538" t="s">
        <v>3350</v>
      </c>
      <c r="B1538" t="s">
        <v>67</v>
      </c>
      <c r="C1538" t="s">
        <v>133</v>
      </c>
      <c r="D1538" s="5">
        <v>23653</v>
      </c>
      <c r="E1538" s="5">
        <v>45535</v>
      </c>
      <c r="F1538" s="5">
        <v>45539</v>
      </c>
      <c r="G1538" t="s">
        <v>94</v>
      </c>
      <c r="H1538" t="s">
        <v>63</v>
      </c>
      <c r="I1538" t="s">
        <v>25</v>
      </c>
      <c r="J1538" t="s">
        <v>64</v>
      </c>
      <c r="K1538" t="s">
        <v>55</v>
      </c>
      <c r="L1538" s="6">
        <v>73112.320000000007</v>
      </c>
      <c r="M1538">
        <v>66247.039999999994</v>
      </c>
      <c r="N1538" t="s">
        <v>4237</v>
      </c>
      <c r="O1538">
        <v>4</v>
      </c>
      <c r="P1538">
        <v>207</v>
      </c>
      <c r="Q1538">
        <v>5</v>
      </c>
      <c r="R1538">
        <v>123</v>
      </c>
      <c r="S1538">
        <v>158.6</v>
      </c>
      <c r="T1538" t="s">
        <v>47</v>
      </c>
      <c r="U1538" s="7">
        <f t="shared" ref="U1538:U1601" si="96">DATEDIF(D1538,E1538,"Y")</f>
        <v>59</v>
      </c>
      <c r="V1538" s="7">
        <f t="shared" ref="V1538:V1601" si="97">IF(OR(E1538=" ",F1538=" ",E1538="Unknown",F1538="Unknown")," ",F1538-E1538)</f>
        <v>4</v>
      </c>
      <c r="W1538" s="6">
        <f t="shared" ref="W1538:W1601" si="98">L1538-M1538</f>
        <v>6865.2800000000134</v>
      </c>
      <c r="X1538" t="str">
        <f t="shared" ref="X1538:X1601" si="99">IF(OR(U1538="",U1538="Unknown"),"",IF(U1538&lt;18,"Child",IF(U1538&lt;40,"Adult",IF(U1538&lt;60,"Middle Age","Senior"))))</f>
        <v>Middle Age</v>
      </c>
    </row>
    <row r="1539" spans="1:24">
      <c r="A1539" t="s">
        <v>3353</v>
      </c>
      <c r="B1539" t="s">
        <v>986</v>
      </c>
      <c r="C1539" t="s">
        <v>40</v>
      </c>
      <c r="D1539" s="5">
        <v>24487</v>
      </c>
      <c r="E1539" s="5">
        <v>45577</v>
      </c>
      <c r="F1539" s="5">
        <v>45580</v>
      </c>
      <c r="G1539" t="s">
        <v>94</v>
      </c>
      <c r="H1539" t="s">
        <v>118</v>
      </c>
      <c r="I1539" t="s">
        <v>33</v>
      </c>
      <c r="J1539" t="s">
        <v>71</v>
      </c>
      <c r="K1539" t="s">
        <v>120</v>
      </c>
      <c r="L1539" s="6">
        <v>97002.87</v>
      </c>
      <c r="M1539">
        <v>74863.92</v>
      </c>
      <c r="N1539" t="s">
        <v>91</v>
      </c>
      <c r="O1539">
        <v>3</v>
      </c>
      <c r="P1539">
        <v>144</v>
      </c>
      <c r="Q1539">
        <v>3</v>
      </c>
      <c r="R1539">
        <v>161</v>
      </c>
      <c r="S1539">
        <v>248.7</v>
      </c>
      <c r="T1539" t="s">
        <v>37</v>
      </c>
      <c r="U1539" s="7">
        <f t="shared" si="96"/>
        <v>57</v>
      </c>
      <c r="V1539" s="7">
        <f t="shared" si="97"/>
        <v>3</v>
      </c>
      <c r="W1539" s="6">
        <f t="shared" si="98"/>
        <v>22138.949999999997</v>
      </c>
      <c r="X1539" t="str">
        <f t="shared" si="99"/>
        <v>Middle Age</v>
      </c>
    </row>
    <row r="1540" spans="1:24">
      <c r="A1540" t="s">
        <v>3355</v>
      </c>
      <c r="B1540" t="s">
        <v>1342</v>
      </c>
      <c r="C1540" t="s">
        <v>40</v>
      </c>
      <c r="D1540" s="5">
        <v>26302</v>
      </c>
      <c r="E1540" s="5">
        <v>45318</v>
      </c>
      <c r="F1540" s="5">
        <v>45325</v>
      </c>
      <c r="G1540" t="s">
        <v>117</v>
      </c>
      <c r="H1540" t="s">
        <v>113</v>
      </c>
      <c r="I1540" t="s">
        <v>53</v>
      </c>
      <c r="J1540" t="s">
        <v>46</v>
      </c>
      <c r="K1540" t="s">
        <v>120</v>
      </c>
      <c r="L1540" s="6">
        <v>99938.21</v>
      </c>
      <c r="M1540">
        <v>90313.59</v>
      </c>
      <c r="N1540" t="s">
        <v>91</v>
      </c>
      <c r="O1540">
        <v>7</v>
      </c>
      <c r="P1540">
        <v>127</v>
      </c>
      <c r="Q1540">
        <v>5</v>
      </c>
      <c r="R1540">
        <v>188</v>
      </c>
      <c r="S1540">
        <v>198.5</v>
      </c>
      <c r="T1540" t="s">
        <v>37</v>
      </c>
      <c r="U1540" s="7">
        <f t="shared" si="96"/>
        <v>52</v>
      </c>
      <c r="V1540" s="7">
        <f t="shared" si="97"/>
        <v>7</v>
      </c>
      <c r="W1540" s="6">
        <f t="shared" si="98"/>
        <v>9624.6200000000099</v>
      </c>
      <c r="X1540" t="str">
        <f t="shared" si="99"/>
        <v>Middle Age</v>
      </c>
    </row>
    <row r="1541" spans="1:24">
      <c r="A1541" t="s">
        <v>3357</v>
      </c>
      <c r="B1541" t="s">
        <v>221</v>
      </c>
      <c r="C1541" t="s">
        <v>40</v>
      </c>
      <c r="D1541" s="5">
        <v>36641</v>
      </c>
      <c r="E1541" s="5">
        <v>45730</v>
      </c>
      <c r="F1541" s="5">
        <v>45737</v>
      </c>
      <c r="G1541" t="s">
        <v>161</v>
      </c>
      <c r="H1541" t="s">
        <v>86</v>
      </c>
      <c r="I1541" t="s">
        <v>25</v>
      </c>
      <c r="J1541" t="s">
        <v>80</v>
      </c>
      <c r="K1541" t="s">
        <v>55</v>
      </c>
      <c r="L1541" s="6">
        <v>37747.360000000001</v>
      </c>
      <c r="M1541">
        <v>26498.66</v>
      </c>
      <c r="N1541" t="s">
        <v>56</v>
      </c>
      <c r="O1541">
        <v>7</v>
      </c>
      <c r="P1541">
        <v>180</v>
      </c>
      <c r="Q1541">
        <v>4</v>
      </c>
      <c r="R1541">
        <v>143</v>
      </c>
      <c r="S1541">
        <v>127.6</v>
      </c>
      <c r="T1541" t="s">
        <v>37</v>
      </c>
      <c r="U1541" s="7">
        <f t="shared" si="96"/>
        <v>24</v>
      </c>
      <c r="V1541" s="7">
        <f t="shared" si="97"/>
        <v>7</v>
      </c>
      <c r="W1541" s="6">
        <f t="shared" si="98"/>
        <v>11248.7</v>
      </c>
      <c r="X1541" t="str">
        <f t="shared" si="99"/>
        <v>Adult</v>
      </c>
    </row>
    <row r="1542" spans="1:24">
      <c r="A1542" t="s">
        <v>3358</v>
      </c>
      <c r="B1542" t="s">
        <v>1509</v>
      </c>
      <c r="C1542" t="s">
        <v>133</v>
      </c>
      <c r="D1542" s="5">
        <v>31727</v>
      </c>
      <c r="E1542" s="5">
        <v>45515</v>
      </c>
      <c r="F1542" s="5">
        <v>45519</v>
      </c>
      <c r="G1542" t="s">
        <v>152</v>
      </c>
      <c r="H1542" t="s">
        <v>124</v>
      </c>
      <c r="I1542" t="s">
        <v>79</v>
      </c>
      <c r="J1542" t="s">
        <v>64</v>
      </c>
      <c r="K1542" t="s">
        <v>161</v>
      </c>
      <c r="L1542" s="6">
        <v>14478.18</v>
      </c>
      <c r="M1542">
        <v>11670.58</v>
      </c>
      <c r="N1542" t="s">
        <v>91</v>
      </c>
      <c r="O1542">
        <v>4</v>
      </c>
      <c r="P1542">
        <v>121</v>
      </c>
      <c r="Q1542">
        <v>2</v>
      </c>
      <c r="R1542">
        <v>179</v>
      </c>
      <c r="S1542">
        <v>103.6</v>
      </c>
      <c r="T1542" t="s">
        <v>37</v>
      </c>
      <c r="U1542" s="7">
        <f t="shared" si="96"/>
        <v>37</v>
      </c>
      <c r="V1542" s="7">
        <f t="shared" si="97"/>
        <v>4</v>
      </c>
      <c r="W1542" s="6">
        <f t="shared" si="98"/>
        <v>2807.6000000000004</v>
      </c>
      <c r="X1542" t="str">
        <f t="shared" si="99"/>
        <v>Adult</v>
      </c>
    </row>
    <row r="1543" spans="1:24">
      <c r="A1543" t="s">
        <v>3362</v>
      </c>
      <c r="B1543" t="s">
        <v>2594</v>
      </c>
      <c r="C1543" t="s">
        <v>40</v>
      </c>
      <c r="D1543" s="5">
        <v>27651</v>
      </c>
      <c r="E1543" s="5">
        <v>45784</v>
      </c>
      <c r="F1543" s="5" t="s">
        <v>4237</v>
      </c>
      <c r="G1543" t="s">
        <v>161</v>
      </c>
      <c r="H1543" t="s">
        <v>118</v>
      </c>
      <c r="I1543" t="s">
        <v>53</v>
      </c>
      <c r="J1543" t="s">
        <v>80</v>
      </c>
      <c r="K1543" t="s">
        <v>55</v>
      </c>
      <c r="L1543" s="6">
        <v>49065.57</v>
      </c>
      <c r="M1543">
        <v>36304.1</v>
      </c>
      <c r="N1543" t="s">
        <v>73</v>
      </c>
      <c r="O1543">
        <v>2</v>
      </c>
      <c r="P1543">
        <v>81</v>
      </c>
      <c r="Q1543">
        <v>1</v>
      </c>
      <c r="R1543">
        <v>124</v>
      </c>
      <c r="S1543">
        <v>239.5</v>
      </c>
      <c r="T1543" t="s">
        <v>37</v>
      </c>
      <c r="U1543" s="7">
        <f t="shared" si="96"/>
        <v>49</v>
      </c>
      <c r="V1543" s="7" t="s">
        <v>4237</v>
      </c>
      <c r="W1543" s="6">
        <f t="shared" si="98"/>
        <v>12761.470000000001</v>
      </c>
      <c r="X1543" t="str">
        <f t="shared" si="99"/>
        <v>Middle Age</v>
      </c>
    </row>
    <row r="1544" spans="1:24">
      <c r="A1544" t="s">
        <v>3363</v>
      </c>
      <c r="B1544" t="s">
        <v>999</v>
      </c>
      <c r="C1544" t="s">
        <v>40</v>
      </c>
      <c r="D1544" s="5">
        <v>35546</v>
      </c>
      <c r="E1544" s="5">
        <v>45421</v>
      </c>
      <c r="F1544" s="5">
        <v>45429</v>
      </c>
      <c r="G1544" t="s">
        <v>105</v>
      </c>
      <c r="H1544" t="s">
        <v>134</v>
      </c>
      <c r="I1544" t="s">
        <v>96</v>
      </c>
      <c r="J1544" t="s">
        <v>97</v>
      </c>
      <c r="K1544" t="s">
        <v>55</v>
      </c>
      <c r="L1544" s="6">
        <v>7431.01</v>
      </c>
      <c r="M1544">
        <v>5218.74</v>
      </c>
      <c r="N1544" t="s">
        <v>73</v>
      </c>
      <c r="O1544">
        <v>8</v>
      </c>
      <c r="P1544">
        <v>208</v>
      </c>
      <c r="Q1544">
        <v>5</v>
      </c>
      <c r="R1544">
        <v>147</v>
      </c>
      <c r="S1544">
        <v>144.80000000000001</v>
      </c>
      <c r="T1544" t="s">
        <v>37</v>
      </c>
      <c r="U1544" s="7">
        <f t="shared" si="96"/>
        <v>27</v>
      </c>
      <c r="V1544" s="7">
        <f t="shared" si="97"/>
        <v>8</v>
      </c>
      <c r="W1544" s="6">
        <f t="shared" si="98"/>
        <v>2212.2700000000004</v>
      </c>
      <c r="X1544" t="str">
        <f t="shared" si="99"/>
        <v>Adult</v>
      </c>
    </row>
    <row r="1545" spans="1:24">
      <c r="A1545" t="s">
        <v>3364</v>
      </c>
      <c r="B1545" t="s">
        <v>1839</v>
      </c>
      <c r="C1545" t="s">
        <v>40</v>
      </c>
      <c r="D1545" s="5">
        <v>19977</v>
      </c>
      <c r="E1545" s="5">
        <v>45056</v>
      </c>
      <c r="F1545" s="5">
        <v>45072</v>
      </c>
      <c r="G1545" t="s">
        <v>152</v>
      </c>
      <c r="H1545" t="s">
        <v>124</v>
      </c>
      <c r="I1545" t="s">
        <v>79</v>
      </c>
      <c r="J1545" t="s">
        <v>46</v>
      </c>
      <c r="K1545" t="s">
        <v>55</v>
      </c>
      <c r="L1545" s="6">
        <v>207030.1</v>
      </c>
      <c r="M1545">
        <v>160798.10999999999</v>
      </c>
      <c r="N1545" t="s">
        <v>56</v>
      </c>
      <c r="O1545">
        <v>16</v>
      </c>
      <c r="P1545">
        <v>114</v>
      </c>
      <c r="Q1545">
        <v>5</v>
      </c>
      <c r="R1545">
        <v>179</v>
      </c>
      <c r="S1545">
        <v>239.7</v>
      </c>
      <c r="T1545" t="s">
        <v>65</v>
      </c>
      <c r="U1545" s="7">
        <f t="shared" si="96"/>
        <v>68</v>
      </c>
      <c r="V1545" s="7">
        <f t="shared" si="97"/>
        <v>16</v>
      </c>
      <c r="W1545" s="6">
        <f t="shared" si="98"/>
        <v>46231.99000000002</v>
      </c>
      <c r="X1545" t="str">
        <f t="shared" si="99"/>
        <v>Senior</v>
      </c>
    </row>
    <row r="1546" spans="1:24">
      <c r="A1546" t="s">
        <v>4194</v>
      </c>
      <c r="B1546" t="s">
        <v>251</v>
      </c>
      <c r="C1546" t="s">
        <v>133</v>
      </c>
      <c r="D1546" s="5">
        <v>33972</v>
      </c>
      <c r="E1546" s="5">
        <v>45977</v>
      </c>
      <c r="F1546" s="5">
        <v>45983</v>
      </c>
      <c r="G1546" t="s">
        <v>89</v>
      </c>
      <c r="H1546" t="s">
        <v>118</v>
      </c>
      <c r="I1546" t="s">
        <v>33</v>
      </c>
      <c r="J1546" t="s">
        <v>71</v>
      </c>
      <c r="K1546" t="s">
        <v>110</v>
      </c>
      <c r="L1546" s="6">
        <v>170712.81</v>
      </c>
      <c r="M1546">
        <v>169795.07</v>
      </c>
      <c r="N1546" t="s">
        <v>192</v>
      </c>
      <c r="O1546">
        <v>6</v>
      </c>
      <c r="P1546">
        <v>91</v>
      </c>
      <c r="Q1546">
        <v>5</v>
      </c>
      <c r="R1546">
        <v>113</v>
      </c>
      <c r="S1546">
        <v>135.1</v>
      </c>
      <c r="T1546" t="s">
        <v>4237</v>
      </c>
      <c r="U1546" s="7">
        <f t="shared" si="96"/>
        <v>32</v>
      </c>
      <c r="V1546" s="7">
        <f t="shared" si="97"/>
        <v>6</v>
      </c>
      <c r="W1546" s="6">
        <f t="shared" si="98"/>
        <v>917.73999999999069</v>
      </c>
      <c r="X1546" t="str">
        <f t="shared" si="99"/>
        <v>Adult</v>
      </c>
    </row>
    <row r="1547" spans="1:24">
      <c r="A1547" t="s">
        <v>3367</v>
      </c>
      <c r="B1547" t="s">
        <v>737</v>
      </c>
      <c r="C1547" t="s">
        <v>40</v>
      </c>
      <c r="D1547" s="5">
        <v>36705</v>
      </c>
      <c r="E1547" s="5">
        <v>45076</v>
      </c>
      <c r="F1547" s="5">
        <v>45084</v>
      </c>
      <c r="G1547" t="s">
        <v>109</v>
      </c>
      <c r="H1547" t="s">
        <v>78</v>
      </c>
      <c r="I1547" t="s">
        <v>25</v>
      </c>
      <c r="J1547" t="s">
        <v>34</v>
      </c>
      <c r="K1547" t="s">
        <v>161</v>
      </c>
      <c r="L1547" s="6">
        <v>168983.41</v>
      </c>
      <c r="M1547">
        <v>110484.17</v>
      </c>
      <c r="N1547" t="s">
        <v>192</v>
      </c>
      <c r="O1547">
        <v>8</v>
      </c>
      <c r="P1547">
        <v>227</v>
      </c>
      <c r="Q1547">
        <v>5</v>
      </c>
      <c r="R1547">
        <v>141</v>
      </c>
      <c r="S1547">
        <v>141.1</v>
      </c>
      <c r="T1547" t="s">
        <v>37</v>
      </c>
      <c r="U1547" s="7">
        <f t="shared" si="96"/>
        <v>22</v>
      </c>
      <c r="V1547" s="7">
        <f t="shared" si="97"/>
        <v>8</v>
      </c>
      <c r="W1547" s="6">
        <f t="shared" si="98"/>
        <v>58499.240000000005</v>
      </c>
      <c r="X1547" t="str">
        <f t="shared" si="99"/>
        <v>Adult</v>
      </c>
    </row>
    <row r="1548" spans="1:24">
      <c r="A1548" t="s">
        <v>3369</v>
      </c>
      <c r="B1548" t="s">
        <v>363</v>
      </c>
      <c r="C1548" t="s">
        <v>40</v>
      </c>
      <c r="D1548" s="5">
        <v>32854</v>
      </c>
      <c r="E1548" s="5">
        <v>45857</v>
      </c>
      <c r="F1548" s="5">
        <v>45864</v>
      </c>
      <c r="G1548" t="s">
        <v>62</v>
      </c>
      <c r="H1548" t="s">
        <v>63</v>
      </c>
      <c r="I1548" t="s">
        <v>45</v>
      </c>
      <c r="J1548" t="s">
        <v>179</v>
      </c>
      <c r="K1548" t="s">
        <v>161</v>
      </c>
      <c r="L1548" s="6">
        <v>59928.59</v>
      </c>
      <c r="M1548">
        <v>98646.34</v>
      </c>
      <c r="N1548" t="s">
        <v>56</v>
      </c>
      <c r="O1548">
        <v>7</v>
      </c>
      <c r="P1548">
        <v>101</v>
      </c>
      <c r="Q1548">
        <v>5</v>
      </c>
      <c r="R1548">
        <v>119</v>
      </c>
      <c r="S1548">
        <v>253.5</v>
      </c>
      <c r="T1548" t="s">
        <v>37</v>
      </c>
      <c r="U1548" s="7">
        <f t="shared" si="96"/>
        <v>35</v>
      </c>
      <c r="V1548" s="7">
        <f t="shared" si="97"/>
        <v>7</v>
      </c>
      <c r="W1548" s="6">
        <f t="shared" si="98"/>
        <v>-38717.75</v>
      </c>
      <c r="X1548" t="str">
        <f t="shared" si="99"/>
        <v>Adult</v>
      </c>
    </row>
    <row r="1549" spans="1:24">
      <c r="A1549" t="s">
        <v>3370</v>
      </c>
      <c r="B1549" t="s">
        <v>1068</v>
      </c>
      <c r="C1549" t="s">
        <v>40</v>
      </c>
      <c r="D1549" s="5">
        <v>26314</v>
      </c>
      <c r="E1549" s="5">
        <v>45943</v>
      </c>
      <c r="F1549" s="5" t="s">
        <v>4237</v>
      </c>
      <c r="G1549" t="s">
        <v>94</v>
      </c>
      <c r="H1549" t="s">
        <v>63</v>
      </c>
      <c r="I1549" t="s">
        <v>45</v>
      </c>
      <c r="J1549" t="s">
        <v>64</v>
      </c>
      <c r="K1549" t="s">
        <v>110</v>
      </c>
      <c r="L1549" s="6">
        <v>9175.5300000000007</v>
      </c>
      <c r="M1549">
        <v>7083.22</v>
      </c>
      <c r="N1549" t="s">
        <v>192</v>
      </c>
      <c r="O1549">
        <v>8</v>
      </c>
      <c r="P1549">
        <v>74</v>
      </c>
      <c r="Q1549">
        <v>4</v>
      </c>
      <c r="R1549">
        <v>113</v>
      </c>
      <c r="S1549">
        <v>211.7</v>
      </c>
      <c r="T1549" t="s">
        <v>47</v>
      </c>
      <c r="U1549" s="7">
        <f t="shared" si="96"/>
        <v>53</v>
      </c>
      <c r="V1549" s="7" t="s">
        <v>4237</v>
      </c>
      <c r="W1549" s="6">
        <f t="shared" si="98"/>
        <v>2092.3100000000004</v>
      </c>
      <c r="X1549" t="str">
        <f t="shared" si="99"/>
        <v>Middle Age</v>
      </c>
    </row>
    <row r="1550" spans="1:24">
      <c r="A1550" t="s">
        <v>3371</v>
      </c>
      <c r="B1550" t="s">
        <v>737</v>
      </c>
      <c r="C1550" t="s">
        <v>40</v>
      </c>
      <c r="D1550" s="5">
        <v>29750</v>
      </c>
      <c r="E1550" s="5">
        <v>45633</v>
      </c>
      <c r="F1550" s="5">
        <v>45648</v>
      </c>
      <c r="G1550" t="s">
        <v>94</v>
      </c>
      <c r="H1550" t="s">
        <v>52</v>
      </c>
      <c r="I1550" t="s">
        <v>45</v>
      </c>
      <c r="J1550" t="s">
        <v>64</v>
      </c>
      <c r="K1550" t="s">
        <v>120</v>
      </c>
      <c r="L1550" s="6">
        <v>62629.64</v>
      </c>
      <c r="M1550">
        <v>52526.07</v>
      </c>
      <c r="N1550" t="s">
        <v>73</v>
      </c>
      <c r="O1550">
        <v>15</v>
      </c>
      <c r="P1550">
        <v>121</v>
      </c>
      <c r="Q1550">
        <v>2</v>
      </c>
      <c r="R1550">
        <v>93</v>
      </c>
      <c r="S1550">
        <v>179.9</v>
      </c>
      <c r="T1550" t="s">
        <v>65</v>
      </c>
      <c r="U1550" s="7">
        <f t="shared" si="96"/>
        <v>43</v>
      </c>
      <c r="V1550" s="7">
        <f t="shared" si="97"/>
        <v>15</v>
      </c>
      <c r="W1550" s="6">
        <f t="shared" si="98"/>
        <v>10103.57</v>
      </c>
      <c r="X1550" t="str">
        <f t="shared" si="99"/>
        <v>Middle Age</v>
      </c>
    </row>
    <row r="1551" spans="1:24">
      <c r="A1551" t="s">
        <v>3372</v>
      </c>
      <c r="B1551" t="s">
        <v>531</v>
      </c>
      <c r="C1551" t="s">
        <v>133</v>
      </c>
      <c r="D1551" s="5">
        <v>24030</v>
      </c>
      <c r="E1551" s="5">
        <v>45988</v>
      </c>
      <c r="F1551" s="5" t="s">
        <v>4237</v>
      </c>
      <c r="G1551" t="s">
        <v>161</v>
      </c>
      <c r="H1551" t="s">
        <v>52</v>
      </c>
      <c r="I1551" t="s">
        <v>79</v>
      </c>
      <c r="J1551" t="s">
        <v>46</v>
      </c>
      <c r="K1551" t="s">
        <v>55</v>
      </c>
      <c r="L1551" s="6">
        <v>158712.74</v>
      </c>
      <c r="M1551">
        <v>136722.44</v>
      </c>
      <c r="N1551" t="s">
        <v>35</v>
      </c>
      <c r="O1551">
        <v>7</v>
      </c>
      <c r="P1551">
        <v>179</v>
      </c>
      <c r="Q1551">
        <v>4</v>
      </c>
      <c r="R1551">
        <v>127</v>
      </c>
      <c r="S1551">
        <v>146.80000000000001</v>
      </c>
      <c r="T1551" t="s">
        <v>4237</v>
      </c>
      <c r="U1551" s="7">
        <f t="shared" si="96"/>
        <v>60</v>
      </c>
      <c r="V1551" s="7" t="s">
        <v>4237</v>
      </c>
      <c r="W1551" s="6">
        <f t="shared" si="98"/>
        <v>21990.299999999988</v>
      </c>
      <c r="X1551" t="str">
        <f t="shared" si="99"/>
        <v>Senior</v>
      </c>
    </row>
    <row r="1552" spans="1:24">
      <c r="A1552" t="s">
        <v>3373</v>
      </c>
      <c r="B1552" t="s">
        <v>728</v>
      </c>
      <c r="C1552" t="s">
        <v>40</v>
      </c>
      <c r="D1552" s="5">
        <v>37212</v>
      </c>
      <c r="E1552" s="5">
        <v>45842</v>
      </c>
      <c r="F1552" s="5">
        <v>45854</v>
      </c>
      <c r="G1552" t="s">
        <v>43</v>
      </c>
      <c r="H1552" t="s">
        <v>63</v>
      </c>
      <c r="I1552" t="s">
        <v>25</v>
      </c>
      <c r="J1552" t="s">
        <v>64</v>
      </c>
      <c r="K1552" t="s">
        <v>55</v>
      </c>
      <c r="L1552" s="6">
        <v>139161.22</v>
      </c>
      <c r="M1552">
        <v>125155.94</v>
      </c>
      <c r="N1552" t="s">
        <v>192</v>
      </c>
      <c r="O1552">
        <v>12</v>
      </c>
      <c r="P1552">
        <v>13</v>
      </c>
      <c r="Q1552">
        <v>4</v>
      </c>
      <c r="R1552">
        <v>133</v>
      </c>
      <c r="S1552">
        <v>238.4</v>
      </c>
      <c r="T1552" t="s">
        <v>4237</v>
      </c>
      <c r="U1552" s="7">
        <f t="shared" si="96"/>
        <v>23</v>
      </c>
      <c r="V1552" s="7">
        <f t="shared" si="97"/>
        <v>12</v>
      </c>
      <c r="W1552" s="6">
        <f t="shared" si="98"/>
        <v>14005.279999999999</v>
      </c>
      <c r="X1552" t="str">
        <f t="shared" si="99"/>
        <v>Adult</v>
      </c>
    </row>
    <row r="1553" spans="1:24">
      <c r="A1553" t="s">
        <v>3374</v>
      </c>
      <c r="B1553" t="s">
        <v>1088</v>
      </c>
      <c r="C1553" t="s">
        <v>40</v>
      </c>
      <c r="D1553" s="5">
        <v>29696</v>
      </c>
      <c r="E1553" s="5">
        <v>45270</v>
      </c>
      <c r="F1553" s="5">
        <v>45272</v>
      </c>
      <c r="G1553" t="s">
        <v>152</v>
      </c>
      <c r="H1553" t="s">
        <v>78</v>
      </c>
      <c r="I1553" t="s">
        <v>96</v>
      </c>
      <c r="J1553" t="s">
        <v>71</v>
      </c>
      <c r="K1553" t="s">
        <v>120</v>
      </c>
      <c r="L1553" s="6">
        <v>5725.1</v>
      </c>
      <c r="M1553">
        <v>4191.49</v>
      </c>
      <c r="N1553" t="s">
        <v>35</v>
      </c>
      <c r="O1553">
        <v>2</v>
      </c>
      <c r="P1553">
        <v>30</v>
      </c>
      <c r="Q1553">
        <v>4</v>
      </c>
      <c r="R1553">
        <v>100</v>
      </c>
      <c r="S1553">
        <v>242.7</v>
      </c>
      <c r="T1553" t="s">
        <v>4237</v>
      </c>
      <c r="U1553" s="7">
        <f t="shared" si="96"/>
        <v>42</v>
      </c>
      <c r="V1553" s="7">
        <f t="shared" si="97"/>
        <v>2</v>
      </c>
      <c r="W1553" s="6">
        <f t="shared" si="98"/>
        <v>1533.6100000000006</v>
      </c>
      <c r="X1553" t="str">
        <f t="shared" si="99"/>
        <v>Middle Age</v>
      </c>
    </row>
    <row r="1554" spans="1:24">
      <c r="A1554" t="s">
        <v>3375</v>
      </c>
      <c r="B1554" t="s">
        <v>965</v>
      </c>
      <c r="C1554" t="s">
        <v>133</v>
      </c>
      <c r="D1554" s="5">
        <v>39266</v>
      </c>
      <c r="E1554" s="5">
        <v>45730</v>
      </c>
      <c r="F1554" s="5">
        <v>45744</v>
      </c>
      <c r="G1554" t="s">
        <v>109</v>
      </c>
      <c r="H1554" t="s">
        <v>32</v>
      </c>
      <c r="I1554" t="s">
        <v>33</v>
      </c>
      <c r="J1554" t="s">
        <v>179</v>
      </c>
      <c r="K1554" t="s">
        <v>27</v>
      </c>
      <c r="L1554" s="6">
        <v>123663.9</v>
      </c>
      <c r="M1554">
        <v>98646.34</v>
      </c>
      <c r="N1554" t="s">
        <v>35</v>
      </c>
      <c r="O1554">
        <v>14</v>
      </c>
      <c r="P1554">
        <v>51</v>
      </c>
      <c r="Q1554">
        <v>4</v>
      </c>
      <c r="R1554">
        <v>133</v>
      </c>
      <c r="S1554">
        <v>149.9</v>
      </c>
      <c r="T1554" t="s">
        <v>47</v>
      </c>
      <c r="U1554" s="7">
        <f t="shared" si="96"/>
        <v>17</v>
      </c>
      <c r="V1554" s="7">
        <f t="shared" si="97"/>
        <v>14</v>
      </c>
      <c r="W1554" s="6">
        <f t="shared" si="98"/>
        <v>25017.559999999998</v>
      </c>
      <c r="X1554" t="str">
        <f t="shared" si="99"/>
        <v>Child</v>
      </c>
    </row>
    <row r="1555" spans="1:24">
      <c r="A1555" t="s">
        <v>3376</v>
      </c>
      <c r="B1555" t="s">
        <v>2177</v>
      </c>
      <c r="C1555" t="s">
        <v>40</v>
      </c>
      <c r="D1555" s="5">
        <v>26011</v>
      </c>
      <c r="E1555" s="5">
        <v>45022</v>
      </c>
      <c r="F1555" s="5">
        <v>45024</v>
      </c>
      <c r="G1555" t="s">
        <v>77</v>
      </c>
      <c r="H1555" t="s">
        <v>44</v>
      </c>
      <c r="I1555" t="s">
        <v>33</v>
      </c>
      <c r="J1555" t="s">
        <v>34</v>
      </c>
      <c r="K1555" t="s">
        <v>27</v>
      </c>
      <c r="L1555" s="6">
        <v>219379.24</v>
      </c>
      <c r="M1555">
        <v>169451.17</v>
      </c>
      <c r="N1555" t="s">
        <v>192</v>
      </c>
      <c r="O1555">
        <v>2</v>
      </c>
      <c r="P1555">
        <v>58</v>
      </c>
      <c r="Q1555">
        <v>1</v>
      </c>
      <c r="R1555">
        <v>160</v>
      </c>
      <c r="S1555">
        <v>141.80000000000001</v>
      </c>
      <c r="T1555" t="s">
        <v>65</v>
      </c>
      <c r="U1555" s="7">
        <f t="shared" si="96"/>
        <v>52</v>
      </c>
      <c r="V1555" s="7">
        <f t="shared" si="97"/>
        <v>2</v>
      </c>
      <c r="W1555" s="6">
        <f t="shared" si="98"/>
        <v>49928.069999999978</v>
      </c>
      <c r="X1555" t="str">
        <f t="shared" si="99"/>
        <v>Middle Age</v>
      </c>
    </row>
    <row r="1556" spans="1:24">
      <c r="A1556" t="s">
        <v>3377</v>
      </c>
      <c r="B1556" t="s">
        <v>1276</v>
      </c>
      <c r="C1556" t="s">
        <v>133</v>
      </c>
      <c r="D1556" s="5">
        <v>19555</v>
      </c>
      <c r="E1556" s="5">
        <v>45412</v>
      </c>
      <c r="F1556" s="5">
        <v>45428</v>
      </c>
      <c r="G1556" t="s">
        <v>89</v>
      </c>
      <c r="H1556" t="s">
        <v>95</v>
      </c>
      <c r="I1556" t="s">
        <v>53</v>
      </c>
      <c r="J1556" t="s">
        <v>26</v>
      </c>
      <c r="K1556" t="s">
        <v>55</v>
      </c>
      <c r="L1556" s="6">
        <v>65770.09</v>
      </c>
      <c r="M1556">
        <v>43528.43</v>
      </c>
      <c r="N1556" t="s">
        <v>56</v>
      </c>
      <c r="O1556">
        <v>16</v>
      </c>
      <c r="P1556">
        <v>20</v>
      </c>
      <c r="Q1556">
        <v>4</v>
      </c>
      <c r="R1556">
        <v>110</v>
      </c>
      <c r="S1556">
        <v>223.2</v>
      </c>
      <c r="T1556" t="s">
        <v>37</v>
      </c>
      <c r="U1556" s="7">
        <f t="shared" si="96"/>
        <v>70</v>
      </c>
      <c r="V1556" s="7">
        <f t="shared" si="97"/>
        <v>16</v>
      </c>
      <c r="W1556" s="6">
        <f t="shared" si="98"/>
        <v>22241.659999999996</v>
      </c>
      <c r="X1556" t="str">
        <f t="shared" si="99"/>
        <v>Senior</v>
      </c>
    </row>
    <row r="1557" spans="1:24">
      <c r="A1557" t="s">
        <v>3380</v>
      </c>
      <c r="B1557" t="s">
        <v>373</v>
      </c>
      <c r="C1557" t="s">
        <v>133</v>
      </c>
      <c r="D1557" s="5">
        <v>35599</v>
      </c>
      <c r="E1557" s="5">
        <v>45685</v>
      </c>
      <c r="F1557" s="5">
        <v>45700</v>
      </c>
      <c r="G1557" t="s">
        <v>77</v>
      </c>
      <c r="H1557" t="s">
        <v>78</v>
      </c>
      <c r="I1557" t="s">
        <v>25</v>
      </c>
      <c r="J1557" t="s">
        <v>80</v>
      </c>
      <c r="K1557" t="s">
        <v>55</v>
      </c>
      <c r="L1557" s="6">
        <v>201875.14</v>
      </c>
      <c r="M1557">
        <v>165444.66</v>
      </c>
      <c r="N1557" t="s">
        <v>56</v>
      </c>
      <c r="O1557">
        <v>15</v>
      </c>
      <c r="P1557">
        <v>123</v>
      </c>
      <c r="Q1557">
        <v>5</v>
      </c>
      <c r="R1557">
        <v>171</v>
      </c>
      <c r="S1557">
        <v>181.9</v>
      </c>
      <c r="T1557" t="s">
        <v>4237</v>
      </c>
      <c r="U1557" s="7">
        <f t="shared" si="96"/>
        <v>27</v>
      </c>
      <c r="V1557" s="7">
        <f t="shared" si="97"/>
        <v>15</v>
      </c>
      <c r="W1557" s="6">
        <f t="shared" si="98"/>
        <v>36430.48000000001</v>
      </c>
      <c r="X1557" t="str">
        <f t="shared" si="99"/>
        <v>Adult</v>
      </c>
    </row>
    <row r="1558" spans="1:24">
      <c r="A1558" t="s">
        <v>3381</v>
      </c>
      <c r="B1558" t="s">
        <v>67</v>
      </c>
      <c r="C1558" t="s">
        <v>133</v>
      </c>
      <c r="D1558" s="5">
        <v>31044</v>
      </c>
      <c r="E1558" s="5">
        <v>45750</v>
      </c>
      <c r="F1558" s="5">
        <v>45761</v>
      </c>
      <c r="G1558" t="s">
        <v>94</v>
      </c>
      <c r="H1558" t="s">
        <v>24</v>
      </c>
      <c r="I1558" t="s">
        <v>25</v>
      </c>
      <c r="J1558" t="s">
        <v>64</v>
      </c>
      <c r="K1558" t="s">
        <v>55</v>
      </c>
      <c r="L1558" s="6">
        <v>80664.56</v>
      </c>
      <c r="M1558">
        <v>61150.11</v>
      </c>
      <c r="N1558" t="s">
        <v>192</v>
      </c>
      <c r="O1558">
        <v>11</v>
      </c>
      <c r="P1558">
        <v>229</v>
      </c>
      <c r="Q1558">
        <v>4</v>
      </c>
      <c r="R1558">
        <v>93</v>
      </c>
      <c r="S1558">
        <v>120.1</v>
      </c>
      <c r="T1558" t="s">
        <v>37</v>
      </c>
      <c r="U1558" s="7">
        <f t="shared" si="96"/>
        <v>40</v>
      </c>
      <c r="V1558" s="7">
        <f t="shared" si="97"/>
        <v>11</v>
      </c>
      <c r="W1558" s="6">
        <f t="shared" si="98"/>
        <v>19514.449999999997</v>
      </c>
      <c r="X1558" t="str">
        <f t="shared" si="99"/>
        <v>Middle Age</v>
      </c>
    </row>
    <row r="1559" spans="1:24">
      <c r="A1559" t="s">
        <v>3382</v>
      </c>
      <c r="B1559" t="s">
        <v>1293</v>
      </c>
      <c r="C1559" t="s">
        <v>133</v>
      </c>
      <c r="D1559" s="5">
        <v>36863</v>
      </c>
      <c r="E1559" s="5">
        <v>45796</v>
      </c>
      <c r="F1559" s="5">
        <v>45803</v>
      </c>
      <c r="G1559" t="s">
        <v>105</v>
      </c>
      <c r="H1559" t="s">
        <v>52</v>
      </c>
      <c r="I1559" t="s">
        <v>33</v>
      </c>
      <c r="J1559" t="s">
        <v>34</v>
      </c>
      <c r="K1559" t="s">
        <v>120</v>
      </c>
      <c r="L1559" s="6">
        <v>213808.95</v>
      </c>
      <c r="M1559">
        <v>202275.78</v>
      </c>
      <c r="N1559" t="s">
        <v>192</v>
      </c>
      <c r="O1559">
        <v>7</v>
      </c>
      <c r="P1559">
        <v>167</v>
      </c>
      <c r="Q1559">
        <v>4</v>
      </c>
      <c r="R1559">
        <v>96</v>
      </c>
      <c r="S1559">
        <v>106.6</v>
      </c>
      <c r="T1559" t="s">
        <v>65</v>
      </c>
      <c r="U1559" s="7">
        <f t="shared" si="96"/>
        <v>24</v>
      </c>
      <c r="V1559" s="7">
        <f t="shared" si="97"/>
        <v>7</v>
      </c>
      <c r="W1559" s="6">
        <f t="shared" si="98"/>
        <v>11533.170000000013</v>
      </c>
      <c r="X1559" t="str">
        <f t="shared" si="99"/>
        <v>Adult</v>
      </c>
    </row>
    <row r="1560" spans="1:24">
      <c r="A1560" t="s">
        <v>3383</v>
      </c>
      <c r="B1560" t="s">
        <v>59</v>
      </c>
      <c r="C1560" t="s">
        <v>133</v>
      </c>
      <c r="D1560" s="5">
        <v>31033</v>
      </c>
      <c r="E1560" s="5">
        <v>45806</v>
      </c>
      <c r="F1560" s="5">
        <v>45809</v>
      </c>
      <c r="G1560" t="s">
        <v>94</v>
      </c>
      <c r="H1560" t="s">
        <v>63</v>
      </c>
      <c r="I1560" t="s">
        <v>25</v>
      </c>
      <c r="J1560" t="s">
        <v>71</v>
      </c>
      <c r="K1560" t="s">
        <v>55</v>
      </c>
      <c r="L1560" s="6">
        <v>77875.67</v>
      </c>
      <c r="M1560">
        <v>55916.53</v>
      </c>
      <c r="N1560" t="s">
        <v>192</v>
      </c>
      <c r="O1560">
        <v>3</v>
      </c>
      <c r="P1560">
        <v>86</v>
      </c>
      <c r="Q1560">
        <v>4</v>
      </c>
      <c r="R1560">
        <v>151</v>
      </c>
      <c r="S1560">
        <v>94.1</v>
      </c>
      <c r="T1560" t="s">
        <v>37</v>
      </c>
      <c r="U1560" s="7">
        <f t="shared" si="96"/>
        <v>40</v>
      </c>
      <c r="V1560" s="7">
        <f t="shared" si="97"/>
        <v>3</v>
      </c>
      <c r="W1560" s="6">
        <f t="shared" si="98"/>
        <v>21959.14</v>
      </c>
      <c r="X1560" t="str">
        <f t="shared" si="99"/>
        <v>Middle Age</v>
      </c>
    </row>
    <row r="1561" spans="1:24">
      <c r="A1561" t="s">
        <v>3384</v>
      </c>
      <c r="B1561" t="s">
        <v>756</v>
      </c>
      <c r="C1561" t="s">
        <v>40</v>
      </c>
      <c r="D1561" s="5">
        <v>21227</v>
      </c>
      <c r="E1561" s="5">
        <v>45238</v>
      </c>
      <c r="F1561" s="5">
        <v>45252</v>
      </c>
      <c r="G1561" t="s">
        <v>117</v>
      </c>
      <c r="H1561" t="s">
        <v>113</v>
      </c>
      <c r="I1561" t="s">
        <v>33</v>
      </c>
      <c r="J1561" t="s">
        <v>26</v>
      </c>
      <c r="K1561" t="s">
        <v>55</v>
      </c>
      <c r="L1561" s="6">
        <v>20491.150000000001</v>
      </c>
      <c r="M1561">
        <v>18093.2</v>
      </c>
      <c r="N1561" t="s">
        <v>56</v>
      </c>
      <c r="O1561">
        <v>14</v>
      </c>
      <c r="P1561">
        <v>106</v>
      </c>
      <c r="Q1561">
        <v>4</v>
      </c>
      <c r="R1561">
        <v>142</v>
      </c>
      <c r="S1561">
        <v>169.9</v>
      </c>
      <c r="T1561" t="s">
        <v>37</v>
      </c>
      <c r="U1561" s="7">
        <f t="shared" si="96"/>
        <v>65</v>
      </c>
      <c r="V1561" s="7">
        <f t="shared" si="97"/>
        <v>14</v>
      </c>
      <c r="W1561" s="6">
        <f t="shared" si="98"/>
        <v>2397.9500000000007</v>
      </c>
      <c r="X1561" t="str">
        <f t="shared" si="99"/>
        <v>Senior</v>
      </c>
    </row>
    <row r="1562" spans="1:24">
      <c r="A1562" t="s">
        <v>4195</v>
      </c>
      <c r="B1562" t="s">
        <v>1230</v>
      </c>
      <c r="C1562" t="s">
        <v>40</v>
      </c>
      <c r="D1562" s="5">
        <v>24908</v>
      </c>
      <c r="E1562" s="5">
        <v>45280</v>
      </c>
      <c r="F1562" s="5">
        <v>45291</v>
      </c>
      <c r="G1562" t="s">
        <v>43</v>
      </c>
      <c r="H1562" t="s">
        <v>95</v>
      </c>
      <c r="I1562" t="s">
        <v>33</v>
      </c>
      <c r="J1562" t="s">
        <v>34</v>
      </c>
      <c r="K1562" t="s">
        <v>27</v>
      </c>
      <c r="L1562" s="6">
        <v>203282.37</v>
      </c>
      <c r="M1562">
        <v>183798.66</v>
      </c>
      <c r="N1562" t="s">
        <v>35</v>
      </c>
      <c r="O1562">
        <v>11</v>
      </c>
      <c r="P1562">
        <v>151</v>
      </c>
      <c r="Q1562">
        <v>5</v>
      </c>
      <c r="R1562">
        <v>101</v>
      </c>
      <c r="S1562">
        <v>143.69999999999999</v>
      </c>
      <c r="T1562" t="s">
        <v>37</v>
      </c>
      <c r="U1562" s="7">
        <f t="shared" si="96"/>
        <v>55</v>
      </c>
      <c r="V1562" s="7">
        <f t="shared" si="97"/>
        <v>11</v>
      </c>
      <c r="W1562" s="6">
        <f t="shared" si="98"/>
        <v>19483.709999999992</v>
      </c>
      <c r="X1562" t="str">
        <f t="shared" si="99"/>
        <v>Middle Age</v>
      </c>
    </row>
    <row r="1563" spans="1:24">
      <c r="A1563" t="s">
        <v>3387</v>
      </c>
      <c r="B1563" t="s">
        <v>1305</v>
      </c>
      <c r="C1563" t="s">
        <v>133</v>
      </c>
      <c r="D1563" s="5">
        <v>34207</v>
      </c>
      <c r="E1563" s="5">
        <v>45084</v>
      </c>
      <c r="F1563" s="5" t="s">
        <v>4237</v>
      </c>
      <c r="G1563" t="s">
        <v>94</v>
      </c>
      <c r="H1563" t="s">
        <v>52</v>
      </c>
      <c r="I1563" t="s">
        <v>79</v>
      </c>
      <c r="J1563" t="s">
        <v>80</v>
      </c>
      <c r="K1563" t="s">
        <v>120</v>
      </c>
      <c r="L1563" s="6">
        <v>37356.300000000003</v>
      </c>
      <c r="M1563">
        <v>33439.49</v>
      </c>
      <c r="N1563" t="s">
        <v>192</v>
      </c>
      <c r="O1563">
        <v>12</v>
      </c>
      <c r="P1563">
        <v>129</v>
      </c>
      <c r="Q1563">
        <v>4</v>
      </c>
      <c r="R1563">
        <v>109</v>
      </c>
      <c r="S1563">
        <v>134</v>
      </c>
      <c r="T1563" t="s">
        <v>37</v>
      </c>
      <c r="U1563" s="7">
        <f t="shared" si="96"/>
        <v>29</v>
      </c>
      <c r="V1563" s="7" t="s">
        <v>4237</v>
      </c>
      <c r="W1563" s="6">
        <f t="shared" si="98"/>
        <v>3916.8100000000049</v>
      </c>
      <c r="X1563" t="str">
        <f t="shared" si="99"/>
        <v>Adult</v>
      </c>
    </row>
    <row r="1564" spans="1:24">
      <c r="A1564" t="s">
        <v>3389</v>
      </c>
      <c r="B1564" t="s">
        <v>1438</v>
      </c>
      <c r="C1564" t="s">
        <v>133</v>
      </c>
      <c r="D1564" s="5">
        <v>20275</v>
      </c>
      <c r="E1564" s="5">
        <v>44962</v>
      </c>
      <c r="F1564" s="5">
        <v>44976</v>
      </c>
      <c r="G1564" t="s">
        <v>161</v>
      </c>
      <c r="H1564" t="s">
        <v>78</v>
      </c>
      <c r="I1564" t="s">
        <v>33</v>
      </c>
      <c r="J1564" t="s">
        <v>46</v>
      </c>
      <c r="K1564" t="s">
        <v>120</v>
      </c>
      <c r="L1564" s="6">
        <v>180610.78</v>
      </c>
      <c r="M1564">
        <v>126283.17</v>
      </c>
      <c r="N1564" t="s">
        <v>35</v>
      </c>
      <c r="O1564">
        <v>14</v>
      </c>
      <c r="P1564">
        <v>18</v>
      </c>
      <c r="Q1564">
        <v>4</v>
      </c>
      <c r="R1564">
        <v>93</v>
      </c>
      <c r="S1564">
        <v>254.4</v>
      </c>
      <c r="T1564" t="s">
        <v>37</v>
      </c>
      <c r="U1564" s="7">
        <f t="shared" si="96"/>
        <v>67</v>
      </c>
      <c r="V1564" s="7">
        <f t="shared" si="97"/>
        <v>14</v>
      </c>
      <c r="W1564" s="6">
        <f t="shared" si="98"/>
        <v>54327.61</v>
      </c>
      <c r="X1564" t="str">
        <f t="shared" si="99"/>
        <v>Senior</v>
      </c>
    </row>
    <row r="1565" spans="1:24">
      <c r="A1565" t="s">
        <v>3392</v>
      </c>
      <c r="B1565" t="s">
        <v>288</v>
      </c>
      <c r="C1565" t="s">
        <v>40</v>
      </c>
      <c r="D1565" s="5">
        <v>32837</v>
      </c>
      <c r="E1565" s="5">
        <v>45436</v>
      </c>
      <c r="F1565" s="5">
        <v>45446</v>
      </c>
      <c r="G1565" t="s">
        <v>109</v>
      </c>
      <c r="H1565" t="s">
        <v>153</v>
      </c>
      <c r="I1565" t="s">
        <v>96</v>
      </c>
      <c r="J1565" t="s">
        <v>26</v>
      </c>
      <c r="K1565" t="s">
        <v>55</v>
      </c>
      <c r="L1565" s="6">
        <v>176698.42</v>
      </c>
      <c r="M1565">
        <v>137025.65</v>
      </c>
      <c r="N1565" t="s">
        <v>35</v>
      </c>
      <c r="O1565">
        <v>10</v>
      </c>
      <c r="P1565">
        <v>29</v>
      </c>
      <c r="Q1565">
        <v>4</v>
      </c>
      <c r="R1565">
        <v>152</v>
      </c>
      <c r="S1565">
        <v>211.6</v>
      </c>
      <c r="T1565" t="s">
        <v>47</v>
      </c>
      <c r="U1565" s="7">
        <f t="shared" si="96"/>
        <v>34</v>
      </c>
      <c r="V1565" s="7">
        <f t="shared" si="97"/>
        <v>10</v>
      </c>
      <c r="W1565" s="6">
        <f t="shared" si="98"/>
        <v>39672.770000000019</v>
      </c>
      <c r="X1565" t="str">
        <f t="shared" si="99"/>
        <v>Adult</v>
      </c>
    </row>
    <row r="1566" spans="1:24">
      <c r="A1566" t="s">
        <v>3394</v>
      </c>
      <c r="B1566" t="s">
        <v>417</v>
      </c>
      <c r="C1566" t="s">
        <v>40</v>
      </c>
      <c r="D1566" s="5">
        <v>20658</v>
      </c>
      <c r="E1566" s="5">
        <v>45272</v>
      </c>
      <c r="F1566" s="5">
        <v>45290</v>
      </c>
      <c r="G1566" t="s">
        <v>152</v>
      </c>
      <c r="H1566" t="s">
        <v>95</v>
      </c>
      <c r="I1566" t="s">
        <v>96</v>
      </c>
      <c r="J1566" t="s">
        <v>46</v>
      </c>
      <c r="K1566" t="s">
        <v>120</v>
      </c>
      <c r="L1566" s="6">
        <v>68041.259999999995</v>
      </c>
      <c r="M1566">
        <v>55337.15</v>
      </c>
      <c r="N1566" t="s">
        <v>73</v>
      </c>
      <c r="O1566">
        <v>18</v>
      </c>
      <c r="P1566">
        <v>117</v>
      </c>
      <c r="Q1566">
        <v>4</v>
      </c>
      <c r="R1566">
        <v>116</v>
      </c>
      <c r="S1566">
        <v>112.4</v>
      </c>
      <c r="T1566" t="s">
        <v>47</v>
      </c>
      <c r="U1566" s="7">
        <f t="shared" si="96"/>
        <v>67</v>
      </c>
      <c r="V1566" s="7">
        <f t="shared" si="97"/>
        <v>18</v>
      </c>
      <c r="W1566" s="6">
        <f t="shared" si="98"/>
        <v>12704.109999999993</v>
      </c>
      <c r="X1566" t="str">
        <f t="shared" si="99"/>
        <v>Senior</v>
      </c>
    </row>
    <row r="1567" spans="1:24">
      <c r="A1567" t="s">
        <v>3396</v>
      </c>
      <c r="B1567" t="s">
        <v>999</v>
      </c>
      <c r="C1567" t="s">
        <v>133</v>
      </c>
      <c r="D1567" s="5">
        <v>24333</v>
      </c>
      <c r="E1567" s="5">
        <v>45625</v>
      </c>
      <c r="F1567" s="5">
        <v>45631</v>
      </c>
      <c r="G1567" t="s">
        <v>62</v>
      </c>
      <c r="H1567" t="s">
        <v>44</v>
      </c>
      <c r="I1567" t="s">
        <v>79</v>
      </c>
      <c r="J1567" t="s">
        <v>64</v>
      </c>
      <c r="K1567" t="s">
        <v>120</v>
      </c>
      <c r="L1567" s="6">
        <v>101775.81</v>
      </c>
      <c r="M1567">
        <v>99946.3</v>
      </c>
      <c r="N1567" t="s">
        <v>73</v>
      </c>
      <c r="O1567">
        <v>6</v>
      </c>
      <c r="P1567">
        <v>34</v>
      </c>
      <c r="Q1567">
        <v>4</v>
      </c>
      <c r="R1567">
        <v>165</v>
      </c>
      <c r="S1567">
        <v>163.5</v>
      </c>
      <c r="T1567" t="s">
        <v>37</v>
      </c>
      <c r="U1567" s="7">
        <f t="shared" si="96"/>
        <v>58</v>
      </c>
      <c r="V1567" s="7">
        <f t="shared" si="97"/>
        <v>6</v>
      </c>
      <c r="W1567" s="6">
        <f t="shared" si="98"/>
        <v>1829.5099999999948</v>
      </c>
      <c r="X1567" t="str">
        <f t="shared" si="99"/>
        <v>Middle Age</v>
      </c>
    </row>
    <row r="1568" spans="1:24">
      <c r="A1568" t="s">
        <v>3398</v>
      </c>
      <c r="B1568" t="s">
        <v>1001</v>
      </c>
      <c r="C1568" t="s">
        <v>133</v>
      </c>
      <c r="D1568" s="5">
        <v>26520</v>
      </c>
      <c r="E1568" s="5">
        <v>45608</v>
      </c>
      <c r="F1568" s="5">
        <v>45625</v>
      </c>
      <c r="G1568" t="s">
        <v>77</v>
      </c>
      <c r="H1568" t="s">
        <v>134</v>
      </c>
      <c r="I1568" t="s">
        <v>79</v>
      </c>
      <c r="J1568" t="s">
        <v>71</v>
      </c>
      <c r="K1568" t="s">
        <v>55</v>
      </c>
      <c r="L1568" s="6">
        <v>134833.68</v>
      </c>
      <c r="M1568">
        <v>95798.2</v>
      </c>
      <c r="N1568" t="s">
        <v>35</v>
      </c>
      <c r="O1568">
        <v>17</v>
      </c>
      <c r="P1568">
        <v>62</v>
      </c>
      <c r="Q1568">
        <v>4</v>
      </c>
      <c r="R1568">
        <v>175</v>
      </c>
      <c r="S1568">
        <v>117.4</v>
      </c>
      <c r="T1568" t="s">
        <v>47</v>
      </c>
      <c r="U1568" s="7">
        <f t="shared" si="96"/>
        <v>52</v>
      </c>
      <c r="V1568" s="7">
        <f t="shared" si="97"/>
        <v>17</v>
      </c>
      <c r="W1568" s="6">
        <f t="shared" si="98"/>
        <v>39035.479999999996</v>
      </c>
      <c r="X1568" t="str">
        <f t="shared" si="99"/>
        <v>Middle Age</v>
      </c>
    </row>
    <row r="1569" spans="1:24">
      <c r="A1569" t="s">
        <v>3400</v>
      </c>
      <c r="B1569" t="s">
        <v>576</v>
      </c>
      <c r="C1569" t="s">
        <v>133</v>
      </c>
      <c r="D1569" s="5">
        <v>37517</v>
      </c>
      <c r="E1569" s="5">
        <v>45170</v>
      </c>
      <c r="F1569" s="5">
        <v>45183</v>
      </c>
      <c r="G1569" t="s">
        <v>152</v>
      </c>
      <c r="H1569" t="s">
        <v>86</v>
      </c>
      <c r="I1569" t="s">
        <v>119</v>
      </c>
      <c r="J1569" t="s">
        <v>80</v>
      </c>
      <c r="K1569" t="s">
        <v>120</v>
      </c>
      <c r="L1569" s="6">
        <v>79031.06</v>
      </c>
      <c r="M1569">
        <v>62103.91</v>
      </c>
      <c r="N1569" t="s">
        <v>73</v>
      </c>
      <c r="O1569">
        <v>13</v>
      </c>
      <c r="P1569">
        <v>217</v>
      </c>
      <c r="Q1569">
        <v>5</v>
      </c>
      <c r="R1569">
        <v>129</v>
      </c>
      <c r="S1569">
        <v>147.4</v>
      </c>
      <c r="T1569" t="s">
        <v>65</v>
      </c>
      <c r="U1569" s="7">
        <f t="shared" si="96"/>
        <v>20</v>
      </c>
      <c r="V1569" s="7">
        <f t="shared" si="97"/>
        <v>13</v>
      </c>
      <c r="W1569" s="6">
        <f t="shared" si="98"/>
        <v>16927.149999999994</v>
      </c>
      <c r="X1569" t="str">
        <f t="shared" si="99"/>
        <v>Adult</v>
      </c>
    </row>
    <row r="1570" spans="1:24">
      <c r="A1570" t="s">
        <v>3401</v>
      </c>
      <c r="B1570" t="s">
        <v>2507</v>
      </c>
      <c r="C1570" t="s">
        <v>133</v>
      </c>
      <c r="D1570" s="5">
        <v>37911</v>
      </c>
      <c r="E1570" s="5">
        <v>45408</v>
      </c>
      <c r="F1570" s="5">
        <v>45419</v>
      </c>
      <c r="G1570" t="s">
        <v>109</v>
      </c>
      <c r="H1570" t="s">
        <v>95</v>
      </c>
      <c r="I1570" t="s">
        <v>25</v>
      </c>
      <c r="J1570" t="s">
        <v>64</v>
      </c>
      <c r="K1570" t="s">
        <v>120</v>
      </c>
      <c r="L1570" s="6">
        <v>35830.480000000003</v>
      </c>
      <c r="M1570">
        <v>24577.68</v>
      </c>
      <c r="N1570" t="s">
        <v>192</v>
      </c>
      <c r="O1570">
        <v>11</v>
      </c>
      <c r="P1570">
        <v>231</v>
      </c>
      <c r="Q1570">
        <v>4</v>
      </c>
      <c r="R1570">
        <v>152</v>
      </c>
      <c r="S1570">
        <v>202.5</v>
      </c>
      <c r="T1570" t="s">
        <v>65</v>
      </c>
      <c r="U1570" s="7">
        <f t="shared" si="96"/>
        <v>20</v>
      </c>
      <c r="V1570" s="7">
        <f t="shared" si="97"/>
        <v>11</v>
      </c>
      <c r="W1570" s="6">
        <f t="shared" si="98"/>
        <v>11252.800000000003</v>
      </c>
      <c r="X1570" t="str">
        <f t="shared" si="99"/>
        <v>Adult</v>
      </c>
    </row>
    <row r="1571" spans="1:24">
      <c r="A1571" t="s">
        <v>3402</v>
      </c>
      <c r="B1571" t="s">
        <v>587</v>
      </c>
      <c r="C1571" t="s">
        <v>40</v>
      </c>
      <c r="D1571" s="5">
        <v>18891</v>
      </c>
      <c r="E1571" s="5" t="s">
        <v>4237</v>
      </c>
      <c r="F1571" s="5">
        <v>45260</v>
      </c>
      <c r="G1571" t="s">
        <v>152</v>
      </c>
      <c r="H1571" t="s">
        <v>124</v>
      </c>
      <c r="I1571" t="s">
        <v>79</v>
      </c>
      <c r="J1571" t="s">
        <v>71</v>
      </c>
      <c r="K1571" t="s">
        <v>27</v>
      </c>
      <c r="L1571" s="6">
        <v>207459.02</v>
      </c>
      <c r="M1571">
        <v>165300.07</v>
      </c>
      <c r="N1571" t="s">
        <v>192</v>
      </c>
      <c r="O1571">
        <v>6</v>
      </c>
      <c r="P1571">
        <v>104</v>
      </c>
      <c r="Q1571">
        <v>5</v>
      </c>
      <c r="R1571">
        <v>161</v>
      </c>
      <c r="S1571">
        <v>163.5</v>
      </c>
      <c r="T1571" t="s">
        <v>37</v>
      </c>
      <c r="U1571" s="7" t="s">
        <v>4237</v>
      </c>
      <c r="V1571" s="7" t="s">
        <v>4237</v>
      </c>
      <c r="W1571" s="6">
        <f t="shared" si="98"/>
        <v>42158.949999999983</v>
      </c>
      <c r="X1571" t="s">
        <v>4237</v>
      </c>
    </row>
    <row r="1572" spans="1:24">
      <c r="A1572" t="s">
        <v>3405</v>
      </c>
      <c r="B1572" t="s">
        <v>591</v>
      </c>
      <c r="C1572" t="s">
        <v>133</v>
      </c>
      <c r="D1572" s="5">
        <v>25755</v>
      </c>
      <c r="E1572" s="5">
        <v>45774</v>
      </c>
      <c r="F1572" s="5">
        <v>45776</v>
      </c>
      <c r="G1572" t="s">
        <v>89</v>
      </c>
      <c r="H1572" t="s">
        <v>24</v>
      </c>
      <c r="I1572" t="s">
        <v>119</v>
      </c>
      <c r="J1572" t="s">
        <v>64</v>
      </c>
      <c r="K1572" t="s">
        <v>27</v>
      </c>
      <c r="L1572" s="6">
        <v>137078.09</v>
      </c>
      <c r="M1572">
        <v>111931.29</v>
      </c>
      <c r="N1572" t="s">
        <v>35</v>
      </c>
      <c r="O1572">
        <v>2</v>
      </c>
      <c r="P1572">
        <v>225</v>
      </c>
      <c r="Q1572">
        <v>4</v>
      </c>
      <c r="R1572">
        <v>188</v>
      </c>
      <c r="S1572">
        <v>174.8</v>
      </c>
      <c r="T1572" t="s">
        <v>37</v>
      </c>
      <c r="U1572" s="7">
        <f t="shared" si="96"/>
        <v>54</v>
      </c>
      <c r="V1572" s="7">
        <f t="shared" si="97"/>
        <v>2</v>
      </c>
      <c r="W1572" s="6">
        <f t="shared" si="98"/>
        <v>25146.800000000003</v>
      </c>
      <c r="X1572" t="str">
        <f t="shared" si="99"/>
        <v>Middle Age</v>
      </c>
    </row>
    <row r="1573" spans="1:24">
      <c r="A1573" t="s">
        <v>3407</v>
      </c>
      <c r="B1573" t="s">
        <v>2249</v>
      </c>
      <c r="C1573" t="s">
        <v>40</v>
      </c>
      <c r="D1573" s="5">
        <v>18478</v>
      </c>
      <c r="E1573" s="5">
        <v>45052</v>
      </c>
      <c r="F1573" s="5" t="s">
        <v>4237</v>
      </c>
      <c r="G1573" t="s">
        <v>94</v>
      </c>
      <c r="H1573" t="s">
        <v>134</v>
      </c>
      <c r="I1573" t="s">
        <v>53</v>
      </c>
      <c r="J1573" t="s">
        <v>97</v>
      </c>
      <c r="K1573" t="s">
        <v>120</v>
      </c>
      <c r="L1573" s="6">
        <v>53254.45</v>
      </c>
      <c r="M1573">
        <v>98646.34</v>
      </c>
      <c r="N1573" t="s">
        <v>73</v>
      </c>
      <c r="O1573">
        <v>18</v>
      </c>
      <c r="P1573">
        <v>101</v>
      </c>
      <c r="Q1573">
        <v>4</v>
      </c>
      <c r="R1573">
        <v>111</v>
      </c>
      <c r="S1573">
        <v>91.4</v>
      </c>
      <c r="T1573" t="s">
        <v>65</v>
      </c>
      <c r="U1573" s="7">
        <f t="shared" si="96"/>
        <v>72</v>
      </c>
      <c r="V1573" s="7" t="s">
        <v>4237</v>
      </c>
      <c r="W1573" s="6">
        <f t="shared" si="98"/>
        <v>-45391.89</v>
      </c>
      <c r="X1573" t="str">
        <f t="shared" si="99"/>
        <v>Senior</v>
      </c>
    </row>
    <row r="1574" spans="1:24">
      <c r="A1574" t="s">
        <v>4196</v>
      </c>
      <c r="B1574" t="s">
        <v>1099</v>
      </c>
      <c r="C1574" t="s">
        <v>133</v>
      </c>
      <c r="D1574" s="5">
        <v>37975</v>
      </c>
      <c r="E1574" s="5">
        <v>45558</v>
      </c>
      <c r="F1574" s="5">
        <v>45563</v>
      </c>
      <c r="G1574" t="s">
        <v>43</v>
      </c>
      <c r="H1574" t="s">
        <v>86</v>
      </c>
      <c r="I1574" t="s">
        <v>119</v>
      </c>
      <c r="J1574" t="s">
        <v>64</v>
      </c>
      <c r="K1574" t="s">
        <v>161</v>
      </c>
      <c r="L1574" s="6">
        <v>192805.44</v>
      </c>
      <c r="M1574">
        <v>152683.67000000001</v>
      </c>
      <c r="N1574" t="s">
        <v>4237</v>
      </c>
      <c r="O1574">
        <v>5</v>
      </c>
      <c r="P1574">
        <v>47</v>
      </c>
      <c r="Q1574">
        <v>4</v>
      </c>
      <c r="R1574">
        <v>115</v>
      </c>
      <c r="S1574">
        <v>176.3</v>
      </c>
      <c r="T1574" t="s">
        <v>4237</v>
      </c>
      <c r="U1574" s="7">
        <f t="shared" si="96"/>
        <v>20</v>
      </c>
      <c r="V1574" s="7">
        <f t="shared" si="97"/>
        <v>5</v>
      </c>
      <c r="W1574" s="6">
        <f t="shared" si="98"/>
        <v>40121.76999999999</v>
      </c>
      <c r="X1574" t="str">
        <f t="shared" si="99"/>
        <v>Adult</v>
      </c>
    </row>
    <row r="1575" spans="1:24">
      <c r="A1575" t="s">
        <v>3409</v>
      </c>
      <c r="B1575" t="s">
        <v>658</v>
      </c>
      <c r="C1575" t="s">
        <v>40</v>
      </c>
      <c r="D1575" s="5">
        <v>38063</v>
      </c>
      <c r="E1575" s="5">
        <v>45379</v>
      </c>
      <c r="F1575" s="5">
        <v>45388</v>
      </c>
      <c r="G1575" t="s">
        <v>94</v>
      </c>
      <c r="H1575" t="s">
        <v>113</v>
      </c>
      <c r="I1575" t="s">
        <v>33</v>
      </c>
      <c r="J1575" t="s">
        <v>34</v>
      </c>
      <c r="K1575" t="s">
        <v>55</v>
      </c>
      <c r="L1575" s="6">
        <v>22707.05</v>
      </c>
      <c r="M1575">
        <v>14469.41</v>
      </c>
      <c r="N1575" t="s">
        <v>192</v>
      </c>
      <c r="O1575">
        <v>9</v>
      </c>
      <c r="P1575">
        <v>87</v>
      </c>
      <c r="Q1575">
        <v>4</v>
      </c>
      <c r="R1575">
        <v>152</v>
      </c>
      <c r="S1575">
        <v>139.5</v>
      </c>
      <c r="T1575" t="s">
        <v>37</v>
      </c>
      <c r="U1575" s="7">
        <f t="shared" si="96"/>
        <v>20</v>
      </c>
      <c r="V1575" s="7">
        <f t="shared" si="97"/>
        <v>9</v>
      </c>
      <c r="W1575" s="6">
        <f t="shared" si="98"/>
        <v>8237.64</v>
      </c>
      <c r="X1575" t="str">
        <f t="shared" si="99"/>
        <v>Adult</v>
      </c>
    </row>
    <row r="1576" spans="1:24">
      <c r="A1576" t="s">
        <v>4197</v>
      </c>
      <c r="B1576" t="s">
        <v>451</v>
      </c>
      <c r="C1576" t="s">
        <v>133</v>
      </c>
      <c r="D1576" s="5">
        <v>25894</v>
      </c>
      <c r="E1576" s="5">
        <v>45248</v>
      </c>
      <c r="F1576" s="5">
        <v>45250</v>
      </c>
      <c r="G1576" t="s">
        <v>117</v>
      </c>
      <c r="H1576" t="s">
        <v>78</v>
      </c>
      <c r="I1576" t="s">
        <v>33</v>
      </c>
      <c r="J1576" t="s">
        <v>71</v>
      </c>
      <c r="K1576" t="s">
        <v>110</v>
      </c>
      <c r="L1576" s="6">
        <v>83753.919999999998</v>
      </c>
      <c r="M1576">
        <v>81797.539999999994</v>
      </c>
      <c r="N1576" t="s">
        <v>35</v>
      </c>
      <c r="O1576">
        <v>2</v>
      </c>
      <c r="P1576">
        <v>25</v>
      </c>
      <c r="Q1576">
        <v>2</v>
      </c>
      <c r="R1576">
        <v>161</v>
      </c>
      <c r="S1576">
        <v>251</v>
      </c>
      <c r="T1576" t="s">
        <v>37</v>
      </c>
      <c r="U1576" s="7">
        <f t="shared" si="96"/>
        <v>52</v>
      </c>
      <c r="V1576" s="7">
        <f t="shared" si="97"/>
        <v>2</v>
      </c>
      <c r="W1576" s="6">
        <f t="shared" si="98"/>
        <v>1956.3800000000047</v>
      </c>
      <c r="X1576" t="str">
        <f t="shared" si="99"/>
        <v>Middle Age</v>
      </c>
    </row>
    <row r="1577" spans="1:24">
      <c r="A1577" t="s">
        <v>3411</v>
      </c>
      <c r="B1577" t="s">
        <v>980</v>
      </c>
      <c r="C1577" t="s">
        <v>133</v>
      </c>
      <c r="D1577" s="5">
        <v>39704</v>
      </c>
      <c r="E1577" s="5">
        <v>45636</v>
      </c>
      <c r="F1577" s="5">
        <v>45654</v>
      </c>
      <c r="G1577" t="s">
        <v>77</v>
      </c>
      <c r="H1577" t="s">
        <v>113</v>
      </c>
      <c r="I1577" t="s">
        <v>53</v>
      </c>
      <c r="J1577" t="s">
        <v>179</v>
      </c>
      <c r="K1577" t="s">
        <v>161</v>
      </c>
      <c r="L1577" s="6">
        <v>207487.68</v>
      </c>
      <c r="M1577">
        <v>166444.20000000001</v>
      </c>
      <c r="N1577" t="s">
        <v>35</v>
      </c>
      <c r="O1577">
        <v>18</v>
      </c>
      <c r="P1577">
        <v>10</v>
      </c>
      <c r="Q1577">
        <v>5</v>
      </c>
      <c r="R1577">
        <v>148</v>
      </c>
      <c r="S1577">
        <v>222.4</v>
      </c>
      <c r="T1577" t="s">
        <v>37</v>
      </c>
      <c r="U1577" s="7">
        <f t="shared" si="96"/>
        <v>16</v>
      </c>
      <c r="V1577" s="7">
        <f t="shared" si="97"/>
        <v>18</v>
      </c>
      <c r="W1577" s="6">
        <f t="shared" si="98"/>
        <v>41043.479999999981</v>
      </c>
      <c r="X1577" t="str">
        <f t="shared" si="99"/>
        <v>Child</v>
      </c>
    </row>
    <row r="1578" spans="1:24">
      <c r="A1578" t="s">
        <v>3412</v>
      </c>
      <c r="B1578" t="s">
        <v>1026</v>
      </c>
      <c r="C1578" t="s">
        <v>133</v>
      </c>
      <c r="D1578" s="5" t="s">
        <v>4237</v>
      </c>
      <c r="E1578" s="5">
        <v>45358</v>
      </c>
      <c r="F1578" s="5">
        <v>45490</v>
      </c>
      <c r="G1578" t="s">
        <v>161</v>
      </c>
      <c r="H1578" t="s">
        <v>24</v>
      </c>
      <c r="I1578" t="s">
        <v>25</v>
      </c>
      <c r="J1578" t="s">
        <v>26</v>
      </c>
      <c r="K1578" t="s">
        <v>161</v>
      </c>
      <c r="L1578" s="6">
        <v>86516.47</v>
      </c>
      <c r="M1578">
        <v>63878.75</v>
      </c>
      <c r="N1578" t="s">
        <v>192</v>
      </c>
      <c r="O1578">
        <v>14</v>
      </c>
      <c r="P1578">
        <v>37</v>
      </c>
      <c r="Q1578">
        <v>4</v>
      </c>
      <c r="R1578">
        <v>138</v>
      </c>
      <c r="S1578">
        <v>232.9</v>
      </c>
      <c r="T1578" t="s">
        <v>65</v>
      </c>
      <c r="U1578" s="7" t="s">
        <v>4237</v>
      </c>
      <c r="V1578" s="7">
        <f t="shared" si="97"/>
        <v>132</v>
      </c>
      <c r="W1578" s="6">
        <f t="shared" si="98"/>
        <v>22637.72</v>
      </c>
      <c r="X1578" t="s">
        <v>4237</v>
      </c>
    </row>
    <row r="1579" spans="1:24">
      <c r="A1579" t="s">
        <v>3415</v>
      </c>
      <c r="B1579" t="s">
        <v>129</v>
      </c>
      <c r="C1579" t="s">
        <v>40</v>
      </c>
      <c r="D1579" s="5">
        <v>39151</v>
      </c>
      <c r="E1579" s="5">
        <v>45478</v>
      </c>
      <c r="F1579" s="5" t="s">
        <v>4237</v>
      </c>
      <c r="G1579" t="s">
        <v>105</v>
      </c>
      <c r="H1579" t="s">
        <v>78</v>
      </c>
      <c r="I1579" t="s">
        <v>33</v>
      </c>
      <c r="J1579" t="s">
        <v>34</v>
      </c>
      <c r="K1579" t="s">
        <v>120</v>
      </c>
      <c r="L1579" s="6">
        <v>224641.07</v>
      </c>
      <c r="M1579">
        <v>193145.82</v>
      </c>
      <c r="N1579" t="s">
        <v>91</v>
      </c>
      <c r="O1579">
        <v>14</v>
      </c>
      <c r="P1579">
        <v>129</v>
      </c>
      <c r="Q1579">
        <v>5</v>
      </c>
      <c r="R1579">
        <v>148</v>
      </c>
      <c r="S1579">
        <v>143.4</v>
      </c>
      <c r="T1579" t="s">
        <v>37</v>
      </c>
      <c r="U1579" s="7">
        <f t="shared" si="96"/>
        <v>17</v>
      </c>
      <c r="V1579" s="7" t="s">
        <v>4237</v>
      </c>
      <c r="W1579" s="6">
        <f t="shared" si="98"/>
        <v>31495.25</v>
      </c>
      <c r="X1579" t="str">
        <f t="shared" si="99"/>
        <v>Child</v>
      </c>
    </row>
    <row r="1580" spans="1:24">
      <c r="A1580" t="s">
        <v>3417</v>
      </c>
      <c r="B1580" t="s">
        <v>553</v>
      </c>
      <c r="C1580" t="s">
        <v>40</v>
      </c>
      <c r="D1580" s="5">
        <v>25532</v>
      </c>
      <c r="E1580" s="5">
        <v>45091</v>
      </c>
      <c r="F1580" s="5" t="s">
        <v>4237</v>
      </c>
      <c r="G1580" t="s">
        <v>109</v>
      </c>
      <c r="H1580" t="s">
        <v>78</v>
      </c>
      <c r="I1580" t="s">
        <v>53</v>
      </c>
      <c r="J1580" t="s">
        <v>179</v>
      </c>
      <c r="K1580" t="s">
        <v>110</v>
      </c>
      <c r="L1580" s="6">
        <v>170294.34</v>
      </c>
      <c r="M1580">
        <v>129155.78</v>
      </c>
      <c r="N1580" t="s">
        <v>192</v>
      </c>
      <c r="O1580">
        <v>17</v>
      </c>
      <c r="P1580">
        <v>85</v>
      </c>
      <c r="Q1580">
        <v>4</v>
      </c>
      <c r="R1580">
        <v>134</v>
      </c>
      <c r="S1580">
        <v>156.80000000000001</v>
      </c>
      <c r="T1580" t="s">
        <v>47</v>
      </c>
      <c r="U1580" s="7">
        <f t="shared" si="96"/>
        <v>53</v>
      </c>
      <c r="V1580" s="7" t="s">
        <v>4237</v>
      </c>
      <c r="W1580" s="6">
        <f t="shared" si="98"/>
        <v>41138.559999999998</v>
      </c>
      <c r="X1580" t="str">
        <f t="shared" si="99"/>
        <v>Middle Age</v>
      </c>
    </row>
    <row r="1581" spans="1:24">
      <c r="A1581" t="s">
        <v>3419</v>
      </c>
      <c r="B1581" t="s">
        <v>129</v>
      </c>
      <c r="C1581" t="s">
        <v>40</v>
      </c>
      <c r="D1581" s="5">
        <v>26688</v>
      </c>
      <c r="E1581" s="5">
        <v>45799</v>
      </c>
      <c r="F1581" s="5">
        <v>45812</v>
      </c>
      <c r="G1581" t="s">
        <v>89</v>
      </c>
      <c r="H1581" t="s">
        <v>32</v>
      </c>
      <c r="I1581" t="s">
        <v>53</v>
      </c>
      <c r="J1581" t="s">
        <v>34</v>
      </c>
      <c r="K1581" t="s">
        <v>161</v>
      </c>
      <c r="L1581" s="6">
        <v>79195.27</v>
      </c>
      <c r="M1581">
        <v>60006.51</v>
      </c>
      <c r="N1581" t="s">
        <v>73</v>
      </c>
      <c r="O1581">
        <v>13</v>
      </c>
      <c r="P1581">
        <v>62</v>
      </c>
      <c r="Q1581">
        <v>1</v>
      </c>
      <c r="R1581">
        <v>96</v>
      </c>
      <c r="S1581">
        <v>80.2</v>
      </c>
      <c r="T1581" t="s">
        <v>65</v>
      </c>
      <c r="U1581" s="7">
        <f t="shared" si="96"/>
        <v>52</v>
      </c>
      <c r="V1581" s="7">
        <f t="shared" si="97"/>
        <v>13</v>
      </c>
      <c r="W1581" s="6">
        <f t="shared" si="98"/>
        <v>19188.760000000002</v>
      </c>
      <c r="X1581" t="str">
        <f t="shared" si="99"/>
        <v>Middle Age</v>
      </c>
    </row>
    <row r="1582" spans="1:24">
      <c r="A1582" t="s">
        <v>3420</v>
      </c>
      <c r="B1582" t="s">
        <v>737</v>
      </c>
      <c r="C1582" t="s">
        <v>133</v>
      </c>
      <c r="D1582" s="5">
        <v>29129</v>
      </c>
      <c r="E1582" s="5">
        <v>45169</v>
      </c>
      <c r="F1582" s="5">
        <v>45179</v>
      </c>
      <c r="G1582" t="s">
        <v>105</v>
      </c>
      <c r="H1582" t="s">
        <v>113</v>
      </c>
      <c r="I1582" t="s">
        <v>79</v>
      </c>
      <c r="J1582" t="s">
        <v>80</v>
      </c>
      <c r="K1582" t="s">
        <v>55</v>
      </c>
      <c r="L1582" s="6">
        <v>191874.84</v>
      </c>
      <c r="M1582">
        <v>129804.48</v>
      </c>
      <c r="N1582" t="s">
        <v>73</v>
      </c>
      <c r="O1582">
        <v>10</v>
      </c>
      <c r="P1582">
        <v>159</v>
      </c>
      <c r="Q1582">
        <v>5</v>
      </c>
      <c r="R1582">
        <v>173</v>
      </c>
      <c r="S1582">
        <v>90.1</v>
      </c>
      <c r="T1582" t="s">
        <v>37</v>
      </c>
      <c r="U1582" s="7">
        <f t="shared" si="96"/>
        <v>43</v>
      </c>
      <c r="V1582" s="7">
        <f t="shared" si="97"/>
        <v>10</v>
      </c>
      <c r="W1582" s="6">
        <f t="shared" si="98"/>
        <v>62070.36</v>
      </c>
      <c r="X1582" t="str">
        <f t="shared" si="99"/>
        <v>Middle Age</v>
      </c>
    </row>
    <row r="1583" spans="1:24">
      <c r="A1583" t="s">
        <v>3422</v>
      </c>
      <c r="B1583" t="s">
        <v>1135</v>
      </c>
      <c r="C1583" t="s">
        <v>40</v>
      </c>
      <c r="D1583" s="5">
        <v>24051</v>
      </c>
      <c r="E1583" s="5">
        <v>45518</v>
      </c>
      <c r="F1583" s="5" t="s">
        <v>4237</v>
      </c>
      <c r="G1583" t="s">
        <v>117</v>
      </c>
      <c r="H1583" t="s">
        <v>32</v>
      </c>
      <c r="I1583" t="s">
        <v>33</v>
      </c>
      <c r="J1583" t="s">
        <v>26</v>
      </c>
      <c r="K1583" t="s">
        <v>27</v>
      </c>
      <c r="L1583" s="6">
        <v>22542.68</v>
      </c>
      <c r="M1583">
        <v>21600.98</v>
      </c>
      <c r="N1583" t="s">
        <v>56</v>
      </c>
      <c r="O1583">
        <v>3</v>
      </c>
      <c r="P1583">
        <v>187</v>
      </c>
      <c r="Q1583">
        <v>4</v>
      </c>
      <c r="R1583">
        <v>146</v>
      </c>
      <c r="S1583">
        <v>202.5</v>
      </c>
      <c r="T1583" t="s">
        <v>37</v>
      </c>
      <c r="U1583" s="7">
        <f t="shared" si="96"/>
        <v>58</v>
      </c>
      <c r="V1583" s="7" t="s">
        <v>4237</v>
      </c>
      <c r="W1583" s="6">
        <f t="shared" si="98"/>
        <v>941.70000000000073</v>
      </c>
      <c r="X1583" t="str">
        <f t="shared" si="99"/>
        <v>Middle Age</v>
      </c>
    </row>
    <row r="1584" spans="1:24">
      <c r="A1584" t="s">
        <v>3423</v>
      </c>
      <c r="B1584" t="s">
        <v>1598</v>
      </c>
      <c r="C1584" t="s">
        <v>133</v>
      </c>
      <c r="D1584" s="5">
        <v>31548</v>
      </c>
      <c r="E1584" s="5">
        <v>45444</v>
      </c>
      <c r="F1584" s="5">
        <v>45451</v>
      </c>
      <c r="G1584" t="s">
        <v>109</v>
      </c>
      <c r="H1584" t="s">
        <v>78</v>
      </c>
      <c r="I1584" t="s">
        <v>33</v>
      </c>
      <c r="J1584" t="s">
        <v>34</v>
      </c>
      <c r="K1584" t="s">
        <v>55</v>
      </c>
      <c r="L1584" s="6">
        <v>175067.51</v>
      </c>
      <c r="M1584">
        <v>135496.59</v>
      </c>
      <c r="N1584" t="s">
        <v>73</v>
      </c>
      <c r="O1584">
        <v>7</v>
      </c>
      <c r="P1584">
        <v>59</v>
      </c>
      <c r="Q1584">
        <v>4</v>
      </c>
      <c r="R1584">
        <v>143</v>
      </c>
      <c r="S1584">
        <v>85.5</v>
      </c>
      <c r="T1584" t="s">
        <v>4237</v>
      </c>
      <c r="U1584" s="7">
        <f t="shared" si="96"/>
        <v>38</v>
      </c>
      <c r="V1584" s="7">
        <f t="shared" si="97"/>
        <v>7</v>
      </c>
      <c r="W1584" s="6">
        <f t="shared" si="98"/>
        <v>39570.920000000013</v>
      </c>
      <c r="X1584" t="str">
        <f t="shared" si="99"/>
        <v>Adult</v>
      </c>
    </row>
    <row r="1585" spans="1:24">
      <c r="A1585" t="s">
        <v>3424</v>
      </c>
      <c r="B1585" t="s">
        <v>887</v>
      </c>
      <c r="C1585" t="s">
        <v>40</v>
      </c>
      <c r="D1585" s="5">
        <v>39431</v>
      </c>
      <c r="E1585" s="5">
        <v>45001</v>
      </c>
      <c r="F1585" s="5">
        <v>45002</v>
      </c>
      <c r="G1585" t="s">
        <v>94</v>
      </c>
      <c r="H1585" t="s">
        <v>113</v>
      </c>
      <c r="I1585" t="s">
        <v>33</v>
      </c>
      <c r="J1585" t="s">
        <v>97</v>
      </c>
      <c r="K1585" t="s">
        <v>120</v>
      </c>
      <c r="L1585" s="6">
        <v>248224.99</v>
      </c>
      <c r="M1585">
        <v>201348.4</v>
      </c>
      <c r="N1585" t="s">
        <v>56</v>
      </c>
      <c r="O1585">
        <v>1</v>
      </c>
      <c r="P1585">
        <v>183</v>
      </c>
      <c r="Q1585">
        <v>4</v>
      </c>
      <c r="R1585">
        <v>128</v>
      </c>
      <c r="S1585">
        <v>81.8</v>
      </c>
      <c r="T1585" t="s">
        <v>4237</v>
      </c>
      <c r="U1585" s="7">
        <f t="shared" si="96"/>
        <v>15</v>
      </c>
      <c r="V1585" s="7">
        <f t="shared" si="97"/>
        <v>1</v>
      </c>
      <c r="W1585" s="6">
        <f t="shared" si="98"/>
        <v>46876.59</v>
      </c>
      <c r="X1585" t="str">
        <f t="shared" si="99"/>
        <v>Child</v>
      </c>
    </row>
    <row r="1586" spans="1:24">
      <c r="A1586" t="s">
        <v>3425</v>
      </c>
      <c r="B1586" t="s">
        <v>1135</v>
      </c>
      <c r="C1586" t="s">
        <v>40</v>
      </c>
      <c r="D1586" s="5">
        <v>19223</v>
      </c>
      <c r="E1586" s="5">
        <v>45422</v>
      </c>
      <c r="F1586" s="5" t="s">
        <v>4237</v>
      </c>
      <c r="G1586" t="s">
        <v>161</v>
      </c>
      <c r="H1586" t="s">
        <v>78</v>
      </c>
      <c r="I1586" t="s">
        <v>45</v>
      </c>
      <c r="J1586" t="s">
        <v>46</v>
      </c>
      <c r="K1586" t="s">
        <v>110</v>
      </c>
      <c r="L1586" s="6">
        <v>146426.5</v>
      </c>
      <c r="M1586">
        <v>107291.67</v>
      </c>
      <c r="N1586" t="s">
        <v>73</v>
      </c>
      <c r="O1586">
        <v>15</v>
      </c>
      <c r="P1586">
        <v>193</v>
      </c>
      <c r="Q1586">
        <v>4</v>
      </c>
      <c r="R1586">
        <v>187</v>
      </c>
      <c r="S1586">
        <v>211.3</v>
      </c>
      <c r="T1586" t="s">
        <v>65</v>
      </c>
      <c r="U1586" s="7">
        <f t="shared" si="96"/>
        <v>71</v>
      </c>
      <c r="V1586" s="7" t="s">
        <v>4237</v>
      </c>
      <c r="W1586" s="6">
        <f t="shared" si="98"/>
        <v>39134.83</v>
      </c>
      <c r="X1586" t="str">
        <f t="shared" si="99"/>
        <v>Senior</v>
      </c>
    </row>
    <row r="1587" spans="1:24">
      <c r="A1587" t="s">
        <v>3427</v>
      </c>
      <c r="B1587" t="s">
        <v>274</v>
      </c>
      <c r="C1587" t="s">
        <v>40</v>
      </c>
      <c r="D1587" s="5">
        <v>24573</v>
      </c>
      <c r="E1587" s="5">
        <v>45137</v>
      </c>
      <c r="F1587" s="5">
        <v>45147</v>
      </c>
      <c r="G1587" t="s">
        <v>89</v>
      </c>
      <c r="H1587" t="s">
        <v>134</v>
      </c>
      <c r="I1587" t="s">
        <v>79</v>
      </c>
      <c r="J1587" t="s">
        <v>80</v>
      </c>
      <c r="K1587" t="s">
        <v>120</v>
      </c>
      <c r="L1587" s="6">
        <v>35614.92</v>
      </c>
      <c r="M1587">
        <v>21687.74</v>
      </c>
      <c r="N1587" t="s">
        <v>192</v>
      </c>
      <c r="O1587">
        <v>10</v>
      </c>
      <c r="P1587">
        <v>57</v>
      </c>
      <c r="Q1587">
        <v>2</v>
      </c>
      <c r="R1587">
        <v>149</v>
      </c>
      <c r="S1587">
        <v>118.7</v>
      </c>
      <c r="T1587" t="s">
        <v>37</v>
      </c>
      <c r="U1587" s="7">
        <f t="shared" si="96"/>
        <v>56</v>
      </c>
      <c r="V1587" s="7">
        <f t="shared" si="97"/>
        <v>10</v>
      </c>
      <c r="W1587" s="6">
        <f t="shared" si="98"/>
        <v>13927.179999999997</v>
      </c>
      <c r="X1587" t="str">
        <f t="shared" si="99"/>
        <v>Middle Age</v>
      </c>
    </row>
    <row r="1588" spans="1:24">
      <c r="A1588" t="s">
        <v>3429</v>
      </c>
      <c r="B1588" t="s">
        <v>1125</v>
      </c>
      <c r="C1588" t="s">
        <v>133</v>
      </c>
      <c r="D1588" s="5">
        <v>23125</v>
      </c>
      <c r="E1588" s="5">
        <v>45677</v>
      </c>
      <c r="F1588" s="5">
        <v>45690</v>
      </c>
      <c r="G1588" t="s">
        <v>161</v>
      </c>
      <c r="H1588" t="s">
        <v>134</v>
      </c>
      <c r="I1588" t="s">
        <v>53</v>
      </c>
      <c r="J1588" t="s">
        <v>64</v>
      </c>
      <c r="K1588" t="s">
        <v>161</v>
      </c>
      <c r="L1588" s="6">
        <v>201661.38</v>
      </c>
      <c r="M1588">
        <v>168460.79999999999</v>
      </c>
      <c r="N1588" t="s">
        <v>73</v>
      </c>
      <c r="O1588">
        <v>13</v>
      </c>
      <c r="P1588">
        <v>14</v>
      </c>
      <c r="Q1588">
        <v>3</v>
      </c>
      <c r="R1588">
        <v>132</v>
      </c>
      <c r="S1588">
        <v>98.6</v>
      </c>
      <c r="T1588" t="s">
        <v>65</v>
      </c>
      <c r="U1588" s="7">
        <f t="shared" si="96"/>
        <v>61</v>
      </c>
      <c r="V1588" s="7">
        <f t="shared" si="97"/>
        <v>13</v>
      </c>
      <c r="W1588" s="6">
        <f t="shared" si="98"/>
        <v>33200.580000000016</v>
      </c>
      <c r="X1588" t="str">
        <f t="shared" si="99"/>
        <v>Senior</v>
      </c>
    </row>
    <row r="1589" spans="1:24">
      <c r="A1589" t="s">
        <v>4198</v>
      </c>
      <c r="B1589" t="s">
        <v>1658</v>
      </c>
      <c r="C1589" t="s">
        <v>133</v>
      </c>
      <c r="D1589" s="5">
        <v>35425</v>
      </c>
      <c r="E1589" s="5">
        <v>45565</v>
      </c>
      <c r="F1589" s="5">
        <v>45583</v>
      </c>
      <c r="G1589" t="s">
        <v>43</v>
      </c>
      <c r="H1589" t="s">
        <v>24</v>
      </c>
      <c r="I1589" t="s">
        <v>53</v>
      </c>
      <c r="J1589" t="s">
        <v>80</v>
      </c>
      <c r="K1589" t="s">
        <v>27</v>
      </c>
      <c r="L1589" s="6">
        <v>85115.88</v>
      </c>
      <c r="M1589">
        <v>98646.34</v>
      </c>
      <c r="N1589" t="s">
        <v>73</v>
      </c>
      <c r="O1589">
        <v>18</v>
      </c>
      <c r="P1589">
        <v>229</v>
      </c>
      <c r="Q1589">
        <v>3</v>
      </c>
      <c r="R1589">
        <v>122</v>
      </c>
      <c r="S1589">
        <v>76.8</v>
      </c>
      <c r="T1589" t="s">
        <v>65</v>
      </c>
      <c r="U1589" s="7">
        <f t="shared" si="96"/>
        <v>27</v>
      </c>
      <c r="V1589" s="7">
        <f t="shared" si="97"/>
        <v>18</v>
      </c>
      <c r="W1589" s="6">
        <f t="shared" si="98"/>
        <v>-13530.459999999992</v>
      </c>
      <c r="X1589" t="str">
        <f t="shared" si="99"/>
        <v>Adult</v>
      </c>
    </row>
    <row r="1590" spans="1:24">
      <c r="A1590" t="s">
        <v>3431</v>
      </c>
      <c r="B1590" t="s">
        <v>378</v>
      </c>
      <c r="C1590" t="s">
        <v>40</v>
      </c>
      <c r="D1590" s="5">
        <v>38297</v>
      </c>
      <c r="E1590" s="5">
        <v>45329</v>
      </c>
      <c r="F1590" s="5" t="s">
        <v>4237</v>
      </c>
      <c r="G1590" t="s">
        <v>77</v>
      </c>
      <c r="H1590" t="s">
        <v>24</v>
      </c>
      <c r="I1590" t="s">
        <v>119</v>
      </c>
      <c r="J1590" t="s">
        <v>34</v>
      </c>
      <c r="K1590" t="s">
        <v>120</v>
      </c>
      <c r="L1590" s="6">
        <v>141696.19</v>
      </c>
      <c r="M1590">
        <v>92455.87</v>
      </c>
      <c r="N1590" t="s">
        <v>73</v>
      </c>
      <c r="O1590">
        <v>9</v>
      </c>
      <c r="P1590">
        <v>90</v>
      </c>
      <c r="Q1590">
        <v>5</v>
      </c>
      <c r="R1590">
        <v>135</v>
      </c>
      <c r="S1590">
        <v>146.4</v>
      </c>
      <c r="T1590" t="s">
        <v>37</v>
      </c>
      <c r="U1590" s="7">
        <f t="shared" si="96"/>
        <v>19</v>
      </c>
      <c r="V1590" s="7" t="s">
        <v>4237</v>
      </c>
      <c r="W1590" s="6">
        <f t="shared" si="98"/>
        <v>49240.320000000007</v>
      </c>
      <c r="X1590" t="str">
        <f t="shared" si="99"/>
        <v>Adult</v>
      </c>
    </row>
    <row r="1591" spans="1:24">
      <c r="A1591" t="s">
        <v>3432</v>
      </c>
      <c r="B1591" t="s">
        <v>752</v>
      </c>
      <c r="C1591" t="s">
        <v>40</v>
      </c>
      <c r="D1591" s="5">
        <v>34866</v>
      </c>
      <c r="E1591" s="5">
        <v>45354</v>
      </c>
      <c r="F1591" s="5">
        <v>45361</v>
      </c>
      <c r="G1591" t="s">
        <v>152</v>
      </c>
      <c r="H1591" t="s">
        <v>32</v>
      </c>
      <c r="I1591" t="s">
        <v>53</v>
      </c>
      <c r="J1591" t="s">
        <v>34</v>
      </c>
      <c r="K1591" t="s">
        <v>120</v>
      </c>
      <c r="L1591" s="6">
        <v>158341.69</v>
      </c>
      <c r="M1591">
        <v>138295.87</v>
      </c>
      <c r="N1591" t="s">
        <v>35</v>
      </c>
      <c r="O1591">
        <v>7</v>
      </c>
      <c r="P1591">
        <v>78</v>
      </c>
      <c r="Q1591">
        <v>1</v>
      </c>
      <c r="R1591">
        <v>128</v>
      </c>
      <c r="S1591">
        <v>117.9</v>
      </c>
      <c r="T1591" t="s">
        <v>65</v>
      </c>
      <c r="U1591" s="7">
        <f t="shared" si="96"/>
        <v>28</v>
      </c>
      <c r="V1591" s="7">
        <f t="shared" si="97"/>
        <v>7</v>
      </c>
      <c r="W1591" s="6">
        <f t="shared" si="98"/>
        <v>20045.820000000007</v>
      </c>
      <c r="X1591" t="str">
        <f t="shared" si="99"/>
        <v>Adult</v>
      </c>
    </row>
    <row r="1592" spans="1:24">
      <c r="A1592" t="s">
        <v>3434</v>
      </c>
      <c r="B1592" t="s">
        <v>801</v>
      </c>
      <c r="C1592" t="s">
        <v>133</v>
      </c>
      <c r="D1592" s="5">
        <v>25824</v>
      </c>
      <c r="E1592" s="5">
        <v>45944</v>
      </c>
      <c r="F1592" s="5">
        <v>45949</v>
      </c>
      <c r="G1592" t="s">
        <v>62</v>
      </c>
      <c r="H1592" t="s">
        <v>44</v>
      </c>
      <c r="I1592" t="s">
        <v>53</v>
      </c>
      <c r="J1592" t="s">
        <v>179</v>
      </c>
      <c r="K1592" t="s">
        <v>55</v>
      </c>
      <c r="L1592" s="6">
        <v>64884.22</v>
      </c>
      <c r="M1592">
        <v>46611.37</v>
      </c>
      <c r="N1592" t="s">
        <v>192</v>
      </c>
      <c r="O1592">
        <v>5</v>
      </c>
      <c r="P1592">
        <v>66</v>
      </c>
      <c r="Q1592">
        <v>2</v>
      </c>
      <c r="R1592">
        <v>163</v>
      </c>
      <c r="S1592">
        <v>90</v>
      </c>
      <c r="T1592" t="s">
        <v>37</v>
      </c>
      <c r="U1592" s="7">
        <f t="shared" si="96"/>
        <v>55</v>
      </c>
      <c r="V1592" s="7">
        <f t="shared" si="97"/>
        <v>5</v>
      </c>
      <c r="W1592" s="6">
        <f t="shared" si="98"/>
        <v>18272.849999999999</v>
      </c>
      <c r="X1592" t="str">
        <f t="shared" si="99"/>
        <v>Middle Age</v>
      </c>
    </row>
    <row r="1593" spans="1:24">
      <c r="A1593" t="s">
        <v>3435</v>
      </c>
      <c r="B1593" t="s">
        <v>436</v>
      </c>
      <c r="C1593" t="s">
        <v>133</v>
      </c>
      <c r="D1593" s="5">
        <v>37648</v>
      </c>
      <c r="E1593" s="5">
        <v>45242</v>
      </c>
      <c r="F1593" s="5">
        <v>45260</v>
      </c>
      <c r="G1593" t="s">
        <v>62</v>
      </c>
      <c r="H1593" t="s">
        <v>153</v>
      </c>
      <c r="I1593" t="s">
        <v>53</v>
      </c>
      <c r="J1593" t="s">
        <v>80</v>
      </c>
      <c r="K1593" t="s">
        <v>120</v>
      </c>
      <c r="L1593" s="6">
        <v>41534.51</v>
      </c>
      <c r="M1593">
        <v>98646.34</v>
      </c>
      <c r="N1593" t="s">
        <v>56</v>
      </c>
      <c r="O1593">
        <v>18</v>
      </c>
      <c r="P1593">
        <v>239</v>
      </c>
      <c r="Q1593">
        <v>2</v>
      </c>
      <c r="R1593">
        <v>124</v>
      </c>
      <c r="S1593">
        <v>70.400000000000006</v>
      </c>
      <c r="T1593" t="s">
        <v>47</v>
      </c>
      <c r="U1593" s="7">
        <f t="shared" si="96"/>
        <v>20</v>
      </c>
      <c r="V1593" s="7">
        <f t="shared" si="97"/>
        <v>18</v>
      </c>
      <c r="W1593" s="6">
        <f t="shared" si="98"/>
        <v>-57111.829999999994</v>
      </c>
      <c r="X1593" t="str">
        <f t="shared" si="99"/>
        <v>Adult</v>
      </c>
    </row>
    <row r="1594" spans="1:24">
      <c r="A1594" t="s">
        <v>3436</v>
      </c>
      <c r="B1594" t="s">
        <v>875</v>
      </c>
      <c r="C1594" t="s">
        <v>40</v>
      </c>
      <c r="D1594" s="5">
        <v>22720</v>
      </c>
      <c r="E1594" s="5">
        <v>46005</v>
      </c>
      <c r="F1594" s="5">
        <v>46011</v>
      </c>
      <c r="G1594" t="s">
        <v>152</v>
      </c>
      <c r="H1594" t="s">
        <v>124</v>
      </c>
      <c r="I1594" t="s">
        <v>96</v>
      </c>
      <c r="J1594" t="s">
        <v>80</v>
      </c>
      <c r="K1594" t="s">
        <v>110</v>
      </c>
      <c r="L1594" s="6">
        <v>84895.42</v>
      </c>
      <c r="M1594">
        <v>63199.82</v>
      </c>
      <c r="N1594" t="s">
        <v>91</v>
      </c>
      <c r="O1594">
        <v>6</v>
      </c>
      <c r="P1594">
        <v>130</v>
      </c>
      <c r="Q1594">
        <v>2</v>
      </c>
      <c r="R1594">
        <v>181</v>
      </c>
      <c r="S1594">
        <v>247.1</v>
      </c>
      <c r="T1594" t="s">
        <v>65</v>
      </c>
      <c r="U1594" s="7">
        <f t="shared" si="96"/>
        <v>63</v>
      </c>
      <c r="V1594" s="7">
        <f t="shared" si="97"/>
        <v>6</v>
      </c>
      <c r="W1594" s="6">
        <f t="shared" si="98"/>
        <v>21695.599999999999</v>
      </c>
      <c r="X1594" t="str">
        <f t="shared" si="99"/>
        <v>Senior</v>
      </c>
    </row>
    <row r="1595" spans="1:24">
      <c r="A1595" t="s">
        <v>3437</v>
      </c>
      <c r="B1595" t="s">
        <v>455</v>
      </c>
      <c r="C1595" t="s">
        <v>40</v>
      </c>
      <c r="D1595" s="5">
        <v>37082</v>
      </c>
      <c r="E1595" s="5">
        <v>45041</v>
      </c>
      <c r="F1595" s="5">
        <v>45059</v>
      </c>
      <c r="G1595" t="s">
        <v>117</v>
      </c>
      <c r="H1595" t="s">
        <v>118</v>
      </c>
      <c r="I1595" t="s">
        <v>45</v>
      </c>
      <c r="J1595" t="s">
        <v>34</v>
      </c>
      <c r="K1595" t="s">
        <v>55</v>
      </c>
      <c r="L1595" s="6">
        <v>146055.34</v>
      </c>
      <c r="M1595">
        <v>111682.57</v>
      </c>
      <c r="N1595" t="s">
        <v>4237</v>
      </c>
      <c r="O1595">
        <v>18</v>
      </c>
      <c r="P1595">
        <v>22</v>
      </c>
      <c r="Q1595">
        <v>5</v>
      </c>
      <c r="R1595">
        <v>90</v>
      </c>
      <c r="S1595">
        <v>174.8</v>
      </c>
      <c r="T1595" t="s">
        <v>37</v>
      </c>
      <c r="U1595" s="7">
        <f t="shared" si="96"/>
        <v>21</v>
      </c>
      <c r="V1595" s="7">
        <f t="shared" si="97"/>
        <v>18</v>
      </c>
      <c r="W1595" s="6">
        <f t="shared" si="98"/>
        <v>34372.76999999999</v>
      </c>
      <c r="X1595" t="str">
        <f t="shared" si="99"/>
        <v>Adult</v>
      </c>
    </row>
    <row r="1596" spans="1:24">
      <c r="A1596" t="s">
        <v>3439</v>
      </c>
      <c r="B1596" t="s">
        <v>451</v>
      </c>
      <c r="C1596" t="s">
        <v>133</v>
      </c>
      <c r="D1596" s="5">
        <v>27806</v>
      </c>
      <c r="E1596" s="5">
        <v>45332</v>
      </c>
      <c r="F1596" s="5">
        <v>45346</v>
      </c>
      <c r="G1596" t="s">
        <v>62</v>
      </c>
      <c r="H1596" t="s">
        <v>44</v>
      </c>
      <c r="I1596" t="s">
        <v>119</v>
      </c>
      <c r="J1596" t="s">
        <v>64</v>
      </c>
      <c r="K1596" t="s">
        <v>161</v>
      </c>
      <c r="L1596" s="6">
        <v>167956.43</v>
      </c>
      <c r="M1596">
        <v>127157.68</v>
      </c>
      <c r="N1596" t="s">
        <v>192</v>
      </c>
      <c r="O1596">
        <v>14</v>
      </c>
      <c r="P1596">
        <v>120</v>
      </c>
      <c r="Q1596">
        <v>4</v>
      </c>
      <c r="R1596">
        <v>115</v>
      </c>
      <c r="S1596">
        <v>173.3</v>
      </c>
      <c r="T1596" t="s">
        <v>4237</v>
      </c>
      <c r="U1596" s="7">
        <f t="shared" si="96"/>
        <v>47</v>
      </c>
      <c r="V1596" s="7">
        <f t="shared" si="97"/>
        <v>14</v>
      </c>
      <c r="W1596" s="6">
        <f t="shared" si="98"/>
        <v>40798.75</v>
      </c>
      <c r="X1596" t="str">
        <f t="shared" si="99"/>
        <v>Middle Age</v>
      </c>
    </row>
    <row r="1597" spans="1:24">
      <c r="A1597" t="s">
        <v>3440</v>
      </c>
      <c r="B1597" t="s">
        <v>350</v>
      </c>
      <c r="C1597" t="s">
        <v>40</v>
      </c>
      <c r="D1597" s="5">
        <v>22900</v>
      </c>
      <c r="E1597" s="5">
        <v>45288</v>
      </c>
      <c r="F1597" s="5">
        <v>45294</v>
      </c>
      <c r="G1597" t="s">
        <v>117</v>
      </c>
      <c r="H1597" t="s">
        <v>24</v>
      </c>
      <c r="I1597" t="s">
        <v>79</v>
      </c>
      <c r="J1597" t="s">
        <v>97</v>
      </c>
      <c r="K1597" t="s">
        <v>161</v>
      </c>
      <c r="L1597" s="6">
        <v>122622.98</v>
      </c>
      <c r="M1597">
        <v>114213.9</v>
      </c>
      <c r="N1597" t="s">
        <v>73</v>
      </c>
      <c r="O1597">
        <v>6</v>
      </c>
      <c r="P1597">
        <v>225</v>
      </c>
      <c r="Q1597">
        <v>5</v>
      </c>
      <c r="R1597">
        <v>95</v>
      </c>
      <c r="S1597">
        <v>236.7</v>
      </c>
      <c r="T1597" t="s">
        <v>4237</v>
      </c>
      <c r="U1597" s="7">
        <f t="shared" si="96"/>
        <v>61</v>
      </c>
      <c r="V1597" s="7">
        <f t="shared" si="97"/>
        <v>6</v>
      </c>
      <c r="W1597" s="6">
        <f t="shared" si="98"/>
        <v>8409.0800000000017</v>
      </c>
      <c r="X1597" t="str">
        <f t="shared" si="99"/>
        <v>Senior</v>
      </c>
    </row>
    <row r="1598" spans="1:24">
      <c r="A1598" t="s">
        <v>3442</v>
      </c>
      <c r="B1598" t="s">
        <v>1050</v>
      </c>
      <c r="C1598" t="s">
        <v>40</v>
      </c>
      <c r="D1598" s="5">
        <v>23673</v>
      </c>
      <c r="E1598" s="5">
        <v>45391</v>
      </c>
      <c r="F1598" s="5" t="s">
        <v>4237</v>
      </c>
      <c r="G1598" t="s">
        <v>43</v>
      </c>
      <c r="H1598" t="s">
        <v>124</v>
      </c>
      <c r="I1598" t="s">
        <v>45</v>
      </c>
      <c r="J1598" t="s">
        <v>80</v>
      </c>
      <c r="K1598" t="s">
        <v>27</v>
      </c>
      <c r="L1598" s="6">
        <v>161573.93</v>
      </c>
      <c r="M1598">
        <v>120263.58</v>
      </c>
      <c r="N1598" t="s">
        <v>91</v>
      </c>
      <c r="O1598">
        <v>12</v>
      </c>
      <c r="P1598">
        <v>95</v>
      </c>
      <c r="Q1598">
        <v>4</v>
      </c>
      <c r="R1598">
        <v>141</v>
      </c>
      <c r="S1598">
        <v>175</v>
      </c>
      <c r="T1598" t="s">
        <v>4237</v>
      </c>
      <c r="U1598" s="7">
        <f t="shared" si="96"/>
        <v>59</v>
      </c>
      <c r="V1598" s="7" t="s">
        <v>4237</v>
      </c>
      <c r="W1598" s="6">
        <f t="shared" si="98"/>
        <v>41310.349999999991</v>
      </c>
      <c r="X1598" t="str">
        <f t="shared" si="99"/>
        <v>Middle Age</v>
      </c>
    </row>
    <row r="1599" spans="1:24">
      <c r="A1599" t="s">
        <v>3446</v>
      </c>
      <c r="B1599" t="s">
        <v>527</v>
      </c>
      <c r="C1599" t="s">
        <v>40</v>
      </c>
      <c r="D1599" s="5">
        <v>32105</v>
      </c>
      <c r="E1599" s="5">
        <v>45475</v>
      </c>
      <c r="F1599" s="5">
        <v>45486</v>
      </c>
      <c r="G1599" t="s">
        <v>105</v>
      </c>
      <c r="H1599" t="s">
        <v>118</v>
      </c>
      <c r="I1599" t="s">
        <v>45</v>
      </c>
      <c r="J1599" t="s">
        <v>179</v>
      </c>
      <c r="K1599" t="s">
        <v>55</v>
      </c>
      <c r="L1599" s="6">
        <v>128419.81</v>
      </c>
      <c r="M1599">
        <v>103199.33</v>
      </c>
      <c r="N1599" t="s">
        <v>91</v>
      </c>
      <c r="O1599">
        <v>11</v>
      </c>
      <c r="P1599">
        <v>237</v>
      </c>
      <c r="Q1599">
        <v>4</v>
      </c>
      <c r="R1599">
        <v>106</v>
      </c>
      <c r="S1599">
        <v>112.7</v>
      </c>
      <c r="T1599" t="s">
        <v>4237</v>
      </c>
      <c r="U1599" s="7">
        <f t="shared" si="96"/>
        <v>36</v>
      </c>
      <c r="V1599" s="7">
        <f t="shared" si="97"/>
        <v>11</v>
      </c>
      <c r="W1599" s="6">
        <f t="shared" si="98"/>
        <v>25220.479999999996</v>
      </c>
      <c r="X1599" t="str">
        <f t="shared" si="99"/>
        <v>Adult</v>
      </c>
    </row>
    <row r="1600" spans="1:24">
      <c r="A1600" t="s">
        <v>3447</v>
      </c>
      <c r="B1600" t="s">
        <v>550</v>
      </c>
      <c r="C1600" t="s">
        <v>40</v>
      </c>
      <c r="D1600" s="5">
        <v>35394</v>
      </c>
      <c r="E1600" s="5">
        <v>45643</v>
      </c>
      <c r="F1600" s="5">
        <v>45649</v>
      </c>
      <c r="G1600" t="s">
        <v>161</v>
      </c>
      <c r="H1600" t="s">
        <v>52</v>
      </c>
      <c r="I1600" t="s">
        <v>45</v>
      </c>
      <c r="J1600" t="s">
        <v>46</v>
      </c>
      <c r="K1600" t="s">
        <v>110</v>
      </c>
      <c r="L1600" s="6">
        <v>238649.55</v>
      </c>
      <c r="M1600">
        <v>217836.95</v>
      </c>
      <c r="N1600" t="s">
        <v>192</v>
      </c>
      <c r="O1600">
        <v>6</v>
      </c>
      <c r="P1600">
        <v>15</v>
      </c>
      <c r="Q1600">
        <v>4</v>
      </c>
      <c r="R1600">
        <v>171</v>
      </c>
      <c r="S1600">
        <v>216.5</v>
      </c>
      <c r="T1600" t="s">
        <v>37</v>
      </c>
      <c r="U1600" s="7">
        <f t="shared" si="96"/>
        <v>28</v>
      </c>
      <c r="V1600" s="7">
        <f t="shared" si="97"/>
        <v>6</v>
      </c>
      <c r="W1600" s="6">
        <f t="shared" si="98"/>
        <v>20812.599999999977</v>
      </c>
      <c r="X1600" t="str">
        <f t="shared" si="99"/>
        <v>Adult</v>
      </c>
    </row>
    <row r="1601" spans="1:24">
      <c r="A1601" t="s">
        <v>3449</v>
      </c>
      <c r="B1601" t="s">
        <v>965</v>
      </c>
      <c r="C1601" t="s">
        <v>40</v>
      </c>
      <c r="D1601" s="5">
        <v>36580</v>
      </c>
      <c r="E1601" s="5">
        <v>45054</v>
      </c>
      <c r="F1601" s="5">
        <v>45066</v>
      </c>
      <c r="G1601" t="s">
        <v>43</v>
      </c>
      <c r="H1601" t="s">
        <v>124</v>
      </c>
      <c r="I1601" t="s">
        <v>96</v>
      </c>
      <c r="J1601" t="s">
        <v>26</v>
      </c>
      <c r="K1601" t="s">
        <v>55</v>
      </c>
      <c r="L1601" s="6">
        <v>37851.589999999997</v>
      </c>
      <c r="M1601">
        <v>26461.29</v>
      </c>
      <c r="N1601" t="s">
        <v>56</v>
      </c>
      <c r="O1601">
        <v>12</v>
      </c>
      <c r="P1601">
        <v>112</v>
      </c>
      <c r="Q1601">
        <v>4</v>
      </c>
      <c r="R1601">
        <v>93</v>
      </c>
      <c r="S1601">
        <v>219.3</v>
      </c>
      <c r="T1601" t="s">
        <v>37</v>
      </c>
      <c r="U1601" s="7">
        <f t="shared" si="96"/>
        <v>23</v>
      </c>
      <c r="V1601" s="7">
        <f t="shared" si="97"/>
        <v>12</v>
      </c>
      <c r="W1601" s="6">
        <f t="shared" si="98"/>
        <v>11390.299999999996</v>
      </c>
      <c r="X1601" t="str">
        <f t="shared" si="99"/>
        <v>Adult</v>
      </c>
    </row>
    <row r="1602" spans="1:24">
      <c r="A1602" t="s">
        <v>3450</v>
      </c>
      <c r="B1602" t="s">
        <v>932</v>
      </c>
      <c r="C1602" t="s">
        <v>133</v>
      </c>
      <c r="D1602" s="5">
        <v>18820</v>
      </c>
      <c r="E1602" s="5">
        <v>45481</v>
      </c>
      <c r="F1602" s="5">
        <v>45489</v>
      </c>
      <c r="G1602" t="s">
        <v>43</v>
      </c>
      <c r="H1602" t="s">
        <v>113</v>
      </c>
      <c r="I1602" t="s">
        <v>33</v>
      </c>
      <c r="J1602" t="s">
        <v>71</v>
      </c>
      <c r="K1602" t="s">
        <v>27</v>
      </c>
      <c r="L1602" s="6">
        <v>247164.82</v>
      </c>
      <c r="M1602">
        <v>237412.43</v>
      </c>
      <c r="N1602" t="s">
        <v>56</v>
      </c>
      <c r="O1602">
        <v>8</v>
      </c>
      <c r="P1602">
        <v>183</v>
      </c>
      <c r="Q1602">
        <v>4</v>
      </c>
      <c r="R1602">
        <v>151</v>
      </c>
      <c r="S1602">
        <v>163.5</v>
      </c>
      <c r="T1602" t="s">
        <v>47</v>
      </c>
      <c r="U1602" s="7">
        <f t="shared" ref="U1602:U1665" si="100">DATEDIF(D1602,E1602,"Y")</f>
        <v>72</v>
      </c>
      <c r="V1602" s="7">
        <f t="shared" ref="V1602:V1665" si="101">IF(OR(E1602=" ",F1602=" ",E1602="Unknown",F1602="Unknown")," ",F1602-E1602)</f>
        <v>8</v>
      </c>
      <c r="W1602" s="6">
        <f t="shared" ref="W1602:W1665" si="102">L1602-M1602</f>
        <v>9752.390000000014</v>
      </c>
      <c r="X1602" t="str">
        <f t="shared" ref="X1602:X1665" si="103">IF(OR(U1602="",U1602="Unknown"),"",IF(U1602&lt;18,"Child",IF(U1602&lt;40,"Adult",IF(U1602&lt;60,"Middle Age","Senior"))))</f>
        <v>Senior</v>
      </c>
    </row>
    <row r="1603" spans="1:24">
      <c r="A1603" t="s">
        <v>3452</v>
      </c>
      <c r="B1603" t="s">
        <v>403</v>
      </c>
      <c r="C1603" t="s">
        <v>40</v>
      </c>
      <c r="D1603" s="5">
        <v>35495</v>
      </c>
      <c r="E1603" s="5">
        <v>45671</v>
      </c>
      <c r="F1603" s="5">
        <v>45677</v>
      </c>
      <c r="G1603" t="s">
        <v>94</v>
      </c>
      <c r="H1603" t="s">
        <v>134</v>
      </c>
      <c r="I1603" t="s">
        <v>96</v>
      </c>
      <c r="J1603" t="s">
        <v>64</v>
      </c>
      <c r="K1603" t="s">
        <v>161</v>
      </c>
      <c r="L1603" s="6">
        <v>112443.42</v>
      </c>
      <c r="M1603">
        <v>92369.09</v>
      </c>
      <c r="N1603" t="s">
        <v>192</v>
      </c>
      <c r="O1603">
        <v>6</v>
      </c>
      <c r="P1603">
        <v>20</v>
      </c>
      <c r="Q1603">
        <v>4</v>
      </c>
      <c r="R1603">
        <v>146</v>
      </c>
      <c r="S1603">
        <v>193.6</v>
      </c>
      <c r="T1603" t="s">
        <v>4237</v>
      </c>
      <c r="U1603" s="7">
        <f t="shared" si="100"/>
        <v>27</v>
      </c>
      <c r="V1603" s="7">
        <f t="shared" si="101"/>
        <v>6</v>
      </c>
      <c r="W1603" s="6">
        <f t="shared" si="102"/>
        <v>20074.330000000002</v>
      </c>
      <c r="X1603" t="str">
        <f t="shared" si="103"/>
        <v>Adult</v>
      </c>
    </row>
    <row r="1604" spans="1:24">
      <c r="A1604" t="s">
        <v>3454</v>
      </c>
      <c r="B1604" t="s">
        <v>673</v>
      </c>
      <c r="C1604" t="s">
        <v>133</v>
      </c>
      <c r="D1604" s="5">
        <v>35068</v>
      </c>
      <c r="E1604" s="5">
        <v>45203</v>
      </c>
      <c r="F1604" s="5">
        <v>45213</v>
      </c>
      <c r="G1604" t="s">
        <v>109</v>
      </c>
      <c r="H1604" t="s">
        <v>95</v>
      </c>
      <c r="I1604" t="s">
        <v>25</v>
      </c>
      <c r="J1604" t="s">
        <v>46</v>
      </c>
      <c r="K1604" t="s">
        <v>55</v>
      </c>
      <c r="L1604" s="6">
        <v>99452.88</v>
      </c>
      <c r="M1604">
        <v>66714.42</v>
      </c>
      <c r="N1604" t="s">
        <v>56</v>
      </c>
      <c r="O1604">
        <v>10</v>
      </c>
      <c r="P1604">
        <v>37</v>
      </c>
      <c r="Q1604">
        <v>2</v>
      </c>
      <c r="R1604">
        <v>104</v>
      </c>
      <c r="S1604">
        <v>210.4</v>
      </c>
      <c r="T1604" t="s">
        <v>37</v>
      </c>
      <c r="U1604" s="7">
        <f t="shared" si="100"/>
        <v>27</v>
      </c>
      <c r="V1604" s="7">
        <f t="shared" si="101"/>
        <v>10</v>
      </c>
      <c r="W1604" s="6">
        <f t="shared" si="102"/>
        <v>32738.460000000006</v>
      </c>
      <c r="X1604" t="str">
        <f t="shared" si="103"/>
        <v>Adult</v>
      </c>
    </row>
    <row r="1605" spans="1:24">
      <c r="A1605" t="s">
        <v>3456</v>
      </c>
      <c r="B1605" t="s">
        <v>1108</v>
      </c>
      <c r="C1605" t="s">
        <v>133</v>
      </c>
      <c r="D1605" s="5">
        <v>22291</v>
      </c>
      <c r="E1605" s="5">
        <v>45294</v>
      </c>
      <c r="F1605" s="5">
        <v>45353</v>
      </c>
      <c r="G1605" t="s">
        <v>43</v>
      </c>
      <c r="H1605" t="s">
        <v>44</v>
      </c>
      <c r="I1605" t="s">
        <v>33</v>
      </c>
      <c r="J1605" t="s">
        <v>71</v>
      </c>
      <c r="K1605" t="s">
        <v>120</v>
      </c>
      <c r="L1605" s="6">
        <v>23685.63</v>
      </c>
      <c r="M1605">
        <v>16999.150000000001</v>
      </c>
      <c r="N1605" t="s">
        <v>35</v>
      </c>
      <c r="O1605">
        <v>1</v>
      </c>
      <c r="P1605">
        <v>15</v>
      </c>
      <c r="Q1605">
        <v>5</v>
      </c>
      <c r="R1605">
        <v>177</v>
      </c>
      <c r="S1605">
        <v>253.9</v>
      </c>
      <c r="T1605" t="s">
        <v>37</v>
      </c>
      <c r="U1605" s="7">
        <f t="shared" si="100"/>
        <v>62</v>
      </c>
      <c r="V1605" s="7">
        <f t="shared" si="101"/>
        <v>59</v>
      </c>
      <c r="W1605" s="6">
        <f t="shared" si="102"/>
        <v>6686.48</v>
      </c>
      <c r="X1605" t="str">
        <f t="shared" si="103"/>
        <v>Senior</v>
      </c>
    </row>
    <row r="1606" spans="1:24">
      <c r="A1606" t="s">
        <v>3458</v>
      </c>
      <c r="B1606" t="s">
        <v>545</v>
      </c>
      <c r="C1606" t="s">
        <v>40</v>
      </c>
      <c r="D1606" s="5">
        <v>33278</v>
      </c>
      <c r="E1606" s="5">
        <v>45164</v>
      </c>
      <c r="F1606" s="5">
        <v>45173</v>
      </c>
      <c r="G1606" t="s">
        <v>105</v>
      </c>
      <c r="H1606" t="s">
        <v>52</v>
      </c>
      <c r="I1606" t="s">
        <v>119</v>
      </c>
      <c r="J1606" t="s">
        <v>34</v>
      </c>
      <c r="K1606" t="s">
        <v>120</v>
      </c>
      <c r="L1606" s="6">
        <v>7702.34</v>
      </c>
      <c r="M1606">
        <v>5669.94</v>
      </c>
      <c r="N1606" t="s">
        <v>192</v>
      </c>
      <c r="O1606">
        <v>9</v>
      </c>
      <c r="P1606">
        <v>189</v>
      </c>
      <c r="Q1606">
        <v>3</v>
      </c>
      <c r="R1606">
        <v>148</v>
      </c>
      <c r="S1606">
        <v>160.1</v>
      </c>
      <c r="T1606" t="s">
        <v>4237</v>
      </c>
      <c r="U1606" s="7">
        <f t="shared" si="100"/>
        <v>32</v>
      </c>
      <c r="V1606" s="7">
        <f t="shared" si="101"/>
        <v>9</v>
      </c>
      <c r="W1606" s="6">
        <f t="shared" si="102"/>
        <v>2032.4000000000005</v>
      </c>
      <c r="X1606" t="str">
        <f t="shared" si="103"/>
        <v>Adult</v>
      </c>
    </row>
    <row r="1607" spans="1:24">
      <c r="A1607" t="s">
        <v>3460</v>
      </c>
      <c r="B1607" t="s">
        <v>2270</v>
      </c>
      <c r="C1607" t="s">
        <v>40</v>
      </c>
      <c r="D1607" s="5">
        <v>24222</v>
      </c>
      <c r="E1607" s="5">
        <v>45684</v>
      </c>
      <c r="F1607" s="5">
        <v>45691</v>
      </c>
      <c r="G1607" t="s">
        <v>152</v>
      </c>
      <c r="H1607" t="s">
        <v>134</v>
      </c>
      <c r="I1607" t="s">
        <v>33</v>
      </c>
      <c r="J1607" t="s">
        <v>34</v>
      </c>
      <c r="K1607" t="s">
        <v>120</v>
      </c>
      <c r="L1607" s="6">
        <v>240962.55</v>
      </c>
      <c r="M1607">
        <v>98646.34</v>
      </c>
      <c r="N1607" t="s">
        <v>91</v>
      </c>
      <c r="O1607">
        <v>7</v>
      </c>
      <c r="P1607">
        <v>183</v>
      </c>
      <c r="Q1607">
        <v>4</v>
      </c>
      <c r="R1607">
        <v>113</v>
      </c>
      <c r="S1607">
        <v>249.9</v>
      </c>
      <c r="T1607" t="s">
        <v>65</v>
      </c>
      <c r="U1607" s="7">
        <f t="shared" si="100"/>
        <v>58</v>
      </c>
      <c r="V1607" s="7">
        <f t="shared" si="101"/>
        <v>7</v>
      </c>
      <c r="W1607" s="6">
        <f t="shared" si="102"/>
        <v>142316.21</v>
      </c>
      <c r="X1607" t="str">
        <f t="shared" si="103"/>
        <v>Middle Age</v>
      </c>
    </row>
    <row r="1608" spans="1:24">
      <c r="A1608" t="s">
        <v>3462</v>
      </c>
      <c r="B1608" t="s">
        <v>283</v>
      </c>
      <c r="C1608" t="s">
        <v>133</v>
      </c>
      <c r="D1608" s="5">
        <v>25221</v>
      </c>
      <c r="E1608" s="5">
        <v>45986</v>
      </c>
      <c r="F1608" s="5">
        <v>46000</v>
      </c>
      <c r="G1608" t="s">
        <v>152</v>
      </c>
      <c r="H1608" t="s">
        <v>153</v>
      </c>
      <c r="I1608" t="s">
        <v>79</v>
      </c>
      <c r="J1608" t="s">
        <v>64</v>
      </c>
      <c r="K1608" t="s">
        <v>120</v>
      </c>
      <c r="L1608" s="6">
        <v>34261.4</v>
      </c>
      <c r="M1608">
        <v>32334.880000000001</v>
      </c>
      <c r="N1608" t="s">
        <v>91</v>
      </c>
      <c r="O1608">
        <v>14</v>
      </c>
      <c r="P1608">
        <v>121</v>
      </c>
      <c r="Q1608">
        <v>1</v>
      </c>
      <c r="R1608">
        <v>102</v>
      </c>
      <c r="S1608">
        <v>197.7</v>
      </c>
      <c r="T1608" t="s">
        <v>37</v>
      </c>
      <c r="U1608" s="7">
        <f t="shared" si="100"/>
        <v>56</v>
      </c>
      <c r="V1608" s="7">
        <f t="shared" si="101"/>
        <v>14</v>
      </c>
      <c r="W1608" s="6">
        <f t="shared" si="102"/>
        <v>1926.5200000000004</v>
      </c>
      <c r="X1608" t="str">
        <f t="shared" si="103"/>
        <v>Middle Age</v>
      </c>
    </row>
    <row r="1609" spans="1:24">
      <c r="A1609" t="s">
        <v>3464</v>
      </c>
      <c r="B1609" t="s">
        <v>368</v>
      </c>
      <c r="C1609" t="s">
        <v>133</v>
      </c>
      <c r="D1609" s="5">
        <v>28828</v>
      </c>
      <c r="E1609" s="5">
        <v>45204</v>
      </c>
      <c r="F1609" s="5">
        <v>45210</v>
      </c>
      <c r="G1609" t="s">
        <v>77</v>
      </c>
      <c r="H1609" t="s">
        <v>24</v>
      </c>
      <c r="I1609" t="s">
        <v>96</v>
      </c>
      <c r="J1609" t="s">
        <v>26</v>
      </c>
      <c r="K1609" t="s">
        <v>120</v>
      </c>
      <c r="L1609" s="6">
        <v>85519.16</v>
      </c>
      <c r="M1609">
        <v>73816.87</v>
      </c>
      <c r="N1609" t="s">
        <v>56</v>
      </c>
      <c r="O1609">
        <v>6</v>
      </c>
      <c r="P1609">
        <v>70</v>
      </c>
      <c r="Q1609">
        <v>3</v>
      </c>
      <c r="R1609">
        <v>135</v>
      </c>
      <c r="S1609">
        <v>120.3</v>
      </c>
      <c r="T1609" t="s">
        <v>47</v>
      </c>
      <c r="U1609" s="7">
        <f t="shared" si="100"/>
        <v>44</v>
      </c>
      <c r="V1609" s="7">
        <f t="shared" si="101"/>
        <v>6</v>
      </c>
      <c r="W1609" s="6">
        <f t="shared" si="102"/>
        <v>11702.290000000008</v>
      </c>
      <c r="X1609" t="str">
        <f t="shared" si="103"/>
        <v>Middle Age</v>
      </c>
    </row>
    <row r="1610" spans="1:24">
      <c r="A1610" t="s">
        <v>4199</v>
      </c>
      <c r="B1610" t="s">
        <v>852</v>
      </c>
      <c r="C1610" t="s">
        <v>133</v>
      </c>
      <c r="D1610" s="5">
        <v>31081</v>
      </c>
      <c r="E1610" s="5">
        <v>45003</v>
      </c>
      <c r="F1610" s="5" t="s">
        <v>4237</v>
      </c>
      <c r="G1610" t="s">
        <v>94</v>
      </c>
      <c r="H1610" t="s">
        <v>153</v>
      </c>
      <c r="I1610" t="s">
        <v>53</v>
      </c>
      <c r="J1610" t="s">
        <v>64</v>
      </c>
      <c r="K1610" t="s">
        <v>55</v>
      </c>
      <c r="L1610" s="6">
        <v>39232.36</v>
      </c>
      <c r="M1610">
        <v>29687.43</v>
      </c>
      <c r="N1610" t="s">
        <v>91</v>
      </c>
      <c r="O1610">
        <v>11</v>
      </c>
      <c r="P1610">
        <v>193</v>
      </c>
      <c r="Q1610">
        <v>4</v>
      </c>
      <c r="R1610">
        <v>153</v>
      </c>
      <c r="S1610">
        <v>159.4</v>
      </c>
      <c r="T1610" t="s">
        <v>37</v>
      </c>
      <c r="U1610" s="7">
        <f t="shared" si="100"/>
        <v>38</v>
      </c>
      <c r="V1610" s="7" t="s">
        <v>4237</v>
      </c>
      <c r="W1610" s="6">
        <f t="shared" si="102"/>
        <v>9544.93</v>
      </c>
      <c r="X1610" t="str">
        <f t="shared" si="103"/>
        <v>Adult</v>
      </c>
    </row>
    <row r="1611" spans="1:24">
      <c r="A1611" t="s">
        <v>3467</v>
      </c>
      <c r="B1611" t="s">
        <v>607</v>
      </c>
      <c r="C1611" t="s">
        <v>40</v>
      </c>
      <c r="D1611" s="5">
        <v>23005</v>
      </c>
      <c r="E1611" s="5">
        <v>45125</v>
      </c>
      <c r="F1611" s="5">
        <v>45137</v>
      </c>
      <c r="G1611" t="s">
        <v>62</v>
      </c>
      <c r="H1611" t="s">
        <v>24</v>
      </c>
      <c r="I1611" t="s">
        <v>53</v>
      </c>
      <c r="J1611" t="s">
        <v>80</v>
      </c>
      <c r="K1611" t="s">
        <v>110</v>
      </c>
      <c r="L1611" s="6">
        <v>198384.65</v>
      </c>
      <c r="M1611">
        <v>136669.28</v>
      </c>
      <c r="N1611" t="s">
        <v>35</v>
      </c>
      <c r="O1611">
        <v>12</v>
      </c>
      <c r="P1611">
        <v>186</v>
      </c>
      <c r="Q1611">
        <v>4</v>
      </c>
      <c r="R1611">
        <v>172</v>
      </c>
      <c r="S1611">
        <v>101.2</v>
      </c>
      <c r="T1611" t="s">
        <v>37</v>
      </c>
      <c r="U1611" s="7">
        <f t="shared" si="100"/>
        <v>60</v>
      </c>
      <c r="V1611" s="7">
        <f t="shared" si="101"/>
        <v>12</v>
      </c>
      <c r="W1611" s="6">
        <f t="shared" si="102"/>
        <v>61715.369999999995</v>
      </c>
      <c r="X1611" t="str">
        <f t="shared" si="103"/>
        <v>Senior</v>
      </c>
    </row>
    <row r="1612" spans="1:24">
      <c r="A1612" t="s">
        <v>3469</v>
      </c>
      <c r="B1612" t="s">
        <v>513</v>
      </c>
      <c r="C1612" t="s">
        <v>133</v>
      </c>
      <c r="D1612" s="5">
        <v>36221</v>
      </c>
      <c r="E1612" s="5">
        <v>45201</v>
      </c>
      <c r="F1612" s="5">
        <v>44985</v>
      </c>
      <c r="G1612" t="s">
        <v>152</v>
      </c>
      <c r="H1612" t="s">
        <v>86</v>
      </c>
      <c r="I1612" t="s">
        <v>25</v>
      </c>
      <c r="J1612" t="s">
        <v>64</v>
      </c>
      <c r="K1612" t="s">
        <v>55</v>
      </c>
      <c r="L1612" s="6">
        <v>47181.01</v>
      </c>
      <c r="M1612">
        <v>36152.94</v>
      </c>
      <c r="N1612" t="s">
        <v>35</v>
      </c>
      <c r="O1612">
        <v>18</v>
      </c>
      <c r="P1612">
        <v>127</v>
      </c>
      <c r="Q1612">
        <v>4</v>
      </c>
      <c r="R1612">
        <v>151</v>
      </c>
      <c r="S1612">
        <v>111.1</v>
      </c>
      <c r="T1612" t="s">
        <v>37</v>
      </c>
      <c r="U1612" s="7">
        <f t="shared" si="100"/>
        <v>24</v>
      </c>
      <c r="V1612" s="7">
        <f t="shared" si="101"/>
        <v>-216</v>
      </c>
      <c r="W1612" s="6">
        <f t="shared" si="102"/>
        <v>11028.07</v>
      </c>
      <c r="X1612" t="str">
        <f t="shared" si="103"/>
        <v>Adult</v>
      </c>
    </row>
    <row r="1613" spans="1:24">
      <c r="A1613" t="s">
        <v>3472</v>
      </c>
      <c r="B1613" t="s">
        <v>1393</v>
      </c>
      <c r="C1613" t="s">
        <v>133</v>
      </c>
      <c r="D1613" s="5">
        <v>36871</v>
      </c>
      <c r="E1613" s="5">
        <v>45652</v>
      </c>
      <c r="F1613" s="5">
        <v>45653</v>
      </c>
      <c r="G1613" t="s">
        <v>152</v>
      </c>
      <c r="H1613" t="s">
        <v>113</v>
      </c>
      <c r="I1613" t="s">
        <v>25</v>
      </c>
      <c r="J1613" t="s">
        <v>46</v>
      </c>
      <c r="K1613" t="s">
        <v>120</v>
      </c>
      <c r="L1613" s="6">
        <v>208290.88</v>
      </c>
      <c r="M1613">
        <v>188218.51</v>
      </c>
      <c r="N1613" t="s">
        <v>192</v>
      </c>
      <c r="O1613">
        <v>1</v>
      </c>
      <c r="P1613">
        <v>18</v>
      </c>
      <c r="Q1613">
        <v>4</v>
      </c>
      <c r="R1613">
        <v>117</v>
      </c>
      <c r="S1613">
        <v>78.2</v>
      </c>
      <c r="T1613" t="s">
        <v>4237</v>
      </c>
      <c r="U1613" s="7">
        <f t="shared" si="100"/>
        <v>24</v>
      </c>
      <c r="V1613" s="7">
        <f t="shared" si="101"/>
        <v>1</v>
      </c>
      <c r="W1613" s="6">
        <f t="shared" si="102"/>
        <v>20072.369999999995</v>
      </c>
      <c r="X1613" t="str">
        <f t="shared" si="103"/>
        <v>Adult</v>
      </c>
    </row>
    <row r="1614" spans="1:24">
      <c r="A1614" t="s">
        <v>3473</v>
      </c>
      <c r="B1614" t="s">
        <v>155</v>
      </c>
      <c r="C1614" t="s">
        <v>40</v>
      </c>
      <c r="D1614" s="5">
        <v>35575</v>
      </c>
      <c r="E1614" s="5">
        <v>45065</v>
      </c>
      <c r="F1614" s="5">
        <v>45070</v>
      </c>
      <c r="G1614" t="s">
        <v>43</v>
      </c>
      <c r="H1614" t="s">
        <v>52</v>
      </c>
      <c r="I1614" t="s">
        <v>79</v>
      </c>
      <c r="J1614" t="s">
        <v>179</v>
      </c>
      <c r="K1614" t="s">
        <v>120</v>
      </c>
      <c r="L1614" s="6">
        <v>94520.98</v>
      </c>
      <c r="M1614">
        <v>60579.91</v>
      </c>
      <c r="N1614" t="s">
        <v>73</v>
      </c>
      <c r="O1614">
        <v>5</v>
      </c>
      <c r="P1614">
        <v>167</v>
      </c>
      <c r="Q1614">
        <v>1</v>
      </c>
      <c r="R1614">
        <v>146</v>
      </c>
      <c r="S1614">
        <v>145.80000000000001</v>
      </c>
      <c r="T1614" t="s">
        <v>37</v>
      </c>
      <c r="U1614" s="7">
        <f t="shared" si="100"/>
        <v>25</v>
      </c>
      <c r="V1614" s="7">
        <f t="shared" si="101"/>
        <v>5</v>
      </c>
      <c r="W1614" s="6">
        <f t="shared" si="102"/>
        <v>33941.069999999992</v>
      </c>
      <c r="X1614" t="str">
        <f t="shared" si="103"/>
        <v>Adult</v>
      </c>
    </row>
    <row r="1615" spans="1:24">
      <c r="A1615" t="s">
        <v>3474</v>
      </c>
      <c r="B1615" t="s">
        <v>83</v>
      </c>
      <c r="C1615" t="s">
        <v>40</v>
      </c>
      <c r="D1615" s="5">
        <v>24772</v>
      </c>
      <c r="E1615" s="5">
        <v>45118</v>
      </c>
      <c r="F1615" s="5">
        <v>45122</v>
      </c>
      <c r="G1615" t="s">
        <v>43</v>
      </c>
      <c r="H1615" t="s">
        <v>32</v>
      </c>
      <c r="I1615" t="s">
        <v>119</v>
      </c>
      <c r="J1615" t="s">
        <v>46</v>
      </c>
      <c r="K1615" t="s">
        <v>27</v>
      </c>
      <c r="L1615" s="6">
        <v>8264.43</v>
      </c>
      <c r="M1615">
        <v>7018.08</v>
      </c>
      <c r="N1615" t="s">
        <v>73</v>
      </c>
      <c r="O1615">
        <v>4</v>
      </c>
      <c r="P1615">
        <v>207</v>
      </c>
      <c r="Q1615">
        <v>1</v>
      </c>
      <c r="R1615">
        <v>125</v>
      </c>
      <c r="S1615">
        <v>105.8</v>
      </c>
      <c r="T1615" t="s">
        <v>37</v>
      </c>
      <c r="U1615" s="7">
        <f t="shared" si="100"/>
        <v>55</v>
      </c>
      <c r="V1615" s="7">
        <f t="shared" si="101"/>
        <v>4</v>
      </c>
      <c r="W1615" s="6">
        <f t="shared" si="102"/>
        <v>1246.3500000000004</v>
      </c>
      <c r="X1615" t="str">
        <f t="shared" si="103"/>
        <v>Middle Age</v>
      </c>
    </row>
    <row r="1616" spans="1:24">
      <c r="A1616" t="s">
        <v>4200</v>
      </c>
      <c r="B1616" t="s">
        <v>572</v>
      </c>
      <c r="C1616" t="s">
        <v>133</v>
      </c>
      <c r="D1616" s="5">
        <v>27401</v>
      </c>
      <c r="E1616" s="5">
        <v>45047</v>
      </c>
      <c r="F1616" s="5">
        <v>45054</v>
      </c>
      <c r="G1616" t="s">
        <v>109</v>
      </c>
      <c r="H1616" t="s">
        <v>95</v>
      </c>
      <c r="I1616" t="s">
        <v>79</v>
      </c>
      <c r="J1616" t="s">
        <v>34</v>
      </c>
      <c r="K1616" t="s">
        <v>27</v>
      </c>
      <c r="L1616" s="6">
        <v>212955.34</v>
      </c>
      <c r="M1616">
        <v>170260.94</v>
      </c>
      <c r="N1616" t="s">
        <v>73</v>
      </c>
      <c r="O1616">
        <v>7</v>
      </c>
      <c r="P1616">
        <v>121</v>
      </c>
      <c r="Q1616">
        <v>4</v>
      </c>
      <c r="R1616">
        <v>188</v>
      </c>
      <c r="S1616">
        <v>221</v>
      </c>
      <c r="T1616" t="s">
        <v>37</v>
      </c>
      <c r="U1616" s="7">
        <f t="shared" si="100"/>
        <v>48</v>
      </c>
      <c r="V1616" s="7">
        <f t="shared" si="101"/>
        <v>7</v>
      </c>
      <c r="W1616" s="6">
        <f t="shared" si="102"/>
        <v>42694.399999999994</v>
      </c>
      <c r="X1616" t="str">
        <f t="shared" si="103"/>
        <v>Middle Age</v>
      </c>
    </row>
    <row r="1617" spans="1:24">
      <c r="A1617" t="s">
        <v>3476</v>
      </c>
      <c r="B1617" t="s">
        <v>88</v>
      </c>
      <c r="C1617" t="s">
        <v>133</v>
      </c>
      <c r="D1617" s="5">
        <v>23241</v>
      </c>
      <c r="E1617" s="5">
        <v>45109</v>
      </c>
      <c r="F1617" s="5">
        <v>45110</v>
      </c>
      <c r="G1617" t="s">
        <v>94</v>
      </c>
      <c r="H1617" t="s">
        <v>113</v>
      </c>
      <c r="I1617" t="s">
        <v>53</v>
      </c>
      <c r="J1617" t="s">
        <v>179</v>
      </c>
      <c r="K1617" t="s">
        <v>55</v>
      </c>
      <c r="L1617" s="6">
        <v>126937.57</v>
      </c>
      <c r="M1617">
        <v>98646.34</v>
      </c>
      <c r="N1617" t="s">
        <v>35</v>
      </c>
      <c r="O1617">
        <v>1</v>
      </c>
      <c r="P1617">
        <v>29</v>
      </c>
      <c r="Q1617">
        <v>4</v>
      </c>
      <c r="R1617">
        <v>91</v>
      </c>
      <c r="S1617">
        <v>163.5</v>
      </c>
      <c r="T1617" t="s">
        <v>37</v>
      </c>
      <c r="U1617" s="7">
        <f t="shared" si="100"/>
        <v>59</v>
      </c>
      <c r="V1617" s="7">
        <f t="shared" si="101"/>
        <v>1</v>
      </c>
      <c r="W1617" s="6">
        <f t="shared" si="102"/>
        <v>28291.23000000001</v>
      </c>
      <c r="X1617" t="str">
        <f t="shared" si="103"/>
        <v>Middle Age</v>
      </c>
    </row>
    <row r="1618" spans="1:24">
      <c r="A1618" t="s">
        <v>3478</v>
      </c>
      <c r="B1618" t="s">
        <v>1313</v>
      </c>
      <c r="C1618" t="s">
        <v>133</v>
      </c>
      <c r="D1618" s="5">
        <v>39357</v>
      </c>
      <c r="E1618" s="5" t="s">
        <v>4237</v>
      </c>
      <c r="F1618" s="5">
        <v>45509</v>
      </c>
      <c r="G1618" t="s">
        <v>109</v>
      </c>
      <c r="H1618" t="s">
        <v>153</v>
      </c>
      <c r="I1618" t="s">
        <v>79</v>
      </c>
      <c r="J1618" t="s">
        <v>26</v>
      </c>
      <c r="K1618" t="s">
        <v>55</v>
      </c>
      <c r="L1618" s="6">
        <v>109957.14</v>
      </c>
      <c r="M1618">
        <v>69386.7</v>
      </c>
      <c r="N1618" t="s">
        <v>192</v>
      </c>
      <c r="O1618">
        <v>8</v>
      </c>
      <c r="P1618">
        <v>181</v>
      </c>
      <c r="Q1618">
        <v>3</v>
      </c>
      <c r="R1618">
        <v>149</v>
      </c>
      <c r="S1618">
        <v>201.1</v>
      </c>
      <c r="T1618" t="s">
        <v>37</v>
      </c>
      <c r="U1618" s="7" t="s">
        <v>4237</v>
      </c>
      <c r="V1618" s="7" t="s">
        <v>4237</v>
      </c>
      <c r="W1618" s="6">
        <f t="shared" si="102"/>
        <v>40570.44</v>
      </c>
      <c r="X1618" t="s">
        <v>4237</v>
      </c>
    </row>
    <row r="1619" spans="1:24">
      <c r="A1619" t="s">
        <v>3480</v>
      </c>
      <c r="B1619" t="s">
        <v>139</v>
      </c>
      <c r="C1619" t="s">
        <v>133</v>
      </c>
      <c r="D1619" s="5">
        <v>26644</v>
      </c>
      <c r="E1619" s="5">
        <v>45218</v>
      </c>
      <c r="F1619" s="5">
        <v>45221</v>
      </c>
      <c r="G1619" t="s">
        <v>117</v>
      </c>
      <c r="H1619" t="s">
        <v>63</v>
      </c>
      <c r="I1619" t="s">
        <v>79</v>
      </c>
      <c r="J1619" t="s">
        <v>64</v>
      </c>
      <c r="K1619" t="s">
        <v>120</v>
      </c>
      <c r="L1619" s="6">
        <v>128017.79</v>
      </c>
      <c r="M1619">
        <v>118086.09</v>
      </c>
      <c r="N1619" t="s">
        <v>56</v>
      </c>
      <c r="O1619">
        <v>3</v>
      </c>
      <c r="P1619">
        <v>228</v>
      </c>
      <c r="Q1619">
        <v>4</v>
      </c>
      <c r="R1619">
        <v>114</v>
      </c>
      <c r="S1619">
        <v>197</v>
      </c>
      <c r="T1619" t="s">
        <v>37</v>
      </c>
      <c r="U1619" s="7">
        <f t="shared" si="100"/>
        <v>50</v>
      </c>
      <c r="V1619" s="7">
        <f t="shared" si="101"/>
        <v>3</v>
      </c>
      <c r="W1619" s="6">
        <f t="shared" si="102"/>
        <v>9931.6999999999971</v>
      </c>
      <c r="X1619" t="str">
        <f t="shared" si="103"/>
        <v>Middle Age</v>
      </c>
    </row>
    <row r="1620" spans="1:24">
      <c r="A1620" t="s">
        <v>4201</v>
      </c>
      <c r="B1620" t="s">
        <v>1302</v>
      </c>
      <c r="C1620" t="s">
        <v>40</v>
      </c>
      <c r="D1620" s="5">
        <v>35427</v>
      </c>
      <c r="E1620" s="5">
        <v>45386</v>
      </c>
      <c r="F1620" s="5">
        <v>45401</v>
      </c>
      <c r="G1620" t="s">
        <v>43</v>
      </c>
      <c r="H1620" t="s">
        <v>78</v>
      </c>
      <c r="I1620" t="s">
        <v>25</v>
      </c>
      <c r="J1620" t="s">
        <v>64</v>
      </c>
      <c r="K1620" t="s">
        <v>55</v>
      </c>
      <c r="L1620" s="6">
        <v>242366.98</v>
      </c>
      <c r="M1620">
        <v>206891.03</v>
      </c>
      <c r="N1620" t="s">
        <v>56</v>
      </c>
      <c r="O1620">
        <v>15</v>
      </c>
      <c r="P1620">
        <v>121</v>
      </c>
      <c r="Q1620">
        <v>5</v>
      </c>
      <c r="R1620">
        <v>118</v>
      </c>
      <c r="S1620">
        <v>217.8</v>
      </c>
      <c r="T1620" t="s">
        <v>37</v>
      </c>
      <c r="U1620" s="7">
        <f t="shared" si="100"/>
        <v>27</v>
      </c>
      <c r="V1620" s="7">
        <f t="shared" si="101"/>
        <v>15</v>
      </c>
      <c r="W1620" s="6">
        <f t="shared" si="102"/>
        <v>35475.950000000012</v>
      </c>
      <c r="X1620" t="str">
        <f t="shared" si="103"/>
        <v>Adult</v>
      </c>
    </row>
    <row r="1621" spans="1:24">
      <c r="A1621" t="s">
        <v>3483</v>
      </c>
      <c r="B1621" t="s">
        <v>3484</v>
      </c>
      <c r="C1621" t="s">
        <v>40</v>
      </c>
      <c r="D1621" s="5">
        <v>30839</v>
      </c>
      <c r="E1621" s="5">
        <v>45342</v>
      </c>
      <c r="F1621" s="5">
        <v>45352</v>
      </c>
      <c r="G1621" t="s">
        <v>152</v>
      </c>
      <c r="H1621" t="s">
        <v>52</v>
      </c>
      <c r="I1621" t="s">
        <v>119</v>
      </c>
      <c r="J1621" t="s">
        <v>26</v>
      </c>
      <c r="K1621" t="s">
        <v>55</v>
      </c>
      <c r="L1621" s="6">
        <v>197899.47</v>
      </c>
      <c r="M1621">
        <v>145141.16</v>
      </c>
      <c r="N1621" t="s">
        <v>192</v>
      </c>
      <c r="O1621">
        <v>10</v>
      </c>
      <c r="P1621">
        <v>213</v>
      </c>
      <c r="Q1621">
        <v>4</v>
      </c>
      <c r="R1621">
        <v>152</v>
      </c>
      <c r="S1621">
        <v>146.6</v>
      </c>
      <c r="T1621" t="s">
        <v>37</v>
      </c>
      <c r="U1621" s="7">
        <f t="shared" si="100"/>
        <v>39</v>
      </c>
      <c r="V1621" s="7">
        <f t="shared" si="101"/>
        <v>10</v>
      </c>
      <c r="W1621" s="6">
        <f t="shared" si="102"/>
        <v>52758.31</v>
      </c>
      <c r="X1621" t="str">
        <f t="shared" si="103"/>
        <v>Adult</v>
      </c>
    </row>
    <row r="1622" spans="1:24">
      <c r="A1622" t="s">
        <v>3487</v>
      </c>
      <c r="B1622" t="s">
        <v>1026</v>
      </c>
      <c r="C1622" t="s">
        <v>133</v>
      </c>
      <c r="D1622" s="5">
        <v>26912</v>
      </c>
      <c r="E1622" s="5">
        <v>45374</v>
      </c>
      <c r="F1622" s="5">
        <v>45392</v>
      </c>
      <c r="G1622" t="s">
        <v>109</v>
      </c>
      <c r="H1622" t="s">
        <v>153</v>
      </c>
      <c r="I1622" t="s">
        <v>25</v>
      </c>
      <c r="J1622" t="s">
        <v>71</v>
      </c>
      <c r="K1622" t="s">
        <v>161</v>
      </c>
      <c r="L1622" s="6">
        <v>181170</v>
      </c>
      <c r="M1622">
        <v>123353.37</v>
      </c>
      <c r="N1622" t="s">
        <v>91</v>
      </c>
      <c r="O1622">
        <v>18</v>
      </c>
      <c r="P1622">
        <v>181</v>
      </c>
      <c r="Q1622">
        <v>4</v>
      </c>
      <c r="R1622">
        <v>163</v>
      </c>
      <c r="S1622">
        <v>174.6</v>
      </c>
      <c r="T1622" t="s">
        <v>47</v>
      </c>
      <c r="U1622" s="7">
        <f t="shared" si="100"/>
        <v>50</v>
      </c>
      <c r="V1622" s="7">
        <f t="shared" si="101"/>
        <v>18</v>
      </c>
      <c r="W1622" s="6">
        <f t="shared" si="102"/>
        <v>57816.630000000005</v>
      </c>
      <c r="X1622" t="str">
        <f t="shared" si="103"/>
        <v>Middle Age</v>
      </c>
    </row>
    <row r="1623" spans="1:24">
      <c r="A1623" t="s">
        <v>3488</v>
      </c>
      <c r="B1623" t="s">
        <v>1099</v>
      </c>
      <c r="C1623" t="s">
        <v>133</v>
      </c>
      <c r="D1623" s="5">
        <v>36685</v>
      </c>
      <c r="E1623" s="5">
        <v>45597</v>
      </c>
      <c r="F1623" s="5">
        <v>45320</v>
      </c>
      <c r="G1623" t="s">
        <v>94</v>
      </c>
      <c r="H1623" t="s">
        <v>44</v>
      </c>
      <c r="I1623" t="s">
        <v>33</v>
      </c>
      <c r="J1623" t="s">
        <v>46</v>
      </c>
      <c r="K1623" t="s">
        <v>161</v>
      </c>
      <c r="L1623" s="6">
        <v>166542.15</v>
      </c>
      <c r="M1623">
        <v>117686.65</v>
      </c>
      <c r="N1623" t="s">
        <v>35</v>
      </c>
      <c r="O1623">
        <v>18</v>
      </c>
      <c r="P1623">
        <v>9</v>
      </c>
      <c r="Q1623">
        <v>4</v>
      </c>
      <c r="R1623">
        <v>166</v>
      </c>
      <c r="S1623">
        <v>221.6</v>
      </c>
      <c r="T1623" t="s">
        <v>37</v>
      </c>
      <c r="U1623" s="7">
        <f t="shared" si="100"/>
        <v>24</v>
      </c>
      <c r="V1623" s="7">
        <f t="shared" si="101"/>
        <v>-277</v>
      </c>
      <c r="W1623" s="6">
        <f t="shared" si="102"/>
        <v>48855.5</v>
      </c>
      <c r="X1623" t="str">
        <f t="shared" si="103"/>
        <v>Adult</v>
      </c>
    </row>
    <row r="1624" spans="1:24">
      <c r="A1624" t="s">
        <v>3490</v>
      </c>
      <c r="B1624" t="s">
        <v>485</v>
      </c>
      <c r="C1624" t="s">
        <v>133</v>
      </c>
      <c r="D1624" s="5">
        <v>37045</v>
      </c>
      <c r="E1624" s="5">
        <v>45294</v>
      </c>
      <c r="F1624" s="5">
        <v>45311</v>
      </c>
      <c r="G1624" t="s">
        <v>152</v>
      </c>
      <c r="H1624" t="s">
        <v>153</v>
      </c>
      <c r="I1624" t="s">
        <v>96</v>
      </c>
      <c r="J1624" t="s">
        <v>46</v>
      </c>
      <c r="K1624" t="s">
        <v>161</v>
      </c>
      <c r="L1624" s="6">
        <v>70160.13</v>
      </c>
      <c r="M1624">
        <v>59803.49</v>
      </c>
      <c r="N1624" t="s">
        <v>35</v>
      </c>
      <c r="O1624">
        <v>17</v>
      </c>
      <c r="P1624">
        <v>56</v>
      </c>
      <c r="Q1624">
        <v>4</v>
      </c>
      <c r="R1624">
        <v>161</v>
      </c>
      <c r="S1624">
        <v>169</v>
      </c>
      <c r="T1624" t="s">
        <v>65</v>
      </c>
      <c r="U1624" s="7">
        <f t="shared" si="100"/>
        <v>22</v>
      </c>
      <c r="V1624" s="7">
        <f t="shared" si="101"/>
        <v>17</v>
      </c>
      <c r="W1624" s="6">
        <f t="shared" si="102"/>
        <v>10356.640000000007</v>
      </c>
      <c r="X1624" t="str">
        <f t="shared" si="103"/>
        <v>Adult</v>
      </c>
    </row>
    <row r="1625" spans="1:24">
      <c r="A1625" t="s">
        <v>3493</v>
      </c>
      <c r="B1625" t="s">
        <v>801</v>
      </c>
      <c r="C1625" t="s">
        <v>133</v>
      </c>
      <c r="D1625" s="5">
        <v>28747</v>
      </c>
      <c r="E1625" s="5">
        <v>45842</v>
      </c>
      <c r="F1625" s="5">
        <v>45857</v>
      </c>
      <c r="G1625" t="s">
        <v>105</v>
      </c>
      <c r="H1625" t="s">
        <v>24</v>
      </c>
      <c r="I1625" t="s">
        <v>25</v>
      </c>
      <c r="J1625" t="s">
        <v>46</v>
      </c>
      <c r="K1625" t="s">
        <v>55</v>
      </c>
      <c r="L1625" s="6">
        <v>49552.29</v>
      </c>
      <c r="M1625">
        <v>33510.449999999997</v>
      </c>
      <c r="N1625" t="s">
        <v>192</v>
      </c>
      <c r="O1625">
        <v>15</v>
      </c>
      <c r="P1625">
        <v>208</v>
      </c>
      <c r="Q1625">
        <v>4</v>
      </c>
      <c r="R1625">
        <v>181</v>
      </c>
      <c r="S1625">
        <v>81.3</v>
      </c>
      <c r="T1625" t="s">
        <v>47</v>
      </c>
      <c r="U1625" s="7">
        <f t="shared" si="100"/>
        <v>46</v>
      </c>
      <c r="V1625" s="7">
        <f t="shared" si="101"/>
        <v>15</v>
      </c>
      <c r="W1625" s="6">
        <f t="shared" si="102"/>
        <v>16041.840000000004</v>
      </c>
      <c r="X1625" t="str">
        <f t="shared" si="103"/>
        <v>Middle Age</v>
      </c>
    </row>
    <row r="1626" spans="1:24">
      <c r="A1626" t="s">
        <v>3496</v>
      </c>
      <c r="B1626" t="s">
        <v>455</v>
      </c>
      <c r="C1626" t="s">
        <v>40</v>
      </c>
      <c r="D1626" s="5">
        <v>21864</v>
      </c>
      <c r="E1626" s="5">
        <v>45821</v>
      </c>
      <c r="F1626" s="5">
        <v>45835</v>
      </c>
      <c r="G1626" t="s">
        <v>152</v>
      </c>
      <c r="H1626" t="s">
        <v>44</v>
      </c>
      <c r="I1626" t="s">
        <v>53</v>
      </c>
      <c r="J1626" t="s">
        <v>71</v>
      </c>
      <c r="K1626" t="s">
        <v>120</v>
      </c>
      <c r="L1626" s="6">
        <v>164014.26</v>
      </c>
      <c r="M1626">
        <v>123173.75</v>
      </c>
      <c r="N1626" t="s">
        <v>35</v>
      </c>
      <c r="O1626">
        <v>14</v>
      </c>
      <c r="P1626">
        <v>121</v>
      </c>
      <c r="Q1626">
        <v>2</v>
      </c>
      <c r="R1626">
        <v>146</v>
      </c>
      <c r="S1626">
        <v>170.2</v>
      </c>
      <c r="T1626" t="s">
        <v>4237</v>
      </c>
      <c r="U1626" s="7">
        <f t="shared" si="100"/>
        <v>65</v>
      </c>
      <c r="V1626" s="7">
        <f t="shared" si="101"/>
        <v>14</v>
      </c>
      <c r="W1626" s="6">
        <f t="shared" si="102"/>
        <v>40840.510000000009</v>
      </c>
      <c r="X1626" t="str">
        <f t="shared" si="103"/>
        <v>Senior</v>
      </c>
    </row>
    <row r="1627" spans="1:24">
      <c r="A1627" t="s">
        <v>3500</v>
      </c>
      <c r="B1627" t="s">
        <v>155</v>
      </c>
      <c r="C1627" t="s">
        <v>133</v>
      </c>
      <c r="D1627" s="5">
        <v>25227</v>
      </c>
      <c r="E1627" s="5">
        <v>45050</v>
      </c>
      <c r="F1627" s="5">
        <v>45052</v>
      </c>
      <c r="G1627" t="s">
        <v>117</v>
      </c>
      <c r="H1627" t="s">
        <v>124</v>
      </c>
      <c r="I1627" t="s">
        <v>119</v>
      </c>
      <c r="J1627" t="s">
        <v>34</v>
      </c>
      <c r="K1627" t="s">
        <v>55</v>
      </c>
      <c r="L1627" s="6">
        <v>169959.21</v>
      </c>
      <c r="M1627">
        <v>165111.56</v>
      </c>
      <c r="N1627" t="s">
        <v>192</v>
      </c>
      <c r="O1627">
        <v>2</v>
      </c>
      <c r="P1627">
        <v>121</v>
      </c>
      <c r="Q1627">
        <v>5</v>
      </c>
      <c r="R1627">
        <v>166</v>
      </c>
      <c r="S1627">
        <v>194.4</v>
      </c>
      <c r="T1627" t="s">
        <v>37</v>
      </c>
      <c r="U1627" s="7">
        <f t="shared" si="100"/>
        <v>54</v>
      </c>
      <c r="V1627" s="7">
        <f t="shared" si="101"/>
        <v>2</v>
      </c>
      <c r="W1627" s="6">
        <f t="shared" si="102"/>
        <v>4847.6499999999942</v>
      </c>
      <c r="X1627" t="str">
        <f t="shared" si="103"/>
        <v>Middle Age</v>
      </c>
    </row>
    <row r="1628" spans="1:24">
      <c r="A1628" t="s">
        <v>3502</v>
      </c>
      <c r="B1628" t="s">
        <v>825</v>
      </c>
      <c r="C1628" t="s">
        <v>40</v>
      </c>
      <c r="D1628" s="5">
        <v>24993</v>
      </c>
      <c r="E1628" s="5">
        <v>45322</v>
      </c>
      <c r="F1628" s="5">
        <v>45337</v>
      </c>
      <c r="G1628" t="s">
        <v>152</v>
      </c>
      <c r="H1628" t="s">
        <v>78</v>
      </c>
      <c r="I1628" t="s">
        <v>53</v>
      </c>
      <c r="J1628" t="s">
        <v>64</v>
      </c>
      <c r="K1628" t="s">
        <v>55</v>
      </c>
      <c r="L1628" s="6">
        <v>162754.31</v>
      </c>
      <c r="M1628">
        <v>134344.76999999999</v>
      </c>
      <c r="N1628" t="s">
        <v>192</v>
      </c>
      <c r="O1628">
        <v>15</v>
      </c>
      <c r="P1628">
        <v>96</v>
      </c>
      <c r="Q1628">
        <v>4</v>
      </c>
      <c r="R1628">
        <v>133</v>
      </c>
      <c r="S1628">
        <v>104.4</v>
      </c>
      <c r="T1628" t="s">
        <v>47</v>
      </c>
      <c r="U1628" s="7">
        <f t="shared" si="100"/>
        <v>55</v>
      </c>
      <c r="V1628" s="7">
        <f t="shared" si="101"/>
        <v>15</v>
      </c>
      <c r="W1628" s="6">
        <f t="shared" si="102"/>
        <v>28409.540000000008</v>
      </c>
      <c r="X1628" t="str">
        <f t="shared" si="103"/>
        <v>Middle Age</v>
      </c>
    </row>
    <row r="1629" spans="1:24">
      <c r="A1629" t="s">
        <v>3503</v>
      </c>
      <c r="B1629" t="s">
        <v>1438</v>
      </c>
      <c r="C1629" t="s">
        <v>40</v>
      </c>
      <c r="D1629" s="5">
        <v>24030</v>
      </c>
      <c r="E1629" s="5">
        <v>45666</v>
      </c>
      <c r="F1629" s="5">
        <v>45678</v>
      </c>
      <c r="G1629" t="s">
        <v>43</v>
      </c>
      <c r="H1629" t="s">
        <v>113</v>
      </c>
      <c r="I1629" t="s">
        <v>96</v>
      </c>
      <c r="J1629" t="s">
        <v>97</v>
      </c>
      <c r="K1629" t="s">
        <v>55</v>
      </c>
      <c r="L1629" s="6">
        <v>47347.73</v>
      </c>
      <c r="M1629">
        <v>45302.85</v>
      </c>
      <c r="N1629" t="s">
        <v>35</v>
      </c>
      <c r="O1629">
        <v>12</v>
      </c>
      <c r="P1629">
        <v>72</v>
      </c>
      <c r="Q1629">
        <v>4</v>
      </c>
      <c r="R1629">
        <v>94</v>
      </c>
      <c r="S1629">
        <v>133</v>
      </c>
      <c r="T1629" t="s">
        <v>65</v>
      </c>
      <c r="U1629" s="7">
        <f t="shared" si="100"/>
        <v>59</v>
      </c>
      <c r="V1629" s="7">
        <f t="shared" si="101"/>
        <v>12</v>
      </c>
      <c r="W1629" s="6">
        <f t="shared" si="102"/>
        <v>2044.8800000000047</v>
      </c>
      <c r="X1629" t="str">
        <f t="shared" si="103"/>
        <v>Middle Age</v>
      </c>
    </row>
    <row r="1630" spans="1:24">
      <c r="A1630" t="s">
        <v>3505</v>
      </c>
      <c r="B1630" t="s">
        <v>1104</v>
      </c>
      <c r="C1630" t="s">
        <v>40</v>
      </c>
      <c r="D1630" s="5">
        <v>22130</v>
      </c>
      <c r="E1630" s="5">
        <v>45485</v>
      </c>
      <c r="F1630" s="5">
        <v>45493</v>
      </c>
      <c r="G1630" t="s">
        <v>105</v>
      </c>
      <c r="H1630" t="s">
        <v>153</v>
      </c>
      <c r="I1630" t="s">
        <v>53</v>
      </c>
      <c r="J1630" t="s">
        <v>64</v>
      </c>
      <c r="K1630" t="s">
        <v>27</v>
      </c>
      <c r="L1630" s="6">
        <v>114059.1</v>
      </c>
      <c r="M1630">
        <v>106165.42</v>
      </c>
      <c r="N1630" t="s">
        <v>56</v>
      </c>
      <c r="O1630">
        <v>8</v>
      </c>
      <c r="P1630">
        <v>137</v>
      </c>
      <c r="Q1630">
        <v>4</v>
      </c>
      <c r="R1630">
        <v>124</v>
      </c>
      <c r="S1630">
        <v>193.8</v>
      </c>
      <c r="T1630" t="s">
        <v>4237</v>
      </c>
      <c r="U1630" s="7">
        <f t="shared" si="100"/>
        <v>63</v>
      </c>
      <c r="V1630" s="7">
        <f t="shared" si="101"/>
        <v>8</v>
      </c>
      <c r="W1630" s="6">
        <f t="shared" si="102"/>
        <v>7893.6800000000076</v>
      </c>
      <c r="X1630" t="str">
        <f t="shared" si="103"/>
        <v>Senior</v>
      </c>
    </row>
    <row r="1631" spans="1:24">
      <c r="A1631" t="s">
        <v>3507</v>
      </c>
      <c r="B1631" t="s">
        <v>568</v>
      </c>
      <c r="C1631" t="s">
        <v>133</v>
      </c>
      <c r="D1631" s="5">
        <v>32655</v>
      </c>
      <c r="E1631" s="5">
        <v>44942</v>
      </c>
      <c r="F1631" s="5" t="s">
        <v>4237</v>
      </c>
      <c r="G1631" t="s">
        <v>89</v>
      </c>
      <c r="H1631" t="s">
        <v>95</v>
      </c>
      <c r="I1631" t="s">
        <v>79</v>
      </c>
      <c r="J1631" t="s">
        <v>64</v>
      </c>
      <c r="K1631" t="s">
        <v>110</v>
      </c>
      <c r="L1631" s="6">
        <v>178533.26</v>
      </c>
      <c r="M1631">
        <v>143146.75</v>
      </c>
      <c r="N1631" t="s">
        <v>56</v>
      </c>
      <c r="O1631">
        <v>10</v>
      </c>
      <c r="P1631">
        <v>16</v>
      </c>
      <c r="Q1631">
        <v>4</v>
      </c>
      <c r="R1631">
        <v>181</v>
      </c>
      <c r="S1631">
        <v>155.80000000000001</v>
      </c>
      <c r="T1631" t="s">
        <v>47</v>
      </c>
      <c r="U1631" s="7">
        <f t="shared" si="100"/>
        <v>33</v>
      </c>
      <c r="V1631" s="7" t="s">
        <v>4237</v>
      </c>
      <c r="W1631" s="6">
        <f t="shared" si="102"/>
        <v>35386.510000000009</v>
      </c>
      <c r="X1631" t="str">
        <f t="shared" si="103"/>
        <v>Adult</v>
      </c>
    </row>
    <row r="1632" spans="1:24">
      <c r="A1632" t="s">
        <v>3508</v>
      </c>
      <c r="B1632" t="s">
        <v>911</v>
      </c>
      <c r="C1632" t="s">
        <v>133</v>
      </c>
      <c r="D1632" s="5">
        <v>21007</v>
      </c>
      <c r="E1632" s="5">
        <v>45060</v>
      </c>
      <c r="F1632" s="5">
        <v>45076</v>
      </c>
      <c r="G1632" t="s">
        <v>77</v>
      </c>
      <c r="H1632" t="s">
        <v>44</v>
      </c>
      <c r="I1632" t="s">
        <v>33</v>
      </c>
      <c r="J1632" t="s">
        <v>80</v>
      </c>
      <c r="K1632" t="s">
        <v>120</v>
      </c>
      <c r="L1632" s="6">
        <v>186158.02</v>
      </c>
      <c r="M1632">
        <v>134273.49</v>
      </c>
      <c r="N1632" t="s">
        <v>73</v>
      </c>
      <c r="O1632">
        <v>16</v>
      </c>
      <c r="P1632">
        <v>21</v>
      </c>
      <c r="Q1632">
        <v>5</v>
      </c>
      <c r="R1632">
        <v>92</v>
      </c>
      <c r="S1632">
        <v>202.8</v>
      </c>
      <c r="T1632" t="s">
        <v>47</v>
      </c>
      <c r="U1632" s="7">
        <f t="shared" si="100"/>
        <v>65</v>
      </c>
      <c r="V1632" s="7">
        <f t="shared" si="101"/>
        <v>16</v>
      </c>
      <c r="W1632" s="6">
        <f t="shared" si="102"/>
        <v>51884.53</v>
      </c>
      <c r="X1632" t="str">
        <f t="shared" si="103"/>
        <v>Senior</v>
      </c>
    </row>
    <row r="1633" spans="1:24">
      <c r="A1633" t="s">
        <v>3510</v>
      </c>
      <c r="B1633" t="s">
        <v>458</v>
      </c>
      <c r="C1633" t="s">
        <v>133</v>
      </c>
      <c r="D1633" s="5">
        <v>29408</v>
      </c>
      <c r="E1633" s="5">
        <v>45082</v>
      </c>
      <c r="F1633" s="5">
        <v>45099</v>
      </c>
      <c r="G1633" t="s">
        <v>109</v>
      </c>
      <c r="H1633" t="s">
        <v>32</v>
      </c>
      <c r="I1633" t="s">
        <v>53</v>
      </c>
      <c r="J1633" t="s">
        <v>97</v>
      </c>
      <c r="K1633" t="s">
        <v>120</v>
      </c>
      <c r="L1633" s="6">
        <v>66264.259999999995</v>
      </c>
      <c r="M1633">
        <v>56383.74</v>
      </c>
      <c r="N1633" t="s">
        <v>35</v>
      </c>
      <c r="O1633">
        <v>17</v>
      </c>
      <c r="P1633">
        <v>232</v>
      </c>
      <c r="Q1633">
        <v>4</v>
      </c>
      <c r="R1633">
        <v>144</v>
      </c>
      <c r="S1633">
        <v>153.6</v>
      </c>
      <c r="T1633" t="s">
        <v>4237</v>
      </c>
      <c r="U1633" s="7">
        <f t="shared" si="100"/>
        <v>42</v>
      </c>
      <c r="V1633" s="7">
        <f t="shared" si="101"/>
        <v>17</v>
      </c>
      <c r="W1633" s="6">
        <f t="shared" si="102"/>
        <v>9880.5199999999968</v>
      </c>
      <c r="X1633" t="str">
        <f t="shared" si="103"/>
        <v>Middle Age</v>
      </c>
    </row>
    <row r="1634" spans="1:24">
      <c r="A1634" t="s">
        <v>3511</v>
      </c>
      <c r="B1634" t="s">
        <v>194</v>
      </c>
      <c r="C1634" t="s">
        <v>40</v>
      </c>
      <c r="D1634" s="5">
        <v>21840</v>
      </c>
      <c r="E1634" s="5">
        <v>45039</v>
      </c>
      <c r="F1634" s="5">
        <v>45040</v>
      </c>
      <c r="G1634" t="s">
        <v>94</v>
      </c>
      <c r="H1634" t="s">
        <v>44</v>
      </c>
      <c r="I1634" t="s">
        <v>33</v>
      </c>
      <c r="J1634" t="s">
        <v>80</v>
      </c>
      <c r="K1634" t="s">
        <v>120</v>
      </c>
      <c r="L1634" s="6">
        <v>194885.39</v>
      </c>
      <c r="M1634">
        <v>151102.51</v>
      </c>
      <c r="N1634" t="s">
        <v>73</v>
      </c>
      <c r="O1634">
        <v>1</v>
      </c>
      <c r="P1634">
        <v>73</v>
      </c>
      <c r="Q1634">
        <v>3</v>
      </c>
      <c r="R1634">
        <v>126</v>
      </c>
      <c r="S1634">
        <v>160.9</v>
      </c>
      <c r="T1634" t="s">
        <v>37</v>
      </c>
      <c r="U1634" s="7">
        <f t="shared" si="100"/>
        <v>63</v>
      </c>
      <c r="V1634" s="7">
        <f t="shared" si="101"/>
        <v>1</v>
      </c>
      <c r="W1634" s="6">
        <f t="shared" si="102"/>
        <v>43782.880000000005</v>
      </c>
      <c r="X1634" t="str">
        <f t="shared" si="103"/>
        <v>Senior</v>
      </c>
    </row>
    <row r="1635" spans="1:24">
      <c r="A1635" t="s">
        <v>3513</v>
      </c>
      <c r="B1635" t="s">
        <v>345</v>
      </c>
      <c r="C1635" t="s">
        <v>40</v>
      </c>
      <c r="D1635" s="5" t="s">
        <v>4237</v>
      </c>
      <c r="E1635" s="5">
        <v>45861</v>
      </c>
      <c r="F1635" s="5">
        <v>45877</v>
      </c>
      <c r="G1635" t="s">
        <v>152</v>
      </c>
      <c r="H1635" t="s">
        <v>118</v>
      </c>
      <c r="I1635" t="s">
        <v>45</v>
      </c>
      <c r="J1635" t="s">
        <v>64</v>
      </c>
      <c r="K1635" t="s">
        <v>161</v>
      </c>
      <c r="L1635" s="6">
        <v>54359.28</v>
      </c>
      <c r="M1635">
        <v>50119.09</v>
      </c>
      <c r="N1635" t="s">
        <v>192</v>
      </c>
      <c r="O1635">
        <v>16</v>
      </c>
      <c r="P1635">
        <v>81</v>
      </c>
      <c r="Q1635">
        <v>5</v>
      </c>
      <c r="R1635">
        <v>121</v>
      </c>
      <c r="S1635">
        <v>175.2</v>
      </c>
      <c r="T1635" t="s">
        <v>47</v>
      </c>
      <c r="U1635" s="7" t="s">
        <v>4237</v>
      </c>
      <c r="V1635" s="7">
        <f t="shared" si="101"/>
        <v>16</v>
      </c>
      <c r="W1635" s="6">
        <f t="shared" si="102"/>
        <v>4240.1900000000023</v>
      </c>
      <c r="X1635" t="s">
        <v>4237</v>
      </c>
    </row>
    <row r="1636" spans="1:24">
      <c r="A1636" t="s">
        <v>3516</v>
      </c>
      <c r="B1636" t="s">
        <v>1839</v>
      </c>
      <c r="C1636" t="s">
        <v>40</v>
      </c>
      <c r="D1636" s="5">
        <v>22077</v>
      </c>
      <c r="E1636" s="5">
        <v>45753</v>
      </c>
      <c r="F1636" s="5">
        <v>45768</v>
      </c>
      <c r="G1636" t="s">
        <v>161</v>
      </c>
      <c r="H1636" t="s">
        <v>118</v>
      </c>
      <c r="I1636" t="s">
        <v>33</v>
      </c>
      <c r="J1636" t="s">
        <v>71</v>
      </c>
      <c r="K1636" t="s">
        <v>55</v>
      </c>
      <c r="L1636" s="6">
        <v>145882.64000000001</v>
      </c>
      <c r="M1636">
        <v>109317.49</v>
      </c>
      <c r="N1636" t="s">
        <v>35</v>
      </c>
      <c r="O1636">
        <v>15</v>
      </c>
      <c r="P1636">
        <v>222</v>
      </c>
      <c r="Q1636">
        <v>4</v>
      </c>
      <c r="R1636">
        <v>150</v>
      </c>
      <c r="S1636">
        <v>78</v>
      </c>
      <c r="T1636" t="s">
        <v>37</v>
      </c>
      <c r="U1636" s="7">
        <f t="shared" si="100"/>
        <v>64</v>
      </c>
      <c r="V1636" s="7">
        <f t="shared" si="101"/>
        <v>15</v>
      </c>
      <c r="W1636" s="6">
        <f t="shared" si="102"/>
        <v>36565.150000000009</v>
      </c>
      <c r="X1636" t="str">
        <f t="shared" si="103"/>
        <v>Senior</v>
      </c>
    </row>
    <row r="1637" spans="1:24">
      <c r="A1637" t="s">
        <v>3518</v>
      </c>
      <c r="B1637" t="s">
        <v>283</v>
      </c>
      <c r="C1637" t="s">
        <v>133</v>
      </c>
      <c r="D1637" s="5">
        <v>37007</v>
      </c>
      <c r="E1637" s="5">
        <v>45738</v>
      </c>
      <c r="F1637" s="5">
        <v>45754</v>
      </c>
      <c r="G1637" t="s">
        <v>89</v>
      </c>
      <c r="H1637" t="s">
        <v>113</v>
      </c>
      <c r="I1637" t="s">
        <v>45</v>
      </c>
      <c r="J1637" t="s">
        <v>34</v>
      </c>
      <c r="K1637" t="s">
        <v>55</v>
      </c>
      <c r="L1637" s="6">
        <v>126386.71</v>
      </c>
      <c r="M1637">
        <v>104371.03</v>
      </c>
      <c r="N1637" t="s">
        <v>73</v>
      </c>
      <c r="O1637">
        <v>16</v>
      </c>
      <c r="P1637">
        <v>223</v>
      </c>
      <c r="Q1637">
        <v>5</v>
      </c>
      <c r="R1637">
        <v>175</v>
      </c>
      <c r="S1637">
        <v>129.30000000000001</v>
      </c>
      <c r="T1637" t="s">
        <v>65</v>
      </c>
      <c r="U1637" s="7">
        <f t="shared" si="100"/>
        <v>23</v>
      </c>
      <c r="V1637" s="7">
        <f t="shared" si="101"/>
        <v>16</v>
      </c>
      <c r="W1637" s="6">
        <f t="shared" si="102"/>
        <v>22015.680000000008</v>
      </c>
      <c r="X1637" t="str">
        <f t="shared" si="103"/>
        <v>Adult</v>
      </c>
    </row>
    <row r="1638" spans="1:24">
      <c r="A1638" t="s">
        <v>3520</v>
      </c>
      <c r="B1638" t="s">
        <v>2594</v>
      </c>
      <c r="C1638" t="s">
        <v>133</v>
      </c>
      <c r="D1638" s="5">
        <v>38635</v>
      </c>
      <c r="E1638" s="5">
        <v>45227</v>
      </c>
      <c r="F1638" s="5">
        <v>44968</v>
      </c>
      <c r="G1638" t="s">
        <v>161</v>
      </c>
      <c r="H1638" t="s">
        <v>118</v>
      </c>
      <c r="I1638" t="s">
        <v>53</v>
      </c>
      <c r="J1638" t="s">
        <v>71</v>
      </c>
      <c r="K1638" t="s">
        <v>110</v>
      </c>
      <c r="L1638" s="6">
        <v>113107.38</v>
      </c>
      <c r="M1638">
        <v>100969.7</v>
      </c>
      <c r="N1638" t="s">
        <v>35</v>
      </c>
      <c r="O1638">
        <v>5</v>
      </c>
      <c r="P1638">
        <v>207</v>
      </c>
      <c r="Q1638">
        <v>5</v>
      </c>
      <c r="R1638">
        <v>96</v>
      </c>
      <c r="S1638">
        <v>151.9</v>
      </c>
      <c r="T1638" t="s">
        <v>4237</v>
      </c>
      <c r="U1638" s="7">
        <f t="shared" si="100"/>
        <v>18</v>
      </c>
      <c r="V1638" s="7">
        <f t="shared" si="101"/>
        <v>-259</v>
      </c>
      <c r="W1638" s="6">
        <f t="shared" si="102"/>
        <v>12137.680000000008</v>
      </c>
      <c r="X1638" t="str">
        <f t="shared" si="103"/>
        <v>Adult</v>
      </c>
    </row>
    <row r="1639" spans="1:24">
      <c r="A1639" t="s">
        <v>3522</v>
      </c>
      <c r="B1639" t="s">
        <v>132</v>
      </c>
      <c r="C1639" t="s">
        <v>40</v>
      </c>
      <c r="D1639" s="5">
        <v>22944</v>
      </c>
      <c r="E1639" s="5">
        <v>45010</v>
      </c>
      <c r="F1639" s="5">
        <v>45014</v>
      </c>
      <c r="G1639" t="s">
        <v>152</v>
      </c>
      <c r="H1639" t="s">
        <v>78</v>
      </c>
      <c r="I1639" t="s">
        <v>119</v>
      </c>
      <c r="J1639" t="s">
        <v>64</v>
      </c>
      <c r="K1639" t="s">
        <v>55</v>
      </c>
      <c r="L1639" s="6">
        <v>123663.9</v>
      </c>
      <c r="M1639">
        <v>75360.070000000007</v>
      </c>
      <c r="N1639" t="s">
        <v>192</v>
      </c>
      <c r="O1639">
        <v>4</v>
      </c>
      <c r="P1639">
        <v>114</v>
      </c>
      <c r="Q1639">
        <v>2</v>
      </c>
      <c r="R1639">
        <v>145</v>
      </c>
      <c r="S1639">
        <v>176.2</v>
      </c>
      <c r="T1639" t="s">
        <v>37</v>
      </c>
      <c r="U1639" s="7">
        <f t="shared" si="100"/>
        <v>60</v>
      </c>
      <c r="V1639" s="7">
        <f t="shared" si="101"/>
        <v>4</v>
      </c>
      <c r="W1639" s="6">
        <f t="shared" si="102"/>
        <v>48303.829999999987</v>
      </c>
      <c r="X1639" t="str">
        <f t="shared" si="103"/>
        <v>Senior</v>
      </c>
    </row>
    <row r="1640" spans="1:24">
      <c r="A1640" t="s">
        <v>4202</v>
      </c>
      <c r="B1640" t="s">
        <v>587</v>
      </c>
      <c r="C1640" t="s">
        <v>40</v>
      </c>
      <c r="D1640" s="5" t="s">
        <v>4237</v>
      </c>
      <c r="E1640" s="5">
        <v>45337</v>
      </c>
      <c r="F1640" s="5">
        <v>45341</v>
      </c>
      <c r="G1640" t="s">
        <v>109</v>
      </c>
      <c r="H1640" t="s">
        <v>86</v>
      </c>
      <c r="I1640" t="s">
        <v>45</v>
      </c>
      <c r="J1640" t="s">
        <v>34</v>
      </c>
      <c r="K1640" t="s">
        <v>120</v>
      </c>
      <c r="L1640" s="6">
        <v>2740.61</v>
      </c>
      <c r="M1640">
        <v>2324.2600000000002</v>
      </c>
      <c r="N1640" t="s">
        <v>73</v>
      </c>
      <c r="O1640">
        <v>4</v>
      </c>
      <c r="P1640">
        <v>55</v>
      </c>
      <c r="Q1640">
        <v>3</v>
      </c>
      <c r="R1640">
        <v>103</v>
      </c>
      <c r="S1640">
        <v>209.7</v>
      </c>
      <c r="T1640" t="s">
        <v>37</v>
      </c>
      <c r="U1640" s="7" t="s">
        <v>4237</v>
      </c>
      <c r="V1640" s="7">
        <f t="shared" si="101"/>
        <v>4</v>
      </c>
      <c r="W1640" s="6">
        <f t="shared" si="102"/>
        <v>416.34999999999991</v>
      </c>
      <c r="X1640" t="s">
        <v>4237</v>
      </c>
    </row>
    <row r="1641" spans="1:24">
      <c r="A1641" t="s">
        <v>3525</v>
      </c>
      <c r="B1641" t="s">
        <v>1830</v>
      </c>
      <c r="C1641" t="s">
        <v>133</v>
      </c>
      <c r="D1641" s="5">
        <v>37920</v>
      </c>
      <c r="E1641" s="5">
        <v>45023</v>
      </c>
      <c r="F1641" s="5">
        <v>45026</v>
      </c>
      <c r="G1641" t="s">
        <v>109</v>
      </c>
      <c r="H1641" t="s">
        <v>52</v>
      </c>
      <c r="I1641" t="s">
        <v>33</v>
      </c>
      <c r="J1641" t="s">
        <v>64</v>
      </c>
      <c r="K1641" t="s">
        <v>55</v>
      </c>
      <c r="L1641" s="6">
        <v>80956.100000000006</v>
      </c>
      <c r="M1641">
        <v>59914.85</v>
      </c>
      <c r="N1641" t="s">
        <v>91</v>
      </c>
      <c r="O1641">
        <v>3</v>
      </c>
      <c r="P1641">
        <v>121</v>
      </c>
      <c r="Q1641">
        <v>5</v>
      </c>
      <c r="R1641">
        <v>163</v>
      </c>
      <c r="S1641">
        <v>127.5</v>
      </c>
      <c r="T1641" t="s">
        <v>4237</v>
      </c>
      <c r="U1641" s="7">
        <f t="shared" si="100"/>
        <v>19</v>
      </c>
      <c r="V1641" s="7">
        <f t="shared" si="101"/>
        <v>3</v>
      </c>
      <c r="W1641" s="6">
        <f t="shared" si="102"/>
        <v>21041.250000000007</v>
      </c>
      <c r="X1641" t="str">
        <f t="shared" si="103"/>
        <v>Adult</v>
      </c>
    </row>
    <row r="1642" spans="1:24">
      <c r="A1642" t="s">
        <v>3526</v>
      </c>
      <c r="B1642" t="s">
        <v>932</v>
      </c>
      <c r="C1642" t="s">
        <v>133</v>
      </c>
      <c r="D1642" s="5">
        <v>18914</v>
      </c>
      <c r="E1642" s="5">
        <v>45524</v>
      </c>
      <c r="F1642" s="5" t="s">
        <v>4237</v>
      </c>
      <c r="G1642" t="s">
        <v>105</v>
      </c>
      <c r="H1642" t="s">
        <v>113</v>
      </c>
      <c r="I1642" t="s">
        <v>45</v>
      </c>
      <c r="J1642" t="s">
        <v>71</v>
      </c>
      <c r="K1642" t="s">
        <v>27</v>
      </c>
      <c r="L1642" s="6">
        <v>223977.72</v>
      </c>
      <c r="M1642">
        <v>162195.39000000001</v>
      </c>
      <c r="N1642" t="s">
        <v>73</v>
      </c>
      <c r="O1642">
        <v>7</v>
      </c>
      <c r="P1642">
        <v>20</v>
      </c>
      <c r="Q1642">
        <v>1</v>
      </c>
      <c r="R1642">
        <v>164</v>
      </c>
      <c r="S1642">
        <v>148.69999999999999</v>
      </c>
      <c r="T1642" t="s">
        <v>37</v>
      </c>
      <c r="U1642" s="7">
        <f t="shared" si="100"/>
        <v>72</v>
      </c>
      <c r="V1642" s="7" t="s">
        <v>4237</v>
      </c>
      <c r="W1642" s="6">
        <f t="shared" si="102"/>
        <v>61782.329999999987</v>
      </c>
      <c r="X1642" t="str">
        <f t="shared" si="103"/>
        <v>Senior</v>
      </c>
    </row>
    <row r="1643" spans="1:24">
      <c r="A1643" t="s">
        <v>3528</v>
      </c>
      <c r="B1643" t="s">
        <v>1727</v>
      </c>
      <c r="C1643" t="s">
        <v>133</v>
      </c>
      <c r="D1643" s="5">
        <v>31044</v>
      </c>
      <c r="E1643" s="5">
        <v>44962</v>
      </c>
      <c r="F1643" s="5">
        <v>44972</v>
      </c>
      <c r="G1643" t="s">
        <v>77</v>
      </c>
      <c r="H1643" t="s">
        <v>24</v>
      </c>
      <c r="I1643" t="s">
        <v>96</v>
      </c>
      <c r="J1643" t="s">
        <v>34</v>
      </c>
      <c r="K1643" t="s">
        <v>110</v>
      </c>
      <c r="L1643" s="6">
        <v>70878.13</v>
      </c>
      <c r="M1643">
        <v>48145.23</v>
      </c>
      <c r="N1643" t="s">
        <v>91</v>
      </c>
      <c r="O1643">
        <v>10</v>
      </c>
      <c r="P1643">
        <v>96</v>
      </c>
      <c r="Q1643">
        <v>2</v>
      </c>
      <c r="R1643">
        <v>177</v>
      </c>
      <c r="S1643">
        <v>146.9</v>
      </c>
      <c r="T1643" t="s">
        <v>4237</v>
      </c>
      <c r="U1643" s="7">
        <f t="shared" si="100"/>
        <v>38</v>
      </c>
      <c r="V1643" s="7">
        <f t="shared" si="101"/>
        <v>10</v>
      </c>
      <c r="W1643" s="6">
        <f t="shared" si="102"/>
        <v>22732.9</v>
      </c>
      <c r="X1643" t="str">
        <f t="shared" si="103"/>
        <v>Adult</v>
      </c>
    </row>
    <row r="1644" spans="1:24">
      <c r="A1644" t="s">
        <v>3530</v>
      </c>
      <c r="B1644" t="s">
        <v>112</v>
      </c>
      <c r="C1644" t="s">
        <v>40</v>
      </c>
      <c r="D1644" s="5">
        <v>22923</v>
      </c>
      <c r="E1644" s="5">
        <v>44930</v>
      </c>
      <c r="F1644" s="5">
        <v>44938</v>
      </c>
      <c r="G1644" t="s">
        <v>94</v>
      </c>
      <c r="H1644" t="s">
        <v>118</v>
      </c>
      <c r="I1644" t="s">
        <v>33</v>
      </c>
      <c r="J1644" t="s">
        <v>34</v>
      </c>
      <c r="K1644" t="s">
        <v>120</v>
      </c>
      <c r="L1644" s="6">
        <v>204045.01</v>
      </c>
      <c r="M1644">
        <v>164627.57999999999</v>
      </c>
      <c r="N1644" t="s">
        <v>192</v>
      </c>
      <c r="O1644">
        <v>8</v>
      </c>
      <c r="P1644">
        <v>180</v>
      </c>
      <c r="Q1644">
        <v>1</v>
      </c>
      <c r="R1644">
        <v>169</v>
      </c>
      <c r="S1644">
        <v>234.8</v>
      </c>
      <c r="T1644" t="s">
        <v>65</v>
      </c>
      <c r="U1644" s="7">
        <f t="shared" si="100"/>
        <v>60</v>
      </c>
      <c r="V1644" s="7">
        <f t="shared" si="101"/>
        <v>8</v>
      </c>
      <c r="W1644" s="6">
        <f t="shared" si="102"/>
        <v>39417.430000000022</v>
      </c>
      <c r="X1644" t="str">
        <f t="shared" si="103"/>
        <v>Senior</v>
      </c>
    </row>
    <row r="1645" spans="1:24">
      <c r="A1645" t="s">
        <v>3532</v>
      </c>
      <c r="B1645" t="s">
        <v>150</v>
      </c>
      <c r="C1645" t="s">
        <v>133</v>
      </c>
      <c r="D1645" s="5">
        <v>31779</v>
      </c>
      <c r="E1645" s="5" t="s">
        <v>4237</v>
      </c>
      <c r="F1645" s="5">
        <v>45998</v>
      </c>
      <c r="G1645" t="s">
        <v>62</v>
      </c>
      <c r="H1645" t="s">
        <v>63</v>
      </c>
      <c r="I1645" t="s">
        <v>119</v>
      </c>
      <c r="J1645" t="s">
        <v>34</v>
      </c>
      <c r="K1645" t="s">
        <v>55</v>
      </c>
      <c r="L1645" s="6">
        <v>129695.64</v>
      </c>
      <c r="M1645">
        <v>114472.18</v>
      </c>
      <c r="N1645" t="s">
        <v>91</v>
      </c>
      <c r="O1645">
        <v>17</v>
      </c>
      <c r="P1645">
        <v>214</v>
      </c>
      <c r="Q1645">
        <v>4</v>
      </c>
      <c r="R1645">
        <v>95</v>
      </c>
      <c r="S1645">
        <v>106.4</v>
      </c>
      <c r="T1645" t="s">
        <v>37</v>
      </c>
      <c r="U1645" s="7" t="s">
        <v>4237</v>
      </c>
      <c r="V1645" s="7" t="s">
        <v>4237</v>
      </c>
      <c r="W1645" s="6">
        <f t="shared" si="102"/>
        <v>15223.460000000006</v>
      </c>
      <c r="X1645" t="s">
        <v>4237</v>
      </c>
    </row>
    <row r="1646" spans="1:24">
      <c r="A1646" t="s">
        <v>3534</v>
      </c>
      <c r="B1646" t="s">
        <v>932</v>
      </c>
      <c r="C1646" t="s">
        <v>133</v>
      </c>
      <c r="D1646" s="5">
        <v>28992</v>
      </c>
      <c r="E1646" s="5">
        <v>45866</v>
      </c>
      <c r="F1646" s="5" t="s">
        <v>4237</v>
      </c>
      <c r="G1646" t="s">
        <v>94</v>
      </c>
      <c r="H1646" t="s">
        <v>44</v>
      </c>
      <c r="I1646" t="s">
        <v>25</v>
      </c>
      <c r="J1646" t="s">
        <v>64</v>
      </c>
      <c r="K1646" t="s">
        <v>27</v>
      </c>
      <c r="L1646" s="6">
        <v>123663.9</v>
      </c>
      <c r="M1646">
        <v>55558.79</v>
      </c>
      <c r="N1646" t="s">
        <v>73</v>
      </c>
      <c r="O1646">
        <v>18</v>
      </c>
      <c r="P1646">
        <v>75</v>
      </c>
      <c r="Q1646">
        <v>1</v>
      </c>
      <c r="R1646">
        <v>130</v>
      </c>
      <c r="S1646">
        <v>80.900000000000006</v>
      </c>
      <c r="T1646" t="s">
        <v>37</v>
      </c>
      <c r="U1646" s="7">
        <f t="shared" si="100"/>
        <v>46</v>
      </c>
      <c r="V1646" s="7" t="s">
        <v>4237</v>
      </c>
      <c r="W1646" s="6">
        <f t="shared" si="102"/>
        <v>68105.109999999986</v>
      </c>
      <c r="X1646" t="str">
        <f t="shared" si="103"/>
        <v>Middle Age</v>
      </c>
    </row>
    <row r="1647" spans="1:24">
      <c r="A1647" t="s">
        <v>3537</v>
      </c>
      <c r="B1647" t="s">
        <v>1200</v>
      </c>
      <c r="C1647" t="s">
        <v>133</v>
      </c>
      <c r="D1647" s="5">
        <v>34081</v>
      </c>
      <c r="E1647" s="5">
        <v>45440</v>
      </c>
      <c r="F1647" s="5">
        <v>45457</v>
      </c>
      <c r="G1647" t="s">
        <v>152</v>
      </c>
      <c r="H1647" t="s">
        <v>124</v>
      </c>
      <c r="I1647" t="s">
        <v>96</v>
      </c>
      <c r="J1647" t="s">
        <v>46</v>
      </c>
      <c r="K1647" t="s">
        <v>120</v>
      </c>
      <c r="L1647" s="6">
        <v>43439.85</v>
      </c>
      <c r="M1647">
        <v>41929.269999999997</v>
      </c>
      <c r="N1647" t="s">
        <v>192</v>
      </c>
      <c r="O1647">
        <v>17</v>
      </c>
      <c r="P1647">
        <v>184</v>
      </c>
      <c r="Q1647">
        <v>4</v>
      </c>
      <c r="R1647">
        <v>108</v>
      </c>
      <c r="S1647">
        <v>131.4</v>
      </c>
      <c r="T1647" t="s">
        <v>65</v>
      </c>
      <c r="U1647" s="7">
        <f t="shared" si="100"/>
        <v>31</v>
      </c>
      <c r="V1647" s="7">
        <f t="shared" si="101"/>
        <v>17</v>
      </c>
      <c r="W1647" s="6">
        <f t="shared" si="102"/>
        <v>1510.5800000000017</v>
      </c>
      <c r="X1647" t="str">
        <f t="shared" si="103"/>
        <v>Adult</v>
      </c>
    </row>
    <row r="1648" spans="1:24">
      <c r="A1648" t="s">
        <v>3541</v>
      </c>
      <c r="B1648" t="s">
        <v>181</v>
      </c>
      <c r="C1648" t="s">
        <v>40</v>
      </c>
      <c r="D1648" s="5">
        <v>33667</v>
      </c>
      <c r="E1648" s="5">
        <v>45609</v>
      </c>
      <c r="F1648" s="5">
        <v>45614</v>
      </c>
      <c r="G1648" t="s">
        <v>161</v>
      </c>
      <c r="H1648" t="s">
        <v>32</v>
      </c>
      <c r="I1648" t="s">
        <v>79</v>
      </c>
      <c r="J1648" t="s">
        <v>26</v>
      </c>
      <c r="K1648" t="s">
        <v>120</v>
      </c>
      <c r="L1648" s="6">
        <v>29893.98</v>
      </c>
      <c r="M1648">
        <v>25545.360000000001</v>
      </c>
      <c r="N1648" t="s">
        <v>192</v>
      </c>
      <c r="O1648">
        <v>5</v>
      </c>
      <c r="P1648">
        <v>64</v>
      </c>
      <c r="Q1648">
        <v>3</v>
      </c>
      <c r="R1648">
        <v>122</v>
      </c>
      <c r="S1648">
        <v>212.5</v>
      </c>
      <c r="T1648" t="s">
        <v>37</v>
      </c>
      <c r="U1648" s="7">
        <f t="shared" si="100"/>
        <v>32</v>
      </c>
      <c r="V1648" s="7">
        <f t="shared" si="101"/>
        <v>5</v>
      </c>
      <c r="W1648" s="6">
        <f t="shared" si="102"/>
        <v>4348.619999999999</v>
      </c>
      <c r="X1648" t="str">
        <f t="shared" si="103"/>
        <v>Adult</v>
      </c>
    </row>
    <row r="1649" spans="1:24">
      <c r="A1649" t="s">
        <v>3543</v>
      </c>
      <c r="B1649" t="s">
        <v>1135</v>
      </c>
      <c r="C1649" t="s">
        <v>133</v>
      </c>
      <c r="D1649" s="5">
        <v>18297</v>
      </c>
      <c r="E1649" s="5">
        <v>45264</v>
      </c>
      <c r="F1649" s="5">
        <v>45271</v>
      </c>
      <c r="G1649" t="s">
        <v>161</v>
      </c>
      <c r="H1649" t="s">
        <v>24</v>
      </c>
      <c r="I1649" t="s">
        <v>33</v>
      </c>
      <c r="J1649" t="s">
        <v>34</v>
      </c>
      <c r="K1649" t="s">
        <v>27</v>
      </c>
      <c r="L1649" s="6">
        <v>115052.25</v>
      </c>
      <c r="M1649">
        <v>87568.45</v>
      </c>
      <c r="N1649" t="s">
        <v>192</v>
      </c>
      <c r="O1649">
        <v>7</v>
      </c>
      <c r="P1649">
        <v>99</v>
      </c>
      <c r="Q1649">
        <v>4</v>
      </c>
      <c r="R1649">
        <v>173</v>
      </c>
      <c r="S1649">
        <v>158.30000000000001</v>
      </c>
      <c r="T1649" t="s">
        <v>47</v>
      </c>
      <c r="U1649" s="7">
        <f t="shared" si="100"/>
        <v>73</v>
      </c>
      <c r="V1649" s="7">
        <f t="shared" si="101"/>
        <v>7</v>
      </c>
      <c r="W1649" s="6">
        <f t="shared" si="102"/>
        <v>27483.800000000003</v>
      </c>
      <c r="X1649" t="str">
        <f t="shared" si="103"/>
        <v>Senior</v>
      </c>
    </row>
    <row r="1650" spans="1:24">
      <c r="A1650" t="s">
        <v>3545</v>
      </c>
      <c r="B1650" t="s">
        <v>1017</v>
      </c>
      <c r="C1650" t="s">
        <v>133</v>
      </c>
      <c r="D1650" s="5">
        <v>18978</v>
      </c>
      <c r="E1650" s="5">
        <v>45467</v>
      </c>
      <c r="F1650" s="5">
        <v>45469</v>
      </c>
      <c r="G1650" t="s">
        <v>94</v>
      </c>
      <c r="H1650" t="s">
        <v>95</v>
      </c>
      <c r="I1650" t="s">
        <v>25</v>
      </c>
      <c r="J1650" t="s">
        <v>46</v>
      </c>
      <c r="K1650" t="s">
        <v>27</v>
      </c>
      <c r="L1650" s="6">
        <v>183204.65</v>
      </c>
      <c r="M1650">
        <v>128650.42</v>
      </c>
      <c r="N1650" t="s">
        <v>192</v>
      </c>
      <c r="O1650">
        <v>2</v>
      </c>
      <c r="P1650">
        <v>200</v>
      </c>
      <c r="Q1650">
        <v>5</v>
      </c>
      <c r="R1650">
        <v>110</v>
      </c>
      <c r="S1650">
        <v>169.7</v>
      </c>
      <c r="T1650" t="s">
        <v>37</v>
      </c>
      <c r="U1650" s="7">
        <f t="shared" si="100"/>
        <v>72</v>
      </c>
      <c r="V1650" s="7">
        <f t="shared" si="101"/>
        <v>2</v>
      </c>
      <c r="W1650" s="6">
        <f t="shared" si="102"/>
        <v>54554.229999999996</v>
      </c>
      <c r="X1650" t="str">
        <f t="shared" si="103"/>
        <v>Senior</v>
      </c>
    </row>
    <row r="1651" spans="1:24">
      <c r="A1651" t="s">
        <v>3546</v>
      </c>
      <c r="B1651" t="s">
        <v>752</v>
      </c>
      <c r="C1651" t="s">
        <v>40</v>
      </c>
      <c r="D1651" s="5">
        <v>31820</v>
      </c>
      <c r="E1651" s="5">
        <v>45870</v>
      </c>
      <c r="F1651" s="5">
        <v>45887</v>
      </c>
      <c r="G1651" t="s">
        <v>161</v>
      </c>
      <c r="H1651" t="s">
        <v>52</v>
      </c>
      <c r="I1651" t="s">
        <v>119</v>
      </c>
      <c r="J1651" t="s">
        <v>46</v>
      </c>
      <c r="K1651" t="s">
        <v>120</v>
      </c>
      <c r="L1651" s="6">
        <v>85697.51</v>
      </c>
      <c r="M1651">
        <v>61208.26</v>
      </c>
      <c r="N1651" t="s">
        <v>91</v>
      </c>
      <c r="O1651">
        <v>17</v>
      </c>
      <c r="P1651">
        <v>96</v>
      </c>
      <c r="Q1651">
        <v>5</v>
      </c>
      <c r="R1651">
        <v>111</v>
      </c>
      <c r="S1651">
        <v>188.3</v>
      </c>
      <c r="T1651" t="s">
        <v>65</v>
      </c>
      <c r="U1651" s="7">
        <f t="shared" si="100"/>
        <v>38</v>
      </c>
      <c r="V1651" s="7">
        <f t="shared" si="101"/>
        <v>17</v>
      </c>
      <c r="W1651" s="6">
        <f t="shared" si="102"/>
        <v>24489.249999999993</v>
      </c>
      <c r="X1651" t="str">
        <f t="shared" si="103"/>
        <v>Adult</v>
      </c>
    </row>
    <row r="1652" spans="1:24">
      <c r="A1652" t="s">
        <v>3548</v>
      </c>
      <c r="B1652" t="s">
        <v>88</v>
      </c>
      <c r="C1652" t="s">
        <v>133</v>
      </c>
      <c r="D1652" s="5">
        <v>18707</v>
      </c>
      <c r="E1652" s="5">
        <v>45082</v>
      </c>
      <c r="F1652" s="5">
        <v>45097</v>
      </c>
      <c r="G1652" t="s">
        <v>43</v>
      </c>
      <c r="H1652" t="s">
        <v>63</v>
      </c>
      <c r="I1652" t="s">
        <v>33</v>
      </c>
      <c r="J1652" t="s">
        <v>80</v>
      </c>
      <c r="K1652" t="s">
        <v>120</v>
      </c>
      <c r="L1652" s="6">
        <v>180451.02</v>
      </c>
      <c r="M1652">
        <v>128088.72</v>
      </c>
      <c r="N1652" t="s">
        <v>91</v>
      </c>
      <c r="O1652">
        <v>15</v>
      </c>
      <c r="P1652">
        <v>165</v>
      </c>
      <c r="Q1652">
        <v>5</v>
      </c>
      <c r="R1652">
        <v>152</v>
      </c>
      <c r="S1652">
        <v>168</v>
      </c>
      <c r="T1652" t="s">
        <v>37</v>
      </c>
      <c r="U1652" s="7">
        <f t="shared" si="100"/>
        <v>72</v>
      </c>
      <c r="V1652" s="7">
        <f t="shared" si="101"/>
        <v>15</v>
      </c>
      <c r="W1652" s="6">
        <f t="shared" si="102"/>
        <v>52362.299999999988</v>
      </c>
      <c r="X1652" t="str">
        <f t="shared" si="103"/>
        <v>Senior</v>
      </c>
    </row>
    <row r="1653" spans="1:24">
      <c r="A1653" t="s">
        <v>3549</v>
      </c>
      <c r="B1653" t="s">
        <v>429</v>
      </c>
      <c r="C1653" t="s">
        <v>133</v>
      </c>
      <c r="D1653" s="5">
        <v>20858</v>
      </c>
      <c r="E1653" s="5">
        <v>45061</v>
      </c>
      <c r="F1653" s="5">
        <v>45071</v>
      </c>
      <c r="G1653" t="s">
        <v>94</v>
      </c>
      <c r="H1653" t="s">
        <v>44</v>
      </c>
      <c r="I1653" t="s">
        <v>53</v>
      </c>
      <c r="J1653" t="s">
        <v>64</v>
      </c>
      <c r="K1653" t="s">
        <v>110</v>
      </c>
      <c r="L1653" s="6">
        <v>72294.12</v>
      </c>
      <c r="M1653">
        <v>61307.24</v>
      </c>
      <c r="N1653" t="s">
        <v>192</v>
      </c>
      <c r="O1653">
        <v>10</v>
      </c>
      <c r="P1653">
        <v>133</v>
      </c>
      <c r="Q1653">
        <v>1</v>
      </c>
      <c r="R1653">
        <v>137</v>
      </c>
      <c r="S1653">
        <v>133.80000000000001</v>
      </c>
      <c r="T1653" t="s">
        <v>37</v>
      </c>
      <c r="U1653" s="7">
        <f t="shared" si="100"/>
        <v>66</v>
      </c>
      <c r="V1653" s="7">
        <f t="shared" si="101"/>
        <v>10</v>
      </c>
      <c r="W1653" s="6">
        <f t="shared" si="102"/>
        <v>10986.879999999997</v>
      </c>
      <c r="X1653" t="str">
        <f t="shared" si="103"/>
        <v>Senior</v>
      </c>
    </row>
    <row r="1654" spans="1:24">
      <c r="A1654" t="s">
        <v>3550</v>
      </c>
      <c r="B1654" t="s">
        <v>433</v>
      </c>
      <c r="C1654" t="s">
        <v>133</v>
      </c>
      <c r="D1654" s="5">
        <v>35688</v>
      </c>
      <c r="E1654" s="5">
        <v>45627</v>
      </c>
      <c r="F1654" s="5">
        <v>45315</v>
      </c>
      <c r="G1654" t="s">
        <v>117</v>
      </c>
      <c r="H1654" t="s">
        <v>134</v>
      </c>
      <c r="I1654" t="s">
        <v>96</v>
      </c>
      <c r="J1654" t="s">
        <v>26</v>
      </c>
      <c r="K1654" t="s">
        <v>55</v>
      </c>
      <c r="L1654" s="6">
        <v>18250.5</v>
      </c>
      <c r="M1654">
        <v>12859.76</v>
      </c>
      <c r="N1654" t="s">
        <v>192</v>
      </c>
      <c r="O1654">
        <v>12</v>
      </c>
      <c r="P1654">
        <v>119</v>
      </c>
      <c r="Q1654">
        <v>4</v>
      </c>
      <c r="R1654">
        <v>190</v>
      </c>
      <c r="S1654">
        <v>125.1</v>
      </c>
      <c r="T1654" t="s">
        <v>37</v>
      </c>
      <c r="U1654" s="7">
        <f t="shared" si="100"/>
        <v>27</v>
      </c>
      <c r="V1654" s="7">
        <f t="shared" si="101"/>
        <v>-312</v>
      </c>
      <c r="W1654" s="6">
        <f t="shared" si="102"/>
        <v>5390.74</v>
      </c>
      <c r="X1654" t="str">
        <f t="shared" si="103"/>
        <v>Adult</v>
      </c>
    </row>
    <row r="1655" spans="1:24">
      <c r="A1655" t="s">
        <v>4203</v>
      </c>
      <c r="B1655" t="s">
        <v>93</v>
      </c>
      <c r="C1655" t="s">
        <v>40</v>
      </c>
      <c r="D1655" s="5">
        <v>19688</v>
      </c>
      <c r="E1655" s="5">
        <v>45656</v>
      </c>
      <c r="F1655" s="5">
        <v>45662</v>
      </c>
      <c r="G1655" t="s">
        <v>161</v>
      </c>
      <c r="H1655" t="s">
        <v>52</v>
      </c>
      <c r="I1655" t="s">
        <v>53</v>
      </c>
      <c r="J1655" t="s">
        <v>34</v>
      </c>
      <c r="K1655" t="s">
        <v>27</v>
      </c>
      <c r="L1655" s="6">
        <v>204103.51</v>
      </c>
      <c r="M1655">
        <v>187707.18</v>
      </c>
      <c r="N1655" t="s">
        <v>91</v>
      </c>
      <c r="O1655">
        <v>6</v>
      </c>
      <c r="P1655">
        <v>41</v>
      </c>
      <c r="Q1655">
        <v>3</v>
      </c>
      <c r="R1655">
        <v>179</v>
      </c>
      <c r="S1655">
        <v>140.19999999999999</v>
      </c>
      <c r="T1655" t="s">
        <v>37</v>
      </c>
      <c r="U1655" s="7">
        <f t="shared" si="100"/>
        <v>71</v>
      </c>
      <c r="V1655" s="7">
        <f t="shared" si="101"/>
        <v>6</v>
      </c>
      <c r="W1655" s="6">
        <f t="shared" si="102"/>
        <v>16396.330000000016</v>
      </c>
      <c r="X1655" t="str">
        <f t="shared" si="103"/>
        <v>Senior</v>
      </c>
    </row>
    <row r="1656" spans="1:24">
      <c r="A1656" t="s">
        <v>3555</v>
      </c>
      <c r="B1656" t="s">
        <v>444</v>
      </c>
      <c r="C1656" t="s">
        <v>133</v>
      </c>
      <c r="D1656" s="5">
        <v>39037</v>
      </c>
      <c r="E1656" s="5">
        <v>45556</v>
      </c>
      <c r="F1656" s="5">
        <v>45566</v>
      </c>
      <c r="G1656" t="s">
        <v>43</v>
      </c>
      <c r="H1656" t="s">
        <v>118</v>
      </c>
      <c r="I1656" t="s">
        <v>33</v>
      </c>
      <c r="J1656" t="s">
        <v>179</v>
      </c>
      <c r="K1656" t="s">
        <v>55</v>
      </c>
      <c r="L1656" s="6">
        <v>123215.15</v>
      </c>
      <c r="M1656">
        <v>108563.47</v>
      </c>
      <c r="N1656" t="s">
        <v>73</v>
      </c>
      <c r="O1656">
        <v>10</v>
      </c>
      <c r="P1656">
        <v>139</v>
      </c>
      <c r="Q1656">
        <v>5</v>
      </c>
      <c r="R1656">
        <v>98</v>
      </c>
      <c r="S1656">
        <v>220.4</v>
      </c>
      <c r="T1656" t="s">
        <v>37</v>
      </c>
      <c r="U1656" s="7">
        <f t="shared" si="100"/>
        <v>17</v>
      </c>
      <c r="V1656" s="7">
        <f t="shared" si="101"/>
        <v>10</v>
      </c>
      <c r="W1656" s="6">
        <f t="shared" si="102"/>
        <v>14651.679999999993</v>
      </c>
      <c r="X1656" t="str">
        <f t="shared" si="103"/>
        <v>Child</v>
      </c>
    </row>
    <row r="1657" spans="1:24">
      <c r="A1657" t="s">
        <v>3557</v>
      </c>
      <c r="B1657" t="s">
        <v>1125</v>
      </c>
      <c r="C1657" t="s">
        <v>133</v>
      </c>
      <c r="D1657" s="5">
        <v>25269</v>
      </c>
      <c r="E1657" s="5">
        <v>45752</v>
      </c>
      <c r="F1657" s="5">
        <v>45758</v>
      </c>
      <c r="G1657" t="s">
        <v>109</v>
      </c>
      <c r="H1657" t="s">
        <v>63</v>
      </c>
      <c r="I1657" t="s">
        <v>33</v>
      </c>
      <c r="J1657" t="s">
        <v>34</v>
      </c>
      <c r="K1657" t="s">
        <v>55</v>
      </c>
      <c r="L1657" s="6">
        <v>185839.95</v>
      </c>
      <c r="M1657">
        <v>154952.23000000001</v>
      </c>
      <c r="N1657" t="s">
        <v>73</v>
      </c>
      <c r="O1657">
        <v>6</v>
      </c>
      <c r="P1657">
        <v>212</v>
      </c>
      <c r="Q1657">
        <v>5</v>
      </c>
      <c r="R1657">
        <v>149</v>
      </c>
      <c r="S1657">
        <v>192.9</v>
      </c>
      <c r="T1657" t="s">
        <v>37</v>
      </c>
      <c r="U1657" s="7">
        <f t="shared" si="100"/>
        <v>56</v>
      </c>
      <c r="V1657" s="7">
        <f t="shared" si="101"/>
        <v>6</v>
      </c>
      <c r="W1657" s="6">
        <f t="shared" si="102"/>
        <v>30887.72</v>
      </c>
      <c r="X1657" t="str">
        <f t="shared" si="103"/>
        <v>Middle Age</v>
      </c>
    </row>
    <row r="1658" spans="1:24">
      <c r="A1658" t="s">
        <v>4204</v>
      </c>
      <c r="B1658" t="s">
        <v>1302</v>
      </c>
      <c r="C1658" t="s">
        <v>133</v>
      </c>
      <c r="D1658" s="5">
        <v>19442</v>
      </c>
      <c r="E1658" s="5">
        <v>45925</v>
      </c>
      <c r="F1658" s="5">
        <v>45934</v>
      </c>
      <c r="G1658" t="s">
        <v>117</v>
      </c>
      <c r="H1658" t="s">
        <v>44</v>
      </c>
      <c r="I1658" t="s">
        <v>53</v>
      </c>
      <c r="J1658" t="s">
        <v>71</v>
      </c>
      <c r="K1658" t="s">
        <v>161</v>
      </c>
      <c r="L1658" s="6">
        <v>78442.850000000006</v>
      </c>
      <c r="M1658">
        <v>65301.17</v>
      </c>
      <c r="N1658" t="s">
        <v>56</v>
      </c>
      <c r="O1658">
        <v>9</v>
      </c>
      <c r="P1658">
        <v>216</v>
      </c>
      <c r="Q1658">
        <v>4</v>
      </c>
      <c r="R1658">
        <v>141</v>
      </c>
      <c r="S1658">
        <v>144</v>
      </c>
      <c r="T1658" t="s">
        <v>37</v>
      </c>
      <c r="U1658" s="7">
        <f t="shared" si="100"/>
        <v>72</v>
      </c>
      <c r="V1658" s="7">
        <f t="shared" si="101"/>
        <v>9</v>
      </c>
      <c r="W1658" s="6">
        <f t="shared" si="102"/>
        <v>13141.680000000008</v>
      </c>
      <c r="X1658" t="str">
        <f t="shared" si="103"/>
        <v>Senior</v>
      </c>
    </row>
    <row r="1659" spans="1:24">
      <c r="A1659" t="s">
        <v>3560</v>
      </c>
      <c r="B1659" t="s">
        <v>373</v>
      </c>
      <c r="C1659" t="s">
        <v>40</v>
      </c>
      <c r="D1659" s="5">
        <v>25065</v>
      </c>
      <c r="E1659" s="5">
        <v>45517</v>
      </c>
      <c r="F1659" s="5">
        <v>45531</v>
      </c>
      <c r="G1659" t="s">
        <v>89</v>
      </c>
      <c r="H1659" t="s">
        <v>153</v>
      </c>
      <c r="I1659" t="s">
        <v>96</v>
      </c>
      <c r="J1659" t="s">
        <v>46</v>
      </c>
      <c r="K1659" t="s">
        <v>120</v>
      </c>
      <c r="L1659" s="6">
        <v>175814.66</v>
      </c>
      <c r="M1659">
        <v>161811.69</v>
      </c>
      <c r="N1659" t="s">
        <v>73</v>
      </c>
      <c r="O1659">
        <v>14</v>
      </c>
      <c r="P1659">
        <v>182</v>
      </c>
      <c r="Q1659">
        <v>4</v>
      </c>
      <c r="R1659">
        <v>172</v>
      </c>
      <c r="S1659">
        <v>190.5</v>
      </c>
      <c r="T1659" t="s">
        <v>37</v>
      </c>
      <c r="U1659" s="7">
        <f t="shared" si="100"/>
        <v>55</v>
      </c>
      <c r="V1659" s="7">
        <f t="shared" si="101"/>
        <v>14</v>
      </c>
      <c r="W1659" s="6">
        <f t="shared" si="102"/>
        <v>14002.970000000001</v>
      </c>
      <c r="X1659" t="str">
        <f t="shared" si="103"/>
        <v>Middle Age</v>
      </c>
    </row>
    <row r="1660" spans="1:24">
      <c r="A1660" t="s">
        <v>3561</v>
      </c>
      <c r="B1660" t="s">
        <v>234</v>
      </c>
      <c r="C1660" t="s">
        <v>40</v>
      </c>
      <c r="D1660" s="5">
        <v>32897</v>
      </c>
      <c r="E1660" s="5">
        <v>45869</v>
      </c>
      <c r="F1660" s="5">
        <v>45871</v>
      </c>
      <c r="G1660" t="s">
        <v>77</v>
      </c>
      <c r="H1660" t="s">
        <v>113</v>
      </c>
      <c r="I1660" t="s">
        <v>25</v>
      </c>
      <c r="J1660" t="s">
        <v>71</v>
      </c>
      <c r="K1660" t="s">
        <v>161</v>
      </c>
      <c r="L1660" s="6">
        <v>158650.88</v>
      </c>
      <c r="M1660">
        <v>127113.8</v>
      </c>
      <c r="N1660" t="s">
        <v>73</v>
      </c>
      <c r="O1660">
        <v>2</v>
      </c>
      <c r="P1660">
        <v>58</v>
      </c>
      <c r="Q1660">
        <v>1</v>
      </c>
      <c r="R1660">
        <v>92</v>
      </c>
      <c r="S1660">
        <v>83.5</v>
      </c>
      <c r="T1660" t="s">
        <v>47</v>
      </c>
      <c r="U1660" s="7">
        <f t="shared" si="100"/>
        <v>35</v>
      </c>
      <c r="V1660" s="7">
        <f t="shared" si="101"/>
        <v>2</v>
      </c>
      <c r="W1660" s="6">
        <f t="shared" si="102"/>
        <v>31537.08</v>
      </c>
      <c r="X1660" t="str">
        <f t="shared" si="103"/>
        <v>Adult</v>
      </c>
    </row>
    <row r="1661" spans="1:24">
      <c r="A1661" t="s">
        <v>3562</v>
      </c>
      <c r="B1661" t="s">
        <v>563</v>
      </c>
      <c r="C1661" t="s">
        <v>133</v>
      </c>
      <c r="D1661" s="5">
        <v>26826</v>
      </c>
      <c r="E1661" s="5">
        <v>45259</v>
      </c>
      <c r="F1661" s="5">
        <v>45270</v>
      </c>
      <c r="G1661" t="s">
        <v>161</v>
      </c>
      <c r="H1661" t="s">
        <v>32</v>
      </c>
      <c r="I1661" t="s">
        <v>33</v>
      </c>
      <c r="J1661" t="s">
        <v>71</v>
      </c>
      <c r="K1661" t="s">
        <v>27</v>
      </c>
      <c r="L1661" s="6">
        <v>123663.9</v>
      </c>
      <c r="M1661">
        <v>132340.54</v>
      </c>
      <c r="N1661" t="s">
        <v>56</v>
      </c>
      <c r="O1661">
        <v>11</v>
      </c>
      <c r="P1661">
        <v>44</v>
      </c>
      <c r="Q1661">
        <v>4</v>
      </c>
      <c r="R1661">
        <v>129</v>
      </c>
      <c r="S1661">
        <v>163.5</v>
      </c>
      <c r="T1661" t="s">
        <v>4237</v>
      </c>
      <c r="U1661" s="7">
        <f t="shared" si="100"/>
        <v>50</v>
      </c>
      <c r="V1661" s="7">
        <f t="shared" si="101"/>
        <v>11</v>
      </c>
      <c r="W1661" s="6">
        <f t="shared" si="102"/>
        <v>-8676.640000000014</v>
      </c>
      <c r="X1661" t="str">
        <f t="shared" si="103"/>
        <v>Middle Age</v>
      </c>
    </row>
    <row r="1662" spans="1:24">
      <c r="A1662" t="s">
        <v>3564</v>
      </c>
      <c r="B1662" t="s">
        <v>49</v>
      </c>
      <c r="C1662" t="s">
        <v>133</v>
      </c>
      <c r="D1662" s="5">
        <v>28927</v>
      </c>
      <c r="E1662" s="5">
        <v>45624</v>
      </c>
      <c r="F1662" s="5">
        <v>45630</v>
      </c>
      <c r="G1662" t="s">
        <v>161</v>
      </c>
      <c r="H1662" t="s">
        <v>113</v>
      </c>
      <c r="I1662" t="s">
        <v>33</v>
      </c>
      <c r="J1662" t="s">
        <v>71</v>
      </c>
      <c r="K1662" t="s">
        <v>55</v>
      </c>
      <c r="L1662" s="6">
        <v>129603.12</v>
      </c>
      <c r="M1662">
        <v>87925.77</v>
      </c>
      <c r="N1662" t="s">
        <v>35</v>
      </c>
      <c r="O1662">
        <v>6</v>
      </c>
      <c r="P1662">
        <v>110</v>
      </c>
      <c r="Q1662">
        <v>4</v>
      </c>
      <c r="R1662">
        <v>119</v>
      </c>
      <c r="S1662">
        <v>153.4</v>
      </c>
      <c r="T1662" t="s">
        <v>65</v>
      </c>
      <c r="U1662" s="7">
        <f t="shared" si="100"/>
        <v>45</v>
      </c>
      <c r="V1662" s="7">
        <f t="shared" si="101"/>
        <v>6</v>
      </c>
      <c r="W1662" s="6">
        <f t="shared" si="102"/>
        <v>41677.349999999991</v>
      </c>
      <c r="X1662" t="str">
        <f t="shared" si="103"/>
        <v>Middle Age</v>
      </c>
    </row>
    <row r="1663" spans="1:24">
      <c r="A1663" t="s">
        <v>3566</v>
      </c>
      <c r="B1663" t="s">
        <v>1305</v>
      </c>
      <c r="C1663" t="s">
        <v>133</v>
      </c>
      <c r="D1663" s="5">
        <v>28471</v>
      </c>
      <c r="E1663" s="5">
        <v>45012</v>
      </c>
      <c r="F1663" s="5">
        <v>45025</v>
      </c>
      <c r="G1663" t="s">
        <v>43</v>
      </c>
      <c r="H1663" t="s">
        <v>113</v>
      </c>
      <c r="I1663" t="s">
        <v>33</v>
      </c>
      <c r="J1663" t="s">
        <v>46</v>
      </c>
      <c r="K1663" t="s">
        <v>120</v>
      </c>
      <c r="L1663" s="6">
        <v>229030.12</v>
      </c>
      <c r="M1663">
        <v>159959.9</v>
      </c>
      <c r="N1663" t="s">
        <v>56</v>
      </c>
      <c r="O1663">
        <v>13</v>
      </c>
      <c r="P1663">
        <v>176</v>
      </c>
      <c r="Q1663">
        <v>5</v>
      </c>
      <c r="R1663">
        <v>106</v>
      </c>
      <c r="S1663">
        <v>111.3</v>
      </c>
      <c r="T1663" t="s">
        <v>65</v>
      </c>
      <c r="U1663" s="7">
        <f t="shared" si="100"/>
        <v>45</v>
      </c>
      <c r="V1663" s="7">
        <f t="shared" si="101"/>
        <v>13</v>
      </c>
      <c r="W1663" s="6">
        <f t="shared" si="102"/>
        <v>69070.22</v>
      </c>
      <c r="X1663" t="str">
        <f t="shared" si="103"/>
        <v>Middle Age</v>
      </c>
    </row>
    <row r="1664" spans="1:24">
      <c r="A1664" t="s">
        <v>3567</v>
      </c>
      <c r="B1664" t="s">
        <v>2918</v>
      </c>
      <c r="C1664" t="s">
        <v>133</v>
      </c>
      <c r="D1664" s="5">
        <v>21705</v>
      </c>
      <c r="E1664" s="5">
        <v>45124</v>
      </c>
      <c r="F1664" s="5">
        <v>45136</v>
      </c>
      <c r="G1664" t="s">
        <v>117</v>
      </c>
      <c r="H1664" t="s">
        <v>32</v>
      </c>
      <c r="I1664" t="s">
        <v>119</v>
      </c>
      <c r="J1664" t="s">
        <v>26</v>
      </c>
      <c r="K1664" t="s">
        <v>27</v>
      </c>
      <c r="L1664" s="6">
        <v>151568.37</v>
      </c>
      <c r="M1664">
        <v>126289.58</v>
      </c>
      <c r="N1664" t="s">
        <v>73</v>
      </c>
      <c r="O1664">
        <v>12</v>
      </c>
      <c r="P1664">
        <v>50</v>
      </c>
      <c r="Q1664">
        <v>4</v>
      </c>
      <c r="R1664">
        <v>93</v>
      </c>
      <c r="S1664">
        <v>134.1</v>
      </c>
      <c r="T1664" t="s">
        <v>37</v>
      </c>
      <c r="U1664" s="7">
        <f t="shared" si="100"/>
        <v>64</v>
      </c>
      <c r="V1664" s="7">
        <f t="shared" si="101"/>
        <v>12</v>
      </c>
      <c r="W1664" s="6">
        <f t="shared" si="102"/>
        <v>25278.789999999994</v>
      </c>
      <c r="X1664" t="str">
        <f t="shared" si="103"/>
        <v>Senior</v>
      </c>
    </row>
    <row r="1665" spans="1:24">
      <c r="A1665" t="s">
        <v>3570</v>
      </c>
      <c r="B1665" t="s">
        <v>917</v>
      </c>
      <c r="C1665" t="s">
        <v>40</v>
      </c>
      <c r="D1665" s="5">
        <v>28920</v>
      </c>
      <c r="E1665" s="5">
        <v>45220</v>
      </c>
      <c r="F1665" s="5">
        <v>45238</v>
      </c>
      <c r="G1665" t="s">
        <v>117</v>
      </c>
      <c r="H1665" t="s">
        <v>118</v>
      </c>
      <c r="I1665" t="s">
        <v>119</v>
      </c>
      <c r="J1665" t="s">
        <v>64</v>
      </c>
      <c r="K1665" t="s">
        <v>55</v>
      </c>
      <c r="L1665" s="6">
        <v>142686.78</v>
      </c>
      <c r="M1665">
        <v>99460.46</v>
      </c>
      <c r="N1665" t="s">
        <v>73</v>
      </c>
      <c r="O1665">
        <v>18</v>
      </c>
      <c r="P1665">
        <v>80</v>
      </c>
      <c r="Q1665">
        <v>3</v>
      </c>
      <c r="R1665">
        <v>159</v>
      </c>
      <c r="S1665">
        <v>208.2</v>
      </c>
      <c r="T1665" t="s">
        <v>37</v>
      </c>
      <c r="U1665" s="7">
        <f t="shared" si="100"/>
        <v>44</v>
      </c>
      <c r="V1665" s="7">
        <f t="shared" si="101"/>
        <v>18</v>
      </c>
      <c r="W1665" s="6">
        <f t="shared" si="102"/>
        <v>43226.319999999992</v>
      </c>
      <c r="X1665" t="str">
        <f t="shared" si="103"/>
        <v>Middle Age</v>
      </c>
    </row>
    <row r="1666" spans="1:24">
      <c r="A1666" t="s">
        <v>3573</v>
      </c>
      <c r="B1666" t="s">
        <v>1167</v>
      </c>
      <c r="C1666" t="s">
        <v>40</v>
      </c>
      <c r="D1666" s="5">
        <v>19816</v>
      </c>
      <c r="E1666" s="5">
        <v>45643</v>
      </c>
      <c r="F1666" s="5">
        <v>45649</v>
      </c>
      <c r="G1666" t="s">
        <v>117</v>
      </c>
      <c r="H1666" t="s">
        <v>124</v>
      </c>
      <c r="I1666" t="s">
        <v>45</v>
      </c>
      <c r="J1666" t="s">
        <v>64</v>
      </c>
      <c r="K1666" t="s">
        <v>55</v>
      </c>
      <c r="L1666" s="6">
        <v>57574.02</v>
      </c>
      <c r="M1666">
        <v>42857.17</v>
      </c>
      <c r="N1666" t="s">
        <v>35</v>
      </c>
      <c r="O1666">
        <v>6</v>
      </c>
      <c r="P1666">
        <v>124</v>
      </c>
      <c r="Q1666">
        <v>4</v>
      </c>
      <c r="R1666">
        <v>132</v>
      </c>
      <c r="S1666">
        <v>78.400000000000006</v>
      </c>
      <c r="T1666" t="s">
        <v>65</v>
      </c>
      <c r="U1666" s="7">
        <f t="shared" ref="U1666:U1729" si="104">DATEDIF(D1666,E1666,"Y")</f>
        <v>70</v>
      </c>
      <c r="V1666" s="7">
        <f t="shared" ref="V1666:V1729" si="105">IF(OR(E1666=" ",F1666=" ",E1666="Unknown",F1666="Unknown")," ",F1666-E1666)</f>
        <v>6</v>
      </c>
      <c r="W1666" s="6">
        <f t="shared" ref="W1666:W1729" si="106">L1666-M1666</f>
        <v>14716.849999999999</v>
      </c>
      <c r="X1666" t="str">
        <f t="shared" ref="X1666:X1729" si="107">IF(OR(U1666="",U1666="Unknown"),"",IF(U1666&lt;18,"Child",IF(U1666&lt;40,"Adult",IF(U1666&lt;60,"Middle Age","Senior"))))</f>
        <v>Senior</v>
      </c>
    </row>
    <row r="1667" spans="1:24">
      <c r="A1667" t="s">
        <v>3575</v>
      </c>
      <c r="B1667" t="s">
        <v>270</v>
      </c>
      <c r="C1667" t="s">
        <v>40</v>
      </c>
      <c r="D1667" s="5">
        <v>27752</v>
      </c>
      <c r="E1667" s="5">
        <v>45677</v>
      </c>
      <c r="F1667" s="5">
        <v>45688</v>
      </c>
      <c r="G1667" t="s">
        <v>62</v>
      </c>
      <c r="H1667" t="s">
        <v>32</v>
      </c>
      <c r="I1667" t="s">
        <v>45</v>
      </c>
      <c r="J1667" t="s">
        <v>80</v>
      </c>
      <c r="K1667" t="s">
        <v>55</v>
      </c>
      <c r="L1667" s="6">
        <v>165525.47</v>
      </c>
      <c r="M1667">
        <v>125233.88</v>
      </c>
      <c r="N1667" t="s">
        <v>192</v>
      </c>
      <c r="O1667">
        <v>11</v>
      </c>
      <c r="P1667">
        <v>38</v>
      </c>
      <c r="Q1667">
        <v>2</v>
      </c>
      <c r="R1667">
        <v>128</v>
      </c>
      <c r="S1667">
        <v>197.4</v>
      </c>
      <c r="T1667" t="s">
        <v>37</v>
      </c>
      <c r="U1667" s="7">
        <f t="shared" si="104"/>
        <v>49</v>
      </c>
      <c r="V1667" s="7">
        <f t="shared" si="105"/>
        <v>11</v>
      </c>
      <c r="W1667" s="6">
        <f t="shared" si="106"/>
        <v>40291.589999999997</v>
      </c>
      <c r="X1667" t="str">
        <f t="shared" si="107"/>
        <v>Middle Age</v>
      </c>
    </row>
    <row r="1668" spans="1:24">
      <c r="A1668" t="s">
        <v>3577</v>
      </c>
      <c r="B1668" t="s">
        <v>806</v>
      </c>
      <c r="C1668" t="s">
        <v>133</v>
      </c>
      <c r="D1668" s="5">
        <v>35455</v>
      </c>
      <c r="E1668" s="5">
        <v>45470</v>
      </c>
      <c r="F1668" s="5">
        <v>45477</v>
      </c>
      <c r="G1668" t="s">
        <v>94</v>
      </c>
      <c r="H1668" t="s">
        <v>24</v>
      </c>
      <c r="I1668" t="s">
        <v>53</v>
      </c>
      <c r="J1668" t="s">
        <v>64</v>
      </c>
      <c r="K1668" t="s">
        <v>27</v>
      </c>
      <c r="L1668" s="6">
        <v>165908.12</v>
      </c>
      <c r="M1668">
        <v>154048.98000000001</v>
      </c>
      <c r="N1668" t="s">
        <v>192</v>
      </c>
      <c r="O1668">
        <v>7</v>
      </c>
      <c r="P1668">
        <v>13</v>
      </c>
      <c r="Q1668">
        <v>5</v>
      </c>
      <c r="R1668">
        <v>141</v>
      </c>
      <c r="S1668">
        <v>109.1</v>
      </c>
      <c r="T1668" t="s">
        <v>37</v>
      </c>
      <c r="U1668" s="7">
        <f t="shared" si="104"/>
        <v>27</v>
      </c>
      <c r="V1668" s="7">
        <f t="shared" si="105"/>
        <v>7</v>
      </c>
      <c r="W1668" s="6">
        <f t="shared" si="106"/>
        <v>11859.139999999985</v>
      </c>
      <c r="X1668" t="str">
        <f t="shared" si="107"/>
        <v>Adult</v>
      </c>
    </row>
    <row r="1669" spans="1:24">
      <c r="A1669" t="s">
        <v>3578</v>
      </c>
      <c r="B1669" t="s">
        <v>1140</v>
      </c>
      <c r="C1669" t="s">
        <v>40</v>
      </c>
      <c r="D1669" s="5">
        <v>38386</v>
      </c>
      <c r="E1669" s="5">
        <v>44991</v>
      </c>
      <c r="F1669" s="5">
        <v>45004</v>
      </c>
      <c r="G1669" t="s">
        <v>43</v>
      </c>
      <c r="H1669" t="s">
        <v>153</v>
      </c>
      <c r="I1669" t="s">
        <v>45</v>
      </c>
      <c r="J1669" t="s">
        <v>97</v>
      </c>
      <c r="K1669" t="s">
        <v>120</v>
      </c>
      <c r="L1669" s="6">
        <v>215714.31</v>
      </c>
      <c r="M1669">
        <v>150587.17000000001</v>
      </c>
      <c r="N1669" t="s">
        <v>73</v>
      </c>
      <c r="O1669">
        <v>13</v>
      </c>
      <c r="P1669">
        <v>159</v>
      </c>
      <c r="Q1669">
        <v>2</v>
      </c>
      <c r="R1669">
        <v>187</v>
      </c>
      <c r="S1669">
        <v>91.9</v>
      </c>
      <c r="T1669" t="s">
        <v>37</v>
      </c>
      <c r="U1669" s="7">
        <f t="shared" si="104"/>
        <v>18</v>
      </c>
      <c r="V1669" s="7">
        <f t="shared" si="105"/>
        <v>13</v>
      </c>
      <c r="W1669" s="6">
        <f t="shared" si="106"/>
        <v>65127.139999999985</v>
      </c>
      <c r="X1669" t="str">
        <f t="shared" si="107"/>
        <v>Adult</v>
      </c>
    </row>
    <row r="1670" spans="1:24">
      <c r="A1670" t="s">
        <v>3579</v>
      </c>
      <c r="B1670" t="s">
        <v>480</v>
      </c>
      <c r="C1670" t="s">
        <v>40</v>
      </c>
      <c r="D1670" s="5">
        <v>21768</v>
      </c>
      <c r="E1670" s="5">
        <v>45453</v>
      </c>
      <c r="F1670" s="5">
        <v>45456</v>
      </c>
      <c r="G1670" t="s">
        <v>105</v>
      </c>
      <c r="H1670" t="s">
        <v>78</v>
      </c>
      <c r="I1670" t="s">
        <v>33</v>
      </c>
      <c r="J1670" t="s">
        <v>34</v>
      </c>
      <c r="K1670" t="s">
        <v>55</v>
      </c>
      <c r="L1670" s="6">
        <v>23943.1</v>
      </c>
      <c r="M1670">
        <v>18476.759999999998</v>
      </c>
      <c r="N1670" t="s">
        <v>91</v>
      </c>
      <c r="O1670">
        <v>3</v>
      </c>
      <c r="P1670">
        <v>129</v>
      </c>
      <c r="Q1670">
        <v>3</v>
      </c>
      <c r="R1670">
        <v>110</v>
      </c>
      <c r="S1670">
        <v>197.3</v>
      </c>
      <c r="T1670" t="s">
        <v>65</v>
      </c>
      <c r="U1670" s="7">
        <f t="shared" si="104"/>
        <v>64</v>
      </c>
      <c r="V1670" s="7">
        <f t="shared" si="105"/>
        <v>3</v>
      </c>
      <c r="W1670" s="6">
        <f t="shared" si="106"/>
        <v>5466.34</v>
      </c>
      <c r="X1670" t="str">
        <f t="shared" si="107"/>
        <v>Senior</v>
      </c>
    </row>
    <row r="1671" spans="1:24">
      <c r="A1671" t="s">
        <v>3581</v>
      </c>
      <c r="B1671" t="s">
        <v>76</v>
      </c>
      <c r="C1671" t="s">
        <v>40</v>
      </c>
      <c r="D1671" s="5">
        <v>38295</v>
      </c>
      <c r="E1671" s="5">
        <v>45647</v>
      </c>
      <c r="F1671" s="5">
        <v>45653</v>
      </c>
      <c r="G1671" t="s">
        <v>43</v>
      </c>
      <c r="H1671" t="s">
        <v>95</v>
      </c>
      <c r="I1671" t="s">
        <v>79</v>
      </c>
      <c r="J1671" t="s">
        <v>34</v>
      </c>
      <c r="K1671" t="s">
        <v>55</v>
      </c>
      <c r="L1671" s="6">
        <v>123663.9</v>
      </c>
      <c r="M1671">
        <v>139746.85</v>
      </c>
      <c r="N1671" t="s">
        <v>91</v>
      </c>
      <c r="O1671">
        <v>6</v>
      </c>
      <c r="P1671">
        <v>10</v>
      </c>
      <c r="Q1671">
        <v>4</v>
      </c>
      <c r="R1671">
        <v>165</v>
      </c>
      <c r="S1671">
        <v>140.19999999999999</v>
      </c>
      <c r="T1671" t="s">
        <v>65</v>
      </c>
      <c r="U1671" s="7">
        <f t="shared" si="104"/>
        <v>20</v>
      </c>
      <c r="V1671" s="7">
        <f t="shared" si="105"/>
        <v>6</v>
      </c>
      <c r="W1671" s="6">
        <f t="shared" si="106"/>
        <v>-16082.950000000012</v>
      </c>
      <c r="X1671" t="str">
        <f t="shared" si="107"/>
        <v>Adult</v>
      </c>
    </row>
    <row r="1672" spans="1:24">
      <c r="A1672" t="s">
        <v>3583</v>
      </c>
      <c r="B1672" t="s">
        <v>517</v>
      </c>
      <c r="C1672" t="s">
        <v>133</v>
      </c>
      <c r="D1672" s="5">
        <v>31055</v>
      </c>
      <c r="E1672" s="5">
        <v>45381</v>
      </c>
      <c r="F1672" s="5">
        <v>45396</v>
      </c>
      <c r="G1672" t="s">
        <v>109</v>
      </c>
      <c r="H1672" t="s">
        <v>124</v>
      </c>
      <c r="I1672" t="s">
        <v>33</v>
      </c>
      <c r="J1672" t="s">
        <v>80</v>
      </c>
      <c r="K1672" t="s">
        <v>55</v>
      </c>
      <c r="L1672" s="6">
        <v>201607.85</v>
      </c>
      <c r="M1672">
        <v>168316.82</v>
      </c>
      <c r="N1672" t="s">
        <v>192</v>
      </c>
      <c r="O1672">
        <v>15</v>
      </c>
      <c r="P1672">
        <v>50</v>
      </c>
      <c r="Q1672">
        <v>4</v>
      </c>
      <c r="R1672">
        <v>162</v>
      </c>
      <c r="S1672">
        <v>113.3</v>
      </c>
      <c r="T1672" t="s">
        <v>47</v>
      </c>
      <c r="U1672" s="7">
        <f t="shared" si="104"/>
        <v>39</v>
      </c>
      <c r="V1672" s="7">
        <f t="shared" si="105"/>
        <v>15</v>
      </c>
      <c r="W1672" s="6">
        <f t="shared" si="106"/>
        <v>33291.03</v>
      </c>
      <c r="X1672" t="str">
        <f t="shared" si="107"/>
        <v>Adult</v>
      </c>
    </row>
    <row r="1673" spans="1:24">
      <c r="A1673" t="s">
        <v>3585</v>
      </c>
      <c r="B1673" t="s">
        <v>314</v>
      </c>
      <c r="C1673" t="s">
        <v>40</v>
      </c>
      <c r="D1673" s="5">
        <v>40383</v>
      </c>
      <c r="E1673" s="5">
        <v>45973</v>
      </c>
      <c r="F1673" s="5">
        <v>45980</v>
      </c>
      <c r="G1673" t="s">
        <v>109</v>
      </c>
      <c r="H1673" t="s">
        <v>24</v>
      </c>
      <c r="I1673" t="s">
        <v>33</v>
      </c>
      <c r="J1673" t="s">
        <v>97</v>
      </c>
      <c r="K1673" t="s">
        <v>120</v>
      </c>
      <c r="L1673" s="6">
        <v>200055.86</v>
      </c>
      <c r="M1673">
        <v>130651.99</v>
      </c>
      <c r="N1673" t="s">
        <v>192</v>
      </c>
      <c r="O1673">
        <v>7</v>
      </c>
      <c r="P1673">
        <v>162</v>
      </c>
      <c r="Q1673">
        <v>5</v>
      </c>
      <c r="R1673">
        <v>168</v>
      </c>
      <c r="S1673">
        <v>165.4</v>
      </c>
      <c r="T1673" t="s">
        <v>4237</v>
      </c>
      <c r="U1673" s="7">
        <f t="shared" si="104"/>
        <v>15</v>
      </c>
      <c r="V1673" s="7">
        <f t="shared" si="105"/>
        <v>7</v>
      </c>
      <c r="W1673" s="6">
        <f t="shared" si="106"/>
        <v>69403.869999999981</v>
      </c>
      <c r="X1673" t="str">
        <f t="shared" si="107"/>
        <v>Child</v>
      </c>
    </row>
    <row r="1674" spans="1:24">
      <c r="A1674" t="s">
        <v>3587</v>
      </c>
      <c r="B1674" t="s">
        <v>936</v>
      </c>
      <c r="C1674" t="s">
        <v>133</v>
      </c>
      <c r="D1674" s="5">
        <v>28558</v>
      </c>
      <c r="E1674" s="5">
        <v>45545</v>
      </c>
      <c r="F1674" s="5">
        <v>45556</v>
      </c>
      <c r="G1674" t="s">
        <v>62</v>
      </c>
      <c r="H1674" t="s">
        <v>32</v>
      </c>
      <c r="I1674" t="s">
        <v>119</v>
      </c>
      <c r="J1674" t="s">
        <v>64</v>
      </c>
      <c r="K1674" t="s">
        <v>110</v>
      </c>
      <c r="L1674" s="6">
        <v>66600.45</v>
      </c>
      <c r="M1674">
        <v>53562.07</v>
      </c>
      <c r="N1674" t="s">
        <v>4237</v>
      </c>
      <c r="O1674">
        <v>11</v>
      </c>
      <c r="P1674">
        <v>209</v>
      </c>
      <c r="Q1674">
        <v>3</v>
      </c>
      <c r="R1674">
        <v>178</v>
      </c>
      <c r="S1674">
        <v>203.7</v>
      </c>
      <c r="T1674" t="s">
        <v>4237</v>
      </c>
      <c r="U1674" s="7">
        <f t="shared" si="104"/>
        <v>46</v>
      </c>
      <c r="V1674" s="7">
        <f t="shared" si="105"/>
        <v>11</v>
      </c>
      <c r="W1674" s="6">
        <f t="shared" si="106"/>
        <v>13038.379999999997</v>
      </c>
      <c r="X1674" t="str">
        <f t="shared" si="107"/>
        <v>Middle Age</v>
      </c>
    </row>
    <row r="1675" spans="1:24">
      <c r="A1675" t="s">
        <v>3588</v>
      </c>
      <c r="B1675" t="s">
        <v>295</v>
      </c>
      <c r="C1675" t="s">
        <v>133</v>
      </c>
      <c r="D1675" s="5">
        <v>31633</v>
      </c>
      <c r="E1675" s="5">
        <v>45667</v>
      </c>
      <c r="F1675" s="5">
        <v>45671</v>
      </c>
      <c r="G1675" t="s">
        <v>152</v>
      </c>
      <c r="H1675" t="s">
        <v>134</v>
      </c>
      <c r="I1675" t="s">
        <v>119</v>
      </c>
      <c r="J1675" t="s">
        <v>26</v>
      </c>
      <c r="K1675" t="s">
        <v>27</v>
      </c>
      <c r="L1675" s="6">
        <v>106965.53</v>
      </c>
      <c r="M1675">
        <v>78911.11</v>
      </c>
      <c r="N1675" t="s">
        <v>91</v>
      </c>
      <c r="O1675">
        <v>4</v>
      </c>
      <c r="P1675">
        <v>203</v>
      </c>
      <c r="Q1675">
        <v>5</v>
      </c>
      <c r="R1675">
        <v>165</v>
      </c>
      <c r="S1675">
        <v>218.8</v>
      </c>
      <c r="T1675" t="s">
        <v>37</v>
      </c>
      <c r="U1675" s="7">
        <f t="shared" si="104"/>
        <v>38</v>
      </c>
      <c r="V1675" s="7">
        <f t="shared" si="105"/>
        <v>4</v>
      </c>
      <c r="W1675" s="6">
        <f t="shared" si="106"/>
        <v>28054.42</v>
      </c>
      <c r="X1675" t="str">
        <f t="shared" si="107"/>
        <v>Adult</v>
      </c>
    </row>
    <row r="1676" spans="1:24">
      <c r="A1676" t="s">
        <v>3589</v>
      </c>
      <c r="B1676" t="s">
        <v>249</v>
      </c>
      <c r="C1676" t="s">
        <v>133</v>
      </c>
      <c r="D1676" s="5">
        <v>39515</v>
      </c>
      <c r="E1676" s="5">
        <v>45118</v>
      </c>
      <c r="F1676" s="5">
        <v>45135</v>
      </c>
      <c r="G1676" t="s">
        <v>62</v>
      </c>
      <c r="H1676" t="s">
        <v>113</v>
      </c>
      <c r="I1676" t="s">
        <v>25</v>
      </c>
      <c r="J1676" t="s">
        <v>34</v>
      </c>
      <c r="K1676" t="s">
        <v>120</v>
      </c>
      <c r="L1676" s="6">
        <v>40873.25</v>
      </c>
      <c r="M1676">
        <v>30295.43</v>
      </c>
      <c r="N1676" t="s">
        <v>73</v>
      </c>
      <c r="O1676">
        <v>17</v>
      </c>
      <c r="P1676">
        <v>154</v>
      </c>
      <c r="Q1676">
        <v>2</v>
      </c>
      <c r="R1676">
        <v>158</v>
      </c>
      <c r="S1676">
        <v>120</v>
      </c>
      <c r="T1676" t="s">
        <v>37</v>
      </c>
      <c r="U1676" s="7">
        <f t="shared" si="104"/>
        <v>15</v>
      </c>
      <c r="V1676" s="7">
        <f t="shared" si="105"/>
        <v>17</v>
      </c>
      <c r="W1676" s="6">
        <f t="shared" si="106"/>
        <v>10577.82</v>
      </c>
      <c r="X1676" t="str">
        <f t="shared" si="107"/>
        <v>Child</v>
      </c>
    </row>
    <row r="1677" spans="1:24">
      <c r="A1677" t="s">
        <v>4205</v>
      </c>
      <c r="B1677" t="s">
        <v>1153</v>
      </c>
      <c r="C1677" t="s">
        <v>133</v>
      </c>
      <c r="D1677" s="5">
        <v>33401</v>
      </c>
      <c r="E1677" s="5">
        <v>45081</v>
      </c>
      <c r="F1677" s="5">
        <v>45094</v>
      </c>
      <c r="G1677" t="s">
        <v>43</v>
      </c>
      <c r="H1677" t="s">
        <v>118</v>
      </c>
      <c r="I1677" t="s">
        <v>33</v>
      </c>
      <c r="J1677" t="s">
        <v>34</v>
      </c>
      <c r="K1677" t="s">
        <v>120</v>
      </c>
      <c r="L1677" s="6">
        <v>17706.91</v>
      </c>
      <c r="M1677">
        <v>13127.43</v>
      </c>
      <c r="N1677" t="s">
        <v>73</v>
      </c>
      <c r="O1677">
        <v>13</v>
      </c>
      <c r="P1677">
        <v>101</v>
      </c>
      <c r="Q1677">
        <v>5</v>
      </c>
      <c r="R1677">
        <v>129</v>
      </c>
      <c r="S1677">
        <v>178.7</v>
      </c>
      <c r="T1677" t="s">
        <v>37</v>
      </c>
      <c r="U1677" s="7">
        <f t="shared" si="104"/>
        <v>31</v>
      </c>
      <c r="V1677" s="7">
        <f t="shared" si="105"/>
        <v>13</v>
      </c>
      <c r="W1677" s="6">
        <f t="shared" si="106"/>
        <v>4579.4799999999996</v>
      </c>
      <c r="X1677" t="str">
        <f t="shared" si="107"/>
        <v>Adult</v>
      </c>
    </row>
    <row r="1678" spans="1:24">
      <c r="A1678" t="s">
        <v>3592</v>
      </c>
      <c r="B1678" t="s">
        <v>980</v>
      </c>
      <c r="C1678" t="s">
        <v>133</v>
      </c>
      <c r="D1678" s="5">
        <v>22693</v>
      </c>
      <c r="E1678" s="5">
        <v>45885</v>
      </c>
      <c r="F1678" s="5">
        <v>45901</v>
      </c>
      <c r="G1678" t="s">
        <v>161</v>
      </c>
      <c r="H1678" t="s">
        <v>153</v>
      </c>
      <c r="I1678" t="s">
        <v>53</v>
      </c>
      <c r="J1678" t="s">
        <v>97</v>
      </c>
      <c r="K1678" t="s">
        <v>120</v>
      </c>
      <c r="L1678" s="6">
        <v>38418.589999999997</v>
      </c>
      <c r="M1678">
        <v>34727.26</v>
      </c>
      <c r="N1678" t="s">
        <v>91</v>
      </c>
      <c r="O1678">
        <v>16</v>
      </c>
      <c r="P1678">
        <v>38</v>
      </c>
      <c r="Q1678">
        <v>2</v>
      </c>
      <c r="R1678">
        <v>181</v>
      </c>
      <c r="S1678">
        <v>220.9</v>
      </c>
      <c r="T1678" t="s">
        <v>37</v>
      </c>
      <c r="U1678" s="7">
        <f t="shared" si="104"/>
        <v>63</v>
      </c>
      <c r="V1678" s="7">
        <f t="shared" si="105"/>
        <v>16</v>
      </c>
      <c r="W1678" s="6">
        <f t="shared" si="106"/>
        <v>3691.3299999999945</v>
      </c>
      <c r="X1678" t="str">
        <f t="shared" si="107"/>
        <v>Senior</v>
      </c>
    </row>
    <row r="1679" spans="1:24">
      <c r="A1679" t="s">
        <v>3596</v>
      </c>
      <c r="B1679" t="s">
        <v>417</v>
      </c>
      <c r="C1679" t="s">
        <v>40</v>
      </c>
      <c r="D1679" s="5">
        <v>30796</v>
      </c>
      <c r="E1679" s="5">
        <v>45596</v>
      </c>
      <c r="F1679" s="5">
        <v>45597</v>
      </c>
      <c r="G1679" t="s">
        <v>94</v>
      </c>
      <c r="H1679" t="s">
        <v>86</v>
      </c>
      <c r="I1679" t="s">
        <v>53</v>
      </c>
      <c r="J1679" t="s">
        <v>34</v>
      </c>
      <c r="K1679" t="s">
        <v>27</v>
      </c>
      <c r="L1679" s="6">
        <v>27527.58</v>
      </c>
      <c r="M1679">
        <v>21863.01</v>
      </c>
      <c r="N1679" t="s">
        <v>192</v>
      </c>
      <c r="O1679">
        <v>1</v>
      </c>
      <c r="P1679">
        <v>193</v>
      </c>
      <c r="Q1679">
        <v>5</v>
      </c>
      <c r="R1679">
        <v>101</v>
      </c>
      <c r="S1679">
        <v>253.4</v>
      </c>
      <c r="T1679" t="s">
        <v>65</v>
      </c>
      <c r="U1679" s="7">
        <f t="shared" si="104"/>
        <v>40</v>
      </c>
      <c r="V1679" s="7">
        <f t="shared" si="105"/>
        <v>1</v>
      </c>
      <c r="W1679" s="6">
        <f t="shared" si="106"/>
        <v>5664.5700000000033</v>
      </c>
      <c r="X1679" t="str">
        <f t="shared" si="107"/>
        <v>Middle Age</v>
      </c>
    </row>
    <row r="1680" spans="1:24">
      <c r="A1680" t="s">
        <v>3599</v>
      </c>
      <c r="B1680" t="s">
        <v>922</v>
      </c>
      <c r="C1680" t="s">
        <v>40</v>
      </c>
      <c r="D1680" s="5">
        <v>36044</v>
      </c>
      <c r="E1680" s="5">
        <v>45840</v>
      </c>
      <c r="F1680" s="5">
        <v>45843</v>
      </c>
      <c r="G1680" t="s">
        <v>94</v>
      </c>
      <c r="H1680" t="s">
        <v>44</v>
      </c>
      <c r="I1680" t="s">
        <v>45</v>
      </c>
      <c r="J1680" t="s">
        <v>80</v>
      </c>
      <c r="K1680" t="s">
        <v>110</v>
      </c>
      <c r="L1680" s="6">
        <v>234354.66</v>
      </c>
      <c r="M1680">
        <v>169674.37</v>
      </c>
      <c r="N1680" t="s">
        <v>192</v>
      </c>
      <c r="O1680">
        <v>3</v>
      </c>
      <c r="P1680">
        <v>235</v>
      </c>
      <c r="Q1680">
        <v>3</v>
      </c>
      <c r="R1680">
        <v>131</v>
      </c>
      <c r="S1680">
        <v>127.5</v>
      </c>
      <c r="T1680" t="s">
        <v>37</v>
      </c>
      <c r="U1680" s="7">
        <f t="shared" si="104"/>
        <v>26</v>
      </c>
      <c r="V1680" s="7">
        <f t="shared" si="105"/>
        <v>3</v>
      </c>
      <c r="W1680" s="6">
        <f t="shared" si="106"/>
        <v>64680.290000000008</v>
      </c>
      <c r="X1680" t="str">
        <f t="shared" si="107"/>
        <v>Adult</v>
      </c>
    </row>
    <row r="1681" spans="1:24">
      <c r="A1681" t="s">
        <v>3601</v>
      </c>
      <c r="B1681" t="s">
        <v>926</v>
      </c>
      <c r="C1681" t="s">
        <v>133</v>
      </c>
      <c r="D1681" s="5">
        <v>39945</v>
      </c>
      <c r="E1681" s="5">
        <v>45870</v>
      </c>
      <c r="F1681" s="5">
        <v>45874</v>
      </c>
      <c r="G1681" t="s">
        <v>43</v>
      </c>
      <c r="H1681" t="s">
        <v>118</v>
      </c>
      <c r="I1681" t="s">
        <v>33</v>
      </c>
      <c r="J1681" t="s">
        <v>64</v>
      </c>
      <c r="K1681" t="s">
        <v>120</v>
      </c>
      <c r="L1681" s="6">
        <v>166793.06</v>
      </c>
      <c r="M1681">
        <v>148846.32</v>
      </c>
      <c r="N1681" t="s">
        <v>91</v>
      </c>
      <c r="O1681">
        <v>4</v>
      </c>
      <c r="P1681">
        <v>114</v>
      </c>
      <c r="Q1681">
        <v>3</v>
      </c>
      <c r="R1681">
        <v>137</v>
      </c>
      <c r="S1681">
        <v>248.9</v>
      </c>
      <c r="T1681" t="s">
        <v>37</v>
      </c>
      <c r="U1681" s="7">
        <f t="shared" si="104"/>
        <v>16</v>
      </c>
      <c r="V1681" s="7">
        <f t="shared" si="105"/>
        <v>4</v>
      </c>
      <c r="W1681" s="6">
        <f t="shared" si="106"/>
        <v>17946.739999999991</v>
      </c>
      <c r="X1681" t="str">
        <f t="shared" si="107"/>
        <v>Child</v>
      </c>
    </row>
    <row r="1682" spans="1:24">
      <c r="A1682" t="s">
        <v>3603</v>
      </c>
      <c r="B1682" t="s">
        <v>247</v>
      </c>
      <c r="C1682" t="s">
        <v>133</v>
      </c>
      <c r="D1682" s="5">
        <v>38171</v>
      </c>
      <c r="E1682" s="5">
        <v>45663</v>
      </c>
      <c r="F1682" s="5">
        <v>45813</v>
      </c>
      <c r="G1682" t="s">
        <v>152</v>
      </c>
      <c r="H1682" t="s">
        <v>63</v>
      </c>
      <c r="I1682" t="s">
        <v>96</v>
      </c>
      <c r="J1682" t="s">
        <v>80</v>
      </c>
      <c r="K1682" t="s">
        <v>161</v>
      </c>
      <c r="L1682" s="6">
        <v>58562.91</v>
      </c>
      <c r="M1682">
        <v>35141.19</v>
      </c>
      <c r="N1682" t="s">
        <v>35</v>
      </c>
      <c r="O1682">
        <v>4</v>
      </c>
      <c r="P1682">
        <v>197</v>
      </c>
      <c r="Q1682">
        <v>4</v>
      </c>
      <c r="R1682">
        <v>138</v>
      </c>
      <c r="S1682">
        <v>159.19999999999999</v>
      </c>
      <c r="T1682" t="s">
        <v>47</v>
      </c>
      <c r="U1682" s="7">
        <f t="shared" si="104"/>
        <v>20</v>
      </c>
      <c r="V1682" s="7">
        <f t="shared" si="105"/>
        <v>150</v>
      </c>
      <c r="W1682" s="6">
        <f t="shared" si="106"/>
        <v>23421.72</v>
      </c>
      <c r="X1682" t="str">
        <f t="shared" si="107"/>
        <v>Adult</v>
      </c>
    </row>
    <row r="1683" spans="1:24">
      <c r="A1683" t="s">
        <v>3605</v>
      </c>
      <c r="B1683" t="s">
        <v>150</v>
      </c>
      <c r="C1683" t="s">
        <v>133</v>
      </c>
      <c r="D1683" s="5">
        <v>33921</v>
      </c>
      <c r="E1683" s="5">
        <v>45850</v>
      </c>
      <c r="F1683" s="5">
        <v>45855</v>
      </c>
      <c r="G1683" t="s">
        <v>43</v>
      </c>
      <c r="H1683" t="s">
        <v>32</v>
      </c>
      <c r="I1683" t="s">
        <v>53</v>
      </c>
      <c r="J1683" t="s">
        <v>179</v>
      </c>
      <c r="K1683" t="s">
        <v>55</v>
      </c>
      <c r="L1683" s="6">
        <v>70030.92</v>
      </c>
      <c r="M1683">
        <v>52250.69</v>
      </c>
      <c r="N1683" t="s">
        <v>192</v>
      </c>
      <c r="O1683">
        <v>5</v>
      </c>
      <c r="P1683">
        <v>161</v>
      </c>
      <c r="Q1683">
        <v>4</v>
      </c>
      <c r="R1683">
        <v>141</v>
      </c>
      <c r="S1683">
        <v>187</v>
      </c>
      <c r="T1683" t="s">
        <v>37</v>
      </c>
      <c r="U1683" s="7">
        <f t="shared" si="104"/>
        <v>32</v>
      </c>
      <c r="V1683" s="7">
        <f t="shared" si="105"/>
        <v>5</v>
      </c>
      <c r="W1683" s="6">
        <f t="shared" si="106"/>
        <v>17780.229999999996</v>
      </c>
      <c r="X1683" t="str">
        <f t="shared" si="107"/>
        <v>Adult</v>
      </c>
    </row>
    <row r="1684" spans="1:24">
      <c r="A1684" t="s">
        <v>3606</v>
      </c>
      <c r="B1684" t="s">
        <v>1830</v>
      </c>
      <c r="C1684" t="s">
        <v>133</v>
      </c>
      <c r="D1684" s="5">
        <v>33036</v>
      </c>
      <c r="E1684" s="5">
        <v>45432</v>
      </c>
      <c r="F1684" s="5">
        <v>45436</v>
      </c>
      <c r="G1684" t="s">
        <v>105</v>
      </c>
      <c r="H1684" t="s">
        <v>63</v>
      </c>
      <c r="I1684" t="s">
        <v>25</v>
      </c>
      <c r="J1684" t="s">
        <v>71</v>
      </c>
      <c r="K1684" t="s">
        <v>27</v>
      </c>
      <c r="L1684" s="6">
        <v>99295.21</v>
      </c>
      <c r="M1684">
        <v>82448.479999999996</v>
      </c>
      <c r="N1684" t="s">
        <v>35</v>
      </c>
      <c r="O1684">
        <v>4</v>
      </c>
      <c r="P1684">
        <v>80</v>
      </c>
      <c r="Q1684">
        <v>4</v>
      </c>
      <c r="R1684">
        <v>159</v>
      </c>
      <c r="S1684">
        <v>230.7</v>
      </c>
      <c r="T1684" t="s">
        <v>65</v>
      </c>
      <c r="U1684" s="7">
        <f t="shared" si="104"/>
        <v>33</v>
      </c>
      <c r="V1684" s="7">
        <f t="shared" si="105"/>
        <v>4</v>
      </c>
      <c r="W1684" s="6">
        <f t="shared" si="106"/>
        <v>16846.73000000001</v>
      </c>
      <c r="X1684" t="str">
        <f t="shared" si="107"/>
        <v>Adult</v>
      </c>
    </row>
    <row r="1685" spans="1:24">
      <c r="A1685" t="s">
        <v>3607</v>
      </c>
      <c r="B1685" t="s">
        <v>940</v>
      </c>
      <c r="C1685" t="s">
        <v>133</v>
      </c>
      <c r="D1685" s="5">
        <v>26628</v>
      </c>
      <c r="E1685" s="5">
        <v>45053</v>
      </c>
      <c r="F1685" s="5">
        <v>45065</v>
      </c>
      <c r="G1685" t="s">
        <v>43</v>
      </c>
      <c r="H1685" t="s">
        <v>113</v>
      </c>
      <c r="I1685" t="s">
        <v>25</v>
      </c>
      <c r="J1685" t="s">
        <v>80</v>
      </c>
      <c r="K1685" t="s">
        <v>55</v>
      </c>
      <c r="L1685" s="6">
        <v>128589.56</v>
      </c>
      <c r="M1685">
        <v>87073.48</v>
      </c>
      <c r="N1685" t="s">
        <v>192</v>
      </c>
      <c r="O1685">
        <v>12</v>
      </c>
      <c r="P1685">
        <v>134</v>
      </c>
      <c r="Q1685">
        <v>4</v>
      </c>
      <c r="R1685">
        <v>113</v>
      </c>
      <c r="S1685">
        <v>106.1</v>
      </c>
      <c r="T1685" t="s">
        <v>47</v>
      </c>
      <c r="U1685" s="7">
        <f t="shared" si="104"/>
        <v>50</v>
      </c>
      <c r="V1685" s="7">
        <f t="shared" si="105"/>
        <v>12</v>
      </c>
      <c r="W1685" s="6">
        <f t="shared" si="106"/>
        <v>41516.080000000002</v>
      </c>
      <c r="X1685" t="str">
        <f t="shared" si="107"/>
        <v>Middle Age</v>
      </c>
    </row>
    <row r="1686" spans="1:24">
      <c r="A1686" t="s">
        <v>3608</v>
      </c>
      <c r="B1686" t="s">
        <v>1678</v>
      </c>
      <c r="C1686" t="s">
        <v>40</v>
      </c>
      <c r="D1686" s="5">
        <v>27867</v>
      </c>
      <c r="E1686" s="5">
        <v>45668</v>
      </c>
      <c r="F1686" s="5" t="s">
        <v>4237</v>
      </c>
      <c r="G1686" t="s">
        <v>161</v>
      </c>
      <c r="H1686" t="s">
        <v>78</v>
      </c>
      <c r="I1686" t="s">
        <v>53</v>
      </c>
      <c r="J1686" t="s">
        <v>97</v>
      </c>
      <c r="K1686" t="s">
        <v>55</v>
      </c>
      <c r="L1686" s="6">
        <v>85190.86</v>
      </c>
      <c r="M1686">
        <v>65843.990000000005</v>
      </c>
      <c r="N1686" t="s">
        <v>192</v>
      </c>
      <c r="O1686">
        <v>17</v>
      </c>
      <c r="P1686">
        <v>74</v>
      </c>
      <c r="Q1686">
        <v>4</v>
      </c>
      <c r="R1686">
        <v>152</v>
      </c>
      <c r="S1686">
        <v>201.5</v>
      </c>
      <c r="T1686" t="s">
        <v>47</v>
      </c>
      <c r="U1686" s="7">
        <f t="shared" si="104"/>
        <v>48</v>
      </c>
      <c r="V1686" s="7" t="s">
        <v>4237</v>
      </c>
      <c r="W1686" s="6">
        <f t="shared" si="106"/>
        <v>19346.869999999995</v>
      </c>
      <c r="X1686" t="str">
        <f t="shared" si="107"/>
        <v>Middle Age</v>
      </c>
    </row>
    <row r="1687" spans="1:24">
      <c r="A1687" t="s">
        <v>3610</v>
      </c>
      <c r="B1687" t="s">
        <v>168</v>
      </c>
      <c r="C1687" t="s">
        <v>40</v>
      </c>
      <c r="D1687" s="5">
        <v>32275</v>
      </c>
      <c r="E1687" s="5">
        <v>45024</v>
      </c>
      <c r="F1687" s="5">
        <v>45038</v>
      </c>
      <c r="G1687" t="s">
        <v>89</v>
      </c>
      <c r="H1687" t="s">
        <v>118</v>
      </c>
      <c r="I1687" t="s">
        <v>119</v>
      </c>
      <c r="J1687" t="s">
        <v>64</v>
      </c>
      <c r="K1687" t="s">
        <v>110</v>
      </c>
      <c r="L1687" s="6">
        <v>195163.99</v>
      </c>
      <c r="M1687">
        <v>172149.26</v>
      </c>
      <c r="N1687" t="s">
        <v>4237</v>
      </c>
      <c r="O1687">
        <v>14</v>
      </c>
      <c r="P1687">
        <v>142</v>
      </c>
      <c r="Q1687">
        <v>4</v>
      </c>
      <c r="R1687">
        <v>120</v>
      </c>
      <c r="S1687">
        <v>218.5</v>
      </c>
      <c r="T1687" t="s">
        <v>37</v>
      </c>
      <c r="U1687" s="7">
        <f t="shared" si="104"/>
        <v>34</v>
      </c>
      <c r="V1687" s="7">
        <f t="shared" si="105"/>
        <v>14</v>
      </c>
      <c r="W1687" s="6">
        <f t="shared" si="106"/>
        <v>23014.729999999981</v>
      </c>
      <c r="X1687" t="str">
        <f t="shared" si="107"/>
        <v>Adult</v>
      </c>
    </row>
    <row r="1688" spans="1:24">
      <c r="A1688" t="s">
        <v>3611</v>
      </c>
      <c r="B1688" t="s">
        <v>1108</v>
      </c>
      <c r="C1688" t="s">
        <v>133</v>
      </c>
      <c r="D1688" s="5">
        <v>34739</v>
      </c>
      <c r="E1688" s="5">
        <v>45252</v>
      </c>
      <c r="F1688" s="5">
        <v>45255</v>
      </c>
      <c r="G1688" t="s">
        <v>109</v>
      </c>
      <c r="H1688" t="s">
        <v>153</v>
      </c>
      <c r="I1688" t="s">
        <v>33</v>
      </c>
      <c r="J1688" t="s">
        <v>64</v>
      </c>
      <c r="K1688" t="s">
        <v>161</v>
      </c>
      <c r="L1688" s="6">
        <v>101841.5</v>
      </c>
      <c r="M1688">
        <v>71992.179999999993</v>
      </c>
      <c r="N1688" t="s">
        <v>4237</v>
      </c>
      <c r="O1688">
        <v>3</v>
      </c>
      <c r="P1688">
        <v>237</v>
      </c>
      <c r="Q1688">
        <v>3</v>
      </c>
      <c r="R1688">
        <v>160</v>
      </c>
      <c r="S1688">
        <v>251.3</v>
      </c>
      <c r="T1688" t="s">
        <v>65</v>
      </c>
      <c r="U1688" s="7">
        <f t="shared" si="104"/>
        <v>28</v>
      </c>
      <c r="V1688" s="7">
        <f t="shared" si="105"/>
        <v>3</v>
      </c>
      <c r="W1688" s="6">
        <f t="shared" si="106"/>
        <v>29849.320000000007</v>
      </c>
      <c r="X1688" t="str">
        <f t="shared" si="107"/>
        <v>Adult</v>
      </c>
    </row>
    <row r="1689" spans="1:24">
      <c r="A1689" t="s">
        <v>3614</v>
      </c>
      <c r="B1689" t="s">
        <v>311</v>
      </c>
      <c r="C1689" t="s">
        <v>133</v>
      </c>
      <c r="D1689" s="5">
        <v>39674</v>
      </c>
      <c r="E1689" s="5">
        <v>45705</v>
      </c>
      <c r="F1689" s="5" t="s">
        <v>4237</v>
      </c>
      <c r="G1689" t="s">
        <v>77</v>
      </c>
      <c r="H1689" t="s">
        <v>78</v>
      </c>
      <c r="I1689" t="s">
        <v>33</v>
      </c>
      <c r="J1689" t="s">
        <v>64</v>
      </c>
      <c r="K1689" t="s">
        <v>120</v>
      </c>
      <c r="L1689" s="6">
        <v>203452.43</v>
      </c>
      <c r="M1689">
        <v>153878.07</v>
      </c>
      <c r="N1689" t="s">
        <v>73</v>
      </c>
      <c r="O1689">
        <v>8</v>
      </c>
      <c r="P1689">
        <v>175</v>
      </c>
      <c r="Q1689">
        <v>1</v>
      </c>
      <c r="R1689">
        <v>164</v>
      </c>
      <c r="S1689">
        <v>75.400000000000006</v>
      </c>
      <c r="T1689" t="s">
        <v>4237</v>
      </c>
      <c r="U1689" s="7">
        <f t="shared" si="104"/>
        <v>16</v>
      </c>
      <c r="V1689" s="7" t="s">
        <v>4237</v>
      </c>
      <c r="W1689" s="6">
        <f t="shared" si="106"/>
        <v>49574.359999999986</v>
      </c>
      <c r="X1689" t="str">
        <f t="shared" si="107"/>
        <v>Child</v>
      </c>
    </row>
    <row r="1690" spans="1:24">
      <c r="A1690" t="s">
        <v>3615</v>
      </c>
      <c r="B1690" t="s">
        <v>423</v>
      </c>
      <c r="C1690" t="s">
        <v>40</v>
      </c>
      <c r="D1690" s="5">
        <v>29603</v>
      </c>
      <c r="E1690" s="5">
        <v>45240</v>
      </c>
      <c r="F1690" s="5">
        <v>45245</v>
      </c>
      <c r="G1690" t="s">
        <v>117</v>
      </c>
      <c r="H1690" t="s">
        <v>124</v>
      </c>
      <c r="I1690" t="s">
        <v>119</v>
      </c>
      <c r="J1690" t="s">
        <v>26</v>
      </c>
      <c r="K1690" t="s">
        <v>120</v>
      </c>
      <c r="L1690" s="6">
        <v>189873.1</v>
      </c>
      <c r="M1690">
        <v>168124.15</v>
      </c>
      <c r="N1690" t="s">
        <v>73</v>
      </c>
      <c r="O1690">
        <v>5</v>
      </c>
      <c r="P1690">
        <v>6</v>
      </c>
      <c r="Q1690">
        <v>3</v>
      </c>
      <c r="R1690">
        <v>164</v>
      </c>
      <c r="S1690">
        <v>200.8</v>
      </c>
      <c r="T1690" t="s">
        <v>37</v>
      </c>
      <c r="U1690" s="7">
        <f t="shared" si="104"/>
        <v>42</v>
      </c>
      <c r="V1690" s="7">
        <f t="shared" si="105"/>
        <v>5</v>
      </c>
      <c r="W1690" s="6">
        <f t="shared" si="106"/>
        <v>21748.950000000012</v>
      </c>
      <c r="X1690" t="str">
        <f t="shared" si="107"/>
        <v>Middle Age</v>
      </c>
    </row>
    <row r="1691" spans="1:24">
      <c r="A1691" t="s">
        <v>3616</v>
      </c>
      <c r="B1691" t="s">
        <v>652</v>
      </c>
      <c r="C1691" t="s">
        <v>40</v>
      </c>
      <c r="D1691" s="5">
        <v>23000</v>
      </c>
      <c r="E1691" s="5">
        <v>44984</v>
      </c>
      <c r="F1691" s="5">
        <v>44993</v>
      </c>
      <c r="G1691" t="s">
        <v>77</v>
      </c>
      <c r="H1691" t="s">
        <v>63</v>
      </c>
      <c r="I1691" t="s">
        <v>33</v>
      </c>
      <c r="J1691" t="s">
        <v>71</v>
      </c>
      <c r="K1691" t="s">
        <v>55</v>
      </c>
      <c r="L1691" s="6">
        <v>80043.77</v>
      </c>
      <c r="M1691">
        <v>56548.01</v>
      </c>
      <c r="N1691" t="s">
        <v>56</v>
      </c>
      <c r="O1691">
        <v>9</v>
      </c>
      <c r="P1691">
        <v>39</v>
      </c>
      <c r="Q1691">
        <v>4</v>
      </c>
      <c r="R1691">
        <v>119</v>
      </c>
      <c r="S1691">
        <v>107.2</v>
      </c>
      <c r="T1691" t="s">
        <v>47</v>
      </c>
      <c r="U1691" s="7">
        <f t="shared" si="104"/>
        <v>60</v>
      </c>
      <c r="V1691" s="7">
        <f t="shared" si="105"/>
        <v>9</v>
      </c>
      <c r="W1691" s="6">
        <f t="shared" si="106"/>
        <v>23495.760000000002</v>
      </c>
      <c r="X1691" t="str">
        <f t="shared" si="107"/>
        <v>Senior</v>
      </c>
    </row>
    <row r="1692" spans="1:24">
      <c r="A1692" t="s">
        <v>3618</v>
      </c>
      <c r="B1692" t="s">
        <v>613</v>
      </c>
      <c r="C1692" t="s">
        <v>133</v>
      </c>
      <c r="D1692" s="5">
        <v>27723</v>
      </c>
      <c r="E1692" s="5">
        <v>45448</v>
      </c>
      <c r="F1692" s="5">
        <v>45457</v>
      </c>
      <c r="G1692" t="s">
        <v>152</v>
      </c>
      <c r="H1692" t="s">
        <v>86</v>
      </c>
      <c r="I1692" t="s">
        <v>119</v>
      </c>
      <c r="J1692" t="s">
        <v>64</v>
      </c>
      <c r="K1692" t="s">
        <v>27</v>
      </c>
      <c r="L1692" s="6">
        <v>62663.839999999997</v>
      </c>
      <c r="M1692">
        <v>61296.43</v>
      </c>
      <c r="N1692" t="s">
        <v>91</v>
      </c>
      <c r="O1692">
        <v>9</v>
      </c>
      <c r="P1692">
        <v>35</v>
      </c>
      <c r="Q1692">
        <v>4</v>
      </c>
      <c r="R1692">
        <v>177</v>
      </c>
      <c r="S1692">
        <v>162</v>
      </c>
      <c r="T1692" t="s">
        <v>4237</v>
      </c>
      <c r="U1692" s="7">
        <f t="shared" si="104"/>
        <v>48</v>
      </c>
      <c r="V1692" s="7">
        <f t="shared" si="105"/>
        <v>9</v>
      </c>
      <c r="W1692" s="6">
        <f t="shared" si="106"/>
        <v>1367.4099999999962</v>
      </c>
      <c r="X1692" t="str">
        <f t="shared" si="107"/>
        <v>Middle Age</v>
      </c>
    </row>
    <row r="1693" spans="1:24">
      <c r="A1693" t="s">
        <v>3619</v>
      </c>
      <c r="B1693" t="s">
        <v>541</v>
      </c>
      <c r="C1693" t="s">
        <v>133</v>
      </c>
      <c r="D1693" s="5">
        <v>37673</v>
      </c>
      <c r="E1693" s="5">
        <v>46015</v>
      </c>
      <c r="F1693" s="5">
        <v>46021</v>
      </c>
      <c r="G1693" t="s">
        <v>43</v>
      </c>
      <c r="H1693" t="s">
        <v>113</v>
      </c>
      <c r="I1693" t="s">
        <v>25</v>
      </c>
      <c r="J1693" t="s">
        <v>34</v>
      </c>
      <c r="K1693" t="s">
        <v>120</v>
      </c>
      <c r="L1693" s="6">
        <v>167124.98000000001</v>
      </c>
      <c r="M1693">
        <v>112732.45</v>
      </c>
      <c r="N1693" t="s">
        <v>73</v>
      </c>
      <c r="O1693">
        <v>6</v>
      </c>
      <c r="P1693">
        <v>61</v>
      </c>
      <c r="Q1693">
        <v>2</v>
      </c>
      <c r="R1693">
        <v>157</v>
      </c>
      <c r="S1693">
        <v>246.4</v>
      </c>
      <c r="T1693" t="s">
        <v>37</v>
      </c>
      <c r="U1693" s="7">
        <f t="shared" si="104"/>
        <v>22</v>
      </c>
      <c r="V1693" s="7">
        <f t="shared" si="105"/>
        <v>6</v>
      </c>
      <c r="W1693" s="6">
        <f t="shared" si="106"/>
        <v>54392.530000000013</v>
      </c>
      <c r="X1693" t="str">
        <f t="shared" si="107"/>
        <v>Adult</v>
      </c>
    </row>
    <row r="1694" spans="1:24">
      <c r="A1694" t="s">
        <v>3621</v>
      </c>
      <c r="B1694" t="s">
        <v>522</v>
      </c>
      <c r="C1694" t="s">
        <v>40</v>
      </c>
      <c r="D1694" s="5">
        <v>39472</v>
      </c>
      <c r="E1694" s="5">
        <v>45214</v>
      </c>
      <c r="F1694" s="5">
        <v>45226</v>
      </c>
      <c r="G1694" t="s">
        <v>105</v>
      </c>
      <c r="H1694" t="s">
        <v>86</v>
      </c>
      <c r="I1694" t="s">
        <v>119</v>
      </c>
      <c r="J1694" t="s">
        <v>34</v>
      </c>
      <c r="K1694" t="s">
        <v>55</v>
      </c>
      <c r="L1694" s="6">
        <v>79128.22</v>
      </c>
      <c r="M1694">
        <v>48369.36</v>
      </c>
      <c r="N1694" t="s">
        <v>192</v>
      </c>
      <c r="O1694">
        <v>12</v>
      </c>
      <c r="P1694">
        <v>22</v>
      </c>
      <c r="Q1694">
        <v>4</v>
      </c>
      <c r="R1694">
        <v>134</v>
      </c>
      <c r="S1694">
        <v>125.5</v>
      </c>
      <c r="T1694" t="s">
        <v>37</v>
      </c>
      <c r="U1694" s="7">
        <f t="shared" si="104"/>
        <v>15</v>
      </c>
      <c r="V1694" s="7">
        <f t="shared" si="105"/>
        <v>12</v>
      </c>
      <c r="W1694" s="6">
        <f t="shared" si="106"/>
        <v>30758.86</v>
      </c>
      <c r="X1694" t="str">
        <f t="shared" si="107"/>
        <v>Child</v>
      </c>
    </row>
    <row r="1695" spans="1:24">
      <c r="A1695" t="s">
        <v>3622</v>
      </c>
      <c r="B1695" t="s">
        <v>2249</v>
      </c>
      <c r="C1695" t="s">
        <v>40</v>
      </c>
      <c r="D1695" s="5">
        <v>19957</v>
      </c>
      <c r="E1695" s="5">
        <v>45633</v>
      </c>
      <c r="F1695" s="5">
        <v>45636</v>
      </c>
      <c r="G1695" t="s">
        <v>152</v>
      </c>
      <c r="H1695" t="s">
        <v>118</v>
      </c>
      <c r="I1695" t="s">
        <v>25</v>
      </c>
      <c r="J1695" t="s">
        <v>64</v>
      </c>
      <c r="K1695" t="s">
        <v>27</v>
      </c>
      <c r="L1695" s="6">
        <v>161568.74</v>
      </c>
      <c r="M1695">
        <v>104012.79</v>
      </c>
      <c r="N1695" t="s">
        <v>192</v>
      </c>
      <c r="O1695">
        <v>3</v>
      </c>
      <c r="P1695">
        <v>177</v>
      </c>
      <c r="Q1695">
        <v>5</v>
      </c>
      <c r="R1695">
        <v>188</v>
      </c>
      <c r="S1695">
        <v>161.1</v>
      </c>
      <c r="T1695" t="s">
        <v>37</v>
      </c>
      <c r="U1695" s="7">
        <f t="shared" si="104"/>
        <v>70</v>
      </c>
      <c r="V1695" s="7">
        <f t="shared" si="105"/>
        <v>3</v>
      </c>
      <c r="W1695" s="6">
        <f t="shared" si="106"/>
        <v>57555.95</v>
      </c>
      <c r="X1695" t="str">
        <f t="shared" si="107"/>
        <v>Senior</v>
      </c>
    </row>
    <row r="1696" spans="1:24">
      <c r="A1696" t="s">
        <v>3623</v>
      </c>
      <c r="B1696" t="s">
        <v>2029</v>
      </c>
      <c r="C1696" t="s">
        <v>40</v>
      </c>
      <c r="D1696" s="5">
        <v>22506</v>
      </c>
      <c r="E1696" s="5">
        <v>45582</v>
      </c>
      <c r="F1696" s="5">
        <v>45589</v>
      </c>
      <c r="G1696" t="s">
        <v>109</v>
      </c>
      <c r="H1696" t="s">
        <v>95</v>
      </c>
      <c r="I1696" t="s">
        <v>33</v>
      </c>
      <c r="J1696" t="s">
        <v>64</v>
      </c>
      <c r="K1696" t="s">
        <v>120</v>
      </c>
      <c r="L1696" s="6">
        <v>173832.66</v>
      </c>
      <c r="M1696">
        <v>127781.77</v>
      </c>
      <c r="N1696" t="s">
        <v>73</v>
      </c>
      <c r="O1696">
        <v>7</v>
      </c>
      <c r="P1696">
        <v>138</v>
      </c>
      <c r="Q1696">
        <v>3</v>
      </c>
      <c r="R1696">
        <v>120</v>
      </c>
      <c r="S1696">
        <v>252.9</v>
      </c>
      <c r="T1696" t="s">
        <v>65</v>
      </c>
      <c r="U1696" s="7">
        <f t="shared" si="104"/>
        <v>63</v>
      </c>
      <c r="V1696" s="7">
        <f t="shared" si="105"/>
        <v>7</v>
      </c>
      <c r="W1696" s="6">
        <f t="shared" si="106"/>
        <v>46050.89</v>
      </c>
      <c r="X1696" t="str">
        <f t="shared" si="107"/>
        <v>Senior</v>
      </c>
    </row>
    <row r="1697" spans="1:24">
      <c r="A1697" t="s">
        <v>3624</v>
      </c>
      <c r="B1697" t="s">
        <v>1302</v>
      </c>
      <c r="C1697" t="s">
        <v>133</v>
      </c>
      <c r="D1697" s="5">
        <v>31183</v>
      </c>
      <c r="E1697" s="5">
        <v>45216</v>
      </c>
      <c r="F1697" s="5">
        <v>45217</v>
      </c>
      <c r="G1697" t="s">
        <v>152</v>
      </c>
      <c r="H1697" t="s">
        <v>63</v>
      </c>
      <c r="I1697" t="s">
        <v>33</v>
      </c>
      <c r="J1697" t="s">
        <v>64</v>
      </c>
      <c r="K1697" t="s">
        <v>55</v>
      </c>
      <c r="L1697" s="6">
        <v>214231.19</v>
      </c>
      <c r="M1697">
        <v>143313.76</v>
      </c>
      <c r="N1697" t="s">
        <v>4237</v>
      </c>
      <c r="O1697">
        <v>1</v>
      </c>
      <c r="P1697">
        <v>53</v>
      </c>
      <c r="Q1697">
        <v>3</v>
      </c>
      <c r="R1697">
        <v>111</v>
      </c>
      <c r="S1697">
        <v>89.5</v>
      </c>
      <c r="T1697" t="s">
        <v>4237</v>
      </c>
      <c r="U1697" s="7">
        <f t="shared" si="104"/>
        <v>38</v>
      </c>
      <c r="V1697" s="7">
        <f t="shared" si="105"/>
        <v>1</v>
      </c>
      <c r="W1697" s="6">
        <f t="shared" si="106"/>
        <v>70917.429999999993</v>
      </c>
      <c r="X1697" t="str">
        <f t="shared" si="107"/>
        <v>Adult</v>
      </c>
    </row>
    <row r="1698" spans="1:24">
      <c r="A1698" t="s">
        <v>3626</v>
      </c>
      <c r="B1698" t="s">
        <v>304</v>
      </c>
      <c r="C1698" t="s">
        <v>133</v>
      </c>
      <c r="D1698" s="5">
        <v>18606</v>
      </c>
      <c r="E1698" s="5">
        <v>45143</v>
      </c>
      <c r="F1698" s="5">
        <v>45145</v>
      </c>
      <c r="G1698" t="s">
        <v>77</v>
      </c>
      <c r="H1698" t="s">
        <v>124</v>
      </c>
      <c r="I1698" t="s">
        <v>33</v>
      </c>
      <c r="J1698" t="s">
        <v>179</v>
      </c>
      <c r="K1698" t="s">
        <v>110</v>
      </c>
      <c r="L1698" s="6">
        <v>246848.58</v>
      </c>
      <c r="M1698">
        <v>185765.46</v>
      </c>
      <c r="N1698" t="s">
        <v>73</v>
      </c>
      <c r="O1698">
        <v>2</v>
      </c>
      <c r="P1698">
        <v>157</v>
      </c>
      <c r="Q1698">
        <v>5</v>
      </c>
      <c r="R1698">
        <v>147</v>
      </c>
      <c r="S1698">
        <v>132.1</v>
      </c>
      <c r="T1698" t="s">
        <v>65</v>
      </c>
      <c r="U1698" s="7">
        <f t="shared" si="104"/>
        <v>72</v>
      </c>
      <c r="V1698" s="7">
        <f t="shared" si="105"/>
        <v>2</v>
      </c>
      <c r="W1698" s="6">
        <f t="shared" si="106"/>
        <v>61083.119999999995</v>
      </c>
      <c r="X1698" t="str">
        <f t="shared" si="107"/>
        <v>Senior</v>
      </c>
    </row>
    <row r="1699" spans="1:24">
      <c r="A1699" t="s">
        <v>3627</v>
      </c>
      <c r="B1699" t="s">
        <v>427</v>
      </c>
      <c r="C1699" t="s">
        <v>133</v>
      </c>
      <c r="D1699" s="5">
        <v>22071</v>
      </c>
      <c r="E1699" s="5">
        <v>45883</v>
      </c>
      <c r="F1699" s="5">
        <v>45896</v>
      </c>
      <c r="G1699" t="s">
        <v>94</v>
      </c>
      <c r="H1699" t="s">
        <v>95</v>
      </c>
      <c r="I1699" t="s">
        <v>53</v>
      </c>
      <c r="J1699" t="s">
        <v>26</v>
      </c>
      <c r="K1699" t="s">
        <v>110</v>
      </c>
      <c r="L1699" s="6">
        <v>226760.06</v>
      </c>
      <c r="M1699">
        <v>169257.43</v>
      </c>
      <c r="N1699" t="s">
        <v>73</v>
      </c>
      <c r="O1699">
        <v>13</v>
      </c>
      <c r="P1699">
        <v>46</v>
      </c>
      <c r="Q1699">
        <v>2</v>
      </c>
      <c r="R1699">
        <v>116</v>
      </c>
      <c r="S1699">
        <v>110.7</v>
      </c>
      <c r="T1699" t="s">
        <v>65</v>
      </c>
      <c r="U1699" s="7">
        <f t="shared" si="104"/>
        <v>65</v>
      </c>
      <c r="V1699" s="7">
        <f t="shared" si="105"/>
        <v>13</v>
      </c>
      <c r="W1699" s="6">
        <f t="shared" si="106"/>
        <v>57502.630000000005</v>
      </c>
      <c r="X1699" t="str">
        <f t="shared" si="107"/>
        <v>Senior</v>
      </c>
    </row>
    <row r="1700" spans="1:24">
      <c r="A1700" t="s">
        <v>3628</v>
      </c>
      <c r="B1700" t="s">
        <v>345</v>
      </c>
      <c r="C1700" t="s">
        <v>133</v>
      </c>
      <c r="D1700" s="5">
        <v>39435</v>
      </c>
      <c r="E1700" s="5">
        <v>45549</v>
      </c>
      <c r="F1700" s="5" t="s">
        <v>4237</v>
      </c>
      <c r="G1700" t="s">
        <v>109</v>
      </c>
      <c r="H1700" t="s">
        <v>32</v>
      </c>
      <c r="I1700" t="s">
        <v>119</v>
      </c>
      <c r="J1700" t="s">
        <v>80</v>
      </c>
      <c r="K1700" t="s">
        <v>120</v>
      </c>
      <c r="L1700" s="6">
        <v>190848.47</v>
      </c>
      <c r="M1700">
        <v>172928.14</v>
      </c>
      <c r="N1700" t="s">
        <v>192</v>
      </c>
      <c r="O1700">
        <v>10</v>
      </c>
      <c r="P1700">
        <v>198</v>
      </c>
      <c r="Q1700">
        <v>4</v>
      </c>
      <c r="R1700">
        <v>187</v>
      </c>
      <c r="S1700">
        <v>175.6</v>
      </c>
      <c r="T1700" t="s">
        <v>4237</v>
      </c>
      <c r="U1700" s="7">
        <f t="shared" si="104"/>
        <v>16</v>
      </c>
      <c r="V1700" s="7" t="s">
        <v>4237</v>
      </c>
      <c r="W1700" s="6">
        <f t="shared" si="106"/>
        <v>17920.329999999987</v>
      </c>
      <c r="X1700" t="str">
        <f t="shared" si="107"/>
        <v>Child</v>
      </c>
    </row>
    <row r="1701" spans="1:24">
      <c r="A1701" t="s">
        <v>3630</v>
      </c>
      <c r="B1701" t="s">
        <v>879</v>
      </c>
      <c r="C1701" t="s">
        <v>40</v>
      </c>
      <c r="D1701" s="5">
        <v>29921</v>
      </c>
      <c r="E1701" s="5">
        <v>45585</v>
      </c>
      <c r="F1701" s="5">
        <v>45589</v>
      </c>
      <c r="G1701" t="s">
        <v>43</v>
      </c>
      <c r="H1701" t="s">
        <v>63</v>
      </c>
      <c r="I1701" t="s">
        <v>25</v>
      </c>
      <c r="J1701" t="s">
        <v>34</v>
      </c>
      <c r="K1701" t="s">
        <v>120</v>
      </c>
      <c r="L1701" s="6">
        <v>117329.88</v>
      </c>
      <c r="M1701">
        <v>92971.64</v>
      </c>
      <c r="N1701" t="s">
        <v>35</v>
      </c>
      <c r="O1701">
        <v>4</v>
      </c>
      <c r="P1701">
        <v>110</v>
      </c>
      <c r="Q1701">
        <v>5</v>
      </c>
      <c r="R1701">
        <v>133</v>
      </c>
      <c r="S1701">
        <v>82.7</v>
      </c>
      <c r="T1701" t="s">
        <v>65</v>
      </c>
      <c r="U1701" s="7">
        <f t="shared" si="104"/>
        <v>42</v>
      </c>
      <c r="V1701" s="7">
        <f t="shared" si="105"/>
        <v>4</v>
      </c>
      <c r="W1701" s="6">
        <f t="shared" si="106"/>
        <v>24358.240000000005</v>
      </c>
      <c r="X1701" t="str">
        <f t="shared" si="107"/>
        <v>Middle Age</v>
      </c>
    </row>
    <row r="1702" spans="1:24">
      <c r="A1702" t="s">
        <v>3632</v>
      </c>
      <c r="B1702" t="s">
        <v>433</v>
      </c>
      <c r="C1702" t="s">
        <v>40</v>
      </c>
      <c r="D1702" s="5">
        <v>19346</v>
      </c>
      <c r="E1702" s="5">
        <v>45023</v>
      </c>
      <c r="F1702" s="5">
        <v>45033</v>
      </c>
      <c r="G1702" t="s">
        <v>43</v>
      </c>
      <c r="H1702" t="s">
        <v>153</v>
      </c>
      <c r="I1702" t="s">
        <v>25</v>
      </c>
      <c r="J1702" t="s">
        <v>34</v>
      </c>
      <c r="K1702" t="s">
        <v>120</v>
      </c>
      <c r="L1702" s="6">
        <v>57042.080000000002</v>
      </c>
      <c r="M1702">
        <v>45317.82</v>
      </c>
      <c r="N1702" t="s">
        <v>56</v>
      </c>
      <c r="O1702">
        <v>10</v>
      </c>
      <c r="P1702">
        <v>217</v>
      </c>
      <c r="Q1702">
        <v>3</v>
      </c>
      <c r="R1702">
        <v>154</v>
      </c>
      <c r="S1702">
        <v>140.5</v>
      </c>
      <c r="T1702" t="s">
        <v>4237</v>
      </c>
      <c r="U1702" s="7">
        <f t="shared" si="104"/>
        <v>70</v>
      </c>
      <c r="V1702" s="7">
        <f t="shared" si="105"/>
        <v>10</v>
      </c>
      <c r="W1702" s="6">
        <f t="shared" si="106"/>
        <v>11724.260000000002</v>
      </c>
      <c r="X1702" t="str">
        <f t="shared" si="107"/>
        <v>Senior</v>
      </c>
    </row>
    <row r="1703" spans="1:24">
      <c r="A1703" t="s">
        <v>3634</v>
      </c>
      <c r="B1703" t="s">
        <v>368</v>
      </c>
      <c r="C1703" t="s">
        <v>40</v>
      </c>
      <c r="D1703" s="5">
        <v>31053</v>
      </c>
      <c r="E1703" s="5">
        <v>45503</v>
      </c>
      <c r="F1703" s="5">
        <v>45512</v>
      </c>
      <c r="G1703" t="s">
        <v>43</v>
      </c>
      <c r="H1703" t="s">
        <v>153</v>
      </c>
      <c r="I1703" t="s">
        <v>53</v>
      </c>
      <c r="J1703" t="s">
        <v>34</v>
      </c>
      <c r="K1703" t="s">
        <v>120</v>
      </c>
      <c r="L1703" s="6">
        <v>96063.21</v>
      </c>
      <c r="M1703">
        <v>94804.85</v>
      </c>
      <c r="N1703" t="s">
        <v>4237</v>
      </c>
      <c r="O1703">
        <v>9</v>
      </c>
      <c r="P1703">
        <v>29</v>
      </c>
      <c r="Q1703">
        <v>5</v>
      </c>
      <c r="R1703">
        <v>155</v>
      </c>
      <c r="S1703">
        <v>158.19999999999999</v>
      </c>
      <c r="T1703" t="s">
        <v>37</v>
      </c>
      <c r="U1703" s="7">
        <f t="shared" si="104"/>
        <v>39</v>
      </c>
      <c r="V1703" s="7">
        <f t="shared" si="105"/>
        <v>9</v>
      </c>
      <c r="W1703" s="6">
        <f t="shared" si="106"/>
        <v>1258.3600000000006</v>
      </c>
      <c r="X1703" t="str">
        <f t="shared" si="107"/>
        <v>Adult</v>
      </c>
    </row>
    <row r="1704" spans="1:24">
      <c r="A1704" t="s">
        <v>3637</v>
      </c>
      <c r="B1704" t="s">
        <v>202</v>
      </c>
      <c r="C1704" t="s">
        <v>40</v>
      </c>
      <c r="D1704" s="5">
        <v>26204</v>
      </c>
      <c r="E1704" s="5">
        <v>45527</v>
      </c>
      <c r="F1704" s="5">
        <v>45530</v>
      </c>
      <c r="G1704" t="s">
        <v>105</v>
      </c>
      <c r="H1704" t="s">
        <v>86</v>
      </c>
      <c r="I1704" t="s">
        <v>119</v>
      </c>
      <c r="J1704" t="s">
        <v>64</v>
      </c>
      <c r="K1704" t="s">
        <v>55</v>
      </c>
      <c r="L1704" s="6">
        <v>178796.05</v>
      </c>
      <c r="M1704">
        <v>132316.43</v>
      </c>
      <c r="N1704" t="s">
        <v>192</v>
      </c>
      <c r="O1704">
        <v>3</v>
      </c>
      <c r="P1704">
        <v>188</v>
      </c>
      <c r="Q1704">
        <v>4</v>
      </c>
      <c r="R1704">
        <v>173</v>
      </c>
      <c r="S1704">
        <v>199.1</v>
      </c>
      <c r="T1704" t="s">
        <v>37</v>
      </c>
      <c r="U1704" s="7">
        <f t="shared" si="104"/>
        <v>52</v>
      </c>
      <c r="V1704" s="7">
        <f t="shared" si="105"/>
        <v>3</v>
      </c>
      <c r="W1704" s="6">
        <f t="shared" si="106"/>
        <v>46479.619999999995</v>
      </c>
      <c r="X1704" t="str">
        <f t="shared" si="107"/>
        <v>Middle Age</v>
      </c>
    </row>
    <row r="1705" spans="1:24">
      <c r="A1705" t="s">
        <v>3638</v>
      </c>
      <c r="B1705" t="s">
        <v>1293</v>
      </c>
      <c r="C1705" t="s">
        <v>40</v>
      </c>
      <c r="D1705" s="5">
        <v>23220</v>
      </c>
      <c r="E1705" s="5">
        <v>44979</v>
      </c>
      <c r="F1705" s="5">
        <v>44997</v>
      </c>
      <c r="G1705" t="s">
        <v>161</v>
      </c>
      <c r="H1705" t="s">
        <v>95</v>
      </c>
      <c r="I1705" t="s">
        <v>25</v>
      </c>
      <c r="J1705" t="s">
        <v>46</v>
      </c>
      <c r="K1705" t="s">
        <v>55</v>
      </c>
      <c r="L1705" s="6">
        <v>168189.08</v>
      </c>
      <c r="M1705">
        <v>151667.37</v>
      </c>
      <c r="N1705" t="s">
        <v>73</v>
      </c>
      <c r="O1705">
        <v>18</v>
      </c>
      <c r="P1705">
        <v>197</v>
      </c>
      <c r="Q1705">
        <v>5</v>
      </c>
      <c r="R1705">
        <v>167</v>
      </c>
      <c r="S1705">
        <v>212.9</v>
      </c>
      <c r="T1705" t="s">
        <v>4237</v>
      </c>
      <c r="U1705" s="7">
        <f t="shared" si="104"/>
        <v>59</v>
      </c>
      <c r="V1705" s="7">
        <f t="shared" si="105"/>
        <v>18</v>
      </c>
      <c r="W1705" s="6">
        <f t="shared" si="106"/>
        <v>16521.709999999992</v>
      </c>
      <c r="X1705" t="str">
        <f t="shared" si="107"/>
        <v>Middle Age</v>
      </c>
    </row>
    <row r="1706" spans="1:24">
      <c r="A1706" t="s">
        <v>3639</v>
      </c>
      <c r="B1706" t="s">
        <v>283</v>
      </c>
      <c r="C1706" t="s">
        <v>133</v>
      </c>
      <c r="D1706" s="5">
        <v>35556</v>
      </c>
      <c r="E1706" s="5">
        <v>45109</v>
      </c>
      <c r="F1706" s="5">
        <v>45110</v>
      </c>
      <c r="G1706" t="s">
        <v>62</v>
      </c>
      <c r="H1706" t="s">
        <v>24</v>
      </c>
      <c r="I1706" t="s">
        <v>96</v>
      </c>
      <c r="J1706" t="s">
        <v>26</v>
      </c>
      <c r="K1706" t="s">
        <v>110</v>
      </c>
      <c r="L1706" s="6">
        <v>219412.78</v>
      </c>
      <c r="M1706">
        <v>189485.54</v>
      </c>
      <c r="N1706" t="s">
        <v>35</v>
      </c>
      <c r="O1706">
        <v>1</v>
      </c>
      <c r="P1706">
        <v>109</v>
      </c>
      <c r="Q1706">
        <v>5</v>
      </c>
      <c r="R1706">
        <v>124</v>
      </c>
      <c r="S1706">
        <v>178.4</v>
      </c>
      <c r="T1706" t="s">
        <v>37</v>
      </c>
      <c r="U1706" s="7">
        <f t="shared" si="104"/>
        <v>26</v>
      </c>
      <c r="V1706" s="7">
        <f t="shared" si="105"/>
        <v>1</v>
      </c>
      <c r="W1706" s="6">
        <f t="shared" si="106"/>
        <v>29927.239999999991</v>
      </c>
      <c r="X1706" t="str">
        <f t="shared" si="107"/>
        <v>Adult</v>
      </c>
    </row>
    <row r="1707" spans="1:24">
      <c r="A1707" t="s">
        <v>3640</v>
      </c>
      <c r="B1707" t="s">
        <v>545</v>
      </c>
      <c r="C1707" t="s">
        <v>40</v>
      </c>
      <c r="D1707" s="5">
        <v>18502</v>
      </c>
      <c r="E1707" s="5">
        <v>45703</v>
      </c>
      <c r="F1707" s="5">
        <v>45704</v>
      </c>
      <c r="G1707" t="s">
        <v>152</v>
      </c>
      <c r="H1707" t="s">
        <v>134</v>
      </c>
      <c r="I1707" t="s">
        <v>33</v>
      </c>
      <c r="J1707" t="s">
        <v>34</v>
      </c>
      <c r="K1707" t="s">
        <v>55</v>
      </c>
      <c r="L1707" s="6">
        <v>147772.81</v>
      </c>
      <c r="M1707">
        <v>112806.27</v>
      </c>
      <c r="N1707" t="s">
        <v>91</v>
      </c>
      <c r="O1707">
        <v>1</v>
      </c>
      <c r="P1707">
        <v>98</v>
      </c>
      <c r="Q1707">
        <v>2</v>
      </c>
      <c r="R1707">
        <v>111</v>
      </c>
      <c r="S1707">
        <v>225.3</v>
      </c>
      <c r="T1707" t="s">
        <v>65</v>
      </c>
      <c r="U1707" s="7">
        <f t="shared" si="104"/>
        <v>74</v>
      </c>
      <c r="V1707" s="7">
        <f t="shared" si="105"/>
        <v>1</v>
      </c>
      <c r="W1707" s="6">
        <f t="shared" si="106"/>
        <v>34966.539999999994</v>
      </c>
      <c r="X1707" t="str">
        <f t="shared" si="107"/>
        <v>Senior</v>
      </c>
    </row>
    <row r="1708" spans="1:24">
      <c r="A1708" t="s">
        <v>3642</v>
      </c>
      <c r="B1708" t="s">
        <v>513</v>
      </c>
      <c r="C1708" t="s">
        <v>133</v>
      </c>
      <c r="D1708" s="5">
        <v>38051</v>
      </c>
      <c r="E1708" s="5">
        <v>45778</v>
      </c>
      <c r="F1708" s="5">
        <v>45782</v>
      </c>
      <c r="G1708" t="s">
        <v>43</v>
      </c>
      <c r="H1708" t="s">
        <v>118</v>
      </c>
      <c r="I1708" t="s">
        <v>96</v>
      </c>
      <c r="J1708" t="s">
        <v>64</v>
      </c>
      <c r="K1708" t="s">
        <v>110</v>
      </c>
      <c r="L1708" s="6">
        <v>9584.2999999999993</v>
      </c>
      <c r="M1708">
        <v>9155.65</v>
      </c>
      <c r="N1708" t="s">
        <v>35</v>
      </c>
      <c r="O1708">
        <v>4</v>
      </c>
      <c r="P1708">
        <v>170</v>
      </c>
      <c r="Q1708">
        <v>3</v>
      </c>
      <c r="R1708">
        <v>153</v>
      </c>
      <c r="S1708">
        <v>150.69999999999999</v>
      </c>
      <c r="T1708" t="s">
        <v>37</v>
      </c>
      <c r="U1708" s="7">
        <f t="shared" si="104"/>
        <v>21</v>
      </c>
      <c r="V1708" s="7">
        <f t="shared" si="105"/>
        <v>4</v>
      </c>
      <c r="W1708" s="6">
        <f t="shared" si="106"/>
        <v>428.64999999999964</v>
      </c>
      <c r="X1708" t="str">
        <f t="shared" si="107"/>
        <v>Adult</v>
      </c>
    </row>
    <row r="1709" spans="1:24">
      <c r="A1709" t="s">
        <v>4206</v>
      </c>
      <c r="B1709" t="s">
        <v>522</v>
      </c>
      <c r="C1709" t="s">
        <v>40</v>
      </c>
      <c r="D1709" s="5">
        <v>26152</v>
      </c>
      <c r="E1709" s="5">
        <v>45461</v>
      </c>
      <c r="F1709" s="5">
        <v>45470</v>
      </c>
      <c r="G1709" t="s">
        <v>89</v>
      </c>
      <c r="H1709" t="s">
        <v>63</v>
      </c>
      <c r="I1709" t="s">
        <v>79</v>
      </c>
      <c r="J1709" t="s">
        <v>80</v>
      </c>
      <c r="K1709" t="s">
        <v>55</v>
      </c>
      <c r="L1709" s="6">
        <v>53118.09</v>
      </c>
      <c r="M1709">
        <v>46219.46</v>
      </c>
      <c r="N1709" t="s">
        <v>35</v>
      </c>
      <c r="O1709">
        <v>9</v>
      </c>
      <c r="P1709">
        <v>136</v>
      </c>
      <c r="Q1709">
        <v>5</v>
      </c>
      <c r="R1709">
        <v>165</v>
      </c>
      <c r="S1709">
        <v>201.6</v>
      </c>
      <c r="T1709" t="s">
        <v>47</v>
      </c>
      <c r="U1709" s="7">
        <f t="shared" si="104"/>
        <v>52</v>
      </c>
      <c r="V1709" s="7">
        <f t="shared" si="105"/>
        <v>9</v>
      </c>
      <c r="W1709" s="6">
        <f t="shared" si="106"/>
        <v>6898.6299999999974</v>
      </c>
      <c r="X1709" t="str">
        <f t="shared" si="107"/>
        <v>Middle Age</v>
      </c>
    </row>
    <row r="1710" spans="1:24">
      <c r="A1710" t="s">
        <v>3646</v>
      </c>
      <c r="B1710" t="s">
        <v>433</v>
      </c>
      <c r="C1710" t="s">
        <v>40</v>
      </c>
      <c r="D1710" s="5">
        <v>39027</v>
      </c>
      <c r="E1710" s="5">
        <v>45353</v>
      </c>
      <c r="F1710" s="5">
        <v>45360</v>
      </c>
      <c r="G1710" t="s">
        <v>94</v>
      </c>
      <c r="H1710" t="s">
        <v>124</v>
      </c>
      <c r="I1710" t="s">
        <v>96</v>
      </c>
      <c r="J1710" t="s">
        <v>26</v>
      </c>
      <c r="K1710" t="s">
        <v>27</v>
      </c>
      <c r="L1710" s="6">
        <v>158300.98000000001</v>
      </c>
      <c r="M1710">
        <v>105831.94</v>
      </c>
      <c r="N1710" t="s">
        <v>192</v>
      </c>
      <c r="O1710">
        <v>7</v>
      </c>
      <c r="P1710">
        <v>124</v>
      </c>
      <c r="Q1710">
        <v>2</v>
      </c>
      <c r="R1710">
        <v>108</v>
      </c>
      <c r="S1710">
        <v>163</v>
      </c>
      <c r="T1710" t="s">
        <v>37</v>
      </c>
      <c r="U1710" s="7">
        <f t="shared" si="104"/>
        <v>17</v>
      </c>
      <c r="V1710" s="7">
        <f t="shared" si="105"/>
        <v>7</v>
      </c>
      <c r="W1710" s="6">
        <f t="shared" si="106"/>
        <v>52469.040000000008</v>
      </c>
      <c r="X1710" t="str">
        <f t="shared" si="107"/>
        <v>Child</v>
      </c>
    </row>
    <row r="1711" spans="1:24">
      <c r="A1711" t="s">
        <v>3647</v>
      </c>
      <c r="B1711" t="s">
        <v>752</v>
      </c>
      <c r="C1711" t="s">
        <v>133</v>
      </c>
      <c r="D1711" s="5">
        <v>40243</v>
      </c>
      <c r="E1711" s="5">
        <v>45037</v>
      </c>
      <c r="F1711" s="5">
        <v>45047</v>
      </c>
      <c r="G1711" t="s">
        <v>109</v>
      </c>
      <c r="H1711" t="s">
        <v>113</v>
      </c>
      <c r="I1711" t="s">
        <v>45</v>
      </c>
      <c r="J1711" t="s">
        <v>46</v>
      </c>
      <c r="K1711" t="s">
        <v>55</v>
      </c>
      <c r="L1711" s="6">
        <v>30273.32</v>
      </c>
      <c r="M1711">
        <v>24574.32</v>
      </c>
      <c r="N1711" t="s">
        <v>73</v>
      </c>
      <c r="O1711">
        <v>10</v>
      </c>
      <c r="P1711">
        <v>229</v>
      </c>
      <c r="Q1711">
        <v>4</v>
      </c>
      <c r="R1711">
        <v>102</v>
      </c>
      <c r="S1711">
        <v>163.5</v>
      </c>
      <c r="T1711" t="s">
        <v>65</v>
      </c>
      <c r="U1711" s="7">
        <f t="shared" si="104"/>
        <v>13</v>
      </c>
      <c r="V1711" s="7">
        <f t="shared" si="105"/>
        <v>10</v>
      </c>
      <c r="W1711" s="6">
        <f t="shared" si="106"/>
        <v>5699</v>
      </c>
      <c r="X1711" t="str">
        <f t="shared" si="107"/>
        <v>Child</v>
      </c>
    </row>
    <row r="1712" spans="1:24">
      <c r="A1712" t="s">
        <v>3649</v>
      </c>
      <c r="B1712" t="s">
        <v>986</v>
      </c>
      <c r="C1712" t="s">
        <v>133</v>
      </c>
      <c r="D1712" s="5">
        <v>21984</v>
      </c>
      <c r="E1712" s="5">
        <v>45126</v>
      </c>
      <c r="F1712" s="5" t="s">
        <v>4237</v>
      </c>
      <c r="G1712" t="s">
        <v>161</v>
      </c>
      <c r="H1712" t="s">
        <v>95</v>
      </c>
      <c r="I1712" t="s">
        <v>45</v>
      </c>
      <c r="J1712" t="s">
        <v>26</v>
      </c>
      <c r="K1712" t="s">
        <v>55</v>
      </c>
      <c r="L1712" s="6">
        <v>61543.21</v>
      </c>
      <c r="M1712">
        <v>52782.53</v>
      </c>
      <c r="N1712" t="s">
        <v>73</v>
      </c>
      <c r="O1712">
        <v>16</v>
      </c>
      <c r="P1712">
        <v>58</v>
      </c>
      <c r="Q1712">
        <v>5</v>
      </c>
      <c r="R1712">
        <v>94</v>
      </c>
      <c r="S1712">
        <v>112.6</v>
      </c>
      <c r="T1712" t="s">
        <v>37</v>
      </c>
      <c r="U1712" s="7">
        <f t="shared" si="104"/>
        <v>63</v>
      </c>
      <c r="V1712" s="7" t="s">
        <v>4237</v>
      </c>
      <c r="W1712" s="6">
        <f t="shared" si="106"/>
        <v>8760.68</v>
      </c>
      <c r="X1712" t="str">
        <f t="shared" si="107"/>
        <v>Senior</v>
      </c>
    </row>
    <row r="1713" spans="1:24">
      <c r="A1713" t="s">
        <v>3650</v>
      </c>
      <c r="B1713" t="s">
        <v>1017</v>
      </c>
      <c r="C1713" t="s">
        <v>133</v>
      </c>
      <c r="D1713" s="5">
        <v>19411</v>
      </c>
      <c r="E1713" s="5">
        <v>45612</v>
      </c>
      <c r="F1713" s="5">
        <v>45617</v>
      </c>
      <c r="G1713" t="s">
        <v>161</v>
      </c>
      <c r="H1713" t="s">
        <v>32</v>
      </c>
      <c r="I1713" t="s">
        <v>79</v>
      </c>
      <c r="J1713" t="s">
        <v>64</v>
      </c>
      <c r="K1713" t="s">
        <v>55</v>
      </c>
      <c r="L1713" s="6">
        <v>93584.31</v>
      </c>
      <c r="M1713">
        <v>76852.69</v>
      </c>
      <c r="N1713" t="s">
        <v>35</v>
      </c>
      <c r="O1713">
        <v>5</v>
      </c>
      <c r="P1713">
        <v>25</v>
      </c>
      <c r="Q1713">
        <v>2</v>
      </c>
      <c r="R1713">
        <v>139</v>
      </c>
      <c r="S1713">
        <v>251.1</v>
      </c>
      <c r="T1713" t="s">
        <v>37</v>
      </c>
      <c r="U1713" s="7">
        <f t="shared" si="104"/>
        <v>71</v>
      </c>
      <c r="V1713" s="7">
        <f t="shared" si="105"/>
        <v>5</v>
      </c>
      <c r="W1713" s="6">
        <f t="shared" si="106"/>
        <v>16731.619999999995</v>
      </c>
      <c r="X1713" t="str">
        <f t="shared" si="107"/>
        <v>Senior</v>
      </c>
    </row>
    <row r="1714" spans="1:24">
      <c r="A1714" t="s">
        <v>3651</v>
      </c>
      <c r="B1714" t="s">
        <v>879</v>
      </c>
      <c r="C1714" t="s">
        <v>40</v>
      </c>
      <c r="D1714" s="5">
        <v>27115</v>
      </c>
      <c r="E1714" s="5">
        <v>45188</v>
      </c>
      <c r="F1714" s="5">
        <v>45192</v>
      </c>
      <c r="G1714" t="s">
        <v>94</v>
      </c>
      <c r="H1714" t="s">
        <v>153</v>
      </c>
      <c r="I1714" t="s">
        <v>119</v>
      </c>
      <c r="J1714" t="s">
        <v>179</v>
      </c>
      <c r="K1714" t="s">
        <v>55</v>
      </c>
      <c r="L1714" s="6">
        <v>159164.07</v>
      </c>
      <c r="M1714">
        <v>116422.44</v>
      </c>
      <c r="N1714" t="s">
        <v>73</v>
      </c>
      <c r="O1714">
        <v>4</v>
      </c>
      <c r="P1714">
        <v>74</v>
      </c>
      <c r="Q1714">
        <v>5</v>
      </c>
      <c r="R1714">
        <v>167</v>
      </c>
      <c r="S1714">
        <v>141.6</v>
      </c>
      <c r="T1714" t="s">
        <v>4237</v>
      </c>
      <c r="U1714" s="7">
        <f t="shared" si="104"/>
        <v>49</v>
      </c>
      <c r="V1714" s="7">
        <f t="shared" si="105"/>
        <v>4</v>
      </c>
      <c r="W1714" s="6">
        <f t="shared" si="106"/>
        <v>42741.630000000005</v>
      </c>
      <c r="X1714" t="str">
        <f t="shared" si="107"/>
        <v>Middle Age</v>
      </c>
    </row>
    <row r="1715" spans="1:24">
      <c r="A1715" t="s">
        <v>3653</v>
      </c>
      <c r="B1715" t="s">
        <v>116</v>
      </c>
      <c r="C1715" t="s">
        <v>40</v>
      </c>
      <c r="D1715" s="5">
        <v>28561</v>
      </c>
      <c r="E1715" s="5">
        <v>45530</v>
      </c>
      <c r="F1715" s="5">
        <v>45545</v>
      </c>
      <c r="G1715" t="s">
        <v>152</v>
      </c>
      <c r="H1715" t="s">
        <v>78</v>
      </c>
      <c r="I1715" t="s">
        <v>25</v>
      </c>
      <c r="J1715" t="s">
        <v>71</v>
      </c>
      <c r="K1715" t="s">
        <v>161</v>
      </c>
      <c r="L1715" s="6">
        <v>123650.21</v>
      </c>
      <c r="M1715">
        <v>123339.73</v>
      </c>
      <c r="N1715" t="s">
        <v>91</v>
      </c>
      <c r="O1715">
        <v>15</v>
      </c>
      <c r="P1715">
        <v>178</v>
      </c>
      <c r="Q1715">
        <v>2</v>
      </c>
      <c r="R1715">
        <v>147</v>
      </c>
      <c r="S1715">
        <v>229</v>
      </c>
      <c r="T1715" t="s">
        <v>37</v>
      </c>
      <c r="U1715" s="7">
        <f t="shared" si="104"/>
        <v>46</v>
      </c>
      <c r="V1715" s="7">
        <f t="shared" si="105"/>
        <v>15</v>
      </c>
      <c r="W1715" s="6">
        <f t="shared" si="106"/>
        <v>310.48000000001048</v>
      </c>
      <c r="X1715" t="str">
        <f t="shared" si="107"/>
        <v>Middle Age</v>
      </c>
    </row>
    <row r="1716" spans="1:24">
      <c r="A1716" t="s">
        <v>3655</v>
      </c>
      <c r="B1716" t="s">
        <v>1464</v>
      </c>
      <c r="C1716" t="s">
        <v>40</v>
      </c>
      <c r="D1716" s="5" t="s">
        <v>4237</v>
      </c>
      <c r="E1716" s="5">
        <v>45578</v>
      </c>
      <c r="F1716" s="5" t="s">
        <v>4237</v>
      </c>
      <c r="G1716" t="s">
        <v>161</v>
      </c>
      <c r="H1716" t="s">
        <v>95</v>
      </c>
      <c r="I1716" t="s">
        <v>79</v>
      </c>
      <c r="J1716" t="s">
        <v>71</v>
      </c>
      <c r="K1716" t="s">
        <v>161</v>
      </c>
      <c r="L1716" s="6">
        <v>96279.4</v>
      </c>
      <c r="M1716">
        <v>92951.38</v>
      </c>
      <c r="N1716" t="s">
        <v>35</v>
      </c>
      <c r="O1716">
        <v>6</v>
      </c>
      <c r="P1716">
        <v>161</v>
      </c>
      <c r="Q1716">
        <v>4</v>
      </c>
      <c r="R1716">
        <v>93</v>
      </c>
      <c r="S1716">
        <v>117.5</v>
      </c>
      <c r="T1716" t="s">
        <v>37</v>
      </c>
      <c r="U1716" s="7" t="s">
        <v>4237</v>
      </c>
      <c r="V1716" s="7" t="s">
        <v>4237</v>
      </c>
      <c r="W1716" s="6">
        <f t="shared" si="106"/>
        <v>3328.0199999999895</v>
      </c>
      <c r="X1716" t="s">
        <v>4237</v>
      </c>
    </row>
    <row r="1717" spans="1:24">
      <c r="A1717" t="s">
        <v>3658</v>
      </c>
      <c r="B1717" t="s">
        <v>565</v>
      </c>
      <c r="C1717" t="s">
        <v>40</v>
      </c>
      <c r="D1717" s="5">
        <v>29803</v>
      </c>
      <c r="E1717" s="5">
        <v>45830</v>
      </c>
      <c r="F1717" s="5">
        <v>45834</v>
      </c>
      <c r="G1717" t="s">
        <v>109</v>
      </c>
      <c r="H1717" t="s">
        <v>153</v>
      </c>
      <c r="I1717" t="s">
        <v>53</v>
      </c>
      <c r="J1717" t="s">
        <v>97</v>
      </c>
      <c r="K1717" t="s">
        <v>161</v>
      </c>
      <c r="L1717" s="6">
        <v>66202.95</v>
      </c>
      <c r="M1717">
        <v>66114.25</v>
      </c>
      <c r="N1717" t="s">
        <v>91</v>
      </c>
      <c r="O1717">
        <v>4</v>
      </c>
      <c r="P1717">
        <v>200</v>
      </c>
      <c r="Q1717">
        <v>1</v>
      </c>
      <c r="R1717">
        <v>181</v>
      </c>
      <c r="S1717">
        <v>108.7</v>
      </c>
      <c r="T1717" t="s">
        <v>37</v>
      </c>
      <c r="U1717" s="7">
        <f t="shared" si="104"/>
        <v>43</v>
      </c>
      <c r="V1717" s="7">
        <f t="shared" si="105"/>
        <v>4</v>
      </c>
      <c r="W1717" s="6">
        <f t="shared" si="106"/>
        <v>88.69999999999709</v>
      </c>
      <c r="X1717" t="str">
        <f t="shared" si="107"/>
        <v>Middle Age</v>
      </c>
    </row>
    <row r="1718" spans="1:24">
      <c r="A1718" t="s">
        <v>3659</v>
      </c>
      <c r="B1718" t="s">
        <v>155</v>
      </c>
      <c r="C1718" t="s">
        <v>40</v>
      </c>
      <c r="D1718" s="5">
        <v>26416</v>
      </c>
      <c r="E1718" s="5">
        <v>45904</v>
      </c>
      <c r="F1718" s="5">
        <v>45906</v>
      </c>
      <c r="G1718" t="s">
        <v>152</v>
      </c>
      <c r="H1718" t="s">
        <v>124</v>
      </c>
      <c r="I1718" t="s">
        <v>79</v>
      </c>
      <c r="J1718" t="s">
        <v>80</v>
      </c>
      <c r="K1718" t="s">
        <v>27</v>
      </c>
      <c r="L1718" s="6">
        <v>42395.75</v>
      </c>
      <c r="M1718">
        <v>37206.480000000003</v>
      </c>
      <c r="N1718" t="s">
        <v>35</v>
      </c>
      <c r="O1718">
        <v>2</v>
      </c>
      <c r="P1718">
        <v>159</v>
      </c>
      <c r="Q1718">
        <v>4</v>
      </c>
      <c r="R1718">
        <v>174</v>
      </c>
      <c r="S1718">
        <v>189.1</v>
      </c>
      <c r="T1718" t="s">
        <v>37</v>
      </c>
      <c r="U1718" s="7">
        <f t="shared" si="104"/>
        <v>53</v>
      </c>
      <c r="V1718" s="7">
        <f t="shared" si="105"/>
        <v>2</v>
      </c>
      <c r="W1718" s="6">
        <f t="shared" si="106"/>
        <v>5189.2699999999968</v>
      </c>
      <c r="X1718" t="str">
        <f t="shared" si="107"/>
        <v>Middle Age</v>
      </c>
    </row>
    <row r="1719" spans="1:24">
      <c r="A1719" t="s">
        <v>3660</v>
      </c>
      <c r="B1719" t="s">
        <v>591</v>
      </c>
      <c r="C1719" t="s">
        <v>133</v>
      </c>
      <c r="D1719" s="5">
        <v>27856</v>
      </c>
      <c r="E1719" s="5">
        <v>45106</v>
      </c>
      <c r="F1719" s="5">
        <v>45123</v>
      </c>
      <c r="G1719" t="s">
        <v>94</v>
      </c>
      <c r="H1719" t="s">
        <v>78</v>
      </c>
      <c r="I1719" t="s">
        <v>119</v>
      </c>
      <c r="J1719" t="s">
        <v>26</v>
      </c>
      <c r="K1719" t="s">
        <v>120</v>
      </c>
      <c r="L1719" s="6">
        <v>182497.01</v>
      </c>
      <c r="M1719">
        <v>140759.23000000001</v>
      </c>
      <c r="N1719" t="s">
        <v>73</v>
      </c>
      <c r="O1719">
        <v>17</v>
      </c>
      <c r="P1719">
        <v>200</v>
      </c>
      <c r="Q1719">
        <v>4</v>
      </c>
      <c r="R1719">
        <v>162</v>
      </c>
      <c r="S1719">
        <v>204.1</v>
      </c>
      <c r="T1719" t="s">
        <v>37</v>
      </c>
      <c r="U1719" s="7">
        <f t="shared" si="104"/>
        <v>47</v>
      </c>
      <c r="V1719" s="7">
        <f t="shared" si="105"/>
        <v>17</v>
      </c>
      <c r="W1719" s="6">
        <f t="shared" si="106"/>
        <v>41737.78</v>
      </c>
      <c r="X1719" t="str">
        <f t="shared" si="107"/>
        <v>Middle Age</v>
      </c>
    </row>
    <row r="1720" spans="1:24">
      <c r="A1720" t="s">
        <v>3661</v>
      </c>
      <c r="B1720" t="s">
        <v>833</v>
      </c>
      <c r="C1720" t="s">
        <v>133</v>
      </c>
      <c r="D1720" s="5" t="s">
        <v>4237</v>
      </c>
      <c r="E1720" s="5">
        <v>45580</v>
      </c>
      <c r="F1720" s="5">
        <v>45591</v>
      </c>
      <c r="G1720" t="s">
        <v>109</v>
      </c>
      <c r="H1720" t="s">
        <v>86</v>
      </c>
      <c r="I1720" t="s">
        <v>45</v>
      </c>
      <c r="J1720" t="s">
        <v>71</v>
      </c>
      <c r="K1720" t="s">
        <v>27</v>
      </c>
      <c r="L1720" s="6">
        <v>142049.94</v>
      </c>
      <c r="M1720">
        <v>123299.6</v>
      </c>
      <c r="N1720" t="s">
        <v>35</v>
      </c>
      <c r="O1720">
        <v>11</v>
      </c>
      <c r="P1720">
        <v>121</v>
      </c>
      <c r="Q1720">
        <v>4</v>
      </c>
      <c r="R1720">
        <v>106</v>
      </c>
      <c r="S1720">
        <v>163.5</v>
      </c>
      <c r="T1720" t="s">
        <v>65</v>
      </c>
      <c r="U1720" s="7" t="s">
        <v>4237</v>
      </c>
      <c r="V1720" s="7">
        <f t="shared" si="105"/>
        <v>11</v>
      </c>
      <c r="W1720" s="6">
        <f t="shared" si="106"/>
        <v>18750.339999999997</v>
      </c>
      <c r="X1720" t="s">
        <v>4237</v>
      </c>
    </row>
    <row r="1721" spans="1:24">
      <c r="A1721" t="s">
        <v>3664</v>
      </c>
      <c r="B1721" t="s">
        <v>845</v>
      </c>
      <c r="C1721" t="s">
        <v>40</v>
      </c>
      <c r="D1721" s="5">
        <v>27127</v>
      </c>
      <c r="E1721" s="5">
        <v>45200</v>
      </c>
      <c r="F1721" s="5">
        <v>45210</v>
      </c>
      <c r="G1721" t="s">
        <v>152</v>
      </c>
      <c r="H1721" t="s">
        <v>113</v>
      </c>
      <c r="I1721" t="s">
        <v>33</v>
      </c>
      <c r="J1721" t="s">
        <v>97</v>
      </c>
      <c r="K1721" t="s">
        <v>110</v>
      </c>
      <c r="L1721" s="6">
        <v>78180.88</v>
      </c>
      <c r="M1721">
        <v>63191.81</v>
      </c>
      <c r="N1721" t="s">
        <v>73</v>
      </c>
      <c r="O1721">
        <v>10</v>
      </c>
      <c r="P1721">
        <v>219</v>
      </c>
      <c r="Q1721">
        <v>1</v>
      </c>
      <c r="R1721">
        <v>152</v>
      </c>
      <c r="S1721">
        <v>92.6</v>
      </c>
      <c r="T1721" t="s">
        <v>47</v>
      </c>
      <c r="U1721" s="7">
        <f t="shared" si="104"/>
        <v>49</v>
      </c>
      <c r="V1721" s="7">
        <f t="shared" si="105"/>
        <v>10</v>
      </c>
      <c r="W1721" s="6">
        <f t="shared" si="106"/>
        <v>14989.070000000007</v>
      </c>
      <c r="X1721" t="str">
        <f t="shared" si="107"/>
        <v>Middle Age</v>
      </c>
    </row>
    <row r="1722" spans="1:24">
      <c r="A1722" t="s">
        <v>3667</v>
      </c>
      <c r="B1722" t="s">
        <v>3015</v>
      </c>
      <c r="C1722" t="s">
        <v>133</v>
      </c>
      <c r="D1722" s="5">
        <v>29289</v>
      </c>
      <c r="E1722" s="5">
        <v>45522</v>
      </c>
      <c r="F1722" s="5">
        <v>45534</v>
      </c>
      <c r="G1722" t="s">
        <v>152</v>
      </c>
      <c r="H1722" t="s">
        <v>32</v>
      </c>
      <c r="I1722" t="s">
        <v>79</v>
      </c>
      <c r="J1722" t="s">
        <v>64</v>
      </c>
      <c r="K1722" t="s">
        <v>55</v>
      </c>
      <c r="L1722" s="6">
        <v>146769.49</v>
      </c>
      <c r="M1722">
        <v>118398.76</v>
      </c>
      <c r="N1722" t="s">
        <v>4237</v>
      </c>
      <c r="O1722">
        <v>12</v>
      </c>
      <c r="P1722">
        <v>213</v>
      </c>
      <c r="Q1722">
        <v>4</v>
      </c>
      <c r="R1722">
        <v>116</v>
      </c>
      <c r="S1722">
        <v>86.2</v>
      </c>
      <c r="T1722" t="s">
        <v>37</v>
      </c>
      <c r="U1722" s="7">
        <f t="shared" si="104"/>
        <v>44</v>
      </c>
      <c r="V1722" s="7">
        <f t="shared" si="105"/>
        <v>12</v>
      </c>
      <c r="W1722" s="6">
        <f t="shared" si="106"/>
        <v>28370.729999999996</v>
      </c>
      <c r="X1722" t="str">
        <f t="shared" si="107"/>
        <v>Middle Age</v>
      </c>
    </row>
    <row r="1723" spans="1:24">
      <c r="A1723" t="s">
        <v>3668</v>
      </c>
      <c r="B1723" t="s">
        <v>2918</v>
      </c>
      <c r="C1723" t="s">
        <v>133</v>
      </c>
      <c r="D1723" s="5">
        <v>29080</v>
      </c>
      <c r="E1723" s="5">
        <v>45048</v>
      </c>
      <c r="F1723" s="5">
        <v>45052</v>
      </c>
      <c r="G1723" t="s">
        <v>62</v>
      </c>
      <c r="H1723" t="s">
        <v>86</v>
      </c>
      <c r="I1723" t="s">
        <v>33</v>
      </c>
      <c r="J1723" t="s">
        <v>34</v>
      </c>
      <c r="K1723" t="s">
        <v>55</v>
      </c>
      <c r="L1723" s="6">
        <v>36559.89</v>
      </c>
      <c r="M1723">
        <v>28145.599999999999</v>
      </c>
      <c r="N1723" t="s">
        <v>73</v>
      </c>
      <c r="O1723">
        <v>4</v>
      </c>
      <c r="P1723">
        <v>11</v>
      </c>
      <c r="Q1723">
        <v>1</v>
      </c>
      <c r="R1723">
        <v>92</v>
      </c>
      <c r="S1723">
        <v>111</v>
      </c>
      <c r="T1723" t="s">
        <v>37</v>
      </c>
      <c r="U1723" s="7">
        <f t="shared" si="104"/>
        <v>43</v>
      </c>
      <c r="V1723" s="7">
        <f t="shared" si="105"/>
        <v>4</v>
      </c>
      <c r="W1723" s="6">
        <f t="shared" si="106"/>
        <v>8414.2900000000009</v>
      </c>
      <c r="X1723" t="str">
        <f t="shared" si="107"/>
        <v>Middle Age</v>
      </c>
    </row>
    <row r="1724" spans="1:24">
      <c r="A1724" t="s">
        <v>3670</v>
      </c>
      <c r="B1724" t="s">
        <v>2389</v>
      </c>
      <c r="C1724" t="s">
        <v>40</v>
      </c>
      <c r="D1724" s="5">
        <v>24640</v>
      </c>
      <c r="E1724" s="5">
        <v>45079</v>
      </c>
      <c r="F1724" s="5">
        <v>45092</v>
      </c>
      <c r="G1724" t="s">
        <v>152</v>
      </c>
      <c r="H1724" t="s">
        <v>124</v>
      </c>
      <c r="I1724" t="s">
        <v>33</v>
      </c>
      <c r="J1724" t="s">
        <v>97</v>
      </c>
      <c r="K1724" t="s">
        <v>120</v>
      </c>
      <c r="L1724" s="6">
        <v>149080.12</v>
      </c>
      <c r="M1724">
        <v>128326.13</v>
      </c>
      <c r="N1724" t="s">
        <v>192</v>
      </c>
      <c r="O1724">
        <v>13</v>
      </c>
      <c r="P1724">
        <v>54</v>
      </c>
      <c r="Q1724">
        <v>4</v>
      </c>
      <c r="R1724">
        <v>114</v>
      </c>
      <c r="S1724">
        <v>256.60000000000002</v>
      </c>
      <c r="T1724" t="s">
        <v>37</v>
      </c>
      <c r="U1724" s="7">
        <f t="shared" si="104"/>
        <v>55</v>
      </c>
      <c r="V1724" s="7">
        <f t="shared" si="105"/>
        <v>13</v>
      </c>
      <c r="W1724" s="6">
        <f t="shared" si="106"/>
        <v>20753.989999999991</v>
      </c>
      <c r="X1724" t="str">
        <f t="shared" si="107"/>
        <v>Middle Age</v>
      </c>
    </row>
    <row r="1725" spans="1:24">
      <c r="A1725" t="s">
        <v>3671</v>
      </c>
      <c r="B1725" t="s">
        <v>274</v>
      </c>
      <c r="C1725" t="s">
        <v>40</v>
      </c>
      <c r="D1725" s="5">
        <v>28825</v>
      </c>
      <c r="E1725" s="5">
        <v>45002</v>
      </c>
      <c r="F1725" s="5">
        <v>45015</v>
      </c>
      <c r="G1725" t="s">
        <v>152</v>
      </c>
      <c r="H1725" t="s">
        <v>44</v>
      </c>
      <c r="I1725" t="s">
        <v>53</v>
      </c>
      <c r="J1725" t="s">
        <v>46</v>
      </c>
      <c r="K1725" t="s">
        <v>55</v>
      </c>
      <c r="L1725" s="6">
        <v>42117.1</v>
      </c>
      <c r="M1725">
        <v>36756.76</v>
      </c>
      <c r="N1725" t="s">
        <v>56</v>
      </c>
      <c r="O1725">
        <v>13</v>
      </c>
      <c r="P1725">
        <v>88</v>
      </c>
      <c r="Q1725">
        <v>5</v>
      </c>
      <c r="R1725">
        <v>140</v>
      </c>
      <c r="S1725">
        <v>134</v>
      </c>
      <c r="T1725" t="s">
        <v>4237</v>
      </c>
      <c r="U1725" s="7">
        <f t="shared" si="104"/>
        <v>44</v>
      </c>
      <c r="V1725" s="7">
        <f t="shared" si="105"/>
        <v>13</v>
      </c>
      <c r="W1725" s="6">
        <f t="shared" si="106"/>
        <v>5360.3399999999965</v>
      </c>
      <c r="X1725" t="str">
        <f t="shared" si="107"/>
        <v>Middle Age</v>
      </c>
    </row>
    <row r="1726" spans="1:24">
      <c r="A1726" t="s">
        <v>3673</v>
      </c>
      <c r="B1726" t="s">
        <v>1097</v>
      </c>
      <c r="C1726" t="s">
        <v>133</v>
      </c>
      <c r="D1726" s="5">
        <v>22021</v>
      </c>
      <c r="E1726" s="5">
        <v>45253</v>
      </c>
      <c r="F1726" s="5">
        <v>45262</v>
      </c>
      <c r="G1726" t="s">
        <v>77</v>
      </c>
      <c r="H1726" t="s">
        <v>134</v>
      </c>
      <c r="I1726" t="s">
        <v>79</v>
      </c>
      <c r="J1726" t="s">
        <v>97</v>
      </c>
      <c r="K1726" t="s">
        <v>161</v>
      </c>
      <c r="L1726" s="6">
        <v>43922.5</v>
      </c>
      <c r="M1726">
        <v>31530.57</v>
      </c>
      <c r="N1726" t="s">
        <v>35</v>
      </c>
      <c r="O1726">
        <v>9</v>
      </c>
      <c r="P1726">
        <v>23</v>
      </c>
      <c r="Q1726">
        <v>4</v>
      </c>
      <c r="R1726">
        <v>128</v>
      </c>
      <c r="S1726">
        <v>192.4</v>
      </c>
      <c r="T1726" t="s">
        <v>37</v>
      </c>
      <c r="U1726" s="7">
        <f t="shared" si="104"/>
        <v>63</v>
      </c>
      <c r="V1726" s="7">
        <f t="shared" si="105"/>
        <v>9</v>
      </c>
      <c r="W1726" s="6">
        <f t="shared" si="106"/>
        <v>12391.93</v>
      </c>
      <c r="X1726" t="str">
        <f t="shared" si="107"/>
        <v>Senior</v>
      </c>
    </row>
    <row r="1727" spans="1:24">
      <c r="A1727" t="s">
        <v>3675</v>
      </c>
      <c r="B1727" t="s">
        <v>251</v>
      </c>
      <c r="C1727" t="s">
        <v>133</v>
      </c>
      <c r="D1727" s="5">
        <v>26804</v>
      </c>
      <c r="E1727" s="5">
        <v>45848</v>
      </c>
      <c r="F1727" s="5" t="s">
        <v>4237</v>
      </c>
      <c r="G1727" t="s">
        <v>109</v>
      </c>
      <c r="H1727" t="s">
        <v>86</v>
      </c>
      <c r="I1727" t="s">
        <v>33</v>
      </c>
      <c r="J1727" t="s">
        <v>26</v>
      </c>
      <c r="K1727" t="s">
        <v>27</v>
      </c>
      <c r="L1727" s="6">
        <v>155302.85999999999</v>
      </c>
      <c r="M1727">
        <v>129114.39</v>
      </c>
      <c r="N1727" t="s">
        <v>35</v>
      </c>
      <c r="O1727">
        <v>18</v>
      </c>
      <c r="P1727">
        <v>15</v>
      </c>
      <c r="Q1727">
        <v>4</v>
      </c>
      <c r="R1727">
        <v>127</v>
      </c>
      <c r="S1727">
        <v>231.6</v>
      </c>
      <c r="T1727" t="s">
        <v>37</v>
      </c>
      <c r="U1727" s="7">
        <f t="shared" si="104"/>
        <v>52</v>
      </c>
      <c r="V1727" s="7" t="s">
        <v>4237</v>
      </c>
      <c r="W1727" s="6">
        <f t="shared" si="106"/>
        <v>26188.469999999987</v>
      </c>
      <c r="X1727" t="str">
        <f t="shared" si="107"/>
        <v>Middle Age</v>
      </c>
    </row>
    <row r="1728" spans="1:24">
      <c r="A1728" t="s">
        <v>3676</v>
      </c>
      <c r="B1728" t="s">
        <v>796</v>
      </c>
      <c r="C1728" t="s">
        <v>40</v>
      </c>
      <c r="D1728" s="5">
        <v>24540</v>
      </c>
      <c r="E1728" s="5">
        <v>44936</v>
      </c>
      <c r="F1728" s="5">
        <v>44939</v>
      </c>
      <c r="G1728" t="s">
        <v>152</v>
      </c>
      <c r="H1728" t="s">
        <v>153</v>
      </c>
      <c r="I1728" t="s">
        <v>96</v>
      </c>
      <c r="J1728" t="s">
        <v>80</v>
      </c>
      <c r="K1728" t="s">
        <v>27</v>
      </c>
      <c r="L1728" s="6">
        <v>210553.05</v>
      </c>
      <c r="M1728">
        <v>176686.37</v>
      </c>
      <c r="N1728" t="s">
        <v>35</v>
      </c>
      <c r="O1728">
        <v>3</v>
      </c>
      <c r="P1728">
        <v>206</v>
      </c>
      <c r="Q1728">
        <v>1</v>
      </c>
      <c r="R1728">
        <v>180</v>
      </c>
      <c r="S1728">
        <v>169.7</v>
      </c>
      <c r="T1728" t="s">
        <v>37</v>
      </c>
      <c r="U1728" s="7">
        <f t="shared" si="104"/>
        <v>55</v>
      </c>
      <c r="V1728" s="7">
        <f t="shared" si="105"/>
        <v>3</v>
      </c>
      <c r="W1728" s="6">
        <f t="shared" si="106"/>
        <v>33866.679999999993</v>
      </c>
      <c r="X1728" t="str">
        <f t="shared" si="107"/>
        <v>Middle Age</v>
      </c>
    </row>
    <row r="1729" spans="1:24">
      <c r="A1729" t="s">
        <v>4207</v>
      </c>
      <c r="B1729" t="s">
        <v>298</v>
      </c>
      <c r="C1729" t="s">
        <v>40</v>
      </c>
      <c r="D1729" s="5">
        <v>36083</v>
      </c>
      <c r="E1729" s="5">
        <v>45916</v>
      </c>
      <c r="F1729" s="5">
        <v>45925</v>
      </c>
      <c r="G1729" t="s">
        <v>161</v>
      </c>
      <c r="H1729" t="s">
        <v>44</v>
      </c>
      <c r="I1729" t="s">
        <v>53</v>
      </c>
      <c r="J1729" t="s">
        <v>64</v>
      </c>
      <c r="K1729" t="s">
        <v>120</v>
      </c>
      <c r="L1729" s="6">
        <v>162874.23000000001</v>
      </c>
      <c r="M1729">
        <v>149740.92000000001</v>
      </c>
      <c r="N1729" t="s">
        <v>4237</v>
      </c>
      <c r="O1729">
        <v>9</v>
      </c>
      <c r="P1729">
        <v>222</v>
      </c>
      <c r="Q1729">
        <v>5</v>
      </c>
      <c r="R1729">
        <v>117</v>
      </c>
      <c r="S1729">
        <v>143.1</v>
      </c>
      <c r="T1729" t="s">
        <v>47</v>
      </c>
      <c r="U1729" s="7">
        <f t="shared" si="104"/>
        <v>26</v>
      </c>
      <c r="V1729" s="7">
        <f t="shared" si="105"/>
        <v>9</v>
      </c>
      <c r="W1729" s="6">
        <f t="shared" si="106"/>
        <v>13133.309999999998</v>
      </c>
      <c r="X1729" t="str">
        <f t="shared" si="107"/>
        <v>Adult</v>
      </c>
    </row>
    <row r="1730" spans="1:24">
      <c r="A1730" t="s">
        <v>3680</v>
      </c>
      <c r="B1730" t="s">
        <v>852</v>
      </c>
      <c r="C1730" t="s">
        <v>40</v>
      </c>
      <c r="D1730" s="5">
        <v>39897</v>
      </c>
      <c r="E1730" s="5">
        <v>45577</v>
      </c>
      <c r="F1730" s="5" t="s">
        <v>4237</v>
      </c>
      <c r="G1730" t="s">
        <v>89</v>
      </c>
      <c r="H1730" t="s">
        <v>52</v>
      </c>
      <c r="I1730" t="s">
        <v>119</v>
      </c>
      <c r="J1730" t="s">
        <v>64</v>
      </c>
      <c r="K1730" t="s">
        <v>110</v>
      </c>
      <c r="L1730" s="6">
        <v>3911.86</v>
      </c>
      <c r="M1730">
        <v>3675.48</v>
      </c>
      <c r="N1730" t="s">
        <v>91</v>
      </c>
      <c r="O1730">
        <v>8</v>
      </c>
      <c r="P1730">
        <v>138</v>
      </c>
      <c r="Q1730">
        <v>5</v>
      </c>
      <c r="R1730">
        <v>137</v>
      </c>
      <c r="S1730">
        <v>90.6</v>
      </c>
      <c r="T1730" t="s">
        <v>37</v>
      </c>
      <c r="U1730" s="7">
        <f t="shared" ref="U1730:U1793" si="108">DATEDIF(D1730,E1730,"Y")</f>
        <v>15</v>
      </c>
      <c r="V1730" s="7" t="s">
        <v>4237</v>
      </c>
      <c r="W1730" s="6">
        <f t="shared" ref="W1730:W1793" si="109">L1730-M1730</f>
        <v>236.38000000000011</v>
      </c>
      <c r="X1730" t="str">
        <f t="shared" ref="X1730:X1793" si="110">IF(OR(U1730="",U1730="Unknown"),"",IF(U1730&lt;18,"Child",IF(U1730&lt;40,"Adult",IF(U1730&lt;60,"Middle Age","Senior"))))</f>
        <v>Child</v>
      </c>
    </row>
    <row r="1731" spans="1:24">
      <c r="A1731" t="s">
        <v>3682</v>
      </c>
      <c r="B1731" t="s">
        <v>21</v>
      </c>
      <c r="C1731" t="s">
        <v>133</v>
      </c>
      <c r="D1731" s="5">
        <v>35148</v>
      </c>
      <c r="E1731" s="5">
        <v>45680</v>
      </c>
      <c r="F1731" s="5">
        <v>45693</v>
      </c>
      <c r="G1731" t="s">
        <v>161</v>
      </c>
      <c r="H1731" t="s">
        <v>78</v>
      </c>
      <c r="I1731" t="s">
        <v>33</v>
      </c>
      <c r="J1731" t="s">
        <v>46</v>
      </c>
      <c r="K1731" t="s">
        <v>27</v>
      </c>
      <c r="L1731" s="6">
        <v>114468.09</v>
      </c>
      <c r="M1731">
        <v>87130.01</v>
      </c>
      <c r="N1731" t="s">
        <v>73</v>
      </c>
      <c r="O1731">
        <v>13</v>
      </c>
      <c r="P1731">
        <v>51</v>
      </c>
      <c r="Q1731">
        <v>1</v>
      </c>
      <c r="R1731">
        <v>162</v>
      </c>
      <c r="S1731">
        <v>206.5</v>
      </c>
      <c r="T1731" t="s">
        <v>37</v>
      </c>
      <c r="U1731" s="7">
        <f t="shared" si="108"/>
        <v>28</v>
      </c>
      <c r="V1731" s="7">
        <f t="shared" ref="V1731:V1793" si="111">IF(OR(E1731=" ",F1731=" ",E1731="Unknown",F1731="Unknown")," ",F1731-E1731)</f>
        <v>13</v>
      </c>
      <c r="W1731" s="6">
        <f t="shared" si="109"/>
        <v>27338.080000000002</v>
      </c>
      <c r="X1731" t="str">
        <f t="shared" si="110"/>
        <v>Adult</v>
      </c>
    </row>
    <row r="1732" spans="1:24">
      <c r="A1732" t="s">
        <v>3685</v>
      </c>
      <c r="B1732" t="s">
        <v>806</v>
      </c>
      <c r="C1732" t="s">
        <v>133</v>
      </c>
      <c r="D1732" s="5">
        <v>23208</v>
      </c>
      <c r="E1732" s="5">
        <v>45598</v>
      </c>
      <c r="F1732" s="5">
        <v>45615</v>
      </c>
      <c r="G1732" t="s">
        <v>43</v>
      </c>
      <c r="H1732" t="s">
        <v>118</v>
      </c>
      <c r="I1732" t="s">
        <v>45</v>
      </c>
      <c r="J1732" t="s">
        <v>97</v>
      </c>
      <c r="K1732" t="s">
        <v>120</v>
      </c>
      <c r="L1732" s="6">
        <v>178017.11</v>
      </c>
      <c r="M1732">
        <v>129720.91</v>
      </c>
      <c r="N1732" t="s">
        <v>35</v>
      </c>
      <c r="O1732">
        <v>17</v>
      </c>
      <c r="P1732">
        <v>156</v>
      </c>
      <c r="Q1732">
        <v>5</v>
      </c>
      <c r="R1732">
        <v>95</v>
      </c>
      <c r="S1732">
        <v>83.5</v>
      </c>
      <c r="T1732" t="s">
        <v>37</v>
      </c>
      <c r="U1732" s="7">
        <f t="shared" si="108"/>
        <v>61</v>
      </c>
      <c r="V1732" s="7">
        <f t="shared" si="111"/>
        <v>17</v>
      </c>
      <c r="W1732" s="6">
        <f t="shared" si="109"/>
        <v>48296.199999999983</v>
      </c>
      <c r="X1732" t="str">
        <f t="shared" si="110"/>
        <v>Senior</v>
      </c>
    </row>
    <row r="1733" spans="1:24">
      <c r="A1733" t="s">
        <v>3686</v>
      </c>
      <c r="B1733" t="s">
        <v>693</v>
      </c>
      <c r="C1733" t="s">
        <v>40</v>
      </c>
      <c r="D1733" s="5">
        <v>29093</v>
      </c>
      <c r="E1733" s="5">
        <v>45406</v>
      </c>
      <c r="F1733" s="5">
        <v>45422</v>
      </c>
      <c r="G1733" t="s">
        <v>152</v>
      </c>
      <c r="H1733" t="s">
        <v>52</v>
      </c>
      <c r="I1733" t="s">
        <v>79</v>
      </c>
      <c r="J1733" t="s">
        <v>64</v>
      </c>
      <c r="K1733" t="s">
        <v>55</v>
      </c>
      <c r="L1733" s="6">
        <v>199177.02</v>
      </c>
      <c r="M1733">
        <v>152038.85999999999</v>
      </c>
      <c r="N1733" t="s">
        <v>73</v>
      </c>
      <c r="O1733">
        <v>16</v>
      </c>
      <c r="P1733">
        <v>121</v>
      </c>
      <c r="Q1733">
        <v>4</v>
      </c>
      <c r="R1733">
        <v>129</v>
      </c>
      <c r="S1733">
        <v>148.6</v>
      </c>
      <c r="T1733" t="s">
        <v>37</v>
      </c>
      <c r="U1733" s="7">
        <f t="shared" si="108"/>
        <v>44</v>
      </c>
      <c r="V1733" s="7">
        <f t="shared" si="111"/>
        <v>16</v>
      </c>
      <c r="W1733" s="6">
        <f t="shared" si="109"/>
        <v>47138.16</v>
      </c>
      <c r="X1733" t="str">
        <f t="shared" si="110"/>
        <v>Middle Age</v>
      </c>
    </row>
    <row r="1734" spans="1:24">
      <c r="A1734" t="s">
        <v>3688</v>
      </c>
      <c r="B1734" t="s">
        <v>76</v>
      </c>
      <c r="C1734" t="s">
        <v>133</v>
      </c>
      <c r="D1734" s="5">
        <v>26990</v>
      </c>
      <c r="E1734" s="5">
        <v>45742</v>
      </c>
      <c r="F1734" s="5">
        <v>45755</v>
      </c>
      <c r="G1734" t="s">
        <v>161</v>
      </c>
      <c r="H1734" t="s">
        <v>95</v>
      </c>
      <c r="I1734" t="s">
        <v>25</v>
      </c>
      <c r="J1734" t="s">
        <v>34</v>
      </c>
      <c r="K1734" t="s">
        <v>55</v>
      </c>
      <c r="L1734" s="6">
        <v>25703.439999999999</v>
      </c>
      <c r="M1734">
        <v>22511.33</v>
      </c>
      <c r="N1734" t="s">
        <v>35</v>
      </c>
      <c r="O1734">
        <v>13</v>
      </c>
      <c r="P1734">
        <v>206</v>
      </c>
      <c r="Q1734">
        <v>4</v>
      </c>
      <c r="R1734">
        <v>148</v>
      </c>
      <c r="S1734">
        <v>77.8</v>
      </c>
      <c r="T1734" t="s">
        <v>37</v>
      </c>
      <c r="U1734" s="7">
        <f t="shared" si="108"/>
        <v>51</v>
      </c>
      <c r="V1734" s="7">
        <f t="shared" si="111"/>
        <v>13</v>
      </c>
      <c r="W1734" s="6">
        <f t="shared" si="109"/>
        <v>3192.1099999999969</v>
      </c>
      <c r="X1734" t="str">
        <f t="shared" si="110"/>
        <v>Middle Age</v>
      </c>
    </row>
    <row r="1735" spans="1:24">
      <c r="A1735" t="s">
        <v>3690</v>
      </c>
      <c r="B1735" t="s">
        <v>345</v>
      </c>
      <c r="C1735" t="s">
        <v>40</v>
      </c>
      <c r="D1735" s="5">
        <v>20791</v>
      </c>
      <c r="E1735" s="5">
        <v>45176</v>
      </c>
      <c r="F1735" s="5">
        <v>45208</v>
      </c>
      <c r="G1735" t="s">
        <v>89</v>
      </c>
      <c r="H1735" t="s">
        <v>52</v>
      </c>
      <c r="I1735" t="s">
        <v>79</v>
      </c>
      <c r="J1735" t="s">
        <v>64</v>
      </c>
      <c r="K1735" t="s">
        <v>55</v>
      </c>
      <c r="L1735" s="6">
        <v>50993.07</v>
      </c>
      <c r="M1735">
        <v>46805.74</v>
      </c>
      <c r="N1735" t="s">
        <v>192</v>
      </c>
      <c r="O1735">
        <v>3</v>
      </c>
      <c r="P1735">
        <v>33</v>
      </c>
      <c r="Q1735">
        <v>1</v>
      </c>
      <c r="R1735">
        <v>190</v>
      </c>
      <c r="S1735">
        <v>142.6</v>
      </c>
      <c r="T1735" t="s">
        <v>37</v>
      </c>
      <c r="U1735" s="7">
        <f t="shared" si="108"/>
        <v>66</v>
      </c>
      <c r="V1735" s="7">
        <f t="shared" si="111"/>
        <v>32</v>
      </c>
      <c r="W1735" s="6">
        <f t="shared" si="109"/>
        <v>4187.3300000000017</v>
      </c>
      <c r="X1735" t="str">
        <f t="shared" si="110"/>
        <v>Senior</v>
      </c>
    </row>
    <row r="1736" spans="1:24">
      <c r="A1736" t="s">
        <v>3692</v>
      </c>
      <c r="B1736" t="s">
        <v>986</v>
      </c>
      <c r="C1736" t="s">
        <v>133</v>
      </c>
      <c r="D1736" s="5">
        <v>35501</v>
      </c>
      <c r="E1736" s="5">
        <v>45156</v>
      </c>
      <c r="F1736" s="5">
        <v>45169</v>
      </c>
      <c r="G1736" t="s">
        <v>62</v>
      </c>
      <c r="H1736" t="s">
        <v>118</v>
      </c>
      <c r="I1736" t="s">
        <v>119</v>
      </c>
      <c r="J1736" t="s">
        <v>64</v>
      </c>
      <c r="K1736" t="s">
        <v>110</v>
      </c>
      <c r="L1736" s="6">
        <v>158702.75</v>
      </c>
      <c r="M1736">
        <v>131690.1</v>
      </c>
      <c r="N1736" t="s">
        <v>35</v>
      </c>
      <c r="O1736">
        <v>13</v>
      </c>
      <c r="P1736">
        <v>42</v>
      </c>
      <c r="Q1736">
        <v>2</v>
      </c>
      <c r="R1736">
        <v>98</v>
      </c>
      <c r="S1736">
        <v>240.7</v>
      </c>
      <c r="T1736" t="s">
        <v>37</v>
      </c>
      <c r="U1736" s="7">
        <f t="shared" si="108"/>
        <v>26</v>
      </c>
      <c r="V1736" s="7">
        <f t="shared" si="111"/>
        <v>13</v>
      </c>
      <c r="W1736" s="6">
        <f t="shared" si="109"/>
        <v>27012.649999999994</v>
      </c>
      <c r="X1736" t="str">
        <f t="shared" si="110"/>
        <v>Adult</v>
      </c>
    </row>
    <row r="1737" spans="1:24">
      <c r="A1737" t="s">
        <v>3695</v>
      </c>
      <c r="B1737" t="s">
        <v>1526</v>
      </c>
      <c r="C1737" t="s">
        <v>40</v>
      </c>
      <c r="D1737" s="5">
        <v>38252</v>
      </c>
      <c r="E1737" s="5">
        <v>45217</v>
      </c>
      <c r="F1737" s="5">
        <v>45228</v>
      </c>
      <c r="G1737" t="s">
        <v>109</v>
      </c>
      <c r="H1737" t="s">
        <v>113</v>
      </c>
      <c r="I1737" t="s">
        <v>25</v>
      </c>
      <c r="J1737" t="s">
        <v>46</v>
      </c>
      <c r="K1737" t="s">
        <v>55</v>
      </c>
      <c r="L1737" s="6">
        <v>174590.73</v>
      </c>
      <c r="M1737">
        <v>154566.31</v>
      </c>
      <c r="N1737" t="s">
        <v>192</v>
      </c>
      <c r="O1737">
        <v>11</v>
      </c>
      <c r="P1737">
        <v>89</v>
      </c>
      <c r="Q1737">
        <v>1</v>
      </c>
      <c r="R1737">
        <v>111</v>
      </c>
      <c r="S1737">
        <v>125.9</v>
      </c>
      <c r="T1737" t="s">
        <v>65</v>
      </c>
      <c r="U1737" s="7">
        <f t="shared" si="108"/>
        <v>19</v>
      </c>
      <c r="V1737" s="7">
        <f t="shared" si="111"/>
        <v>11</v>
      </c>
      <c r="W1737" s="6">
        <f t="shared" si="109"/>
        <v>20024.420000000013</v>
      </c>
      <c r="X1737" t="str">
        <f t="shared" si="110"/>
        <v>Adult</v>
      </c>
    </row>
    <row r="1738" spans="1:24">
      <c r="A1738" t="s">
        <v>3696</v>
      </c>
      <c r="B1738" t="s">
        <v>438</v>
      </c>
      <c r="C1738" t="s">
        <v>133</v>
      </c>
      <c r="D1738" s="5">
        <v>21563</v>
      </c>
      <c r="E1738" s="5">
        <v>45111</v>
      </c>
      <c r="F1738" s="5">
        <v>45118</v>
      </c>
      <c r="G1738" t="s">
        <v>152</v>
      </c>
      <c r="H1738" t="s">
        <v>124</v>
      </c>
      <c r="I1738" t="s">
        <v>25</v>
      </c>
      <c r="J1738" t="s">
        <v>80</v>
      </c>
      <c r="K1738" t="s">
        <v>55</v>
      </c>
      <c r="L1738" s="6">
        <v>28702.01</v>
      </c>
      <c r="M1738">
        <v>21300.81</v>
      </c>
      <c r="N1738" t="s">
        <v>192</v>
      </c>
      <c r="O1738">
        <v>7</v>
      </c>
      <c r="P1738">
        <v>113</v>
      </c>
      <c r="Q1738">
        <v>4</v>
      </c>
      <c r="R1738">
        <v>125</v>
      </c>
      <c r="S1738">
        <v>128.4</v>
      </c>
      <c r="T1738" t="s">
        <v>47</v>
      </c>
      <c r="U1738" s="7">
        <f t="shared" si="108"/>
        <v>64</v>
      </c>
      <c r="V1738" s="7">
        <f t="shared" si="111"/>
        <v>7</v>
      </c>
      <c r="W1738" s="6">
        <f t="shared" si="109"/>
        <v>7401.1999999999971</v>
      </c>
      <c r="X1738" t="str">
        <f t="shared" si="110"/>
        <v>Senior</v>
      </c>
    </row>
    <row r="1739" spans="1:24">
      <c r="A1739" t="s">
        <v>3697</v>
      </c>
      <c r="B1739" t="s">
        <v>857</v>
      </c>
      <c r="C1739" t="s">
        <v>133</v>
      </c>
      <c r="D1739" s="5">
        <v>38589</v>
      </c>
      <c r="E1739" s="5">
        <v>45821</v>
      </c>
      <c r="F1739" s="5">
        <v>45827</v>
      </c>
      <c r="G1739" t="s">
        <v>152</v>
      </c>
      <c r="H1739" t="s">
        <v>113</v>
      </c>
      <c r="I1739" t="s">
        <v>53</v>
      </c>
      <c r="J1739" t="s">
        <v>64</v>
      </c>
      <c r="K1739" t="s">
        <v>120</v>
      </c>
      <c r="L1739" s="6">
        <v>212627.14</v>
      </c>
      <c r="M1739">
        <v>143423.62</v>
      </c>
      <c r="N1739" t="s">
        <v>4237</v>
      </c>
      <c r="O1739">
        <v>6</v>
      </c>
      <c r="P1739">
        <v>161</v>
      </c>
      <c r="Q1739">
        <v>2</v>
      </c>
      <c r="R1739">
        <v>171</v>
      </c>
      <c r="S1739">
        <v>77.900000000000006</v>
      </c>
      <c r="T1739" t="s">
        <v>4237</v>
      </c>
      <c r="U1739" s="7">
        <f t="shared" si="108"/>
        <v>19</v>
      </c>
      <c r="V1739" s="7">
        <f t="shared" si="111"/>
        <v>6</v>
      </c>
      <c r="W1739" s="6">
        <f t="shared" si="109"/>
        <v>69203.520000000019</v>
      </c>
      <c r="X1739" t="str">
        <f t="shared" si="110"/>
        <v>Adult</v>
      </c>
    </row>
    <row r="1740" spans="1:24">
      <c r="A1740" t="s">
        <v>3698</v>
      </c>
      <c r="B1740" t="s">
        <v>1108</v>
      </c>
      <c r="C1740" t="s">
        <v>133</v>
      </c>
      <c r="D1740" s="5">
        <v>26526</v>
      </c>
      <c r="E1740" s="5">
        <v>45168</v>
      </c>
      <c r="F1740" s="5">
        <v>45176</v>
      </c>
      <c r="G1740" t="s">
        <v>152</v>
      </c>
      <c r="H1740" t="s">
        <v>32</v>
      </c>
      <c r="I1740" t="s">
        <v>33</v>
      </c>
      <c r="J1740" t="s">
        <v>46</v>
      </c>
      <c r="K1740" t="s">
        <v>27</v>
      </c>
      <c r="L1740" s="6">
        <v>51386.36</v>
      </c>
      <c r="M1740">
        <v>43147.94</v>
      </c>
      <c r="N1740" t="s">
        <v>35</v>
      </c>
      <c r="O1740">
        <v>8</v>
      </c>
      <c r="P1740">
        <v>196</v>
      </c>
      <c r="Q1740">
        <v>4</v>
      </c>
      <c r="R1740">
        <v>171</v>
      </c>
      <c r="S1740">
        <v>230</v>
      </c>
      <c r="T1740" t="s">
        <v>37</v>
      </c>
      <c r="U1740" s="7">
        <f t="shared" si="108"/>
        <v>51</v>
      </c>
      <c r="V1740" s="7">
        <f t="shared" si="111"/>
        <v>8</v>
      </c>
      <c r="W1740" s="6">
        <f t="shared" si="109"/>
        <v>8238.4199999999983</v>
      </c>
      <c r="X1740" t="str">
        <f t="shared" si="110"/>
        <v>Middle Age</v>
      </c>
    </row>
    <row r="1741" spans="1:24">
      <c r="A1741" t="s">
        <v>3700</v>
      </c>
      <c r="B1741" t="s">
        <v>378</v>
      </c>
      <c r="C1741" t="s">
        <v>133</v>
      </c>
      <c r="D1741" s="5">
        <v>36458</v>
      </c>
      <c r="E1741" s="5">
        <v>45520</v>
      </c>
      <c r="F1741" s="5">
        <v>45534</v>
      </c>
      <c r="G1741" t="s">
        <v>105</v>
      </c>
      <c r="H1741" t="s">
        <v>113</v>
      </c>
      <c r="I1741" t="s">
        <v>96</v>
      </c>
      <c r="J1741" t="s">
        <v>179</v>
      </c>
      <c r="K1741" t="s">
        <v>55</v>
      </c>
      <c r="L1741" s="6">
        <v>49303.42</v>
      </c>
      <c r="M1741">
        <v>29713.57</v>
      </c>
      <c r="N1741" t="s">
        <v>91</v>
      </c>
      <c r="O1741">
        <v>14</v>
      </c>
      <c r="P1741">
        <v>12</v>
      </c>
      <c r="Q1741">
        <v>3</v>
      </c>
      <c r="R1741">
        <v>172</v>
      </c>
      <c r="S1741">
        <v>89</v>
      </c>
      <c r="T1741" t="s">
        <v>65</v>
      </c>
      <c r="U1741" s="7">
        <f t="shared" si="108"/>
        <v>24</v>
      </c>
      <c r="V1741" s="7">
        <f t="shared" si="111"/>
        <v>14</v>
      </c>
      <c r="W1741" s="6">
        <f t="shared" si="109"/>
        <v>19589.849999999999</v>
      </c>
      <c r="X1741" t="str">
        <f t="shared" si="110"/>
        <v>Adult</v>
      </c>
    </row>
    <row r="1742" spans="1:24">
      <c r="A1742" t="s">
        <v>3702</v>
      </c>
      <c r="B1742" t="s">
        <v>438</v>
      </c>
      <c r="C1742" t="s">
        <v>40</v>
      </c>
      <c r="D1742" s="5">
        <v>25378</v>
      </c>
      <c r="E1742" s="5">
        <v>45428</v>
      </c>
      <c r="F1742" s="5">
        <v>45435</v>
      </c>
      <c r="G1742" t="s">
        <v>43</v>
      </c>
      <c r="H1742" t="s">
        <v>95</v>
      </c>
      <c r="I1742" t="s">
        <v>53</v>
      </c>
      <c r="J1742" t="s">
        <v>97</v>
      </c>
      <c r="K1742" t="s">
        <v>161</v>
      </c>
      <c r="L1742" s="6">
        <v>194112.72</v>
      </c>
      <c r="M1742">
        <v>153667.59</v>
      </c>
      <c r="N1742" t="s">
        <v>73</v>
      </c>
      <c r="O1742">
        <v>7</v>
      </c>
      <c r="P1742">
        <v>192</v>
      </c>
      <c r="Q1742">
        <v>4</v>
      </c>
      <c r="R1742">
        <v>136</v>
      </c>
      <c r="S1742">
        <v>163.5</v>
      </c>
      <c r="T1742" t="s">
        <v>4237</v>
      </c>
      <c r="U1742" s="7">
        <f t="shared" si="108"/>
        <v>54</v>
      </c>
      <c r="V1742" s="7">
        <f t="shared" si="111"/>
        <v>7</v>
      </c>
      <c r="W1742" s="6">
        <f t="shared" si="109"/>
        <v>40445.130000000005</v>
      </c>
      <c r="X1742" t="str">
        <f t="shared" si="110"/>
        <v>Middle Age</v>
      </c>
    </row>
    <row r="1743" spans="1:24">
      <c r="A1743" t="s">
        <v>3703</v>
      </c>
      <c r="B1743" t="s">
        <v>373</v>
      </c>
      <c r="C1743" t="s">
        <v>133</v>
      </c>
      <c r="D1743" s="5">
        <v>20000</v>
      </c>
      <c r="E1743" s="5">
        <v>45675</v>
      </c>
      <c r="F1743" s="5">
        <v>45690</v>
      </c>
      <c r="G1743" t="s">
        <v>152</v>
      </c>
      <c r="H1743" t="s">
        <v>52</v>
      </c>
      <c r="I1743" t="s">
        <v>96</v>
      </c>
      <c r="J1743" t="s">
        <v>26</v>
      </c>
      <c r="K1743" t="s">
        <v>120</v>
      </c>
      <c r="L1743" s="6">
        <v>31011.97</v>
      </c>
      <c r="M1743">
        <v>25021.72</v>
      </c>
      <c r="N1743" t="s">
        <v>91</v>
      </c>
      <c r="O1743">
        <v>15</v>
      </c>
      <c r="P1743">
        <v>202</v>
      </c>
      <c r="Q1743">
        <v>4</v>
      </c>
      <c r="R1743">
        <v>103</v>
      </c>
      <c r="S1743">
        <v>191</v>
      </c>
      <c r="T1743" t="s">
        <v>47</v>
      </c>
      <c r="U1743" s="7">
        <f t="shared" si="108"/>
        <v>70</v>
      </c>
      <c r="V1743" s="7">
        <f t="shared" si="111"/>
        <v>15</v>
      </c>
      <c r="W1743" s="6">
        <f t="shared" si="109"/>
        <v>5990.25</v>
      </c>
      <c r="X1743" t="str">
        <f t="shared" si="110"/>
        <v>Senior</v>
      </c>
    </row>
    <row r="1744" spans="1:24">
      <c r="A1744" t="s">
        <v>3704</v>
      </c>
      <c r="B1744" t="s">
        <v>221</v>
      </c>
      <c r="C1744" t="s">
        <v>40</v>
      </c>
      <c r="D1744" s="5">
        <v>39370</v>
      </c>
      <c r="E1744" s="5" t="s">
        <v>4237</v>
      </c>
      <c r="F1744" s="5">
        <v>45674</v>
      </c>
      <c r="G1744" t="s">
        <v>77</v>
      </c>
      <c r="H1744" t="s">
        <v>153</v>
      </c>
      <c r="I1744" t="s">
        <v>53</v>
      </c>
      <c r="J1744" t="s">
        <v>26</v>
      </c>
      <c r="K1744" t="s">
        <v>161</v>
      </c>
      <c r="L1744" s="6">
        <v>218258.94</v>
      </c>
      <c r="M1744">
        <v>156995.01999999999</v>
      </c>
      <c r="N1744" t="s">
        <v>56</v>
      </c>
      <c r="O1744">
        <v>1</v>
      </c>
      <c r="P1744">
        <v>172</v>
      </c>
      <c r="Q1744">
        <v>4</v>
      </c>
      <c r="R1744">
        <v>101</v>
      </c>
      <c r="S1744">
        <v>81.8</v>
      </c>
      <c r="T1744" t="s">
        <v>4237</v>
      </c>
      <c r="U1744" s="7" t="s">
        <v>4237</v>
      </c>
      <c r="V1744" s="7" t="s">
        <v>4237</v>
      </c>
      <c r="W1744" s="6">
        <f t="shared" si="109"/>
        <v>61263.920000000013</v>
      </c>
      <c r="X1744" t="s">
        <v>4237</v>
      </c>
    </row>
    <row r="1745" spans="1:24">
      <c r="A1745" t="s">
        <v>3706</v>
      </c>
      <c r="B1745" t="s">
        <v>342</v>
      </c>
      <c r="C1745" t="s">
        <v>40</v>
      </c>
      <c r="D1745" s="5">
        <v>31074</v>
      </c>
      <c r="E1745" s="5">
        <v>46004</v>
      </c>
      <c r="F1745" s="5">
        <v>46010</v>
      </c>
      <c r="G1745" t="s">
        <v>94</v>
      </c>
      <c r="H1745" t="s">
        <v>124</v>
      </c>
      <c r="I1745" t="s">
        <v>79</v>
      </c>
      <c r="J1745" t="s">
        <v>34</v>
      </c>
      <c r="K1745" t="s">
        <v>55</v>
      </c>
      <c r="L1745" s="6">
        <v>105752.4</v>
      </c>
      <c r="M1745">
        <v>96075.3</v>
      </c>
      <c r="N1745" t="s">
        <v>35</v>
      </c>
      <c r="O1745">
        <v>6</v>
      </c>
      <c r="P1745">
        <v>30</v>
      </c>
      <c r="Q1745">
        <v>2</v>
      </c>
      <c r="R1745">
        <v>129</v>
      </c>
      <c r="S1745">
        <v>116.8</v>
      </c>
      <c r="T1745" t="s">
        <v>4237</v>
      </c>
      <c r="U1745" s="7">
        <f t="shared" si="108"/>
        <v>40</v>
      </c>
      <c r="V1745" s="7">
        <f t="shared" si="111"/>
        <v>6</v>
      </c>
      <c r="W1745" s="6">
        <f t="shared" si="109"/>
        <v>9677.0999999999913</v>
      </c>
      <c r="X1745" t="str">
        <f t="shared" si="110"/>
        <v>Middle Age</v>
      </c>
    </row>
    <row r="1746" spans="1:24">
      <c r="A1746" t="s">
        <v>3709</v>
      </c>
      <c r="B1746" t="s">
        <v>270</v>
      </c>
      <c r="C1746" t="s">
        <v>133</v>
      </c>
      <c r="D1746" s="5">
        <v>21466</v>
      </c>
      <c r="E1746" s="5">
        <v>44989</v>
      </c>
      <c r="F1746" s="5">
        <v>45002</v>
      </c>
      <c r="G1746" t="s">
        <v>94</v>
      </c>
      <c r="H1746" t="s">
        <v>44</v>
      </c>
      <c r="I1746" t="s">
        <v>79</v>
      </c>
      <c r="J1746" t="s">
        <v>26</v>
      </c>
      <c r="K1746" t="s">
        <v>110</v>
      </c>
      <c r="L1746" s="6">
        <v>72118.69</v>
      </c>
      <c r="M1746">
        <v>61435.29</v>
      </c>
      <c r="N1746" t="s">
        <v>56</v>
      </c>
      <c r="O1746">
        <v>13</v>
      </c>
      <c r="P1746">
        <v>56</v>
      </c>
      <c r="Q1746">
        <v>4</v>
      </c>
      <c r="R1746">
        <v>185</v>
      </c>
      <c r="S1746">
        <v>82</v>
      </c>
      <c r="T1746" t="s">
        <v>37</v>
      </c>
      <c r="U1746" s="7">
        <f t="shared" si="108"/>
        <v>64</v>
      </c>
      <c r="V1746" s="7">
        <f t="shared" si="111"/>
        <v>13</v>
      </c>
      <c r="W1746" s="6">
        <f t="shared" si="109"/>
        <v>10683.400000000001</v>
      </c>
      <c r="X1746" t="str">
        <f t="shared" si="110"/>
        <v>Senior</v>
      </c>
    </row>
    <row r="1747" spans="1:24">
      <c r="A1747" t="s">
        <v>3710</v>
      </c>
      <c r="B1747" t="s">
        <v>116</v>
      </c>
      <c r="C1747" t="s">
        <v>40</v>
      </c>
      <c r="D1747" s="5">
        <v>38873</v>
      </c>
      <c r="E1747" s="5">
        <v>45967</v>
      </c>
      <c r="F1747" s="5">
        <v>45983</v>
      </c>
      <c r="G1747" t="s">
        <v>62</v>
      </c>
      <c r="H1747" t="s">
        <v>113</v>
      </c>
      <c r="I1747" t="s">
        <v>33</v>
      </c>
      <c r="J1747" t="s">
        <v>46</v>
      </c>
      <c r="K1747" t="s">
        <v>120</v>
      </c>
      <c r="L1747" s="6">
        <v>204668.36</v>
      </c>
      <c r="M1747">
        <v>98646.34</v>
      </c>
      <c r="N1747" t="s">
        <v>73</v>
      </c>
      <c r="O1747">
        <v>16</v>
      </c>
      <c r="P1747">
        <v>147</v>
      </c>
      <c r="Q1747">
        <v>4</v>
      </c>
      <c r="R1747">
        <v>112</v>
      </c>
      <c r="S1747">
        <v>105.6</v>
      </c>
      <c r="T1747" t="s">
        <v>65</v>
      </c>
      <c r="U1747" s="7">
        <f t="shared" si="108"/>
        <v>19</v>
      </c>
      <c r="V1747" s="7">
        <f t="shared" si="111"/>
        <v>16</v>
      </c>
      <c r="W1747" s="6">
        <f t="shared" si="109"/>
        <v>106022.01999999999</v>
      </c>
      <c r="X1747" t="str">
        <f t="shared" si="110"/>
        <v>Adult</v>
      </c>
    </row>
    <row r="1748" spans="1:24">
      <c r="A1748" t="s">
        <v>3711</v>
      </c>
      <c r="B1748" t="s">
        <v>796</v>
      </c>
      <c r="C1748" t="s">
        <v>40</v>
      </c>
      <c r="D1748" s="5">
        <v>28744</v>
      </c>
      <c r="E1748" s="5">
        <v>45499</v>
      </c>
      <c r="F1748" s="5">
        <v>45511</v>
      </c>
      <c r="G1748" t="s">
        <v>161</v>
      </c>
      <c r="H1748" t="s">
        <v>95</v>
      </c>
      <c r="I1748" t="s">
        <v>25</v>
      </c>
      <c r="J1748" t="s">
        <v>46</v>
      </c>
      <c r="K1748" t="s">
        <v>27</v>
      </c>
      <c r="L1748" s="6">
        <v>123663.9</v>
      </c>
      <c r="M1748">
        <v>86652.1</v>
      </c>
      <c r="N1748" t="s">
        <v>91</v>
      </c>
      <c r="O1748">
        <v>12</v>
      </c>
      <c r="P1748">
        <v>103</v>
      </c>
      <c r="Q1748">
        <v>3</v>
      </c>
      <c r="R1748">
        <v>185</v>
      </c>
      <c r="S1748">
        <v>151.9</v>
      </c>
      <c r="T1748" t="s">
        <v>47</v>
      </c>
      <c r="U1748" s="7">
        <f t="shared" si="108"/>
        <v>45</v>
      </c>
      <c r="V1748" s="7">
        <f t="shared" si="111"/>
        <v>12</v>
      </c>
      <c r="W1748" s="6">
        <f t="shared" si="109"/>
        <v>37011.799999999988</v>
      </c>
      <c r="X1748" t="str">
        <f t="shared" si="110"/>
        <v>Middle Age</v>
      </c>
    </row>
    <row r="1749" spans="1:24">
      <c r="A1749" t="s">
        <v>3713</v>
      </c>
      <c r="B1749" t="s">
        <v>403</v>
      </c>
      <c r="C1749" t="s">
        <v>133</v>
      </c>
      <c r="D1749" s="5">
        <v>26243</v>
      </c>
      <c r="E1749" s="5">
        <v>45683</v>
      </c>
      <c r="F1749" s="5">
        <v>45696</v>
      </c>
      <c r="G1749" t="s">
        <v>77</v>
      </c>
      <c r="H1749" t="s">
        <v>78</v>
      </c>
      <c r="I1749" t="s">
        <v>33</v>
      </c>
      <c r="J1749" t="s">
        <v>80</v>
      </c>
      <c r="K1749" t="s">
        <v>27</v>
      </c>
      <c r="L1749" s="6">
        <v>28613.94</v>
      </c>
      <c r="M1749">
        <v>21387.07</v>
      </c>
      <c r="N1749" t="s">
        <v>73</v>
      </c>
      <c r="O1749">
        <v>13</v>
      </c>
      <c r="P1749">
        <v>97</v>
      </c>
      <c r="Q1749">
        <v>4</v>
      </c>
      <c r="R1749">
        <v>182</v>
      </c>
      <c r="S1749">
        <v>229.7</v>
      </c>
      <c r="T1749" t="s">
        <v>37</v>
      </c>
      <c r="U1749" s="7">
        <f t="shared" si="108"/>
        <v>53</v>
      </c>
      <c r="V1749" s="7">
        <f t="shared" si="111"/>
        <v>13</v>
      </c>
      <c r="W1749" s="6">
        <f t="shared" si="109"/>
        <v>7226.869999999999</v>
      </c>
      <c r="X1749" t="str">
        <f t="shared" si="110"/>
        <v>Middle Age</v>
      </c>
    </row>
    <row r="1750" spans="1:24">
      <c r="A1750" t="s">
        <v>3714</v>
      </c>
      <c r="B1750" t="s">
        <v>139</v>
      </c>
      <c r="C1750" t="s">
        <v>133</v>
      </c>
      <c r="D1750" s="5">
        <v>32936</v>
      </c>
      <c r="E1750" s="5" t="s">
        <v>4237</v>
      </c>
      <c r="F1750" s="5">
        <v>45619</v>
      </c>
      <c r="G1750" t="s">
        <v>117</v>
      </c>
      <c r="H1750" t="s">
        <v>44</v>
      </c>
      <c r="I1750" t="s">
        <v>96</v>
      </c>
      <c r="J1750" t="s">
        <v>80</v>
      </c>
      <c r="K1750" t="s">
        <v>120</v>
      </c>
      <c r="L1750" s="6">
        <v>139415.67000000001</v>
      </c>
      <c r="M1750">
        <v>105734.39999999999</v>
      </c>
      <c r="N1750" t="s">
        <v>91</v>
      </c>
      <c r="O1750">
        <v>3</v>
      </c>
      <c r="P1750">
        <v>122</v>
      </c>
      <c r="Q1750">
        <v>2</v>
      </c>
      <c r="R1750">
        <v>119</v>
      </c>
      <c r="S1750">
        <v>131.5</v>
      </c>
      <c r="T1750" t="s">
        <v>4237</v>
      </c>
      <c r="U1750" s="7" t="s">
        <v>4237</v>
      </c>
      <c r="V1750" s="7" t="s">
        <v>4237</v>
      </c>
      <c r="W1750" s="6">
        <f t="shared" si="109"/>
        <v>33681.270000000019</v>
      </c>
      <c r="X1750" t="s">
        <v>4237</v>
      </c>
    </row>
    <row r="1751" spans="1:24">
      <c r="A1751" t="s">
        <v>4208</v>
      </c>
      <c r="B1751" t="s">
        <v>898</v>
      </c>
      <c r="C1751" t="s">
        <v>133</v>
      </c>
      <c r="D1751" s="5">
        <v>22266</v>
      </c>
      <c r="E1751" s="5">
        <v>45363</v>
      </c>
      <c r="F1751" s="5">
        <v>45377</v>
      </c>
      <c r="G1751" t="s">
        <v>94</v>
      </c>
      <c r="H1751" t="s">
        <v>113</v>
      </c>
      <c r="I1751" t="s">
        <v>45</v>
      </c>
      <c r="J1751" t="s">
        <v>26</v>
      </c>
      <c r="K1751" t="s">
        <v>161</v>
      </c>
      <c r="L1751" s="6">
        <v>109039.11</v>
      </c>
      <c r="M1751">
        <v>76333.83</v>
      </c>
      <c r="N1751" t="s">
        <v>35</v>
      </c>
      <c r="O1751">
        <v>14</v>
      </c>
      <c r="P1751">
        <v>158</v>
      </c>
      <c r="Q1751">
        <v>3</v>
      </c>
      <c r="R1751">
        <v>160</v>
      </c>
      <c r="S1751">
        <v>149.9</v>
      </c>
      <c r="T1751" t="s">
        <v>37</v>
      </c>
      <c r="U1751" s="7">
        <f t="shared" si="108"/>
        <v>63</v>
      </c>
      <c r="V1751" s="7">
        <f t="shared" si="111"/>
        <v>14</v>
      </c>
      <c r="W1751" s="6">
        <f t="shared" si="109"/>
        <v>32705.279999999999</v>
      </c>
      <c r="X1751" t="str">
        <f t="shared" si="110"/>
        <v>Senior</v>
      </c>
    </row>
    <row r="1752" spans="1:24">
      <c r="A1752" t="s">
        <v>3716</v>
      </c>
      <c r="B1752" t="s">
        <v>1658</v>
      </c>
      <c r="C1752" t="s">
        <v>133</v>
      </c>
      <c r="D1752" s="5">
        <v>27321</v>
      </c>
      <c r="E1752" s="5">
        <v>45139</v>
      </c>
      <c r="F1752" s="5">
        <v>45144</v>
      </c>
      <c r="G1752" t="s">
        <v>89</v>
      </c>
      <c r="H1752" t="s">
        <v>63</v>
      </c>
      <c r="I1752" t="s">
        <v>79</v>
      </c>
      <c r="J1752" t="s">
        <v>64</v>
      </c>
      <c r="K1752" t="s">
        <v>120</v>
      </c>
      <c r="L1752" s="6">
        <v>84083.46</v>
      </c>
      <c r="M1752">
        <v>66206.710000000006</v>
      </c>
      <c r="N1752" t="s">
        <v>73</v>
      </c>
      <c r="O1752">
        <v>5</v>
      </c>
      <c r="P1752">
        <v>112</v>
      </c>
      <c r="Q1752">
        <v>5</v>
      </c>
      <c r="R1752">
        <v>163</v>
      </c>
      <c r="S1752">
        <v>114.9</v>
      </c>
      <c r="T1752" t="s">
        <v>37</v>
      </c>
      <c r="U1752" s="7">
        <f t="shared" si="108"/>
        <v>48</v>
      </c>
      <c r="V1752" s="7">
        <f t="shared" si="111"/>
        <v>5</v>
      </c>
      <c r="W1752" s="6">
        <f t="shared" si="109"/>
        <v>17876.75</v>
      </c>
      <c r="X1752" t="str">
        <f t="shared" si="110"/>
        <v>Middle Age</v>
      </c>
    </row>
    <row r="1753" spans="1:24">
      <c r="A1753" t="s">
        <v>3717</v>
      </c>
      <c r="B1753" t="s">
        <v>249</v>
      </c>
      <c r="C1753" t="s">
        <v>133</v>
      </c>
      <c r="D1753" s="5">
        <v>34814</v>
      </c>
      <c r="E1753" s="5" t="s">
        <v>4237</v>
      </c>
      <c r="F1753" s="5">
        <v>45772</v>
      </c>
      <c r="G1753" t="s">
        <v>152</v>
      </c>
      <c r="H1753" t="s">
        <v>63</v>
      </c>
      <c r="I1753" t="s">
        <v>33</v>
      </c>
      <c r="J1753" t="s">
        <v>64</v>
      </c>
      <c r="K1753" t="s">
        <v>27</v>
      </c>
      <c r="L1753" s="6">
        <v>83021.070000000007</v>
      </c>
      <c r="M1753">
        <v>61716.55</v>
      </c>
      <c r="N1753" t="s">
        <v>73</v>
      </c>
      <c r="O1753">
        <v>8</v>
      </c>
      <c r="P1753">
        <v>173</v>
      </c>
      <c r="Q1753">
        <v>2</v>
      </c>
      <c r="R1753">
        <v>144</v>
      </c>
      <c r="S1753">
        <v>225.6</v>
      </c>
      <c r="T1753" t="s">
        <v>37</v>
      </c>
      <c r="U1753" s="7" t="s">
        <v>4237</v>
      </c>
      <c r="V1753" s="7" t="s">
        <v>4237</v>
      </c>
      <c r="W1753" s="6">
        <f t="shared" si="109"/>
        <v>21304.520000000004</v>
      </c>
      <c r="X1753" t="s">
        <v>4237</v>
      </c>
    </row>
    <row r="1754" spans="1:24">
      <c r="A1754" t="s">
        <v>3719</v>
      </c>
      <c r="B1754" t="s">
        <v>1727</v>
      </c>
      <c r="C1754" t="s">
        <v>40</v>
      </c>
      <c r="D1754" s="5">
        <v>24620</v>
      </c>
      <c r="E1754" s="5">
        <v>45334</v>
      </c>
      <c r="F1754" s="5" t="s">
        <v>4237</v>
      </c>
      <c r="G1754" t="s">
        <v>152</v>
      </c>
      <c r="H1754" t="s">
        <v>44</v>
      </c>
      <c r="I1754" t="s">
        <v>119</v>
      </c>
      <c r="J1754" t="s">
        <v>34</v>
      </c>
      <c r="K1754" t="s">
        <v>120</v>
      </c>
      <c r="L1754" s="6">
        <v>185176.49</v>
      </c>
      <c r="M1754">
        <v>171710.44</v>
      </c>
      <c r="N1754" t="s">
        <v>73</v>
      </c>
      <c r="O1754">
        <v>1</v>
      </c>
      <c r="P1754">
        <v>36</v>
      </c>
      <c r="Q1754">
        <v>5</v>
      </c>
      <c r="R1754">
        <v>143</v>
      </c>
      <c r="S1754">
        <v>226.1</v>
      </c>
      <c r="T1754" t="s">
        <v>4237</v>
      </c>
      <c r="U1754" s="7">
        <f t="shared" si="108"/>
        <v>56</v>
      </c>
      <c r="V1754" s="7" t="s">
        <v>4237</v>
      </c>
      <c r="W1754" s="6">
        <f t="shared" si="109"/>
        <v>13466.049999999988</v>
      </c>
      <c r="X1754" t="str">
        <f t="shared" si="110"/>
        <v>Middle Age</v>
      </c>
    </row>
    <row r="1755" spans="1:24">
      <c r="A1755" t="s">
        <v>3721</v>
      </c>
      <c r="B1755" t="s">
        <v>891</v>
      </c>
      <c r="C1755" t="s">
        <v>40</v>
      </c>
      <c r="D1755" s="5">
        <v>29201</v>
      </c>
      <c r="E1755" s="5">
        <v>45875</v>
      </c>
      <c r="F1755" s="5">
        <v>45892</v>
      </c>
      <c r="G1755" t="s">
        <v>43</v>
      </c>
      <c r="H1755" t="s">
        <v>153</v>
      </c>
      <c r="I1755" t="s">
        <v>25</v>
      </c>
      <c r="J1755" t="s">
        <v>34</v>
      </c>
      <c r="K1755" t="s">
        <v>55</v>
      </c>
      <c r="L1755" s="6">
        <v>249907.64</v>
      </c>
      <c r="M1755">
        <v>236959.2</v>
      </c>
      <c r="N1755" t="s">
        <v>192</v>
      </c>
      <c r="O1755">
        <v>17</v>
      </c>
      <c r="P1755">
        <v>226</v>
      </c>
      <c r="Q1755">
        <v>5</v>
      </c>
      <c r="R1755">
        <v>92</v>
      </c>
      <c r="S1755">
        <v>156.69999999999999</v>
      </c>
      <c r="T1755" t="s">
        <v>37</v>
      </c>
      <c r="U1755" s="7">
        <f t="shared" si="108"/>
        <v>45</v>
      </c>
      <c r="V1755" s="7">
        <f t="shared" si="111"/>
        <v>17</v>
      </c>
      <c r="W1755" s="6">
        <f t="shared" si="109"/>
        <v>12948.440000000002</v>
      </c>
      <c r="X1755" t="str">
        <f t="shared" si="110"/>
        <v>Middle Age</v>
      </c>
    </row>
    <row r="1756" spans="1:24">
      <c r="A1756" t="s">
        <v>3722</v>
      </c>
      <c r="B1756" t="s">
        <v>1700</v>
      </c>
      <c r="C1756" t="s">
        <v>133</v>
      </c>
      <c r="D1756" s="5">
        <v>26843</v>
      </c>
      <c r="E1756" s="5">
        <v>45355</v>
      </c>
      <c r="F1756" s="5">
        <v>45360</v>
      </c>
      <c r="G1756" t="s">
        <v>109</v>
      </c>
      <c r="H1756" t="s">
        <v>32</v>
      </c>
      <c r="I1756" t="s">
        <v>96</v>
      </c>
      <c r="J1756" t="s">
        <v>26</v>
      </c>
      <c r="K1756" t="s">
        <v>55</v>
      </c>
      <c r="L1756" s="6">
        <v>163006.07</v>
      </c>
      <c r="M1756">
        <v>117239.41</v>
      </c>
      <c r="N1756" t="s">
        <v>91</v>
      </c>
      <c r="O1756">
        <v>5</v>
      </c>
      <c r="P1756">
        <v>121</v>
      </c>
      <c r="Q1756">
        <v>5</v>
      </c>
      <c r="R1756">
        <v>91</v>
      </c>
      <c r="S1756">
        <v>198.1</v>
      </c>
      <c r="T1756" t="s">
        <v>65</v>
      </c>
      <c r="U1756" s="7">
        <f t="shared" si="108"/>
        <v>50</v>
      </c>
      <c r="V1756" s="7">
        <f t="shared" si="111"/>
        <v>5</v>
      </c>
      <c r="W1756" s="6">
        <f t="shared" si="109"/>
        <v>45766.66</v>
      </c>
      <c r="X1756" t="str">
        <f t="shared" si="110"/>
        <v>Middle Age</v>
      </c>
    </row>
    <row r="1757" spans="1:24">
      <c r="A1757" t="s">
        <v>3724</v>
      </c>
      <c r="B1757" t="s">
        <v>2249</v>
      </c>
      <c r="C1757" t="s">
        <v>40</v>
      </c>
      <c r="D1757" s="5">
        <v>29630</v>
      </c>
      <c r="E1757" s="5">
        <v>45370</v>
      </c>
      <c r="F1757" s="5">
        <v>45387</v>
      </c>
      <c r="G1757" t="s">
        <v>161</v>
      </c>
      <c r="H1757" t="s">
        <v>52</v>
      </c>
      <c r="I1757" t="s">
        <v>45</v>
      </c>
      <c r="J1757" t="s">
        <v>64</v>
      </c>
      <c r="K1757" t="s">
        <v>55</v>
      </c>
      <c r="L1757" s="6">
        <v>158772.65</v>
      </c>
      <c r="M1757">
        <v>133849.56</v>
      </c>
      <c r="N1757" t="s">
        <v>73</v>
      </c>
      <c r="O1757">
        <v>17</v>
      </c>
      <c r="P1757">
        <v>149</v>
      </c>
      <c r="Q1757">
        <v>2</v>
      </c>
      <c r="R1757">
        <v>154</v>
      </c>
      <c r="S1757">
        <v>182.6</v>
      </c>
      <c r="T1757" t="s">
        <v>47</v>
      </c>
      <c r="U1757" s="7">
        <f t="shared" si="108"/>
        <v>43</v>
      </c>
      <c r="V1757" s="7">
        <f t="shared" si="111"/>
        <v>17</v>
      </c>
      <c r="W1757" s="6">
        <f t="shared" si="109"/>
        <v>24923.089999999997</v>
      </c>
      <c r="X1757" t="str">
        <f t="shared" si="110"/>
        <v>Middle Age</v>
      </c>
    </row>
    <row r="1758" spans="1:24">
      <c r="A1758" t="s">
        <v>3726</v>
      </c>
      <c r="B1758" t="s">
        <v>147</v>
      </c>
      <c r="C1758" t="s">
        <v>133</v>
      </c>
      <c r="D1758" s="5">
        <v>19251</v>
      </c>
      <c r="E1758" s="5">
        <v>45827</v>
      </c>
      <c r="F1758" s="5">
        <v>45838</v>
      </c>
      <c r="G1758" t="s">
        <v>62</v>
      </c>
      <c r="H1758" t="s">
        <v>134</v>
      </c>
      <c r="I1758" t="s">
        <v>53</v>
      </c>
      <c r="J1758" t="s">
        <v>71</v>
      </c>
      <c r="K1758" t="s">
        <v>55</v>
      </c>
      <c r="L1758" s="6">
        <v>150282.63</v>
      </c>
      <c r="M1758">
        <v>120246.75</v>
      </c>
      <c r="N1758" t="s">
        <v>73</v>
      </c>
      <c r="O1758">
        <v>11</v>
      </c>
      <c r="P1758">
        <v>180</v>
      </c>
      <c r="Q1758">
        <v>4</v>
      </c>
      <c r="R1758">
        <v>168</v>
      </c>
      <c r="S1758">
        <v>112.7</v>
      </c>
      <c r="T1758" t="s">
        <v>37</v>
      </c>
      <c r="U1758" s="7">
        <f t="shared" si="108"/>
        <v>72</v>
      </c>
      <c r="V1758" s="7">
        <f t="shared" si="111"/>
        <v>11</v>
      </c>
      <c r="W1758" s="6">
        <f t="shared" si="109"/>
        <v>30035.880000000005</v>
      </c>
      <c r="X1758" t="str">
        <f t="shared" si="110"/>
        <v>Senior</v>
      </c>
    </row>
    <row r="1759" spans="1:24">
      <c r="A1759" t="s">
        <v>3727</v>
      </c>
      <c r="B1759" t="s">
        <v>99</v>
      </c>
      <c r="C1759" t="s">
        <v>40</v>
      </c>
      <c r="D1759" s="5">
        <v>20921</v>
      </c>
      <c r="E1759" s="5">
        <v>45208</v>
      </c>
      <c r="F1759" s="5">
        <v>45224</v>
      </c>
      <c r="G1759" t="s">
        <v>43</v>
      </c>
      <c r="H1759" t="s">
        <v>78</v>
      </c>
      <c r="I1759" t="s">
        <v>53</v>
      </c>
      <c r="J1759" t="s">
        <v>46</v>
      </c>
      <c r="K1759" t="s">
        <v>120</v>
      </c>
      <c r="L1759" s="6">
        <v>87314.97</v>
      </c>
      <c r="M1759">
        <v>86069.47</v>
      </c>
      <c r="N1759" t="s">
        <v>192</v>
      </c>
      <c r="O1759">
        <v>16</v>
      </c>
      <c r="P1759">
        <v>113</v>
      </c>
      <c r="Q1759">
        <v>5</v>
      </c>
      <c r="R1759">
        <v>98</v>
      </c>
      <c r="S1759">
        <v>87.6</v>
      </c>
      <c r="T1759" t="s">
        <v>37</v>
      </c>
      <c r="U1759" s="7">
        <f t="shared" si="108"/>
        <v>66</v>
      </c>
      <c r="V1759" s="7">
        <f t="shared" si="111"/>
        <v>16</v>
      </c>
      <c r="W1759" s="6">
        <f t="shared" si="109"/>
        <v>1245.5</v>
      </c>
      <c r="X1759" t="str">
        <f t="shared" si="110"/>
        <v>Senior</v>
      </c>
    </row>
    <row r="1760" spans="1:24">
      <c r="A1760" t="s">
        <v>3728</v>
      </c>
      <c r="B1760" t="s">
        <v>59</v>
      </c>
      <c r="C1760" t="s">
        <v>40</v>
      </c>
      <c r="D1760" s="5">
        <v>27837</v>
      </c>
      <c r="E1760" s="5">
        <v>45117</v>
      </c>
      <c r="F1760" s="5">
        <v>45124</v>
      </c>
      <c r="G1760" t="s">
        <v>94</v>
      </c>
      <c r="H1760" t="s">
        <v>78</v>
      </c>
      <c r="I1760" t="s">
        <v>119</v>
      </c>
      <c r="J1760" t="s">
        <v>179</v>
      </c>
      <c r="K1760" t="s">
        <v>120</v>
      </c>
      <c r="L1760" s="6">
        <v>48987.8</v>
      </c>
      <c r="M1760">
        <v>40203.08</v>
      </c>
      <c r="N1760" t="s">
        <v>35</v>
      </c>
      <c r="O1760">
        <v>7</v>
      </c>
      <c r="P1760">
        <v>187</v>
      </c>
      <c r="Q1760">
        <v>4</v>
      </c>
      <c r="R1760">
        <v>129</v>
      </c>
      <c r="S1760">
        <v>258.39999999999998</v>
      </c>
      <c r="T1760" t="s">
        <v>37</v>
      </c>
      <c r="U1760" s="7">
        <f t="shared" si="108"/>
        <v>47</v>
      </c>
      <c r="V1760" s="7">
        <f t="shared" si="111"/>
        <v>7</v>
      </c>
      <c r="W1760" s="6">
        <f t="shared" si="109"/>
        <v>8784.7200000000012</v>
      </c>
      <c r="X1760" t="str">
        <f t="shared" si="110"/>
        <v>Middle Age</v>
      </c>
    </row>
    <row r="1761" spans="1:24">
      <c r="A1761" t="s">
        <v>3730</v>
      </c>
      <c r="B1761" t="s">
        <v>280</v>
      </c>
      <c r="C1761" t="s">
        <v>133</v>
      </c>
      <c r="D1761" s="5">
        <v>31357</v>
      </c>
      <c r="E1761" s="5">
        <v>45143</v>
      </c>
      <c r="F1761" s="5">
        <v>45148</v>
      </c>
      <c r="G1761" t="s">
        <v>105</v>
      </c>
      <c r="H1761" t="s">
        <v>95</v>
      </c>
      <c r="I1761" t="s">
        <v>33</v>
      </c>
      <c r="J1761" t="s">
        <v>34</v>
      </c>
      <c r="K1761" t="s">
        <v>27</v>
      </c>
      <c r="L1761" s="6">
        <v>71675.11</v>
      </c>
      <c r="M1761">
        <v>69521.97</v>
      </c>
      <c r="N1761" t="s">
        <v>73</v>
      </c>
      <c r="O1761">
        <v>5</v>
      </c>
      <c r="P1761">
        <v>94</v>
      </c>
      <c r="Q1761">
        <v>1</v>
      </c>
      <c r="R1761">
        <v>117</v>
      </c>
      <c r="S1761">
        <v>216.2</v>
      </c>
      <c r="T1761" t="s">
        <v>65</v>
      </c>
      <c r="U1761" s="7">
        <f t="shared" si="108"/>
        <v>37</v>
      </c>
      <c r="V1761" s="7">
        <f t="shared" si="111"/>
        <v>5</v>
      </c>
      <c r="W1761" s="6">
        <f t="shared" si="109"/>
        <v>2153.1399999999994</v>
      </c>
      <c r="X1761" t="str">
        <f t="shared" si="110"/>
        <v>Adult</v>
      </c>
    </row>
    <row r="1762" spans="1:24">
      <c r="A1762" t="s">
        <v>3731</v>
      </c>
      <c r="B1762" t="s">
        <v>1748</v>
      </c>
      <c r="C1762" t="s">
        <v>40</v>
      </c>
      <c r="D1762" s="5">
        <v>36656</v>
      </c>
      <c r="E1762" s="5">
        <v>45908</v>
      </c>
      <c r="F1762" s="5" t="s">
        <v>4237</v>
      </c>
      <c r="G1762" t="s">
        <v>109</v>
      </c>
      <c r="H1762" t="s">
        <v>52</v>
      </c>
      <c r="I1762" t="s">
        <v>53</v>
      </c>
      <c r="J1762" t="s">
        <v>46</v>
      </c>
      <c r="K1762" t="s">
        <v>55</v>
      </c>
      <c r="L1762" s="6">
        <v>186705.82</v>
      </c>
      <c r="M1762">
        <v>149256.35</v>
      </c>
      <c r="N1762" t="s">
        <v>35</v>
      </c>
      <c r="O1762">
        <v>16</v>
      </c>
      <c r="P1762">
        <v>218</v>
      </c>
      <c r="Q1762">
        <v>4</v>
      </c>
      <c r="R1762">
        <v>123</v>
      </c>
      <c r="S1762">
        <v>234.1</v>
      </c>
      <c r="T1762" t="s">
        <v>37</v>
      </c>
      <c r="U1762" s="7">
        <f t="shared" si="108"/>
        <v>25</v>
      </c>
      <c r="V1762" s="7" t="s">
        <v>4237</v>
      </c>
      <c r="W1762" s="6">
        <f t="shared" si="109"/>
        <v>37449.47</v>
      </c>
      <c r="X1762" t="str">
        <f t="shared" si="110"/>
        <v>Adult</v>
      </c>
    </row>
    <row r="1763" spans="1:24">
      <c r="A1763" t="s">
        <v>3732</v>
      </c>
      <c r="B1763" t="s">
        <v>768</v>
      </c>
      <c r="C1763" t="s">
        <v>133</v>
      </c>
      <c r="D1763" s="5">
        <v>40537</v>
      </c>
      <c r="E1763" s="5">
        <v>45014</v>
      </c>
      <c r="F1763" s="5">
        <v>45028</v>
      </c>
      <c r="G1763" t="s">
        <v>152</v>
      </c>
      <c r="H1763" t="s">
        <v>24</v>
      </c>
      <c r="I1763" t="s">
        <v>45</v>
      </c>
      <c r="J1763" t="s">
        <v>64</v>
      </c>
      <c r="K1763" t="s">
        <v>161</v>
      </c>
      <c r="L1763" s="6">
        <v>60191.37</v>
      </c>
      <c r="M1763">
        <v>47585.55</v>
      </c>
      <c r="N1763" t="s">
        <v>35</v>
      </c>
      <c r="O1763">
        <v>14</v>
      </c>
      <c r="P1763">
        <v>179</v>
      </c>
      <c r="Q1763">
        <v>4</v>
      </c>
      <c r="R1763">
        <v>148</v>
      </c>
      <c r="S1763">
        <v>118.6</v>
      </c>
      <c r="T1763" t="s">
        <v>37</v>
      </c>
      <c r="U1763" s="7">
        <f t="shared" si="108"/>
        <v>12</v>
      </c>
      <c r="V1763" s="7">
        <f t="shared" si="111"/>
        <v>14</v>
      </c>
      <c r="W1763" s="6">
        <f t="shared" si="109"/>
        <v>12605.82</v>
      </c>
      <c r="X1763" t="str">
        <f t="shared" si="110"/>
        <v>Child</v>
      </c>
    </row>
    <row r="1764" spans="1:24">
      <c r="A1764" t="s">
        <v>3733</v>
      </c>
      <c r="B1764" t="s">
        <v>568</v>
      </c>
      <c r="C1764" t="s">
        <v>40</v>
      </c>
      <c r="D1764" s="5">
        <v>35531</v>
      </c>
      <c r="E1764" s="5">
        <v>45973</v>
      </c>
      <c r="F1764" s="5">
        <v>45979</v>
      </c>
      <c r="G1764" t="s">
        <v>152</v>
      </c>
      <c r="H1764" t="s">
        <v>52</v>
      </c>
      <c r="I1764" t="s">
        <v>33</v>
      </c>
      <c r="J1764" t="s">
        <v>80</v>
      </c>
      <c r="K1764" t="s">
        <v>55</v>
      </c>
      <c r="L1764" s="6">
        <v>172651.83</v>
      </c>
      <c r="M1764">
        <v>163097.38</v>
      </c>
      <c r="N1764" t="s">
        <v>192</v>
      </c>
      <c r="O1764">
        <v>6</v>
      </c>
      <c r="P1764">
        <v>239</v>
      </c>
      <c r="Q1764">
        <v>1</v>
      </c>
      <c r="R1764">
        <v>117</v>
      </c>
      <c r="S1764">
        <v>85.1</v>
      </c>
      <c r="T1764" t="s">
        <v>37</v>
      </c>
      <c r="U1764" s="7">
        <f t="shared" si="108"/>
        <v>28</v>
      </c>
      <c r="V1764" s="7">
        <f t="shared" si="111"/>
        <v>6</v>
      </c>
      <c r="W1764" s="6">
        <f t="shared" si="109"/>
        <v>9554.4499999999825</v>
      </c>
      <c r="X1764" t="str">
        <f t="shared" si="110"/>
        <v>Adult</v>
      </c>
    </row>
    <row r="1765" spans="1:24">
      <c r="A1765" t="s">
        <v>3736</v>
      </c>
      <c r="B1765" t="s">
        <v>1678</v>
      </c>
      <c r="C1765" t="s">
        <v>133</v>
      </c>
      <c r="D1765" s="5">
        <v>31300</v>
      </c>
      <c r="E1765" s="5">
        <v>45643</v>
      </c>
      <c r="F1765" s="5">
        <v>45717</v>
      </c>
      <c r="G1765" t="s">
        <v>161</v>
      </c>
      <c r="H1765" t="s">
        <v>32</v>
      </c>
      <c r="I1765" t="s">
        <v>119</v>
      </c>
      <c r="J1765" t="s">
        <v>34</v>
      </c>
      <c r="K1765" t="s">
        <v>55</v>
      </c>
      <c r="L1765" s="6">
        <v>175891.20000000001</v>
      </c>
      <c r="M1765">
        <v>121243.76</v>
      </c>
      <c r="N1765" t="s">
        <v>56</v>
      </c>
      <c r="O1765">
        <v>17</v>
      </c>
      <c r="P1765">
        <v>79</v>
      </c>
      <c r="Q1765">
        <v>2</v>
      </c>
      <c r="R1765">
        <v>148</v>
      </c>
      <c r="S1765">
        <v>244.3</v>
      </c>
      <c r="T1765" t="s">
        <v>37</v>
      </c>
      <c r="U1765" s="7">
        <f t="shared" si="108"/>
        <v>39</v>
      </c>
      <c r="V1765" s="7">
        <f t="shared" si="111"/>
        <v>74</v>
      </c>
      <c r="W1765" s="6">
        <f t="shared" si="109"/>
        <v>54647.440000000017</v>
      </c>
      <c r="X1765" t="str">
        <f t="shared" si="110"/>
        <v>Adult</v>
      </c>
    </row>
    <row r="1766" spans="1:24">
      <c r="A1766" t="s">
        <v>3740</v>
      </c>
      <c r="B1766" t="s">
        <v>607</v>
      </c>
      <c r="C1766" t="s">
        <v>133</v>
      </c>
      <c r="D1766" s="5">
        <v>31014</v>
      </c>
      <c r="E1766" s="5">
        <v>45345</v>
      </c>
      <c r="F1766" s="5">
        <v>45350</v>
      </c>
      <c r="G1766" t="s">
        <v>152</v>
      </c>
      <c r="H1766" t="s">
        <v>95</v>
      </c>
      <c r="I1766" t="s">
        <v>79</v>
      </c>
      <c r="J1766" t="s">
        <v>34</v>
      </c>
      <c r="K1766" t="s">
        <v>110</v>
      </c>
      <c r="L1766" s="6">
        <v>131255.54999999999</v>
      </c>
      <c r="M1766">
        <v>107559.93</v>
      </c>
      <c r="N1766" t="s">
        <v>91</v>
      </c>
      <c r="O1766">
        <v>5</v>
      </c>
      <c r="P1766">
        <v>174</v>
      </c>
      <c r="Q1766">
        <v>4</v>
      </c>
      <c r="R1766">
        <v>128</v>
      </c>
      <c r="S1766">
        <v>97.8</v>
      </c>
      <c r="T1766" t="s">
        <v>37</v>
      </c>
      <c r="U1766" s="7">
        <f t="shared" si="108"/>
        <v>39</v>
      </c>
      <c r="V1766" s="7">
        <f t="shared" si="111"/>
        <v>5</v>
      </c>
      <c r="W1766" s="6">
        <f t="shared" si="109"/>
        <v>23695.619999999995</v>
      </c>
      <c r="X1766" t="str">
        <f t="shared" si="110"/>
        <v>Adult</v>
      </c>
    </row>
    <row r="1767" spans="1:24">
      <c r="A1767" t="s">
        <v>4209</v>
      </c>
      <c r="B1767" t="s">
        <v>1537</v>
      </c>
      <c r="C1767" t="s">
        <v>40</v>
      </c>
      <c r="D1767" s="5">
        <v>27939</v>
      </c>
      <c r="E1767" s="5">
        <v>45121</v>
      </c>
      <c r="F1767" s="5" t="s">
        <v>4237</v>
      </c>
      <c r="G1767" t="s">
        <v>62</v>
      </c>
      <c r="H1767" t="s">
        <v>24</v>
      </c>
      <c r="I1767" t="s">
        <v>96</v>
      </c>
      <c r="J1767" t="s">
        <v>64</v>
      </c>
      <c r="K1767" t="s">
        <v>110</v>
      </c>
      <c r="L1767" s="6">
        <v>94956.71</v>
      </c>
      <c r="M1767">
        <v>64581.73</v>
      </c>
      <c r="N1767" t="s">
        <v>56</v>
      </c>
      <c r="O1767">
        <v>8</v>
      </c>
      <c r="P1767">
        <v>187</v>
      </c>
      <c r="Q1767">
        <v>4</v>
      </c>
      <c r="R1767">
        <v>178</v>
      </c>
      <c r="S1767">
        <v>83.4</v>
      </c>
      <c r="T1767" t="s">
        <v>37</v>
      </c>
      <c r="U1767" s="7">
        <f t="shared" si="108"/>
        <v>47</v>
      </c>
      <c r="V1767" s="7" t="s">
        <v>4237</v>
      </c>
      <c r="W1767" s="6">
        <f t="shared" si="109"/>
        <v>30374.980000000003</v>
      </c>
      <c r="X1767" t="str">
        <f t="shared" si="110"/>
        <v>Middle Age</v>
      </c>
    </row>
    <row r="1768" spans="1:24">
      <c r="A1768" t="s">
        <v>3744</v>
      </c>
      <c r="B1768" t="s">
        <v>1031</v>
      </c>
      <c r="C1768" t="s">
        <v>133</v>
      </c>
      <c r="D1768" s="5">
        <v>29772</v>
      </c>
      <c r="E1768" s="5">
        <v>45159</v>
      </c>
      <c r="F1768" s="5">
        <v>45166</v>
      </c>
      <c r="G1768" t="s">
        <v>152</v>
      </c>
      <c r="H1768" t="s">
        <v>63</v>
      </c>
      <c r="I1768" t="s">
        <v>79</v>
      </c>
      <c r="J1768" t="s">
        <v>26</v>
      </c>
      <c r="K1768" t="s">
        <v>161</v>
      </c>
      <c r="L1768" s="6">
        <v>248268.65</v>
      </c>
      <c r="M1768">
        <v>162070.6</v>
      </c>
      <c r="N1768" t="s">
        <v>91</v>
      </c>
      <c r="O1768">
        <v>7</v>
      </c>
      <c r="P1768">
        <v>222</v>
      </c>
      <c r="Q1768">
        <v>2</v>
      </c>
      <c r="R1768">
        <v>134</v>
      </c>
      <c r="S1768">
        <v>210.8</v>
      </c>
      <c r="T1768" t="s">
        <v>4237</v>
      </c>
      <c r="U1768" s="7">
        <f t="shared" si="108"/>
        <v>42</v>
      </c>
      <c r="V1768" s="7">
        <f t="shared" si="111"/>
        <v>7</v>
      </c>
      <c r="W1768" s="6">
        <f t="shared" si="109"/>
        <v>86198.049999999988</v>
      </c>
      <c r="X1768" t="str">
        <f t="shared" si="110"/>
        <v>Middle Age</v>
      </c>
    </row>
    <row r="1769" spans="1:24">
      <c r="A1769" t="s">
        <v>3747</v>
      </c>
      <c r="B1769" t="s">
        <v>771</v>
      </c>
      <c r="C1769" t="s">
        <v>133</v>
      </c>
      <c r="D1769" s="5">
        <v>36330</v>
      </c>
      <c r="E1769" s="5">
        <v>45014</v>
      </c>
      <c r="F1769" s="5" t="s">
        <v>4237</v>
      </c>
      <c r="G1769" t="s">
        <v>94</v>
      </c>
      <c r="H1769" t="s">
        <v>24</v>
      </c>
      <c r="I1769" t="s">
        <v>53</v>
      </c>
      <c r="J1769" t="s">
        <v>71</v>
      </c>
      <c r="K1769" t="s">
        <v>27</v>
      </c>
      <c r="L1769" s="6">
        <v>28240.43</v>
      </c>
      <c r="M1769">
        <v>20052.02</v>
      </c>
      <c r="N1769" t="s">
        <v>35</v>
      </c>
      <c r="O1769">
        <v>10</v>
      </c>
      <c r="P1769">
        <v>60</v>
      </c>
      <c r="Q1769">
        <v>4</v>
      </c>
      <c r="R1769">
        <v>181</v>
      </c>
      <c r="S1769">
        <v>117.8</v>
      </c>
      <c r="T1769" t="s">
        <v>47</v>
      </c>
      <c r="U1769" s="7">
        <f t="shared" si="108"/>
        <v>23</v>
      </c>
      <c r="V1769" s="7" t="s">
        <v>4237</v>
      </c>
      <c r="W1769" s="6">
        <f t="shared" si="109"/>
        <v>8188.41</v>
      </c>
      <c r="X1769" t="str">
        <f t="shared" si="110"/>
        <v>Adult</v>
      </c>
    </row>
    <row r="1770" spans="1:24">
      <c r="A1770" t="s">
        <v>3748</v>
      </c>
      <c r="B1770" t="s">
        <v>2270</v>
      </c>
      <c r="C1770" t="s">
        <v>133</v>
      </c>
      <c r="D1770" s="5">
        <v>21971</v>
      </c>
      <c r="E1770" s="5">
        <v>45910</v>
      </c>
      <c r="F1770" s="5">
        <v>45926</v>
      </c>
      <c r="G1770" t="s">
        <v>152</v>
      </c>
      <c r="H1770" t="s">
        <v>124</v>
      </c>
      <c r="I1770" t="s">
        <v>96</v>
      </c>
      <c r="J1770" t="s">
        <v>97</v>
      </c>
      <c r="K1770" t="s">
        <v>110</v>
      </c>
      <c r="L1770" s="6">
        <v>240550.48</v>
      </c>
      <c r="M1770">
        <v>98646.34</v>
      </c>
      <c r="N1770" t="s">
        <v>56</v>
      </c>
      <c r="O1770">
        <v>16</v>
      </c>
      <c r="P1770">
        <v>30</v>
      </c>
      <c r="Q1770">
        <v>1</v>
      </c>
      <c r="R1770">
        <v>103</v>
      </c>
      <c r="S1770">
        <v>164.1</v>
      </c>
      <c r="T1770" t="s">
        <v>37</v>
      </c>
      <c r="U1770" s="7">
        <f t="shared" si="108"/>
        <v>65</v>
      </c>
      <c r="V1770" s="7">
        <f t="shared" si="111"/>
        <v>16</v>
      </c>
      <c r="W1770" s="6">
        <f t="shared" si="109"/>
        <v>141904.14000000001</v>
      </c>
      <c r="X1770" t="str">
        <f t="shared" si="110"/>
        <v>Senior</v>
      </c>
    </row>
    <row r="1771" spans="1:24">
      <c r="A1771" t="s">
        <v>3750</v>
      </c>
      <c r="B1771" t="s">
        <v>972</v>
      </c>
      <c r="C1771" t="s">
        <v>133</v>
      </c>
      <c r="D1771" s="5">
        <v>24778</v>
      </c>
      <c r="E1771" s="5">
        <v>45489</v>
      </c>
      <c r="F1771" s="5">
        <v>45502</v>
      </c>
      <c r="G1771" t="s">
        <v>117</v>
      </c>
      <c r="H1771" t="s">
        <v>134</v>
      </c>
      <c r="I1771" t="s">
        <v>119</v>
      </c>
      <c r="J1771" t="s">
        <v>26</v>
      </c>
      <c r="K1771" t="s">
        <v>55</v>
      </c>
      <c r="L1771" s="6">
        <v>153556.54</v>
      </c>
      <c r="M1771">
        <v>109629.31</v>
      </c>
      <c r="N1771" t="s">
        <v>73</v>
      </c>
      <c r="O1771">
        <v>13</v>
      </c>
      <c r="P1771">
        <v>28</v>
      </c>
      <c r="Q1771">
        <v>5</v>
      </c>
      <c r="R1771">
        <v>134</v>
      </c>
      <c r="S1771">
        <v>162</v>
      </c>
      <c r="T1771" t="s">
        <v>37</v>
      </c>
      <c r="U1771" s="7">
        <f t="shared" si="108"/>
        <v>56</v>
      </c>
      <c r="V1771" s="7">
        <f t="shared" si="111"/>
        <v>13</v>
      </c>
      <c r="W1771" s="6">
        <f t="shared" si="109"/>
        <v>43927.23000000001</v>
      </c>
      <c r="X1771" t="str">
        <f t="shared" si="110"/>
        <v>Middle Age</v>
      </c>
    </row>
    <row r="1772" spans="1:24">
      <c r="A1772" t="s">
        <v>3751</v>
      </c>
      <c r="B1772" t="s">
        <v>728</v>
      </c>
      <c r="C1772" t="s">
        <v>133</v>
      </c>
      <c r="D1772" s="5">
        <v>20016</v>
      </c>
      <c r="E1772" s="5">
        <v>45326</v>
      </c>
      <c r="F1772" s="5">
        <v>45329</v>
      </c>
      <c r="G1772" t="s">
        <v>161</v>
      </c>
      <c r="H1772" t="s">
        <v>153</v>
      </c>
      <c r="I1772" t="s">
        <v>33</v>
      </c>
      <c r="J1772" t="s">
        <v>179</v>
      </c>
      <c r="K1772" t="s">
        <v>110</v>
      </c>
      <c r="L1772" s="6">
        <v>167299.79999999999</v>
      </c>
      <c r="M1772">
        <v>141623.65</v>
      </c>
      <c r="N1772" t="s">
        <v>192</v>
      </c>
      <c r="O1772">
        <v>3</v>
      </c>
      <c r="P1772">
        <v>121</v>
      </c>
      <c r="Q1772">
        <v>3</v>
      </c>
      <c r="R1772">
        <v>111</v>
      </c>
      <c r="S1772">
        <v>192.9</v>
      </c>
      <c r="T1772" t="s">
        <v>37</v>
      </c>
      <c r="U1772" s="7">
        <f t="shared" si="108"/>
        <v>69</v>
      </c>
      <c r="V1772" s="7">
        <f t="shared" si="111"/>
        <v>3</v>
      </c>
      <c r="W1772" s="6">
        <f t="shared" si="109"/>
        <v>25676.149999999994</v>
      </c>
      <c r="X1772" t="str">
        <f t="shared" si="110"/>
        <v>Senior</v>
      </c>
    </row>
    <row r="1773" spans="1:24">
      <c r="A1773" t="s">
        <v>3753</v>
      </c>
      <c r="B1773" t="s">
        <v>298</v>
      </c>
      <c r="C1773" t="s">
        <v>133</v>
      </c>
      <c r="D1773" s="5">
        <v>32887</v>
      </c>
      <c r="E1773" s="5">
        <v>45514</v>
      </c>
      <c r="F1773" s="5">
        <v>45528</v>
      </c>
      <c r="G1773" t="s">
        <v>105</v>
      </c>
      <c r="H1773" t="s">
        <v>4236</v>
      </c>
      <c r="I1773" t="s">
        <v>33</v>
      </c>
      <c r="J1773" t="s">
        <v>64</v>
      </c>
      <c r="K1773" t="s">
        <v>27</v>
      </c>
      <c r="L1773" s="6">
        <v>24200.65</v>
      </c>
      <c r="M1773">
        <v>17955.55</v>
      </c>
      <c r="N1773" t="s">
        <v>56</v>
      </c>
      <c r="O1773">
        <v>14</v>
      </c>
      <c r="P1773">
        <v>170</v>
      </c>
      <c r="Q1773">
        <v>5</v>
      </c>
      <c r="R1773">
        <v>166</v>
      </c>
      <c r="S1773">
        <v>193.7</v>
      </c>
      <c r="T1773" t="s">
        <v>37</v>
      </c>
      <c r="U1773" s="7">
        <f t="shared" si="108"/>
        <v>34</v>
      </c>
      <c r="V1773" s="7">
        <f t="shared" si="111"/>
        <v>14</v>
      </c>
      <c r="W1773" s="6">
        <f t="shared" si="109"/>
        <v>6245.1000000000022</v>
      </c>
      <c r="X1773" t="str">
        <f t="shared" si="110"/>
        <v>Adult</v>
      </c>
    </row>
    <row r="1774" spans="1:24">
      <c r="A1774" t="s">
        <v>4210</v>
      </c>
      <c r="B1774" t="s">
        <v>354</v>
      </c>
      <c r="C1774" t="s">
        <v>40</v>
      </c>
      <c r="D1774" s="5">
        <v>27024</v>
      </c>
      <c r="E1774" s="5">
        <v>45932</v>
      </c>
      <c r="F1774" s="5">
        <v>45950</v>
      </c>
      <c r="G1774" t="s">
        <v>117</v>
      </c>
      <c r="H1774" t="s">
        <v>44</v>
      </c>
      <c r="I1774" t="s">
        <v>119</v>
      </c>
      <c r="J1774" t="s">
        <v>34</v>
      </c>
      <c r="K1774" t="s">
        <v>161</v>
      </c>
      <c r="L1774" s="6">
        <v>177030.44</v>
      </c>
      <c r="M1774">
        <v>162468.82</v>
      </c>
      <c r="N1774" t="s">
        <v>192</v>
      </c>
      <c r="O1774">
        <v>18</v>
      </c>
      <c r="P1774">
        <v>59</v>
      </c>
      <c r="Q1774">
        <v>1</v>
      </c>
      <c r="R1774">
        <v>164</v>
      </c>
      <c r="S1774">
        <v>97.2</v>
      </c>
      <c r="T1774" t="s">
        <v>4237</v>
      </c>
      <c r="U1774" s="7">
        <f t="shared" si="108"/>
        <v>51</v>
      </c>
      <c r="V1774" s="7">
        <f t="shared" si="111"/>
        <v>18</v>
      </c>
      <c r="W1774" s="6">
        <f t="shared" si="109"/>
        <v>14561.619999999995</v>
      </c>
      <c r="X1774" t="str">
        <f t="shared" si="110"/>
        <v>Middle Age</v>
      </c>
    </row>
    <row r="1775" spans="1:24">
      <c r="A1775" t="s">
        <v>3756</v>
      </c>
      <c r="B1775" t="s">
        <v>444</v>
      </c>
      <c r="C1775" t="s">
        <v>133</v>
      </c>
      <c r="D1775" s="5">
        <v>35908</v>
      </c>
      <c r="E1775" s="5">
        <v>45691</v>
      </c>
      <c r="F1775" s="5">
        <v>45692</v>
      </c>
      <c r="G1775" t="s">
        <v>117</v>
      </c>
      <c r="H1775" t="s">
        <v>63</v>
      </c>
      <c r="I1775" t="s">
        <v>33</v>
      </c>
      <c r="J1775" t="s">
        <v>34</v>
      </c>
      <c r="K1775" t="s">
        <v>55</v>
      </c>
      <c r="L1775" s="6">
        <v>60022.53</v>
      </c>
      <c r="M1775">
        <v>55882.69</v>
      </c>
      <c r="N1775" t="s">
        <v>56</v>
      </c>
      <c r="O1775">
        <v>1</v>
      </c>
      <c r="P1775">
        <v>43</v>
      </c>
      <c r="Q1775">
        <v>4</v>
      </c>
      <c r="R1775">
        <v>144</v>
      </c>
      <c r="S1775">
        <v>103.7</v>
      </c>
      <c r="T1775" t="s">
        <v>4237</v>
      </c>
      <c r="U1775" s="7">
        <f t="shared" si="108"/>
        <v>26</v>
      </c>
      <c r="V1775" s="7">
        <f t="shared" si="111"/>
        <v>1</v>
      </c>
      <c r="W1775" s="6">
        <f t="shared" si="109"/>
        <v>4139.8399999999965</v>
      </c>
      <c r="X1775" t="str">
        <f t="shared" si="110"/>
        <v>Adult</v>
      </c>
    </row>
    <row r="1776" spans="1:24">
      <c r="A1776" t="s">
        <v>3758</v>
      </c>
      <c r="B1776" t="s">
        <v>143</v>
      </c>
      <c r="C1776" t="s">
        <v>40</v>
      </c>
      <c r="D1776" s="5">
        <v>36511</v>
      </c>
      <c r="E1776" s="5">
        <v>45804</v>
      </c>
      <c r="F1776" s="5">
        <v>45813</v>
      </c>
      <c r="G1776" t="s">
        <v>77</v>
      </c>
      <c r="H1776" t="s">
        <v>113</v>
      </c>
      <c r="I1776" t="s">
        <v>45</v>
      </c>
      <c r="J1776" t="s">
        <v>64</v>
      </c>
      <c r="K1776" t="s">
        <v>27</v>
      </c>
      <c r="L1776" s="6">
        <v>151743.29999999999</v>
      </c>
      <c r="M1776">
        <v>127402.7</v>
      </c>
      <c r="N1776" t="s">
        <v>91</v>
      </c>
      <c r="O1776">
        <v>9</v>
      </c>
      <c r="P1776">
        <v>159</v>
      </c>
      <c r="Q1776">
        <v>4</v>
      </c>
      <c r="R1776">
        <v>174</v>
      </c>
      <c r="S1776">
        <v>235.9</v>
      </c>
      <c r="T1776" t="s">
        <v>4237</v>
      </c>
      <c r="U1776" s="7">
        <f t="shared" si="108"/>
        <v>25</v>
      </c>
      <c r="V1776" s="7">
        <f t="shared" si="111"/>
        <v>9</v>
      </c>
      <c r="W1776" s="6">
        <f t="shared" si="109"/>
        <v>24340.599999999991</v>
      </c>
      <c r="X1776" t="str">
        <f t="shared" si="110"/>
        <v>Adult</v>
      </c>
    </row>
    <row r="1777" spans="1:24">
      <c r="A1777" t="s">
        <v>4211</v>
      </c>
      <c r="B1777" t="s">
        <v>799</v>
      </c>
      <c r="C1777" t="s">
        <v>40</v>
      </c>
      <c r="D1777" s="5">
        <v>29997</v>
      </c>
      <c r="E1777" s="5">
        <v>45357</v>
      </c>
      <c r="F1777" s="5">
        <v>45375</v>
      </c>
      <c r="G1777" t="s">
        <v>43</v>
      </c>
      <c r="H1777" t="s">
        <v>95</v>
      </c>
      <c r="I1777" t="s">
        <v>33</v>
      </c>
      <c r="J1777" t="s">
        <v>34</v>
      </c>
      <c r="K1777" t="s">
        <v>55</v>
      </c>
      <c r="L1777" s="6">
        <v>88776.67</v>
      </c>
      <c r="M1777">
        <v>56037.87</v>
      </c>
      <c r="N1777" t="s">
        <v>91</v>
      </c>
      <c r="O1777">
        <v>18</v>
      </c>
      <c r="P1777">
        <v>121</v>
      </c>
      <c r="Q1777">
        <v>1</v>
      </c>
      <c r="R1777">
        <v>152</v>
      </c>
      <c r="S1777">
        <v>223.6</v>
      </c>
      <c r="T1777" t="s">
        <v>4237</v>
      </c>
      <c r="U1777" s="7">
        <f t="shared" si="108"/>
        <v>42</v>
      </c>
      <c r="V1777" s="7">
        <f t="shared" si="111"/>
        <v>18</v>
      </c>
      <c r="W1777" s="6">
        <f t="shared" si="109"/>
        <v>32738.799999999996</v>
      </c>
      <c r="X1777" t="str">
        <f t="shared" si="110"/>
        <v>Middle Age</v>
      </c>
    </row>
    <row r="1778" spans="1:24">
      <c r="A1778" t="s">
        <v>3763</v>
      </c>
      <c r="B1778" t="s">
        <v>1293</v>
      </c>
      <c r="C1778" t="s">
        <v>133</v>
      </c>
      <c r="D1778" s="5">
        <v>33701</v>
      </c>
      <c r="E1778" s="5">
        <v>45519</v>
      </c>
      <c r="F1778" s="5" t="s">
        <v>4237</v>
      </c>
      <c r="G1778" t="s">
        <v>117</v>
      </c>
      <c r="H1778" t="s">
        <v>78</v>
      </c>
      <c r="I1778" t="s">
        <v>119</v>
      </c>
      <c r="J1778" t="s">
        <v>179</v>
      </c>
      <c r="K1778" t="s">
        <v>120</v>
      </c>
      <c r="L1778" s="6">
        <v>136442.69</v>
      </c>
      <c r="M1778">
        <v>96721.58</v>
      </c>
      <c r="N1778" t="s">
        <v>192</v>
      </c>
      <c r="O1778">
        <v>6</v>
      </c>
      <c r="P1778">
        <v>189</v>
      </c>
      <c r="Q1778">
        <v>3</v>
      </c>
      <c r="R1778">
        <v>142</v>
      </c>
      <c r="S1778">
        <v>195.9</v>
      </c>
      <c r="T1778" t="s">
        <v>37</v>
      </c>
      <c r="U1778" s="7">
        <f t="shared" si="108"/>
        <v>32</v>
      </c>
      <c r="V1778" s="7" t="s">
        <v>4237</v>
      </c>
      <c r="W1778" s="6">
        <f t="shared" si="109"/>
        <v>39721.11</v>
      </c>
      <c r="X1778" t="str">
        <f t="shared" si="110"/>
        <v>Adult</v>
      </c>
    </row>
    <row r="1779" spans="1:24">
      <c r="A1779" t="s">
        <v>3766</v>
      </c>
      <c r="B1779" t="s">
        <v>314</v>
      </c>
      <c r="C1779" t="s">
        <v>40</v>
      </c>
      <c r="D1779" s="5">
        <v>29269</v>
      </c>
      <c r="E1779" s="5">
        <v>45065</v>
      </c>
      <c r="F1779" s="5">
        <v>45067</v>
      </c>
      <c r="G1779" t="s">
        <v>117</v>
      </c>
      <c r="H1779" t="s">
        <v>32</v>
      </c>
      <c r="I1779" t="s">
        <v>96</v>
      </c>
      <c r="J1779" t="s">
        <v>34</v>
      </c>
      <c r="K1779" t="s">
        <v>161</v>
      </c>
      <c r="L1779" s="6">
        <v>126590.92</v>
      </c>
      <c r="M1779">
        <v>110332.67</v>
      </c>
      <c r="N1779" t="s">
        <v>4237</v>
      </c>
      <c r="O1779">
        <v>2</v>
      </c>
      <c r="P1779">
        <v>63</v>
      </c>
      <c r="Q1779">
        <v>4</v>
      </c>
      <c r="R1779">
        <v>94</v>
      </c>
      <c r="S1779">
        <v>138.69999999999999</v>
      </c>
      <c r="T1779" t="s">
        <v>4237</v>
      </c>
      <c r="U1779" s="7">
        <f t="shared" si="108"/>
        <v>43</v>
      </c>
      <c r="V1779" s="7">
        <f t="shared" si="111"/>
        <v>2</v>
      </c>
      <c r="W1779" s="6">
        <f t="shared" si="109"/>
        <v>16258.25</v>
      </c>
      <c r="X1779" t="str">
        <f t="shared" si="110"/>
        <v>Middle Age</v>
      </c>
    </row>
    <row r="1780" spans="1:24">
      <c r="A1780" t="s">
        <v>3767</v>
      </c>
      <c r="B1780" t="s">
        <v>760</v>
      </c>
      <c r="C1780" t="s">
        <v>40</v>
      </c>
      <c r="D1780" s="5">
        <v>27184</v>
      </c>
      <c r="E1780" s="5">
        <v>46008</v>
      </c>
      <c r="F1780" s="5">
        <v>46026</v>
      </c>
      <c r="G1780" t="s">
        <v>117</v>
      </c>
      <c r="H1780" t="s">
        <v>52</v>
      </c>
      <c r="I1780" t="s">
        <v>79</v>
      </c>
      <c r="J1780" t="s">
        <v>34</v>
      </c>
      <c r="K1780" t="s">
        <v>161</v>
      </c>
      <c r="L1780" s="6">
        <v>22562.84</v>
      </c>
      <c r="M1780">
        <v>19722.09</v>
      </c>
      <c r="N1780" t="s">
        <v>192</v>
      </c>
      <c r="O1780">
        <v>18</v>
      </c>
      <c r="P1780">
        <v>10</v>
      </c>
      <c r="Q1780">
        <v>4</v>
      </c>
      <c r="R1780">
        <v>120</v>
      </c>
      <c r="S1780">
        <v>249.4</v>
      </c>
      <c r="T1780" t="s">
        <v>37</v>
      </c>
      <c r="U1780" s="7">
        <f t="shared" si="108"/>
        <v>51</v>
      </c>
      <c r="V1780" s="7">
        <f t="shared" si="111"/>
        <v>18</v>
      </c>
      <c r="W1780" s="6">
        <f t="shared" si="109"/>
        <v>2840.75</v>
      </c>
      <c r="X1780" t="str">
        <f t="shared" si="110"/>
        <v>Middle Age</v>
      </c>
    </row>
    <row r="1781" spans="1:24">
      <c r="A1781" t="s">
        <v>3769</v>
      </c>
      <c r="B1781" t="s">
        <v>1667</v>
      </c>
      <c r="C1781" t="s">
        <v>40</v>
      </c>
      <c r="D1781" s="5">
        <v>40140</v>
      </c>
      <c r="E1781" s="5">
        <v>45539</v>
      </c>
      <c r="F1781" s="5">
        <v>45547</v>
      </c>
      <c r="G1781" t="s">
        <v>161</v>
      </c>
      <c r="H1781" t="s">
        <v>113</v>
      </c>
      <c r="I1781" t="s">
        <v>119</v>
      </c>
      <c r="J1781" t="s">
        <v>64</v>
      </c>
      <c r="K1781" t="s">
        <v>161</v>
      </c>
      <c r="L1781" s="6">
        <v>194257.87</v>
      </c>
      <c r="M1781">
        <v>137554.95000000001</v>
      </c>
      <c r="N1781" t="s">
        <v>192</v>
      </c>
      <c r="O1781">
        <v>8</v>
      </c>
      <c r="P1781">
        <v>164</v>
      </c>
      <c r="Q1781">
        <v>4</v>
      </c>
      <c r="R1781">
        <v>144</v>
      </c>
      <c r="S1781">
        <v>152.4</v>
      </c>
      <c r="T1781" t="s">
        <v>4237</v>
      </c>
      <c r="U1781" s="7">
        <f t="shared" si="108"/>
        <v>14</v>
      </c>
      <c r="V1781" s="7">
        <f t="shared" si="111"/>
        <v>8</v>
      </c>
      <c r="W1781" s="6">
        <f t="shared" si="109"/>
        <v>56702.919999999984</v>
      </c>
      <c r="X1781" t="str">
        <f t="shared" si="110"/>
        <v>Child</v>
      </c>
    </row>
    <row r="1782" spans="1:24">
      <c r="A1782" t="s">
        <v>3770</v>
      </c>
      <c r="B1782" t="s">
        <v>1097</v>
      </c>
      <c r="C1782" t="s">
        <v>40</v>
      </c>
      <c r="D1782" s="5">
        <v>29746</v>
      </c>
      <c r="E1782" s="5">
        <v>45477</v>
      </c>
      <c r="F1782" s="5">
        <v>45399</v>
      </c>
      <c r="G1782" t="s">
        <v>105</v>
      </c>
      <c r="H1782" t="s">
        <v>86</v>
      </c>
      <c r="I1782" t="s">
        <v>79</v>
      </c>
      <c r="J1782" t="s">
        <v>71</v>
      </c>
      <c r="K1782" t="s">
        <v>55</v>
      </c>
      <c r="L1782" s="6">
        <v>155608.99</v>
      </c>
      <c r="M1782">
        <v>107929.49</v>
      </c>
      <c r="N1782" t="s">
        <v>35</v>
      </c>
      <c r="O1782">
        <v>10</v>
      </c>
      <c r="P1782">
        <v>20</v>
      </c>
      <c r="Q1782">
        <v>4</v>
      </c>
      <c r="R1782">
        <v>153</v>
      </c>
      <c r="S1782">
        <v>207.1</v>
      </c>
      <c r="T1782" t="s">
        <v>37</v>
      </c>
      <c r="U1782" s="7">
        <f t="shared" si="108"/>
        <v>43</v>
      </c>
      <c r="V1782" s="7">
        <f t="shared" si="111"/>
        <v>-78</v>
      </c>
      <c r="W1782" s="6">
        <f t="shared" si="109"/>
        <v>47679.499999999985</v>
      </c>
      <c r="X1782" t="str">
        <f t="shared" si="110"/>
        <v>Middle Age</v>
      </c>
    </row>
    <row r="1783" spans="1:24">
      <c r="A1783" t="s">
        <v>3773</v>
      </c>
      <c r="B1783" t="s">
        <v>429</v>
      </c>
      <c r="C1783" t="s">
        <v>133</v>
      </c>
      <c r="D1783" s="5">
        <v>21558</v>
      </c>
      <c r="E1783" s="5">
        <v>45205</v>
      </c>
      <c r="F1783" s="5">
        <v>45220</v>
      </c>
      <c r="G1783" t="s">
        <v>161</v>
      </c>
      <c r="H1783" t="s">
        <v>24</v>
      </c>
      <c r="I1783" t="s">
        <v>33</v>
      </c>
      <c r="J1783" t="s">
        <v>34</v>
      </c>
      <c r="K1783" t="s">
        <v>120</v>
      </c>
      <c r="L1783" s="6">
        <v>201720.81</v>
      </c>
      <c r="M1783">
        <v>98646.34</v>
      </c>
      <c r="N1783" t="s">
        <v>35</v>
      </c>
      <c r="O1783">
        <v>15</v>
      </c>
      <c r="P1783">
        <v>233</v>
      </c>
      <c r="Q1783">
        <v>4</v>
      </c>
      <c r="R1783">
        <v>178</v>
      </c>
      <c r="S1783">
        <v>177</v>
      </c>
      <c r="T1783" t="s">
        <v>37</v>
      </c>
      <c r="U1783" s="7">
        <f t="shared" si="108"/>
        <v>64</v>
      </c>
      <c r="V1783" s="7">
        <f t="shared" si="111"/>
        <v>15</v>
      </c>
      <c r="W1783" s="6">
        <f t="shared" si="109"/>
        <v>103074.47</v>
      </c>
      <c r="X1783" t="str">
        <f t="shared" si="110"/>
        <v>Senior</v>
      </c>
    </row>
    <row r="1784" spans="1:24">
      <c r="A1784" t="s">
        <v>3777</v>
      </c>
      <c r="B1784" t="s">
        <v>241</v>
      </c>
      <c r="C1784" t="s">
        <v>133</v>
      </c>
      <c r="D1784" s="5">
        <v>29765</v>
      </c>
      <c r="E1784" s="5">
        <v>44940</v>
      </c>
      <c r="F1784" s="5" t="s">
        <v>4237</v>
      </c>
      <c r="G1784" t="s">
        <v>117</v>
      </c>
      <c r="H1784" t="s">
        <v>44</v>
      </c>
      <c r="I1784" t="s">
        <v>33</v>
      </c>
      <c r="J1784" t="s">
        <v>46</v>
      </c>
      <c r="K1784" t="s">
        <v>120</v>
      </c>
      <c r="L1784" s="6">
        <v>93072.15</v>
      </c>
      <c r="M1784">
        <v>91060.17</v>
      </c>
      <c r="N1784" t="s">
        <v>73</v>
      </c>
      <c r="O1784">
        <v>2</v>
      </c>
      <c r="P1784">
        <v>61</v>
      </c>
      <c r="Q1784">
        <v>3</v>
      </c>
      <c r="R1784">
        <v>108</v>
      </c>
      <c r="S1784">
        <v>234.7</v>
      </c>
      <c r="T1784" t="s">
        <v>65</v>
      </c>
      <c r="U1784" s="7">
        <f t="shared" si="108"/>
        <v>41</v>
      </c>
      <c r="V1784" s="7" t="s">
        <v>4237</v>
      </c>
      <c r="W1784" s="6">
        <f t="shared" si="109"/>
        <v>2011.9799999999959</v>
      </c>
      <c r="X1784" t="str">
        <f t="shared" si="110"/>
        <v>Middle Age</v>
      </c>
    </row>
    <row r="1785" spans="1:24">
      <c r="A1785" t="s">
        <v>4212</v>
      </c>
      <c r="B1785" t="s">
        <v>1471</v>
      </c>
      <c r="C1785" t="s">
        <v>40</v>
      </c>
      <c r="D1785" s="5">
        <v>31584</v>
      </c>
      <c r="E1785" s="5">
        <v>45101</v>
      </c>
      <c r="F1785" s="5">
        <v>45116</v>
      </c>
      <c r="G1785" t="s">
        <v>117</v>
      </c>
      <c r="H1785" t="s">
        <v>86</v>
      </c>
      <c r="I1785" t="s">
        <v>45</v>
      </c>
      <c r="J1785" t="s">
        <v>179</v>
      </c>
      <c r="K1785" t="s">
        <v>120</v>
      </c>
      <c r="L1785" s="6">
        <v>61520.89</v>
      </c>
      <c r="M1785">
        <v>48912.15</v>
      </c>
      <c r="N1785" t="s">
        <v>35</v>
      </c>
      <c r="O1785">
        <v>15</v>
      </c>
      <c r="P1785">
        <v>154</v>
      </c>
      <c r="Q1785">
        <v>5</v>
      </c>
      <c r="R1785">
        <v>165</v>
      </c>
      <c r="S1785">
        <v>243.3</v>
      </c>
      <c r="T1785" t="s">
        <v>37</v>
      </c>
      <c r="U1785" s="7">
        <f t="shared" si="108"/>
        <v>37</v>
      </c>
      <c r="V1785" s="7">
        <f t="shared" si="111"/>
        <v>15</v>
      </c>
      <c r="W1785" s="6">
        <f t="shared" si="109"/>
        <v>12608.739999999998</v>
      </c>
      <c r="X1785" t="str">
        <f t="shared" si="110"/>
        <v>Adult</v>
      </c>
    </row>
    <row r="1786" spans="1:24">
      <c r="A1786" t="s">
        <v>3780</v>
      </c>
      <c r="B1786" t="s">
        <v>850</v>
      </c>
      <c r="C1786" t="s">
        <v>133</v>
      </c>
      <c r="D1786" s="5">
        <v>30538</v>
      </c>
      <c r="E1786" s="5">
        <v>45011</v>
      </c>
      <c r="F1786" s="5">
        <v>45028</v>
      </c>
      <c r="G1786" t="s">
        <v>161</v>
      </c>
      <c r="H1786" t="s">
        <v>32</v>
      </c>
      <c r="I1786" t="s">
        <v>45</v>
      </c>
      <c r="J1786" t="s">
        <v>179</v>
      </c>
      <c r="K1786" t="s">
        <v>55</v>
      </c>
      <c r="L1786" s="6">
        <v>172491.87</v>
      </c>
      <c r="M1786">
        <v>145686.76</v>
      </c>
      <c r="N1786" t="s">
        <v>192</v>
      </c>
      <c r="O1786">
        <v>17</v>
      </c>
      <c r="P1786">
        <v>63</v>
      </c>
      <c r="Q1786">
        <v>4</v>
      </c>
      <c r="R1786">
        <v>108</v>
      </c>
      <c r="S1786">
        <v>83.2</v>
      </c>
      <c r="T1786" t="s">
        <v>65</v>
      </c>
      <c r="U1786" s="7">
        <f t="shared" si="108"/>
        <v>39</v>
      </c>
      <c r="V1786" s="7">
        <f t="shared" si="111"/>
        <v>17</v>
      </c>
      <c r="W1786" s="6">
        <f t="shared" si="109"/>
        <v>26805.109999999986</v>
      </c>
      <c r="X1786" t="str">
        <f t="shared" si="110"/>
        <v>Adult</v>
      </c>
    </row>
    <row r="1787" spans="1:24">
      <c r="A1787" t="s">
        <v>3781</v>
      </c>
      <c r="B1787" t="s">
        <v>986</v>
      </c>
      <c r="C1787" t="s">
        <v>133</v>
      </c>
      <c r="D1787" s="5">
        <v>19515</v>
      </c>
      <c r="E1787" s="5">
        <v>45080</v>
      </c>
      <c r="F1787" s="5">
        <v>45097</v>
      </c>
      <c r="G1787" t="s">
        <v>105</v>
      </c>
      <c r="H1787" t="s">
        <v>134</v>
      </c>
      <c r="I1787" t="s">
        <v>25</v>
      </c>
      <c r="J1787" t="s">
        <v>64</v>
      </c>
      <c r="K1787" t="s">
        <v>55</v>
      </c>
      <c r="L1787" s="6">
        <v>234081.58</v>
      </c>
      <c r="M1787">
        <v>145655.60999999999</v>
      </c>
      <c r="N1787" t="s">
        <v>73</v>
      </c>
      <c r="O1787">
        <v>17</v>
      </c>
      <c r="P1787">
        <v>29</v>
      </c>
      <c r="Q1787">
        <v>3</v>
      </c>
      <c r="R1787">
        <v>173</v>
      </c>
      <c r="S1787">
        <v>147.6</v>
      </c>
      <c r="T1787" t="s">
        <v>65</v>
      </c>
      <c r="U1787" s="7">
        <f t="shared" si="108"/>
        <v>69</v>
      </c>
      <c r="V1787" s="7">
        <f t="shared" si="111"/>
        <v>17</v>
      </c>
      <c r="W1787" s="6">
        <f t="shared" si="109"/>
        <v>88425.97</v>
      </c>
      <c r="X1787" t="str">
        <f t="shared" si="110"/>
        <v>Senior</v>
      </c>
    </row>
    <row r="1788" spans="1:24">
      <c r="A1788" t="s">
        <v>3782</v>
      </c>
      <c r="B1788" t="s">
        <v>1101</v>
      </c>
      <c r="C1788" t="s">
        <v>133</v>
      </c>
      <c r="D1788" s="5">
        <v>28906</v>
      </c>
      <c r="E1788" s="5">
        <v>45309</v>
      </c>
      <c r="F1788" s="5">
        <v>45325</v>
      </c>
      <c r="G1788" t="s">
        <v>152</v>
      </c>
      <c r="H1788" t="s">
        <v>113</v>
      </c>
      <c r="I1788" t="s">
        <v>119</v>
      </c>
      <c r="J1788" t="s">
        <v>64</v>
      </c>
      <c r="K1788" t="s">
        <v>55</v>
      </c>
      <c r="L1788" s="6">
        <v>128811.14</v>
      </c>
      <c r="M1788">
        <v>110629.01</v>
      </c>
      <c r="N1788" t="s">
        <v>35</v>
      </c>
      <c r="O1788">
        <v>16</v>
      </c>
      <c r="P1788">
        <v>14</v>
      </c>
      <c r="Q1788">
        <v>5</v>
      </c>
      <c r="R1788">
        <v>141</v>
      </c>
      <c r="S1788">
        <v>142.30000000000001</v>
      </c>
      <c r="T1788" t="s">
        <v>47</v>
      </c>
      <c r="U1788" s="7">
        <f t="shared" si="108"/>
        <v>44</v>
      </c>
      <c r="V1788" s="7">
        <f t="shared" si="111"/>
        <v>16</v>
      </c>
      <c r="W1788" s="6">
        <f t="shared" si="109"/>
        <v>18182.130000000005</v>
      </c>
      <c r="X1788" t="str">
        <f t="shared" si="110"/>
        <v>Middle Age</v>
      </c>
    </row>
    <row r="1789" spans="1:24">
      <c r="A1789" t="s">
        <v>3784</v>
      </c>
      <c r="B1789" t="s">
        <v>762</v>
      </c>
      <c r="C1789" t="s">
        <v>40</v>
      </c>
      <c r="D1789" s="5">
        <v>39601</v>
      </c>
      <c r="E1789" s="5">
        <v>45781</v>
      </c>
      <c r="F1789" s="5">
        <v>45794</v>
      </c>
      <c r="G1789" t="s">
        <v>161</v>
      </c>
      <c r="H1789" t="s">
        <v>134</v>
      </c>
      <c r="I1789" t="s">
        <v>79</v>
      </c>
      <c r="J1789" t="s">
        <v>179</v>
      </c>
      <c r="K1789" t="s">
        <v>55</v>
      </c>
      <c r="L1789" s="6">
        <v>211993.95</v>
      </c>
      <c r="M1789">
        <v>150246.07999999999</v>
      </c>
      <c r="N1789" t="s">
        <v>73</v>
      </c>
      <c r="O1789">
        <v>13</v>
      </c>
      <c r="P1789">
        <v>94</v>
      </c>
      <c r="Q1789">
        <v>1</v>
      </c>
      <c r="R1789">
        <v>155</v>
      </c>
      <c r="S1789">
        <v>232</v>
      </c>
      <c r="T1789" t="s">
        <v>4237</v>
      </c>
      <c r="U1789" s="7">
        <f t="shared" si="108"/>
        <v>16</v>
      </c>
      <c r="V1789" s="7">
        <f t="shared" si="111"/>
        <v>13</v>
      </c>
      <c r="W1789" s="6">
        <f t="shared" si="109"/>
        <v>61747.870000000024</v>
      </c>
      <c r="X1789" t="str">
        <f t="shared" si="110"/>
        <v>Child</v>
      </c>
    </row>
    <row r="1790" spans="1:24">
      <c r="A1790" t="s">
        <v>3785</v>
      </c>
      <c r="B1790" t="s">
        <v>93</v>
      </c>
      <c r="C1790" t="s">
        <v>133</v>
      </c>
      <c r="D1790" s="5">
        <v>23594</v>
      </c>
      <c r="E1790" s="5">
        <v>45012</v>
      </c>
      <c r="F1790" s="5">
        <v>45019</v>
      </c>
      <c r="G1790" t="s">
        <v>62</v>
      </c>
      <c r="H1790" t="s">
        <v>52</v>
      </c>
      <c r="I1790" t="s">
        <v>79</v>
      </c>
      <c r="J1790" t="s">
        <v>179</v>
      </c>
      <c r="K1790" t="s">
        <v>161</v>
      </c>
      <c r="L1790" s="6">
        <v>149141.22</v>
      </c>
      <c r="M1790">
        <v>110577.13</v>
      </c>
      <c r="N1790" t="s">
        <v>192</v>
      </c>
      <c r="O1790">
        <v>7</v>
      </c>
      <c r="P1790">
        <v>113</v>
      </c>
      <c r="Q1790">
        <v>5</v>
      </c>
      <c r="R1790">
        <v>153</v>
      </c>
      <c r="S1790">
        <v>83.5</v>
      </c>
      <c r="T1790" t="s">
        <v>65</v>
      </c>
      <c r="U1790" s="7">
        <f t="shared" si="108"/>
        <v>58</v>
      </c>
      <c r="V1790" s="7">
        <f t="shared" si="111"/>
        <v>7</v>
      </c>
      <c r="W1790" s="6">
        <f t="shared" si="109"/>
        <v>38564.089999999997</v>
      </c>
      <c r="X1790" t="str">
        <f t="shared" si="110"/>
        <v>Middle Age</v>
      </c>
    </row>
    <row r="1791" spans="1:24">
      <c r="A1791" t="s">
        <v>3787</v>
      </c>
      <c r="B1791" t="s">
        <v>652</v>
      </c>
      <c r="C1791" t="s">
        <v>40</v>
      </c>
      <c r="D1791" s="5">
        <v>22968</v>
      </c>
      <c r="E1791" s="5">
        <v>45150</v>
      </c>
      <c r="F1791" s="5">
        <v>45158</v>
      </c>
      <c r="G1791" t="s">
        <v>94</v>
      </c>
      <c r="H1791" t="s">
        <v>86</v>
      </c>
      <c r="I1791" t="s">
        <v>25</v>
      </c>
      <c r="J1791" t="s">
        <v>64</v>
      </c>
      <c r="K1791" t="s">
        <v>27</v>
      </c>
      <c r="L1791" s="6">
        <v>226795.19</v>
      </c>
      <c r="M1791">
        <v>157783.46</v>
      </c>
      <c r="N1791" t="s">
        <v>35</v>
      </c>
      <c r="O1791">
        <v>8</v>
      </c>
      <c r="P1791">
        <v>72</v>
      </c>
      <c r="Q1791">
        <v>5</v>
      </c>
      <c r="R1791">
        <v>110</v>
      </c>
      <c r="S1791">
        <v>117.5</v>
      </c>
      <c r="T1791" t="s">
        <v>37</v>
      </c>
      <c r="U1791" s="7">
        <f t="shared" si="108"/>
        <v>60</v>
      </c>
      <c r="V1791" s="7">
        <f t="shared" si="111"/>
        <v>8</v>
      </c>
      <c r="W1791" s="6">
        <f t="shared" si="109"/>
        <v>69011.73000000001</v>
      </c>
      <c r="X1791" t="str">
        <f t="shared" si="110"/>
        <v>Senior</v>
      </c>
    </row>
    <row r="1792" spans="1:24">
      <c r="A1792" t="s">
        <v>3788</v>
      </c>
      <c r="B1792" t="s">
        <v>1408</v>
      </c>
      <c r="C1792" t="s">
        <v>133</v>
      </c>
      <c r="D1792" s="5">
        <v>36040</v>
      </c>
      <c r="E1792" s="5">
        <v>45610</v>
      </c>
      <c r="F1792" s="5" t="s">
        <v>4237</v>
      </c>
      <c r="G1792" t="s">
        <v>152</v>
      </c>
      <c r="H1792" t="s">
        <v>153</v>
      </c>
      <c r="I1792" t="s">
        <v>119</v>
      </c>
      <c r="J1792" t="s">
        <v>64</v>
      </c>
      <c r="K1792" t="s">
        <v>55</v>
      </c>
      <c r="L1792" s="6">
        <v>145002.6</v>
      </c>
      <c r="M1792">
        <v>141554.96</v>
      </c>
      <c r="N1792" t="s">
        <v>73</v>
      </c>
      <c r="O1792">
        <v>18</v>
      </c>
      <c r="P1792">
        <v>184</v>
      </c>
      <c r="Q1792">
        <v>4</v>
      </c>
      <c r="R1792">
        <v>159</v>
      </c>
      <c r="S1792">
        <v>92</v>
      </c>
      <c r="T1792" t="s">
        <v>37</v>
      </c>
      <c r="U1792" s="7">
        <f t="shared" si="108"/>
        <v>26</v>
      </c>
      <c r="V1792" s="7" t="s">
        <v>4237</v>
      </c>
      <c r="W1792" s="6">
        <f t="shared" si="109"/>
        <v>3447.640000000014</v>
      </c>
      <c r="X1792" t="str">
        <f t="shared" si="110"/>
        <v>Adult</v>
      </c>
    </row>
    <row r="1793" spans="1:24">
      <c r="A1793" t="s">
        <v>3791</v>
      </c>
      <c r="B1793" t="s">
        <v>229</v>
      </c>
      <c r="C1793" t="s">
        <v>40</v>
      </c>
      <c r="D1793" s="5">
        <v>32868</v>
      </c>
      <c r="E1793" s="5">
        <v>45487</v>
      </c>
      <c r="F1793" s="5">
        <v>45491</v>
      </c>
      <c r="G1793" t="s">
        <v>89</v>
      </c>
      <c r="H1793" t="s">
        <v>95</v>
      </c>
      <c r="I1793" t="s">
        <v>33</v>
      </c>
      <c r="J1793" t="s">
        <v>46</v>
      </c>
      <c r="K1793" t="s">
        <v>120</v>
      </c>
      <c r="L1793" s="6">
        <v>168252.21</v>
      </c>
      <c r="M1793">
        <v>142267.63</v>
      </c>
      <c r="N1793" t="s">
        <v>73</v>
      </c>
      <c r="O1793">
        <v>4</v>
      </c>
      <c r="P1793">
        <v>220</v>
      </c>
      <c r="Q1793">
        <v>2</v>
      </c>
      <c r="R1793">
        <v>127</v>
      </c>
      <c r="S1793">
        <v>121.5</v>
      </c>
      <c r="T1793" t="s">
        <v>37</v>
      </c>
      <c r="U1793" s="7">
        <f t="shared" si="108"/>
        <v>34</v>
      </c>
      <c r="V1793" s="7">
        <f t="shared" si="111"/>
        <v>4</v>
      </c>
      <c r="W1793" s="6">
        <f t="shared" si="109"/>
        <v>25984.579999999987</v>
      </c>
      <c r="X1793" t="str">
        <f t="shared" si="110"/>
        <v>Adult</v>
      </c>
    </row>
    <row r="1794" spans="1:24">
      <c r="A1794" t="s">
        <v>3793</v>
      </c>
      <c r="B1794" t="s">
        <v>464</v>
      </c>
      <c r="C1794" t="s">
        <v>40</v>
      </c>
      <c r="D1794" s="5">
        <v>25011</v>
      </c>
      <c r="E1794" s="5">
        <v>45608</v>
      </c>
      <c r="F1794" s="5">
        <v>45616</v>
      </c>
      <c r="G1794" t="s">
        <v>152</v>
      </c>
      <c r="H1794" t="s">
        <v>113</v>
      </c>
      <c r="I1794" t="s">
        <v>79</v>
      </c>
      <c r="J1794" t="s">
        <v>80</v>
      </c>
      <c r="K1794" t="s">
        <v>161</v>
      </c>
      <c r="L1794" s="6">
        <v>125662.29</v>
      </c>
      <c r="M1794">
        <v>98806.3</v>
      </c>
      <c r="N1794" t="s">
        <v>91</v>
      </c>
      <c r="O1794">
        <v>8</v>
      </c>
      <c r="P1794">
        <v>97</v>
      </c>
      <c r="Q1794">
        <v>5</v>
      </c>
      <c r="R1794">
        <v>169</v>
      </c>
      <c r="S1794">
        <v>183.9</v>
      </c>
      <c r="T1794" t="s">
        <v>47</v>
      </c>
      <c r="U1794" s="7">
        <f t="shared" ref="U1794:U1857" si="112">DATEDIF(D1794,E1794,"Y")</f>
        <v>56</v>
      </c>
      <c r="V1794" s="7">
        <f t="shared" ref="V1794:V1856" si="113">IF(OR(E1794=" ",F1794=" ",E1794="Unknown",F1794="Unknown")," ",F1794-E1794)</f>
        <v>8</v>
      </c>
      <c r="W1794" s="6">
        <f t="shared" ref="W1794:W1857" si="114">L1794-M1794</f>
        <v>26855.989999999991</v>
      </c>
      <c r="X1794" t="str">
        <f t="shared" ref="X1794:X1857" si="115">IF(OR(U1794="",U1794="Unknown"),"",IF(U1794&lt;18,"Child",IF(U1794&lt;40,"Adult",IF(U1794&lt;60,"Middle Age","Senior"))))</f>
        <v>Middle Age</v>
      </c>
    </row>
    <row r="1795" spans="1:24">
      <c r="A1795" t="s">
        <v>3794</v>
      </c>
      <c r="B1795" t="s">
        <v>3015</v>
      </c>
      <c r="C1795" t="s">
        <v>133</v>
      </c>
      <c r="D1795" s="5">
        <v>32816</v>
      </c>
      <c r="E1795" s="5">
        <v>46005</v>
      </c>
      <c r="F1795" s="5">
        <v>46018</v>
      </c>
      <c r="G1795" t="s">
        <v>43</v>
      </c>
      <c r="H1795" t="s">
        <v>124</v>
      </c>
      <c r="I1795" t="s">
        <v>45</v>
      </c>
      <c r="J1795" t="s">
        <v>34</v>
      </c>
      <c r="K1795" t="s">
        <v>120</v>
      </c>
      <c r="L1795" s="6">
        <v>56436.03</v>
      </c>
      <c r="M1795">
        <v>48605.47</v>
      </c>
      <c r="N1795" t="s">
        <v>73</v>
      </c>
      <c r="O1795">
        <v>13</v>
      </c>
      <c r="P1795">
        <v>20</v>
      </c>
      <c r="Q1795">
        <v>5</v>
      </c>
      <c r="R1795">
        <v>186</v>
      </c>
      <c r="S1795">
        <v>163.5</v>
      </c>
      <c r="T1795" t="s">
        <v>37</v>
      </c>
      <c r="U1795" s="7">
        <f t="shared" si="112"/>
        <v>36</v>
      </c>
      <c r="V1795" s="7">
        <f t="shared" si="113"/>
        <v>13</v>
      </c>
      <c r="W1795" s="6">
        <f t="shared" si="114"/>
        <v>7830.5599999999977</v>
      </c>
      <c r="X1795" t="str">
        <f t="shared" si="115"/>
        <v>Adult</v>
      </c>
    </row>
    <row r="1796" spans="1:24">
      <c r="A1796" t="s">
        <v>3796</v>
      </c>
      <c r="B1796" t="s">
        <v>93</v>
      </c>
      <c r="C1796" t="s">
        <v>40</v>
      </c>
      <c r="D1796" s="5">
        <v>25338</v>
      </c>
      <c r="E1796" s="5">
        <v>45319</v>
      </c>
      <c r="F1796" s="5">
        <v>45334</v>
      </c>
      <c r="G1796" t="s">
        <v>62</v>
      </c>
      <c r="H1796" t="s">
        <v>86</v>
      </c>
      <c r="I1796" t="s">
        <v>33</v>
      </c>
      <c r="J1796" t="s">
        <v>34</v>
      </c>
      <c r="K1796" t="s">
        <v>120</v>
      </c>
      <c r="L1796" s="6">
        <v>191504.46</v>
      </c>
      <c r="M1796">
        <v>169107.05</v>
      </c>
      <c r="N1796" t="s">
        <v>73</v>
      </c>
      <c r="O1796">
        <v>15</v>
      </c>
      <c r="P1796">
        <v>227</v>
      </c>
      <c r="Q1796">
        <v>4</v>
      </c>
      <c r="R1796">
        <v>161</v>
      </c>
      <c r="S1796">
        <v>100.5</v>
      </c>
      <c r="T1796" t="s">
        <v>47</v>
      </c>
      <c r="U1796" s="7">
        <f t="shared" si="112"/>
        <v>54</v>
      </c>
      <c r="V1796" s="7">
        <f t="shared" si="113"/>
        <v>15</v>
      </c>
      <c r="W1796" s="6">
        <f t="shared" si="114"/>
        <v>22397.410000000003</v>
      </c>
      <c r="X1796" t="str">
        <f t="shared" si="115"/>
        <v>Middle Age</v>
      </c>
    </row>
    <row r="1797" spans="1:24">
      <c r="A1797" t="s">
        <v>3797</v>
      </c>
      <c r="B1797" t="s">
        <v>2033</v>
      </c>
      <c r="C1797" t="s">
        <v>133</v>
      </c>
      <c r="D1797" s="5">
        <v>30538</v>
      </c>
      <c r="E1797" s="5">
        <v>45842</v>
      </c>
      <c r="F1797" s="5" t="s">
        <v>4237</v>
      </c>
      <c r="G1797" t="s">
        <v>77</v>
      </c>
      <c r="H1797" t="s">
        <v>86</v>
      </c>
      <c r="I1797" t="s">
        <v>33</v>
      </c>
      <c r="J1797" t="s">
        <v>97</v>
      </c>
      <c r="K1797" t="s">
        <v>55</v>
      </c>
      <c r="L1797" s="6">
        <v>144739.79999999999</v>
      </c>
      <c r="M1797">
        <v>100556.66</v>
      </c>
      <c r="N1797" t="s">
        <v>35</v>
      </c>
      <c r="O1797">
        <v>9</v>
      </c>
      <c r="P1797">
        <v>129</v>
      </c>
      <c r="Q1797">
        <v>5</v>
      </c>
      <c r="R1797">
        <v>142</v>
      </c>
      <c r="S1797">
        <v>134.9</v>
      </c>
      <c r="T1797" t="s">
        <v>37</v>
      </c>
      <c r="U1797" s="7">
        <f t="shared" si="112"/>
        <v>41</v>
      </c>
      <c r="V1797" s="7" t="s">
        <v>4237</v>
      </c>
      <c r="W1797" s="6">
        <f t="shared" si="114"/>
        <v>44183.139999999985</v>
      </c>
      <c r="X1797" t="str">
        <f t="shared" si="115"/>
        <v>Middle Age</v>
      </c>
    </row>
    <row r="1798" spans="1:24">
      <c r="A1798" t="s">
        <v>3798</v>
      </c>
      <c r="B1798" t="s">
        <v>155</v>
      </c>
      <c r="C1798" t="s">
        <v>133</v>
      </c>
      <c r="D1798" s="5">
        <v>24880</v>
      </c>
      <c r="E1798" s="5">
        <v>45191</v>
      </c>
      <c r="F1798" s="5">
        <v>45208</v>
      </c>
      <c r="G1798" t="s">
        <v>94</v>
      </c>
      <c r="H1798" t="s">
        <v>44</v>
      </c>
      <c r="I1798" t="s">
        <v>96</v>
      </c>
      <c r="J1798" t="s">
        <v>179</v>
      </c>
      <c r="K1798" t="s">
        <v>161</v>
      </c>
      <c r="L1798" s="6">
        <v>19001.509999999998</v>
      </c>
      <c r="M1798">
        <v>17211.490000000002</v>
      </c>
      <c r="N1798" t="s">
        <v>192</v>
      </c>
      <c r="O1798">
        <v>17</v>
      </c>
      <c r="P1798">
        <v>27</v>
      </c>
      <c r="Q1798">
        <v>4</v>
      </c>
      <c r="R1798">
        <v>96</v>
      </c>
      <c r="S1798">
        <v>239.2</v>
      </c>
      <c r="T1798" t="s">
        <v>4237</v>
      </c>
      <c r="U1798" s="7">
        <f t="shared" si="112"/>
        <v>55</v>
      </c>
      <c r="V1798" s="7">
        <f t="shared" si="113"/>
        <v>17</v>
      </c>
      <c r="W1798" s="6">
        <f t="shared" si="114"/>
        <v>1790.0199999999968</v>
      </c>
      <c r="X1798" t="str">
        <f t="shared" si="115"/>
        <v>Middle Age</v>
      </c>
    </row>
    <row r="1799" spans="1:24">
      <c r="A1799" t="s">
        <v>4213</v>
      </c>
      <c r="B1799" t="s">
        <v>909</v>
      </c>
      <c r="C1799" t="s">
        <v>133</v>
      </c>
      <c r="D1799" s="5">
        <v>20589</v>
      </c>
      <c r="E1799" s="5">
        <v>45150</v>
      </c>
      <c r="F1799" s="5">
        <v>45163</v>
      </c>
      <c r="G1799" t="s">
        <v>109</v>
      </c>
      <c r="H1799" t="s">
        <v>52</v>
      </c>
      <c r="I1799" t="s">
        <v>119</v>
      </c>
      <c r="J1799" t="s">
        <v>34</v>
      </c>
      <c r="K1799" t="s">
        <v>161</v>
      </c>
      <c r="L1799" s="6">
        <v>58905.32</v>
      </c>
      <c r="M1799">
        <v>46314.65</v>
      </c>
      <c r="N1799" t="s">
        <v>91</v>
      </c>
      <c r="O1799">
        <v>13</v>
      </c>
      <c r="P1799">
        <v>137</v>
      </c>
      <c r="Q1799">
        <v>5</v>
      </c>
      <c r="R1799">
        <v>90</v>
      </c>
      <c r="S1799">
        <v>207.5</v>
      </c>
      <c r="T1799" t="s">
        <v>37</v>
      </c>
      <c r="U1799" s="7">
        <f t="shared" si="112"/>
        <v>67</v>
      </c>
      <c r="V1799" s="7">
        <f t="shared" si="113"/>
        <v>13</v>
      </c>
      <c r="W1799" s="6">
        <f t="shared" si="114"/>
        <v>12590.669999999998</v>
      </c>
      <c r="X1799" t="str">
        <f t="shared" si="115"/>
        <v>Senior</v>
      </c>
    </row>
    <row r="1800" spans="1:24">
      <c r="A1800" t="s">
        <v>3802</v>
      </c>
      <c r="B1800" t="s">
        <v>607</v>
      </c>
      <c r="C1800" t="s">
        <v>133</v>
      </c>
      <c r="D1800" s="5">
        <v>31932</v>
      </c>
      <c r="E1800" s="5">
        <v>45499</v>
      </c>
      <c r="F1800" s="5">
        <v>45511</v>
      </c>
      <c r="G1800" t="s">
        <v>94</v>
      </c>
      <c r="H1800" t="s">
        <v>86</v>
      </c>
      <c r="I1800" t="s">
        <v>33</v>
      </c>
      <c r="J1800" t="s">
        <v>80</v>
      </c>
      <c r="K1800" t="s">
        <v>55</v>
      </c>
      <c r="L1800" s="6">
        <v>97455.94</v>
      </c>
      <c r="M1800">
        <v>96160.52</v>
      </c>
      <c r="N1800" t="s">
        <v>73</v>
      </c>
      <c r="O1800">
        <v>12</v>
      </c>
      <c r="P1800">
        <v>124</v>
      </c>
      <c r="Q1800">
        <v>3</v>
      </c>
      <c r="R1800">
        <v>166</v>
      </c>
      <c r="S1800">
        <v>144.9</v>
      </c>
      <c r="T1800" t="s">
        <v>4237</v>
      </c>
      <c r="U1800" s="7">
        <f t="shared" si="112"/>
        <v>37</v>
      </c>
      <c r="V1800" s="7">
        <f t="shared" si="113"/>
        <v>12</v>
      </c>
      <c r="W1800" s="6">
        <f t="shared" si="114"/>
        <v>1295.4199999999983</v>
      </c>
      <c r="X1800" t="str">
        <f t="shared" si="115"/>
        <v>Adult</v>
      </c>
    </row>
    <row r="1801" spans="1:24">
      <c r="A1801" t="s">
        <v>3804</v>
      </c>
      <c r="B1801" t="s">
        <v>1230</v>
      </c>
      <c r="C1801" t="s">
        <v>133</v>
      </c>
      <c r="D1801" s="5">
        <v>37549</v>
      </c>
      <c r="E1801" s="5">
        <v>44991</v>
      </c>
      <c r="F1801" s="5">
        <v>45006</v>
      </c>
      <c r="G1801" t="s">
        <v>94</v>
      </c>
      <c r="H1801" t="s">
        <v>44</v>
      </c>
      <c r="I1801" t="s">
        <v>79</v>
      </c>
      <c r="J1801" t="s">
        <v>71</v>
      </c>
      <c r="K1801" t="s">
        <v>120</v>
      </c>
      <c r="L1801" s="6">
        <v>64558.43</v>
      </c>
      <c r="M1801">
        <v>49763.62</v>
      </c>
      <c r="N1801" t="s">
        <v>73</v>
      </c>
      <c r="O1801">
        <v>15</v>
      </c>
      <c r="P1801">
        <v>121</v>
      </c>
      <c r="Q1801">
        <v>1</v>
      </c>
      <c r="R1801">
        <v>138</v>
      </c>
      <c r="S1801">
        <v>197.6</v>
      </c>
      <c r="T1801" t="s">
        <v>65</v>
      </c>
      <c r="U1801" s="7">
        <f t="shared" si="112"/>
        <v>20</v>
      </c>
      <c r="V1801" s="7">
        <f t="shared" si="113"/>
        <v>15</v>
      </c>
      <c r="W1801" s="6">
        <f t="shared" si="114"/>
        <v>14794.809999999998</v>
      </c>
      <c r="X1801" t="str">
        <f t="shared" si="115"/>
        <v>Adult</v>
      </c>
    </row>
    <row r="1802" spans="1:24">
      <c r="A1802" t="s">
        <v>3805</v>
      </c>
      <c r="B1802" t="s">
        <v>314</v>
      </c>
      <c r="C1802" t="s">
        <v>133</v>
      </c>
      <c r="D1802" s="5">
        <v>37109</v>
      </c>
      <c r="E1802" s="5">
        <v>45267</v>
      </c>
      <c r="F1802" s="5">
        <v>45274</v>
      </c>
      <c r="G1802" t="s">
        <v>94</v>
      </c>
      <c r="H1802" t="s">
        <v>134</v>
      </c>
      <c r="I1802" t="s">
        <v>79</v>
      </c>
      <c r="J1802" t="s">
        <v>64</v>
      </c>
      <c r="K1802" t="s">
        <v>55</v>
      </c>
      <c r="L1802" s="6">
        <v>214633.89</v>
      </c>
      <c r="M1802">
        <v>167095.91</v>
      </c>
      <c r="N1802" t="s">
        <v>73</v>
      </c>
      <c r="O1802">
        <v>7</v>
      </c>
      <c r="P1802">
        <v>58</v>
      </c>
      <c r="Q1802">
        <v>3</v>
      </c>
      <c r="R1802">
        <v>173</v>
      </c>
      <c r="S1802">
        <v>143.30000000000001</v>
      </c>
      <c r="T1802" t="s">
        <v>37</v>
      </c>
      <c r="U1802" s="7">
        <f t="shared" si="112"/>
        <v>22</v>
      </c>
      <c r="V1802" s="7">
        <f t="shared" si="113"/>
        <v>7</v>
      </c>
      <c r="W1802" s="6">
        <f t="shared" si="114"/>
        <v>47537.98000000001</v>
      </c>
      <c r="X1802" t="str">
        <f t="shared" si="115"/>
        <v>Adult</v>
      </c>
    </row>
    <row r="1803" spans="1:24">
      <c r="A1803" t="s">
        <v>3807</v>
      </c>
      <c r="B1803" t="s">
        <v>321</v>
      </c>
      <c r="C1803" t="s">
        <v>40</v>
      </c>
      <c r="D1803" s="5">
        <v>38461</v>
      </c>
      <c r="E1803" s="5">
        <v>45885</v>
      </c>
      <c r="F1803" s="5">
        <v>45892</v>
      </c>
      <c r="G1803" t="s">
        <v>161</v>
      </c>
      <c r="H1803" t="s">
        <v>63</v>
      </c>
      <c r="I1803" t="s">
        <v>33</v>
      </c>
      <c r="J1803" t="s">
        <v>80</v>
      </c>
      <c r="K1803" t="s">
        <v>55</v>
      </c>
      <c r="L1803" s="6">
        <v>170069.06</v>
      </c>
      <c r="M1803">
        <v>160342.12</v>
      </c>
      <c r="N1803" t="s">
        <v>192</v>
      </c>
      <c r="O1803">
        <v>7</v>
      </c>
      <c r="P1803">
        <v>155</v>
      </c>
      <c r="Q1803">
        <v>4</v>
      </c>
      <c r="R1803">
        <v>127</v>
      </c>
      <c r="S1803">
        <v>97.6</v>
      </c>
      <c r="T1803" t="s">
        <v>37</v>
      </c>
      <c r="U1803" s="7">
        <f t="shared" si="112"/>
        <v>20</v>
      </c>
      <c r="V1803" s="7">
        <f t="shared" si="113"/>
        <v>7</v>
      </c>
      <c r="W1803" s="6">
        <f t="shared" si="114"/>
        <v>9726.9400000000023</v>
      </c>
      <c r="X1803" t="str">
        <f t="shared" si="115"/>
        <v>Adult</v>
      </c>
    </row>
    <row r="1804" spans="1:24">
      <c r="A1804" t="s">
        <v>3810</v>
      </c>
      <c r="B1804" t="s">
        <v>556</v>
      </c>
      <c r="C1804" t="s">
        <v>133</v>
      </c>
      <c r="D1804" s="5">
        <v>24894</v>
      </c>
      <c r="E1804" s="5">
        <v>45068</v>
      </c>
      <c r="F1804" s="5">
        <v>45071</v>
      </c>
      <c r="G1804" t="s">
        <v>43</v>
      </c>
      <c r="H1804" t="s">
        <v>63</v>
      </c>
      <c r="I1804" t="s">
        <v>79</v>
      </c>
      <c r="J1804" t="s">
        <v>71</v>
      </c>
      <c r="K1804" t="s">
        <v>55</v>
      </c>
      <c r="L1804" s="6">
        <v>180003.38</v>
      </c>
      <c r="M1804">
        <v>151994.74</v>
      </c>
      <c r="N1804" t="s">
        <v>192</v>
      </c>
      <c r="O1804">
        <v>3</v>
      </c>
      <c r="P1804">
        <v>45</v>
      </c>
      <c r="Q1804">
        <v>5</v>
      </c>
      <c r="R1804">
        <v>126</v>
      </c>
      <c r="S1804">
        <v>238.2</v>
      </c>
      <c r="T1804" t="s">
        <v>47</v>
      </c>
      <c r="U1804" s="7">
        <f t="shared" si="112"/>
        <v>55</v>
      </c>
      <c r="V1804" s="7">
        <f t="shared" si="113"/>
        <v>3</v>
      </c>
      <c r="W1804" s="6">
        <f t="shared" si="114"/>
        <v>28008.640000000014</v>
      </c>
      <c r="X1804" t="str">
        <f t="shared" si="115"/>
        <v>Middle Age</v>
      </c>
    </row>
    <row r="1805" spans="1:24">
      <c r="A1805" t="s">
        <v>3811</v>
      </c>
      <c r="B1805" t="s">
        <v>565</v>
      </c>
      <c r="C1805" t="s">
        <v>133</v>
      </c>
      <c r="D1805" s="5">
        <v>33522</v>
      </c>
      <c r="E1805" s="5">
        <v>45542</v>
      </c>
      <c r="F1805" s="5">
        <v>45554</v>
      </c>
      <c r="G1805" t="s">
        <v>89</v>
      </c>
      <c r="H1805" t="s">
        <v>118</v>
      </c>
      <c r="I1805" t="s">
        <v>53</v>
      </c>
      <c r="J1805" t="s">
        <v>97</v>
      </c>
      <c r="K1805" t="s">
        <v>55</v>
      </c>
      <c r="L1805" s="6">
        <v>83194.58</v>
      </c>
      <c r="M1805">
        <v>59738.68</v>
      </c>
      <c r="N1805" t="s">
        <v>35</v>
      </c>
      <c r="O1805">
        <v>12</v>
      </c>
      <c r="P1805">
        <v>227</v>
      </c>
      <c r="Q1805">
        <v>4</v>
      </c>
      <c r="R1805">
        <v>131</v>
      </c>
      <c r="S1805">
        <v>103.4</v>
      </c>
      <c r="T1805" t="s">
        <v>65</v>
      </c>
      <c r="U1805" s="7">
        <f t="shared" si="112"/>
        <v>32</v>
      </c>
      <c r="V1805" s="7">
        <f t="shared" si="113"/>
        <v>12</v>
      </c>
      <c r="W1805" s="6">
        <f t="shared" si="114"/>
        <v>23455.9</v>
      </c>
      <c r="X1805" t="str">
        <f t="shared" si="115"/>
        <v>Adult</v>
      </c>
    </row>
    <row r="1806" spans="1:24">
      <c r="A1806" t="s">
        <v>3813</v>
      </c>
      <c r="B1806" t="s">
        <v>350</v>
      </c>
      <c r="C1806" t="s">
        <v>40</v>
      </c>
      <c r="D1806" s="5">
        <v>28351</v>
      </c>
      <c r="E1806" s="5" t="s">
        <v>4237</v>
      </c>
      <c r="F1806" s="5">
        <v>45806</v>
      </c>
      <c r="G1806" t="s">
        <v>152</v>
      </c>
      <c r="H1806" t="s">
        <v>86</v>
      </c>
      <c r="I1806" t="s">
        <v>33</v>
      </c>
      <c r="J1806" t="s">
        <v>179</v>
      </c>
      <c r="K1806" t="s">
        <v>120</v>
      </c>
      <c r="L1806" s="6">
        <v>21873.55</v>
      </c>
      <c r="M1806">
        <v>19428.580000000002</v>
      </c>
      <c r="N1806" t="s">
        <v>35</v>
      </c>
      <c r="O1806">
        <v>12</v>
      </c>
      <c r="P1806">
        <v>67</v>
      </c>
      <c r="Q1806">
        <v>4</v>
      </c>
      <c r="R1806">
        <v>172</v>
      </c>
      <c r="S1806">
        <v>214.4</v>
      </c>
      <c r="T1806" t="s">
        <v>4237</v>
      </c>
      <c r="U1806" s="7" t="s">
        <v>4237</v>
      </c>
      <c r="V1806" s="7" t="s">
        <v>4237</v>
      </c>
      <c r="W1806" s="6">
        <f t="shared" si="114"/>
        <v>2444.9699999999975</v>
      </c>
      <c r="X1806" t="s">
        <v>4237</v>
      </c>
    </row>
    <row r="1807" spans="1:24">
      <c r="A1807" t="s">
        <v>3815</v>
      </c>
      <c r="B1807" t="s">
        <v>1182</v>
      </c>
      <c r="C1807" t="s">
        <v>40</v>
      </c>
      <c r="D1807" s="5">
        <v>25128</v>
      </c>
      <c r="E1807" s="5">
        <v>46005</v>
      </c>
      <c r="F1807" s="5">
        <v>46013</v>
      </c>
      <c r="G1807" t="s">
        <v>89</v>
      </c>
      <c r="H1807" t="s">
        <v>86</v>
      </c>
      <c r="I1807" t="s">
        <v>53</v>
      </c>
      <c r="J1807" t="s">
        <v>46</v>
      </c>
      <c r="K1807" t="s">
        <v>120</v>
      </c>
      <c r="L1807" s="6">
        <v>39796.03</v>
      </c>
      <c r="M1807">
        <v>30425.62</v>
      </c>
      <c r="N1807" t="s">
        <v>192</v>
      </c>
      <c r="O1807">
        <v>8</v>
      </c>
      <c r="P1807">
        <v>121</v>
      </c>
      <c r="Q1807">
        <v>4</v>
      </c>
      <c r="R1807">
        <v>133</v>
      </c>
      <c r="S1807">
        <v>201</v>
      </c>
      <c r="T1807" t="s">
        <v>65</v>
      </c>
      <c r="U1807" s="7">
        <f t="shared" si="112"/>
        <v>57</v>
      </c>
      <c r="V1807" s="7">
        <f t="shared" si="113"/>
        <v>8</v>
      </c>
      <c r="W1807" s="6">
        <f t="shared" si="114"/>
        <v>9370.41</v>
      </c>
      <c r="X1807" t="str">
        <f t="shared" si="115"/>
        <v>Middle Age</v>
      </c>
    </row>
    <row r="1808" spans="1:24">
      <c r="A1808" t="s">
        <v>3817</v>
      </c>
      <c r="B1808" t="s">
        <v>458</v>
      </c>
      <c r="C1808" t="s">
        <v>40</v>
      </c>
      <c r="D1808" s="5">
        <v>37249</v>
      </c>
      <c r="E1808" s="5">
        <v>45237</v>
      </c>
      <c r="F1808" s="5">
        <v>45246</v>
      </c>
      <c r="G1808" t="s">
        <v>105</v>
      </c>
      <c r="H1808" t="s">
        <v>32</v>
      </c>
      <c r="I1808" t="s">
        <v>119</v>
      </c>
      <c r="J1808" t="s">
        <v>34</v>
      </c>
      <c r="K1808" t="s">
        <v>110</v>
      </c>
      <c r="L1808" s="6">
        <v>223137.18</v>
      </c>
      <c r="M1808">
        <v>192715.29</v>
      </c>
      <c r="N1808" t="s">
        <v>192</v>
      </c>
      <c r="O1808">
        <v>9</v>
      </c>
      <c r="P1808">
        <v>175</v>
      </c>
      <c r="Q1808">
        <v>2</v>
      </c>
      <c r="R1808">
        <v>94</v>
      </c>
      <c r="S1808">
        <v>222.2</v>
      </c>
      <c r="T1808" t="s">
        <v>37</v>
      </c>
      <c r="U1808" s="7">
        <f t="shared" si="112"/>
        <v>21</v>
      </c>
      <c r="V1808" s="7">
        <f t="shared" si="113"/>
        <v>9</v>
      </c>
      <c r="W1808" s="6">
        <f t="shared" si="114"/>
        <v>30421.889999999985</v>
      </c>
      <c r="X1808" t="str">
        <f t="shared" si="115"/>
        <v>Adult</v>
      </c>
    </row>
    <row r="1809" spans="1:24">
      <c r="A1809" t="s">
        <v>3818</v>
      </c>
      <c r="B1809" t="s">
        <v>624</v>
      </c>
      <c r="C1809" t="s">
        <v>133</v>
      </c>
      <c r="D1809" s="5">
        <v>31207</v>
      </c>
      <c r="E1809" s="5">
        <v>45129</v>
      </c>
      <c r="F1809" s="5">
        <v>45138</v>
      </c>
      <c r="G1809" t="s">
        <v>62</v>
      </c>
      <c r="H1809" t="s">
        <v>134</v>
      </c>
      <c r="I1809" t="s">
        <v>45</v>
      </c>
      <c r="J1809" t="s">
        <v>97</v>
      </c>
      <c r="K1809" t="s">
        <v>120</v>
      </c>
      <c r="L1809" s="6">
        <v>104583.9</v>
      </c>
      <c r="M1809">
        <v>65630.75</v>
      </c>
      <c r="N1809" t="s">
        <v>73</v>
      </c>
      <c r="O1809">
        <v>9</v>
      </c>
      <c r="P1809">
        <v>80</v>
      </c>
      <c r="Q1809">
        <v>5</v>
      </c>
      <c r="R1809">
        <v>130</v>
      </c>
      <c r="S1809">
        <v>108.6</v>
      </c>
      <c r="T1809" t="s">
        <v>37</v>
      </c>
      <c r="U1809" s="7">
        <f t="shared" si="112"/>
        <v>38</v>
      </c>
      <c r="V1809" s="7">
        <f t="shared" si="113"/>
        <v>9</v>
      </c>
      <c r="W1809" s="6">
        <f t="shared" si="114"/>
        <v>38953.149999999994</v>
      </c>
      <c r="X1809" t="str">
        <f t="shared" si="115"/>
        <v>Adult</v>
      </c>
    </row>
    <row r="1810" spans="1:24">
      <c r="A1810" t="s">
        <v>3822</v>
      </c>
      <c r="B1810" t="s">
        <v>2507</v>
      </c>
      <c r="C1810" t="s">
        <v>40</v>
      </c>
      <c r="D1810" s="5">
        <v>33049</v>
      </c>
      <c r="E1810" s="5">
        <v>45132</v>
      </c>
      <c r="F1810" s="5">
        <v>45139</v>
      </c>
      <c r="G1810" t="s">
        <v>89</v>
      </c>
      <c r="H1810" t="s">
        <v>44</v>
      </c>
      <c r="I1810" t="s">
        <v>53</v>
      </c>
      <c r="J1810" t="s">
        <v>80</v>
      </c>
      <c r="K1810" t="s">
        <v>27</v>
      </c>
      <c r="L1810" s="6">
        <v>226826.33</v>
      </c>
      <c r="M1810">
        <v>174648.36</v>
      </c>
      <c r="N1810" t="s">
        <v>35</v>
      </c>
      <c r="O1810">
        <v>7</v>
      </c>
      <c r="P1810">
        <v>53</v>
      </c>
      <c r="Q1810">
        <v>5</v>
      </c>
      <c r="R1810">
        <v>135</v>
      </c>
      <c r="S1810">
        <v>220.7</v>
      </c>
      <c r="T1810" t="s">
        <v>37</v>
      </c>
      <c r="U1810" s="7">
        <f t="shared" si="112"/>
        <v>33</v>
      </c>
      <c r="V1810" s="7">
        <f t="shared" si="113"/>
        <v>7</v>
      </c>
      <c r="W1810" s="6">
        <f t="shared" si="114"/>
        <v>52177.97</v>
      </c>
      <c r="X1810" t="str">
        <f t="shared" si="115"/>
        <v>Adult</v>
      </c>
    </row>
    <row r="1811" spans="1:24">
      <c r="A1811" t="s">
        <v>3823</v>
      </c>
      <c r="B1811" t="s">
        <v>2177</v>
      </c>
      <c r="C1811" t="s">
        <v>40</v>
      </c>
      <c r="D1811" s="5">
        <v>34946</v>
      </c>
      <c r="E1811" s="5">
        <v>45652</v>
      </c>
      <c r="F1811" s="5">
        <v>45662</v>
      </c>
      <c r="G1811" t="s">
        <v>62</v>
      </c>
      <c r="H1811" t="s">
        <v>32</v>
      </c>
      <c r="I1811" t="s">
        <v>33</v>
      </c>
      <c r="J1811" t="s">
        <v>34</v>
      </c>
      <c r="K1811" t="s">
        <v>27</v>
      </c>
      <c r="L1811" s="6">
        <v>160613.10999999999</v>
      </c>
      <c r="M1811">
        <v>142785.18</v>
      </c>
      <c r="N1811" t="s">
        <v>35</v>
      </c>
      <c r="O1811">
        <v>10</v>
      </c>
      <c r="P1811">
        <v>6</v>
      </c>
      <c r="Q1811">
        <v>3</v>
      </c>
      <c r="R1811">
        <v>117</v>
      </c>
      <c r="S1811">
        <v>163.5</v>
      </c>
      <c r="T1811" t="s">
        <v>65</v>
      </c>
      <c r="U1811" s="7">
        <f t="shared" si="112"/>
        <v>29</v>
      </c>
      <c r="V1811" s="7">
        <f t="shared" si="113"/>
        <v>10</v>
      </c>
      <c r="W1811" s="6">
        <f t="shared" si="114"/>
        <v>17827.929999999993</v>
      </c>
      <c r="X1811" t="str">
        <f t="shared" si="115"/>
        <v>Adult</v>
      </c>
    </row>
    <row r="1812" spans="1:24">
      <c r="A1812" t="s">
        <v>4214</v>
      </c>
      <c r="B1812" t="s">
        <v>451</v>
      </c>
      <c r="C1812" t="s">
        <v>133</v>
      </c>
      <c r="D1812" s="5">
        <v>27686</v>
      </c>
      <c r="E1812" s="5">
        <v>45372</v>
      </c>
      <c r="F1812" s="5">
        <v>45389</v>
      </c>
      <c r="G1812" t="s">
        <v>117</v>
      </c>
      <c r="H1812" t="s">
        <v>113</v>
      </c>
      <c r="I1812" t="s">
        <v>33</v>
      </c>
      <c r="J1812" t="s">
        <v>64</v>
      </c>
      <c r="K1812" t="s">
        <v>55</v>
      </c>
      <c r="L1812" s="6">
        <v>74372.03</v>
      </c>
      <c r="M1812">
        <v>52977.53</v>
      </c>
      <c r="N1812" t="s">
        <v>73</v>
      </c>
      <c r="O1812">
        <v>17</v>
      </c>
      <c r="P1812">
        <v>104</v>
      </c>
      <c r="Q1812">
        <v>2</v>
      </c>
      <c r="R1812">
        <v>112</v>
      </c>
      <c r="S1812">
        <v>114.6</v>
      </c>
      <c r="T1812" t="s">
        <v>4237</v>
      </c>
      <c r="U1812" s="7">
        <f t="shared" si="112"/>
        <v>48</v>
      </c>
      <c r="V1812" s="7">
        <f t="shared" si="113"/>
        <v>17</v>
      </c>
      <c r="W1812" s="6">
        <f t="shared" si="114"/>
        <v>21394.5</v>
      </c>
      <c r="X1812" t="str">
        <f t="shared" si="115"/>
        <v>Middle Age</v>
      </c>
    </row>
    <row r="1813" spans="1:24">
      <c r="A1813" t="s">
        <v>3827</v>
      </c>
      <c r="B1813" t="s">
        <v>845</v>
      </c>
      <c r="C1813" t="s">
        <v>40</v>
      </c>
      <c r="D1813" s="5">
        <v>23107</v>
      </c>
      <c r="E1813" s="5">
        <v>45896</v>
      </c>
      <c r="F1813" s="5">
        <v>45898</v>
      </c>
      <c r="G1813" t="s">
        <v>94</v>
      </c>
      <c r="H1813" t="s">
        <v>134</v>
      </c>
      <c r="I1813" t="s">
        <v>79</v>
      </c>
      <c r="J1813" t="s">
        <v>34</v>
      </c>
      <c r="K1813" t="s">
        <v>27</v>
      </c>
      <c r="L1813" s="6">
        <v>240791.26</v>
      </c>
      <c r="M1813">
        <v>179833.72</v>
      </c>
      <c r="N1813" t="s">
        <v>56</v>
      </c>
      <c r="O1813">
        <v>2</v>
      </c>
      <c r="P1813">
        <v>232</v>
      </c>
      <c r="Q1813">
        <v>4</v>
      </c>
      <c r="R1813">
        <v>137</v>
      </c>
      <c r="S1813">
        <v>224.6</v>
      </c>
      <c r="T1813" t="s">
        <v>4237</v>
      </c>
      <c r="U1813" s="7">
        <f t="shared" si="112"/>
        <v>62</v>
      </c>
      <c r="V1813" s="7">
        <f t="shared" si="113"/>
        <v>2</v>
      </c>
      <c r="W1813" s="6">
        <f t="shared" si="114"/>
        <v>60957.540000000008</v>
      </c>
      <c r="X1813" t="str">
        <f t="shared" si="115"/>
        <v>Senior</v>
      </c>
    </row>
    <row r="1814" spans="1:24">
      <c r="A1814" t="s">
        <v>3828</v>
      </c>
      <c r="B1814" t="s">
        <v>150</v>
      </c>
      <c r="C1814" t="s">
        <v>40</v>
      </c>
      <c r="D1814" s="5">
        <v>23297</v>
      </c>
      <c r="E1814" s="5">
        <v>45671</v>
      </c>
      <c r="F1814" s="5">
        <v>45681</v>
      </c>
      <c r="G1814" t="s">
        <v>161</v>
      </c>
      <c r="H1814" t="s">
        <v>24</v>
      </c>
      <c r="I1814" t="s">
        <v>119</v>
      </c>
      <c r="J1814" t="s">
        <v>46</v>
      </c>
      <c r="K1814" t="s">
        <v>55</v>
      </c>
      <c r="L1814" s="6">
        <v>111139.48</v>
      </c>
      <c r="M1814">
        <v>99903.74</v>
      </c>
      <c r="N1814" t="s">
        <v>73</v>
      </c>
      <c r="O1814">
        <v>10</v>
      </c>
      <c r="P1814">
        <v>57</v>
      </c>
      <c r="Q1814">
        <v>1</v>
      </c>
      <c r="R1814">
        <v>174</v>
      </c>
      <c r="S1814">
        <v>216.8</v>
      </c>
      <c r="T1814" t="s">
        <v>37</v>
      </c>
      <c r="U1814" s="7">
        <f t="shared" si="112"/>
        <v>61</v>
      </c>
      <c r="V1814" s="7">
        <f t="shared" si="113"/>
        <v>10</v>
      </c>
      <c r="W1814" s="6">
        <f t="shared" si="114"/>
        <v>11235.739999999991</v>
      </c>
      <c r="X1814" t="str">
        <f t="shared" si="115"/>
        <v>Senior</v>
      </c>
    </row>
    <row r="1815" spans="1:24">
      <c r="A1815" t="s">
        <v>3830</v>
      </c>
      <c r="B1815" t="s">
        <v>737</v>
      </c>
      <c r="C1815" t="s">
        <v>40</v>
      </c>
      <c r="D1815" s="5">
        <v>24173</v>
      </c>
      <c r="E1815" s="5">
        <v>45131</v>
      </c>
      <c r="F1815" s="5">
        <v>45140</v>
      </c>
      <c r="G1815" t="s">
        <v>94</v>
      </c>
      <c r="H1815" t="s">
        <v>63</v>
      </c>
      <c r="I1815" t="s">
        <v>53</v>
      </c>
      <c r="J1815" t="s">
        <v>26</v>
      </c>
      <c r="K1815" t="s">
        <v>120</v>
      </c>
      <c r="L1815" s="6">
        <v>44283.66</v>
      </c>
      <c r="M1815">
        <v>36171.07</v>
      </c>
      <c r="N1815" t="s">
        <v>35</v>
      </c>
      <c r="O1815">
        <v>9</v>
      </c>
      <c r="P1815">
        <v>145</v>
      </c>
      <c r="Q1815">
        <v>4</v>
      </c>
      <c r="R1815">
        <v>95</v>
      </c>
      <c r="S1815">
        <v>150.6</v>
      </c>
      <c r="T1815" t="s">
        <v>4237</v>
      </c>
      <c r="U1815" s="7">
        <f t="shared" si="112"/>
        <v>57</v>
      </c>
      <c r="V1815" s="7">
        <f t="shared" si="113"/>
        <v>9</v>
      </c>
      <c r="W1815" s="6">
        <f t="shared" si="114"/>
        <v>8112.5900000000038</v>
      </c>
      <c r="X1815" t="str">
        <f t="shared" si="115"/>
        <v>Middle Age</v>
      </c>
    </row>
    <row r="1816" spans="1:24">
      <c r="A1816" t="s">
        <v>3832</v>
      </c>
      <c r="B1816" t="s">
        <v>436</v>
      </c>
      <c r="C1816" t="s">
        <v>40</v>
      </c>
      <c r="D1816" s="5">
        <v>24849</v>
      </c>
      <c r="E1816" s="5">
        <v>45049</v>
      </c>
      <c r="F1816" s="5">
        <v>45067</v>
      </c>
      <c r="G1816" t="s">
        <v>152</v>
      </c>
      <c r="H1816" t="s">
        <v>52</v>
      </c>
      <c r="I1816" t="s">
        <v>45</v>
      </c>
      <c r="J1816" t="s">
        <v>71</v>
      </c>
      <c r="K1816" t="s">
        <v>110</v>
      </c>
      <c r="L1816" s="6">
        <v>121101.74</v>
      </c>
      <c r="M1816">
        <v>110754.07</v>
      </c>
      <c r="N1816" t="s">
        <v>73</v>
      </c>
      <c r="O1816">
        <v>18</v>
      </c>
      <c r="P1816">
        <v>158</v>
      </c>
      <c r="Q1816">
        <v>4</v>
      </c>
      <c r="R1816">
        <v>118</v>
      </c>
      <c r="S1816">
        <v>218.9</v>
      </c>
      <c r="T1816" t="s">
        <v>65</v>
      </c>
      <c r="U1816" s="7">
        <f t="shared" si="112"/>
        <v>55</v>
      </c>
      <c r="V1816" s="7">
        <f t="shared" si="113"/>
        <v>18</v>
      </c>
      <c r="W1816" s="6">
        <f t="shared" si="114"/>
        <v>10347.669999999998</v>
      </c>
      <c r="X1816" t="str">
        <f t="shared" si="115"/>
        <v>Middle Age</v>
      </c>
    </row>
    <row r="1817" spans="1:24">
      <c r="A1817" t="s">
        <v>3833</v>
      </c>
      <c r="B1817" t="s">
        <v>1471</v>
      </c>
      <c r="C1817" t="s">
        <v>133</v>
      </c>
      <c r="D1817" s="5">
        <v>18388</v>
      </c>
      <c r="E1817" s="5">
        <v>45446</v>
      </c>
      <c r="F1817" s="5">
        <v>45447</v>
      </c>
      <c r="G1817" t="s">
        <v>161</v>
      </c>
      <c r="H1817" t="s">
        <v>32</v>
      </c>
      <c r="I1817" t="s">
        <v>96</v>
      </c>
      <c r="J1817" t="s">
        <v>71</v>
      </c>
      <c r="K1817" t="s">
        <v>55</v>
      </c>
      <c r="L1817" s="6">
        <v>123663.9</v>
      </c>
      <c r="M1817">
        <v>24065.279999999999</v>
      </c>
      <c r="N1817" t="s">
        <v>192</v>
      </c>
      <c r="O1817">
        <v>1</v>
      </c>
      <c r="P1817">
        <v>151</v>
      </c>
      <c r="Q1817">
        <v>4</v>
      </c>
      <c r="R1817">
        <v>157</v>
      </c>
      <c r="S1817">
        <v>193.8</v>
      </c>
      <c r="T1817" t="s">
        <v>4237</v>
      </c>
      <c r="U1817" s="7">
        <f t="shared" si="112"/>
        <v>74</v>
      </c>
      <c r="V1817" s="7">
        <f t="shared" si="113"/>
        <v>1</v>
      </c>
      <c r="W1817" s="6">
        <f t="shared" si="114"/>
        <v>99598.62</v>
      </c>
      <c r="X1817" t="str">
        <f t="shared" si="115"/>
        <v>Senior</v>
      </c>
    </row>
    <row r="1818" spans="1:24">
      <c r="A1818" t="s">
        <v>3834</v>
      </c>
      <c r="B1818" t="s">
        <v>857</v>
      </c>
      <c r="C1818" t="s">
        <v>40</v>
      </c>
      <c r="D1818" s="5">
        <v>39939</v>
      </c>
      <c r="E1818" s="5">
        <v>45007</v>
      </c>
      <c r="F1818" s="5" t="s">
        <v>4237</v>
      </c>
      <c r="G1818" t="s">
        <v>152</v>
      </c>
      <c r="H1818" t="s">
        <v>118</v>
      </c>
      <c r="I1818" t="s">
        <v>33</v>
      </c>
      <c r="J1818" t="s">
        <v>64</v>
      </c>
      <c r="K1818" t="s">
        <v>120</v>
      </c>
      <c r="L1818" s="6">
        <v>177218.54</v>
      </c>
      <c r="M1818">
        <v>132477.4</v>
      </c>
      <c r="N1818" t="s">
        <v>73</v>
      </c>
      <c r="O1818">
        <v>16</v>
      </c>
      <c r="P1818">
        <v>68</v>
      </c>
      <c r="Q1818">
        <v>5</v>
      </c>
      <c r="R1818">
        <v>102</v>
      </c>
      <c r="S1818">
        <v>227.9</v>
      </c>
      <c r="T1818" t="s">
        <v>4237</v>
      </c>
      <c r="U1818" s="7">
        <f t="shared" si="112"/>
        <v>13</v>
      </c>
      <c r="V1818" s="7" t="s">
        <v>4237</v>
      </c>
      <c r="W1818" s="6">
        <f t="shared" si="114"/>
        <v>44741.140000000014</v>
      </c>
      <c r="X1818" t="str">
        <f t="shared" si="115"/>
        <v>Child</v>
      </c>
    </row>
    <row r="1819" spans="1:24">
      <c r="A1819" t="s">
        <v>4215</v>
      </c>
      <c r="B1819" t="s">
        <v>470</v>
      </c>
      <c r="C1819" t="s">
        <v>133</v>
      </c>
      <c r="D1819" s="5">
        <v>27039</v>
      </c>
      <c r="E1819" s="5">
        <v>45409</v>
      </c>
      <c r="F1819" s="5">
        <v>45424</v>
      </c>
      <c r="G1819" t="s">
        <v>105</v>
      </c>
      <c r="H1819" t="s">
        <v>95</v>
      </c>
      <c r="I1819" t="s">
        <v>33</v>
      </c>
      <c r="J1819" t="s">
        <v>97</v>
      </c>
      <c r="K1819" t="s">
        <v>27</v>
      </c>
      <c r="L1819" s="6">
        <v>192739.48</v>
      </c>
      <c r="M1819">
        <v>161931.20000000001</v>
      </c>
      <c r="N1819" t="s">
        <v>91</v>
      </c>
      <c r="O1819">
        <v>15</v>
      </c>
      <c r="P1819">
        <v>131</v>
      </c>
      <c r="Q1819">
        <v>3</v>
      </c>
      <c r="R1819">
        <v>94</v>
      </c>
      <c r="S1819">
        <v>200.1</v>
      </c>
      <c r="T1819" t="s">
        <v>65</v>
      </c>
      <c r="U1819" s="7">
        <f t="shared" si="112"/>
        <v>50</v>
      </c>
      <c r="V1819" s="7">
        <f t="shared" si="113"/>
        <v>15</v>
      </c>
      <c r="W1819" s="6">
        <f t="shared" si="114"/>
        <v>30808.28</v>
      </c>
      <c r="X1819" t="str">
        <f t="shared" si="115"/>
        <v>Middle Age</v>
      </c>
    </row>
    <row r="1820" spans="1:24">
      <c r="A1820" t="s">
        <v>3837</v>
      </c>
      <c r="B1820" t="s">
        <v>972</v>
      </c>
      <c r="C1820" t="s">
        <v>40</v>
      </c>
      <c r="D1820" s="5">
        <v>19767</v>
      </c>
      <c r="E1820" s="5">
        <v>45114</v>
      </c>
      <c r="F1820" s="5">
        <v>45128</v>
      </c>
      <c r="G1820" t="s">
        <v>117</v>
      </c>
      <c r="H1820" t="s">
        <v>44</v>
      </c>
      <c r="I1820" t="s">
        <v>96</v>
      </c>
      <c r="J1820" t="s">
        <v>97</v>
      </c>
      <c r="K1820" t="s">
        <v>27</v>
      </c>
      <c r="L1820" s="6">
        <v>37401.370000000003</v>
      </c>
      <c r="M1820">
        <v>26377.360000000001</v>
      </c>
      <c r="N1820" t="s">
        <v>35</v>
      </c>
      <c r="O1820">
        <v>14</v>
      </c>
      <c r="P1820">
        <v>27</v>
      </c>
      <c r="Q1820">
        <v>5</v>
      </c>
      <c r="R1820">
        <v>128</v>
      </c>
      <c r="S1820">
        <v>237.8</v>
      </c>
      <c r="T1820" t="s">
        <v>37</v>
      </c>
      <c r="U1820" s="7">
        <f t="shared" si="112"/>
        <v>69</v>
      </c>
      <c r="V1820" s="7">
        <f t="shared" si="113"/>
        <v>14</v>
      </c>
      <c r="W1820" s="6">
        <f t="shared" si="114"/>
        <v>11024.010000000002</v>
      </c>
      <c r="X1820" t="str">
        <f t="shared" si="115"/>
        <v>Senior</v>
      </c>
    </row>
    <row r="1821" spans="1:24">
      <c r="A1821" t="s">
        <v>3838</v>
      </c>
      <c r="B1821" t="s">
        <v>857</v>
      </c>
      <c r="C1821" t="s">
        <v>40</v>
      </c>
      <c r="D1821" s="5">
        <v>20192</v>
      </c>
      <c r="E1821" s="5">
        <v>45553</v>
      </c>
      <c r="F1821" s="5">
        <v>45567</v>
      </c>
      <c r="G1821" t="s">
        <v>161</v>
      </c>
      <c r="H1821" t="s">
        <v>86</v>
      </c>
      <c r="I1821" t="s">
        <v>119</v>
      </c>
      <c r="J1821" t="s">
        <v>26</v>
      </c>
      <c r="K1821" t="s">
        <v>120</v>
      </c>
      <c r="L1821" s="6">
        <v>187354.99</v>
      </c>
      <c r="M1821">
        <v>149405.56</v>
      </c>
      <c r="N1821" t="s">
        <v>192</v>
      </c>
      <c r="O1821">
        <v>14</v>
      </c>
      <c r="P1821">
        <v>52</v>
      </c>
      <c r="Q1821">
        <v>4</v>
      </c>
      <c r="R1821">
        <v>186</v>
      </c>
      <c r="S1821">
        <v>191.4</v>
      </c>
      <c r="T1821" t="s">
        <v>47</v>
      </c>
      <c r="U1821" s="7">
        <f t="shared" si="112"/>
        <v>69</v>
      </c>
      <c r="V1821" s="7">
        <f t="shared" si="113"/>
        <v>14</v>
      </c>
      <c r="W1821" s="6">
        <f t="shared" si="114"/>
        <v>37949.429999999993</v>
      </c>
      <c r="X1821" t="str">
        <f t="shared" si="115"/>
        <v>Senior</v>
      </c>
    </row>
    <row r="1822" spans="1:24">
      <c r="A1822" t="s">
        <v>3839</v>
      </c>
      <c r="B1822" t="s">
        <v>277</v>
      </c>
      <c r="C1822" t="s">
        <v>133</v>
      </c>
      <c r="D1822" s="5">
        <v>26526</v>
      </c>
      <c r="E1822" s="5">
        <v>45572</v>
      </c>
      <c r="F1822" s="5">
        <v>45590</v>
      </c>
      <c r="G1822" t="s">
        <v>152</v>
      </c>
      <c r="H1822" t="s">
        <v>86</v>
      </c>
      <c r="I1822" t="s">
        <v>119</v>
      </c>
      <c r="J1822" t="s">
        <v>97</v>
      </c>
      <c r="K1822" t="s">
        <v>120</v>
      </c>
      <c r="L1822" s="6">
        <v>32023.05</v>
      </c>
      <c r="M1822">
        <v>24464.76</v>
      </c>
      <c r="N1822" t="s">
        <v>56</v>
      </c>
      <c r="O1822">
        <v>18</v>
      </c>
      <c r="P1822">
        <v>179</v>
      </c>
      <c r="Q1822">
        <v>4</v>
      </c>
      <c r="R1822">
        <v>127</v>
      </c>
      <c r="S1822">
        <v>71.2</v>
      </c>
      <c r="T1822" t="s">
        <v>37</v>
      </c>
      <c r="U1822" s="7">
        <f t="shared" si="112"/>
        <v>52</v>
      </c>
      <c r="V1822" s="7">
        <f t="shared" si="113"/>
        <v>18</v>
      </c>
      <c r="W1822" s="6">
        <f t="shared" si="114"/>
        <v>7558.2900000000009</v>
      </c>
      <c r="X1822" t="str">
        <f t="shared" si="115"/>
        <v>Middle Age</v>
      </c>
    </row>
    <row r="1823" spans="1:24">
      <c r="A1823" t="s">
        <v>3840</v>
      </c>
      <c r="B1823" t="s">
        <v>891</v>
      </c>
      <c r="C1823" t="s">
        <v>40</v>
      </c>
      <c r="D1823" s="5">
        <v>38869</v>
      </c>
      <c r="E1823" s="5">
        <v>45146</v>
      </c>
      <c r="F1823" s="5" t="s">
        <v>4237</v>
      </c>
      <c r="G1823" t="s">
        <v>77</v>
      </c>
      <c r="H1823" t="s">
        <v>113</v>
      </c>
      <c r="I1823" t="s">
        <v>25</v>
      </c>
      <c r="J1823" t="s">
        <v>80</v>
      </c>
      <c r="K1823" t="s">
        <v>27</v>
      </c>
      <c r="L1823" s="6">
        <v>163558.5</v>
      </c>
      <c r="M1823">
        <v>108121.54</v>
      </c>
      <c r="N1823" t="s">
        <v>192</v>
      </c>
      <c r="O1823">
        <v>13</v>
      </c>
      <c r="P1823">
        <v>31</v>
      </c>
      <c r="Q1823">
        <v>1</v>
      </c>
      <c r="R1823">
        <v>176</v>
      </c>
      <c r="S1823">
        <v>135.80000000000001</v>
      </c>
      <c r="T1823" t="s">
        <v>37</v>
      </c>
      <c r="U1823" s="7">
        <f t="shared" si="112"/>
        <v>17</v>
      </c>
      <c r="V1823" s="7" t="s">
        <v>4237</v>
      </c>
      <c r="W1823" s="6">
        <f t="shared" si="114"/>
        <v>55436.960000000006</v>
      </c>
      <c r="X1823" t="str">
        <f t="shared" si="115"/>
        <v>Child</v>
      </c>
    </row>
    <row r="1824" spans="1:24">
      <c r="A1824" t="s">
        <v>3842</v>
      </c>
      <c r="B1824" t="s">
        <v>292</v>
      </c>
      <c r="C1824" t="s">
        <v>40</v>
      </c>
      <c r="D1824" s="5">
        <v>27255</v>
      </c>
      <c r="E1824" s="5">
        <v>45970</v>
      </c>
      <c r="F1824" s="5" t="s">
        <v>4237</v>
      </c>
      <c r="G1824" t="s">
        <v>43</v>
      </c>
      <c r="H1824" t="s">
        <v>32</v>
      </c>
      <c r="I1824" t="s">
        <v>96</v>
      </c>
      <c r="J1824" t="s">
        <v>34</v>
      </c>
      <c r="K1824" t="s">
        <v>27</v>
      </c>
      <c r="L1824" s="6">
        <v>121137.26</v>
      </c>
      <c r="M1824">
        <v>98838.34</v>
      </c>
      <c r="N1824" t="s">
        <v>91</v>
      </c>
      <c r="O1824">
        <v>16</v>
      </c>
      <c r="P1824">
        <v>136</v>
      </c>
      <c r="Q1824">
        <v>4</v>
      </c>
      <c r="R1824">
        <v>180</v>
      </c>
      <c r="S1824">
        <v>107</v>
      </c>
      <c r="T1824" t="s">
        <v>37</v>
      </c>
      <c r="U1824" s="7">
        <f t="shared" si="112"/>
        <v>51</v>
      </c>
      <c r="V1824" s="7" t="s">
        <v>4237</v>
      </c>
      <c r="W1824" s="6">
        <f t="shared" si="114"/>
        <v>22298.92</v>
      </c>
      <c r="X1824" t="str">
        <f t="shared" si="115"/>
        <v>Middle Age</v>
      </c>
    </row>
    <row r="1825" spans="1:24">
      <c r="A1825" t="s">
        <v>4216</v>
      </c>
      <c r="B1825" t="s">
        <v>3484</v>
      </c>
      <c r="C1825" t="s">
        <v>133</v>
      </c>
      <c r="D1825" s="5">
        <v>33820</v>
      </c>
      <c r="E1825" s="5">
        <v>45715</v>
      </c>
      <c r="F1825" s="5">
        <v>45718</v>
      </c>
      <c r="G1825" t="s">
        <v>117</v>
      </c>
      <c r="H1825" t="s">
        <v>44</v>
      </c>
      <c r="I1825" t="s">
        <v>33</v>
      </c>
      <c r="J1825" t="s">
        <v>64</v>
      </c>
      <c r="K1825" t="s">
        <v>27</v>
      </c>
      <c r="L1825" s="6">
        <v>89579.03</v>
      </c>
      <c r="M1825">
        <v>82450.58</v>
      </c>
      <c r="N1825" t="s">
        <v>35</v>
      </c>
      <c r="O1825">
        <v>3</v>
      </c>
      <c r="P1825">
        <v>95</v>
      </c>
      <c r="Q1825">
        <v>4</v>
      </c>
      <c r="R1825">
        <v>105</v>
      </c>
      <c r="S1825">
        <v>255.2</v>
      </c>
      <c r="T1825" t="s">
        <v>4237</v>
      </c>
      <c r="U1825" s="7">
        <f t="shared" si="112"/>
        <v>32</v>
      </c>
      <c r="V1825" s="7">
        <f t="shared" si="113"/>
        <v>3</v>
      </c>
      <c r="W1825" s="6">
        <f t="shared" si="114"/>
        <v>7128.4499999999971</v>
      </c>
      <c r="X1825" t="str">
        <f t="shared" si="115"/>
        <v>Adult</v>
      </c>
    </row>
    <row r="1826" spans="1:24">
      <c r="A1826" t="s">
        <v>3846</v>
      </c>
      <c r="B1826" t="s">
        <v>288</v>
      </c>
      <c r="C1826" t="s">
        <v>40</v>
      </c>
      <c r="D1826" s="5">
        <v>25915</v>
      </c>
      <c r="E1826" s="5">
        <v>45073</v>
      </c>
      <c r="F1826" s="5">
        <v>45083</v>
      </c>
      <c r="G1826" t="s">
        <v>94</v>
      </c>
      <c r="H1826" t="s">
        <v>24</v>
      </c>
      <c r="I1826" t="s">
        <v>79</v>
      </c>
      <c r="J1826" t="s">
        <v>34</v>
      </c>
      <c r="K1826" t="s">
        <v>120</v>
      </c>
      <c r="L1826" s="6">
        <v>19808.919999999998</v>
      </c>
      <c r="M1826">
        <v>17521.07</v>
      </c>
      <c r="N1826" t="s">
        <v>35</v>
      </c>
      <c r="O1826">
        <v>10</v>
      </c>
      <c r="P1826">
        <v>163</v>
      </c>
      <c r="Q1826">
        <v>4</v>
      </c>
      <c r="R1826">
        <v>110</v>
      </c>
      <c r="S1826">
        <v>209</v>
      </c>
      <c r="T1826" t="s">
        <v>37</v>
      </c>
      <c r="U1826" s="7">
        <f t="shared" si="112"/>
        <v>52</v>
      </c>
      <c r="V1826" s="7">
        <f t="shared" si="113"/>
        <v>10</v>
      </c>
      <c r="W1826" s="6">
        <f t="shared" si="114"/>
        <v>2287.8499999999985</v>
      </c>
      <c r="X1826" t="str">
        <f t="shared" si="115"/>
        <v>Middle Age</v>
      </c>
    </row>
    <row r="1827" spans="1:24">
      <c r="A1827" t="s">
        <v>3847</v>
      </c>
      <c r="B1827" t="s">
        <v>1590</v>
      </c>
      <c r="C1827" t="s">
        <v>133</v>
      </c>
      <c r="D1827" s="5">
        <v>19434</v>
      </c>
      <c r="E1827" s="5">
        <v>45362</v>
      </c>
      <c r="F1827" s="5">
        <v>45629</v>
      </c>
      <c r="G1827" t="s">
        <v>152</v>
      </c>
      <c r="H1827" t="s">
        <v>124</v>
      </c>
      <c r="I1827" t="s">
        <v>45</v>
      </c>
      <c r="J1827" t="s">
        <v>64</v>
      </c>
      <c r="K1827" t="s">
        <v>110</v>
      </c>
      <c r="L1827" s="6">
        <v>157268</v>
      </c>
      <c r="M1827">
        <v>140209.07999999999</v>
      </c>
      <c r="N1827" t="s">
        <v>192</v>
      </c>
      <c r="O1827">
        <v>1</v>
      </c>
      <c r="P1827">
        <v>218</v>
      </c>
      <c r="Q1827">
        <v>5</v>
      </c>
      <c r="R1827">
        <v>179</v>
      </c>
      <c r="S1827">
        <v>235.7</v>
      </c>
      <c r="T1827" t="s">
        <v>37</v>
      </c>
      <c r="U1827" s="7">
        <f t="shared" si="112"/>
        <v>70</v>
      </c>
      <c r="V1827" s="7">
        <f t="shared" si="113"/>
        <v>267</v>
      </c>
      <c r="W1827" s="6">
        <f t="shared" si="114"/>
        <v>17058.920000000013</v>
      </c>
      <c r="X1827" t="str">
        <f t="shared" si="115"/>
        <v>Senior</v>
      </c>
    </row>
    <row r="1828" spans="1:24">
      <c r="A1828" t="s">
        <v>3849</v>
      </c>
      <c r="B1828" t="s">
        <v>1119</v>
      </c>
      <c r="C1828" t="s">
        <v>40</v>
      </c>
      <c r="D1828" s="5">
        <v>19778</v>
      </c>
      <c r="E1828" s="5">
        <v>45172</v>
      </c>
      <c r="F1828" s="5">
        <v>45180</v>
      </c>
      <c r="G1828" t="s">
        <v>117</v>
      </c>
      <c r="H1828" t="s">
        <v>118</v>
      </c>
      <c r="I1828" t="s">
        <v>45</v>
      </c>
      <c r="J1828" t="s">
        <v>34</v>
      </c>
      <c r="K1828" t="s">
        <v>55</v>
      </c>
      <c r="L1828" s="6">
        <v>123663.9</v>
      </c>
      <c r="M1828">
        <v>198367.61</v>
      </c>
      <c r="N1828" t="s">
        <v>4237</v>
      </c>
      <c r="O1828">
        <v>8</v>
      </c>
      <c r="P1828">
        <v>174</v>
      </c>
      <c r="Q1828">
        <v>4</v>
      </c>
      <c r="R1828">
        <v>167</v>
      </c>
      <c r="S1828">
        <v>99.9</v>
      </c>
      <c r="T1828" t="s">
        <v>37</v>
      </c>
      <c r="U1828" s="7">
        <f t="shared" si="112"/>
        <v>69</v>
      </c>
      <c r="V1828" s="7">
        <f t="shared" si="113"/>
        <v>8</v>
      </c>
      <c r="W1828" s="6">
        <f t="shared" si="114"/>
        <v>-74703.709999999992</v>
      </c>
      <c r="X1828" t="str">
        <f t="shared" si="115"/>
        <v>Senior</v>
      </c>
    </row>
    <row r="1829" spans="1:24">
      <c r="A1829" t="s">
        <v>3851</v>
      </c>
      <c r="B1829" t="s">
        <v>1101</v>
      </c>
      <c r="C1829" t="s">
        <v>40</v>
      </c>
      <c r="D1829" s="5">
        <v>25345</v>
      </c>
      <c r="E1829" s="5">
        <v>45459</v>
      </c>
      <c r="F1829" s="5">
        <v>45476</v>
      </c>
      <c r="G1829" t="s">
        <v>77</v>
      </c>
      <c r="H1829" t="s">
        <v>44</v>
      </c>
      <c r="I1829" t="s">
        <v>45</v>
      </c>
      <c r="J1829" t="s">
        <v>179</v>
      </c>
      <c r="K1829" t="s">
        <v>120</v>
      </c>
      <c r="L1829" s="6">
        <v>224851.75</v>
      </c>
      <c r="M1829">
        <v>212714.1</v>
      </c>
      <c r="N1829" t="s">
        <v>56</v>
      </c>
      <c r="O1829">
        <v>17</v>
      </c>
      <c r="P1829">
        <v>102</v>
      </c>
      <c r="Q1829">
        <v>4</v>
      </c>
      <c r="R1829">
        <v>98</v>
      </c>
      <c r="S1829">
        <v>128.80000000000001</v>
      </c>
      <c r="T1829" t="s">
        <v>4237</v>
      </c>
      <c r="U1829" s="7">
        <f t="shared" si="112"/>
        <v>55</v>
      </c>
      <c r="V1829" s="7">
        <f t="shared" si="113"/>
        <v>17</v>
      </c>
      <c r="W1829" s="6">
        <f t="shared" si="114"/>
        <v>12137.649999999994</v>
      </c>
      <c r="X1829" t="str">
        <f t="shared" si="115"/>
        <v>Middle Age</v>
      </c>
    </row>
    <row r="1830" spans="1:24">
      <c r="A1830" t="s">
        <v>3852</v>
      </c>
      <c r="B1830" t="s">
        <v>485</v>
      </c>
      <c r="C1830" t="s">
        <v>40</v>
      </c>
      <c r="D1830" s="5">
        <v>31818</v>
      </c>
      <c r="E1830" s="5">
        <v>45099</v>
      </c>
      <c r="F1830" s="5">
        <v>45117</v>
      </c>
      <c r="G1830" t="s">
        <v>161</v>
      </c>
      <c r="H1830" t="s">
        <v>153</v>
      </c>
      <c r="I1830" t="s">
        <v>33</v>
      </c>
      <c r="J1830" t="s">
        <v>64</v>
      </c>
      <c r="K1830" t="s">
        <v>55</v>
      </c>
      <c r="L1830" s="6">
        <v>104027.2</v>
      </c>
      <c r="M1830">
        <v>73478.91</v>
      </c>
      <c r="N1830" t="s">
        <v>73</v>
      </c>
      <c r="O1830">
        <v>18</v>
      </c>
      <c r="P1830">
        <v>91</v>
      </c>
      <c r="Q1830">
        <v>1</v>
      </c>
      <c r="R1830">
        <v>148</v>
      </c>
      <c r="S1830">
        <v>213.1</v>
      </c>
      <c r="T1830" t="s">
        <v>65</v>
      </c>
      <c r="U1830" s="7">
        <f t="shared" si="112"/>
        <v>36</v>
      </c>
      <c r="V1830" s="7">
        <f t="shared" si="113"/>
        <v>18</v>
      </c>
      <c r="W1830" s="6">
        <f t="shared" si="114"/>
        <v>30548.289999999994</v>
      </c>
      <c r="X1830" t="str">
        <f t="shared" si="115"/>
        <v>Adult</v>
      </c>
    </row>
    <row r="1831" spans="1:24">
      <c r="A1831" t="s">
        <v>3853</v>
      </c>
      <c r="B1831" t="s">
        <v>1125</v>
      </c>
      <c r="C1831" t="s">
        <v>133</v>
      </c>
      <c r="D1831" s="5">
        <v>24785</v>
      </c>
      <c r="E1831" s="5">
        <v>45155</v>
      </c>
      <c r="F1831" s="5">
        <v>45169</v>
      </c>
      <c r="G1831" t="s">
        <v>43</v>
      </c>
      <c r="H1831" t="s">
        <v>153</v>
      </c>
      <c r="I1831" t="s">
        <v>45</v>
      </c>
      <c r="J1831" t="s">
        <v>34</v>
      </c>
      <c r="K1831" t="s">
        <v>27</v>
      </c>
      <c r="L1831" s="6">
        <v>202705.35</v>
      </c>
      <c r="M1831">
        <v>192420.09</v>
      </c>
      <c r="N1831" t="s">
        <v>192</v>
      </c>
      <c r="O1831">
        <v>14</v>
      </c>
      <c r="P1831">
        <v>138</v>
      </c>
      <c r="Q1831">
        <v>4</v>
      </c>
      <c r="R1831">
        <v>188</v>
      </c>
      <c r="S1831">
        <v>132.80000000000001</v>
      </c>
      <c r="T1831" t="s">
        <v>37</v>
      </c>
      <c r="U1831" s="7">
        <f t="shared" si="112"/>
        <v>55</v>
      </c>
      <c r="V1831" s="7">
        <f t="shared" si="113"/>
        <v>14</v>
      </c>
      <c r="W1831" s="6">
        <f t="shared" si="114"/>
        <v>10285.260000000009</v>
      </c>
      <c r="X1831" t="str">
        <f t="shared" si="115"/>
        <v>Middle Age</v>
      </c>
    </row>
    <row r="1832" spans="1:24">
      <c r="A1832" t="s">
        <v>3856</v>
      </c>
      <c r="B1832" t="s">
        <v>1393</v>
      </c>
      <c r="C1832" t="s">
        <v>133</v>
      </c>
      <c r="D1832" s="5">
        <v>22490</v>
      </c>
      <c r="E1832" s="5">
        <v>45612</v>
      </c>
      <c r="F1832" s="5">
        <v>45621</v>
      </c>
      <c r="G1832" t="s">
        <v>105</v>
      </c>
      <c r="H1832" t="s">
        <v>124</v>
      </c>
      <c r="I1832" t="s">
        <v>119</v>
      </c>
      <c r="J1832" t="s">
        <v>64</v>
      </c>
      <c r="K1832" t="s">
        <v>55</v>
      </c>
      <c r="L1832" s="6">
        <v>54557.87</v>
      </c>
      <c r="M1832">
        <v>39559.97</v>
      </c>
      <c r="N1832" t="s">
        <v>73</v>
      </c>
      <c r="O1832">
        <v>9</v>
      </c>
      <c r="P1832">
        <v>115</v>
      </c>
      <c r="Q1832">
        <v>4</v>
      </c>
      <c r="R1832">
        <v>130</v>
      </c>
      <c r="S1832">
        <v>163.69999999999999</v>
      </c>
      <c r="T1832" t="s">
        <v>37</v>
      </c>
      <c r="U1832" s="7">
        <f t="shared" si="112"/>
        <v>63</v>
      </c>
      <c r="V1832" s="7">
        <f t="shared" si="113"/>
        <v>9</v>
      </c>
      <c r="W1832" s="6">
        <f t="shared" si="114"/>
        <v>14997.900000000001</v>
      </c>
      <c r="X1832" t="str">
        <f t="shared" si="115"/>
        <v>Senior</v>
      </c>
    </row>
    <row r="1833" spans="1:24">
      <c r="A1833" t="s">
        <v>3857</v>
      </c>
      <c r="B1833" t="s">
        <v>345</v>
      </c>
      <c r="C1833" t="s">
        <v>40</v>
      </c>
      <c r="D1833" s="5">
        <v>36166</v>
      </c>
      <c r="E1833" s="5">
        <v>45133</v>
      </c>
      <c r="F1833" s="5">
        <v>45144</v>
      </c>
      <c r="G1833" t="s">
        <v>117</v>
      </c>
      <c r="H1833" t="s">
        <v>113</v>
      </c>
      <c r="I1833" t="s">
        <v>119</v>
      </c>
      <c r="J1833" t="s">
        <v>26</v>
      </c>
      <c r="K1833" t="s">
        <v>110</v>
      </c>
      <c r="L1833" s="6">
        <v>210166.83</v>
      </c>
      <c r="M1833">
        <v>153266.76999999999</v>
      </c>
      <c r="N1833" t="s">
        <v>35</v>
      </c>
      <c r="O1833">
        <v>11</v>
      </c>
      <c r="P1833">
        <v>25</v>
      </c>
      <c r="Q1833">
        <v>2</v>
      </c>
      <c r="R1833">
        <v>141</v>
      </c>
      <c r="S1833">
        <v>87.8</v>
      </c>
      <c r="T1833" t="s">
        <v>37</v>
      </c>
      <c r="U1833" s="7">
        <f t="shared" si="112"/>
        <v>24</v>
      </c>
      <c r="V1833" s="7">
        <f t="shared" si="113"/>
        <v>11</v>
      </c>
      <c r="W1833" s="6">
        <f t="shared" si="114"/>
        <v>56900.06</v>
      </c>
      <c r="X1833" t="str">
        <f t="shared" si="115"/>
        <v>Adult</v>
      </c>
    </row>
    <row r="1834" spans="1:24">
      <c r="A1834" t="s">
        <v>3859</v>
      </c>
      <c r="B1834" t="s">
        <v>568</v>
      </c>
      <c r="C1834" t="s">
        <v>40</v>
      </c>
      <c r="D1834" s="5" t="s">
        <v>4237</v>
      </c>
      <c r="E1834" s="5">
        <v>45423</v>
      </c>
      <c r="F1834" s="5" t="s">
        <v>4237</v>
      </c>
      <c r="G1834" t="s">
        <v>94</v>
      </c>
      <c r="H1834" t="s">
        <v>52</v>
      </c>
      <c r="I1834" t="s">
        <v>79</v>
      </c>
      <c r="J1834" t="s">
        <v>34</v>
      </c>
      <c r="K1834" t="s">
        <v>161</v>
      </c>
      <c r="L1834" s="6">
        <v>204695.08</v>
      </c>
      <c r="M1834">
        <v>138984.57</v>
      </c>
      <c r="N1834" t="s">
        <v>4237</v>
      </c>
      <c r="O1834">
        <v>11</v>
      </c>
      <c r="P1834">
        <v>120</v>
      </c>
      <c r="Q1834">
        <v>2</v>
      </c>
      <c r="R1834">
        <v>140</v>
      </c>
      <c r="S1834">
        <v>176.6</v>
      </c>
      <c r="T1834" t="s">
        <v>47</v>
      </c>
      <c r="U1834" s="7" t="s">
        <v>4237</v>
      </c>
      <c r="V1834" s="7" t="s">
        <v>4237</v>
      </c>
      <c r="W1834" s="6">
        <f t="shared" si="114"/>
        <v>65710.50999999998</v>
      </c>
      <c r="X1834" t="s">
        <v>4237</v>
      </c>
    </row>
    <row r="1835" spans="1:24">
      <c r="A1835" t="s">
        <v>3863</v>
      </c>
      <c r="B1835" t="s">
        <v>93</v>
      </c>
      <c r="C1835" t="s">
        <v>40</v>
      </c>
      <c r="D1835" s="5">
        <v>35442</v>
      </c>
      <c r="E1835" s="5">
        <v>45108</v>
      </c>
      <c r="F1835" s="5">
        <v>45109</v>
      </c>
      <c r="G1835" t="s">
        <v>94</v>
      </c>
      <c r="H1835" t="s">
        <v>153</v>
      </c>
      <c r="I1835" t="s">
        <v>96</v>
      </c>
      <c r="J1835" t="s">
        <v>34</v>
      </c>
      <c r="K1835" t="s">
        <v>27</v>
      </c>
      <c r="L1835" s="6">
        <v>60067.07</v>
      </c>
      <c r="M1835">
        <v>59884.32</v>
      </c>
      <c r="N1835" t="s">
        <v>73</v>
      </c>
      <c r="O1835">
        <v>1</v>
      </c>
      <c r="P1835">
        <v>147</v>
      </c>
      <c r="Q1835">
        <v>1</v>
      </c>
      <c r="R1835">
        <v>113</v>
      </c>
      <c r="S1835">
        <v>259.60000000000002</v>
      </c>
      <c r="T1835" t="s">
        <v>47</v>
      </c>
      <c r="U1835" s="7">
        <f t="shared" si="112"/>
        <v>26</v>
      </c>
      <c r="V1835" s="7">
        <f t="shared" si="113"/>
        <v>1</v>
      </c>
      <c r="W1835" s="6">
        <f t="shared" si="114"/>
        <v>182.75</v>
      </c>
      <c r="X1835" t="str">
        <f t="shared" si="115"/>
        <v>Adult</v>
      </c>
    </row>
    <row r="1836" spans="1:24">
      <c r="A1836" t="s">
        <v>3866</v>
      </c>
      <c r="B1836" t="s">
        <v>2594</v>
      </c>
      <c r="C1836" t="s">
        <v>133</v>
      </c>
      <c r="D1836" s="5">
        <v>25403</v>
      </c>
      <c r="E1836" s="5">
        <v>45878</v>
      </c>
      <c r="F1836" s="5">
        <v>45896</v>
      </c>
      <c r="G1836" t="s">
        <v>109</v>
      </c>
      <c r="H1836" t="s">
        <v>124</v>
      </c>
      <c r="I1836" t="s">
        <v>119</v>
      </c>
      <c r="J1836" t="s">
        <v>64</v>
      </c>
      <c r="K1836" t="s">
        <v>55</v>
      </c>
      <c r="L1836" s="6">
        <v>123663.9</v>
      </c>
      <c r="M1836">
        <v>91446.66</v>
      </c>
      <c r="N1836" t="s">
        <v>4237</v>
      </c>
      <c r="O1836">
        <v>18</v>
      </c>
      <c r="P1836">
        <v>219</v>
      </c>
      <c r="Q1836">
        <v>1</v>
      </c>
      <c r="R1836">
        <v>187</v>
      </c>
      <c r="S1836">
        <v>74</v>
      </c>
      <c r="T1836" t="s">
        <v>37</v>
      </c>
      <c r="U1836" s="7">
        <f t="shared" si="112"/>
        <v>56</v>
      </c>
      <c r="V1836" s="7">
        <f t="shared" si="113"/>
        <v>18</v>
      </c>
      <c r="W1836" s="6">
        <f t="shared" si="114"/>
        <v>32217.239999999991</v>
      </c>
      <c r="X1836" t="str">
        <f t="shared" si="115"/>
        <v>Middle Age</v>
      </c>
    </row>
    <row r="1837" spans="1:24">
      <c r="A1837" t="s">
        <v>3868</v>
      </c>
      <c r="B1837" t="s">
        <v>1391</v>
      </c>
      <c r="C1837" t="s">
        <v>133</v>
      </c>
      <c r="D1837" s="5">
        <v>28699</v>
      </c>
      <c r="E1837" s="5">
        <v>45726</v>
      </c>
      <c r="F1837" s="5">
        <v>45729</v>
      </c>
      <c r="G1837" t="s">
        <v>43</v>
      </c>
      <c r="H1837" t="s">
        <v>153</v>
      </c>
      <c r="I1837" t="s">
        <v>33</v>
      </c>
      <c r="J1837" t="s">
        <v>34</v>
      </c>
      <c r="K1837" t="s">
        <v>55</v>
      </c>
      <c r="L1837" s="6">
        <v>172106.29</v>
      </c>
      <c r="M1837">
        <v>141740.24</v>
      </c>
      <c r="N1837" t="s">
        <v>192</v>
      </c>
      <c r="O1837">
        <v>3</v>
      </c>
      <c r="P1837">
        <v>73</v>
      </c>
      <c r="Q1837">
        <v>4</v>
      </c>
      <c r="R1837">
        <v>129</v>
      </c>
      <c r="S1837">
        <v>221.3</v>
      </c>
      <c r="T1837" t="s">
        <v>37</v>
      </c>
      <c r="U1837" s="7">
        <f t="shared" si="112"/>
        <v>46</v>
      </c>
      <c r="V1837" s="7">
        <f t="shared" si="113"/>
        <v>3</v>
      </c>
      <c r="W1837" s="6">
        <f t="shared" si="114"/>
        <v>30366.050000000017</v>
      </c>
      <c r="X1837" t="str">
        <f t="shared" si="115"/>
        <v>Middle Age</v>
      </c>
    </row>
    <row r="1838" spans="1:24">
      <c r="A1838" t="s">
        <v>3869</v>
      </c>
      <c r="B1838" t="s">
        <v>522</v>
      </c>
      <c r="C1838" t="s">
        <v>133</v>
      </c>
      <c r="D1838" s="5">
        <v>23506</v>
      </c>
      <c r="E1838" s="5">
        <v>45451</v>
      </c>
      <c r="F1838" s="5">
        <v>45453</v>
      </c>
      <c r="G1838" t="s">
        <v>77</v>
      </c>
      <c r="H1838" t="s">
        <v>124</v>
      </c>
      <c r="I1838" t="s">
        <v>96</v>
      </c>
      <c r="J1838" t="s">
        <v>34</v>
      </c>
      <c r="K1838" t="s">
        <v>55</v>
      </c>
      <c r="L1838" s="6">
        <v>189618.89</v>
      </c>
      <c r="M1838">
        <v>137451.42000000001</v>
      </c>
      <c r="N1838" t="s">
        <v>192</v>
      </c>
      <c r="O1838">
        <v>2</v>
      </c>
      <c r="P1838">
        <v>61</v>
      </c>
      <c r="Q1838">
        <v>4</v>
      </c>
      <c r="R1838">
        <v>115</v>
      </c>
      <c r="S1838">
        <v>193.5</v>
      </c>
      <c r="T1838" t="s">
        <v>37</v>
      </c>
      <c r="U1838" s="7">
        <f t="shared" si="112"/>
        <v>60</v>
      </c>
      <c r="V1838" s="7">
        <f t="shared" si="113"/>
        <v>2</v>
      </c>
      <c r="W1838" s="6">
        <f t="shared" si="114"/>
        <v>52167.47</v>
      </c>
      <c r="X1838" t="str">
        <f t="shared" si="115"/>
        <v>Senior</v>
      </c>
    </row>
    <row r="1839" spans="1:24">
      <c r="A1839" t="s">
        <v>3870</v>
      </c>
      <c r="B1839" t="s">
        <v>895</v>
      </c>
      <c r="C1839" t="s">
        <v>40</v>
      </c>
      <c r="D1839" s="5">
        <v>19998</v>
      </c>
      <c r="E1839" s="5">
        <v>45055</v>
      </c>
      <c r="F1839" s="5" t="s">
        <v>4237</v>
      </c>
      <c r="G1839" t="s">
        <v>94</v>
      </c>
      <c r="H1839" t="s">
        <v>134</v>
      </c>
      <c r="I1839" t="s">
        <v>79</v>
      </c>
      <c r="J1839" t="s">
        <v>64</v>
      </c>
      <c r="K1839" t="s">
        <v>120</v>
      </c>
      <c r="L1839" s="6">
        <v>230613.87</v>
      </c>
      <c r="M1839">
        <v>218005.06</v>
      </c>
      <c r="N1839" t="s">
        <v>91</v>
      </c>
      <c r="O1839">
        <v>15</v>
      </c>
      <c r="P1839">
        <v>39</v>
      </c>
      <c r="Q1839">
        <v>2</v>
      </c>
      <c r="R1839">
        <v>179</v>
      </c>
      <c r="S1839">
        <v>173.7</v>
      </c>
      <c r="T1839" t="s">
        <v>65</v>
      </c>
      <c r="U1839" s="7">
        <f t="shared" si="112"/>
        <v>68</v>
      </c>
      <c r="V1839" s="7" t="s">
        <v>4237</v>
      </c>
      <c r="W1839" s="6">
        <f t="shared" si="114"/>
        <v>12608.809999999998</v>
      </c>
      <c r="X1839" t="str">
        <f t="shared" si="115"/>
        <v>Senior</v>
      </c>
    </row>
    <row r="1840" spans="1:24">
      <c r="A1840" t="s">
        <v>3871</v>
      </c>
      <c r="B1840" t="s">
        <v>728</v>
      </c>
      <c r="C1840" t="s">
        <v>133</v>
      </c>
      <c r="D1840" s="5">
        <v>37813</v>
      </c>
      <c r="E1840" s="5">
        <v>45722</v>
      </c>
      <c r="F1840" s="5">
        <v>45734</v>
      </c>
      <c r="G1840" t="s">
        <v>161</v>
      </c>
      <c r="H1840" t="s">
        <v>44</v>
      </c>
      <c r="I1840" t="s">
        <v>33</v>
      </c>
      <c r="J1840" t="s">
        <v>64</v>
      </c>
      <c r="K1840" t="s">
        <v>120</v>
      </c>
      <c r="L1840" s="6">
        <v>80593.009999999995</v>
      </c>
      <c r="M1840">
        <v>63231.99</v>
      </c>
      <c r="N1840" t="s">
        <v>73</v>
      </c>
      <c r="O1840">
        <v>12</v>
      </c>
      <c r="P1840">
        <v>29</v>
      </c>
      <c r="Q1840">
        <v>5</v>
      </c>
      <c r="R1840">
        <v>148</v>
      </c>
      <c r="S1840">
        <v>216.9</v>
      </c>
      <c r="T1840" t="s">
        <v>37</v>
      </c>
      <c r="U1840" s="7">
        <f t="shared" si="112"/>
        <v>21</v>
      </c>
      <c r="V1840" s="7">
        <f t="shared" si="113"/>
        <v>12</v>
      </c>
      <c r="W1840" s="6">
        <f t="shared" si="114"/>
        <v>17361.019999999997</v>
      </c>
      <c r="X1840" t="str">
        <f t="shared" si="115"/>
        <v>Adult</v>
      </c>
    </row>
    <row r="1841" spans="1:24">
      <c r="A1841" t="s">
        <v>3872</v>
      </c>
      <c r="B1841" t="s">
        <v>392</v>
      </c>
      <c r="C1841" t="s">
        <v>133</v>
      </c>
      <c r="D1841" s="5">
        <v>29909</v>
      </c>
      <c r="E1841" s="5">
        <v>45307</v>
      </c>
      <c r="F1841" s="5">
        <v>45321</v>
      </c>
      <c r="G1841" t="s">
        <v>161</v>
      </c>
      <c r="H1841" t="s">
        <v>113</v>
      </c>
      <c r="I1841" t="s">
        <v>119</v>
      </c>
      <c r="J1841" t="s">
        <v>97</v>
      </c>
      <c r="K1841" t="s">
        <v>55</v>
      </c>
      <c r="L1841" s="6">
        <v>87935.79</v>
      </c>
      <c r="M1841">
        <v>60436.65</v>
      </c>
      <c r="N1841" t="s">
        <v>56</v>
      </c>
      <c r="O1841">
        <v>14</v>
      </c>
      <c r="P1841">
        <v>12</v>
      </c>
      <c r="Q1841">
        <v>4</v>
      </c>
      <c r="R1841">
        <v>141</v>
      </c>
      <c r="S1841">
        <v>136</v>
      </c>
      <c r="T1841" t="s">
        <v>37</v>
      </c>
      <c r="U1841" s="7">
        <f t="shared" si="112"/>
        <v>42</v>
      </c>
      <c r="V1841" s="7">
        <f t="shared" si="113"/>
        <v>14</v>
      </c>
      <c r="W1841" s="6">
        <f t="shared" si="114"/>
        <v>27499.139999999992</v>
      </c>
      <c r="X1841" t="str">
        <f t="shared" si="115"/>
        <v>Middle Age</v>
      </c>
    </row>
    <row r="1842" spans="1:24">
      <c r="A1842" t="s">
        <v>4217</v>
      </c>
      <c r="B1842" t="s">
        <v>495</v>
      </c>
      <c r="C1842" t="s">
        <v>40</v>
      </c>
      <c r="D1842" s="5">
        <v>21628</v>
      </c>
      <c r="E1842" s="5">
        <v>45942</v>
      </c>
      <c r="F1842" s="5">
        <v>45960</v>
      </c>
      <c r="G1842" t="s">
        <v>62</v>
      </c>
      <c r="H1842" t="s">
        <v>44</v>
      </c>
      <c r="I1842" t="s">
        <v>33</v>
      </c>
      <c r="J1842" t="s">
        <v>179</v>
      </c>
      <c r="K1842" t="s">
        <v>161</v>
      </c>
      <c r="L1842" s="6">
        <v>18475.57</v>
      </c>
      <c r="M1842">
        <v>14146.74</v>
      </c>
      <c r="N1842" t="s">
        <v>35</v>
      </c>
      <c r="O1842">
        <v>18</v>
      </c>
      <c r="P1842">
        <v>154</v>
      </c>
      <c r="Q1842">
        <v>4</v>
      </c>
      <c r="R1842">
        <v>162</v>
      </c>
      <c r="S1842">
        <v>227</v>
      </c>
      <c r="T1842" t="s">
        <v>37</v>
      </c>
      <c r="U1842" s="7">
        <f t="shared" si="112"/>
        <v>66</v>
      </c>
      <c r="V1842" s="7">
        <f t="shared" si="113"/>
        <v>18</v>
      </c>
      <c r="W1842" s="6">
        <f t="shared" si="114"/>
        <v>4328.83</v>
      </c>
      <c r="X1842" t="str">
        <f t="shared" si="115"/>
        <v>Senior</v>
      </c>
    </row>
    <row r="1843" spans="1:24">
      <c r="A1843" t="s">
        <v>3876</v>
      </c>
      <c r="B1843" t="s">
        <v>147</v>
      </c>
      <c r="C1843" t="s">
        <v>133</v>
      </c>
      <c r="D1843" s="5">
        <v>19159</v>
      </c>
      <c r="E1843" s="5">
        <v>45608</v>
      </c>
      <c r="F1843" s="5">
        <v>45609</v>
      </c>
      <c r="G1843" t="s">
        <v>105</v>
      </c>
      <c r="H1843" t="s">
        <v>32</v>
      </c>
      <c r="I1843" t="s">
        <v>33</v>
      </c>
      <c r="J1843" t="s">
        <v>179</v>
      </c>
      <c r="K1843" t="s">
        <v>161</v>
      </c>
      <c r="L1843" s="6">
        <v>168961.93</v>
      </c>
      <c r="M1843">
        <v>108564.73</v>
      </c>
      <c r="N1843" t="s">
        <v>35</v>
      </c>
      <c r="O1843">
        <v>1</v>
      </c>
      <c r="P1843">
        <v>88</v>
      </c>
      <c r="Q1843">
        <v>1</v>
      </c>
      <c r="R1843">
        <v>108</v>
      </c>
      <c r="S1843">
        <v>199.6</v>
      </c>
      <c r="T1843" t="s">
        <v>37</v>
      </c>
      <c r="U1843" s="7">
        <f t="shared" si="112"/>
        <v>72</v>
      </c>
      <c r="V1843" s="7">
        <f t="shared" si="113"/>
        <v>1</v>
      </c>
      <c r="W1843" s="6">
        <f t="shared" si="114"/>
        <v>60397.2</v>
      </c>
      <c r="X1843" t="str">
        <f t="shared" si="115"/>
        <v>Senior</v>
      </c>
    </row>
    <row r="1844" spans="1:24">
      <c r="A1844" t="s">
        <v>4218</v>
      </c>
      <c r="B1844" t="s">
        <v>59</v>
      </c>
      <c r="C1844" t="s">
        <v>40</v>
      </c>
      <c r="D1844" s="5">
        <v>22832</v>
      </c>
      <c r="E1844" s="5">
        <v>45763</v>
      </c>
      <c r="F1844" s="5" t="s">
        <v>4237</v>
      </c>
      <c r="G1844" t="s">
        <v>161</v>
      </c>
      <c r="H1844" t="s">
        <v>86</v>
      </c>
      <c r="I1844" t="s">
        <v>79</v>
      </c>
      <c r="J1844" t="s">
        <v>34</v>
      </c>
      <c r="K1844" t="s">
        <v>110</v>
      </c>
      <c r="L1844" s="6">
        <v>168762.79</v>
      </c>
      <c r="M1844">
        <v>154815.82</v>
      </c>
      <c r="N1844" t="s">
        <v>56</v>
      </c>
      <c r="O1844">
        <v>14</v>
      </c>
      <c r="P1844">
        <v>121</v>
      </c>
      <c r="Q1844">
        <v>4</v>
      </c>
      <c r="R1844">
        <v>130</v>
      </c>
      <c r="S1844">
        <v>105.2</v>
      </c>
      <c r="T1844" t="s">
        <v>37</v>
      </c>
      <c r="U1844" s="7">
        <f t="shared" si="112"/>
        <v>62</v>
      </c>
      <c r="V1844" s="7" t="s">
        <v>4237</v>
      </c>
      <c r="W1844" s="6">
        <f t="shared" si="114"/>
        <v>13946.970000000001</v>
      </c>
      <c r="X1844" t="str">
        <f t="shared" si="115"/>
        <v>Senior</v>
      </c>
    </row>
    <row r="1845" spans="1:24">
      <c r="A1845" t="s">
        <v>4219</v>
      </c>
      <c r="B1845" t="s">
        <v>423</v>
      </c>
      <c r="C1845" t="s">
        <v>133</v>
      </c>
      <c r="D1845" s="5">
        <v>24285</v>
      </c>
      <c r="E1845" s="5">
        <v>45262</v>
      </c>
      <c r="F1845" s="5">
        <v>45277</v>
      </c>
      <c r="G1845" t="s">
        <v>77</v>
      </c>
      <c r="H1845" t="s">
        <v>24</v>
      </c>
      <c r="I1845" t="s">
        <v>119</v>
      </c>
      <c r="J1845" t="s">
        <v>179</v>
      </c>
      <c r="K1845" t="s">
        <v>120</v>
      </c>
      <c r="L1845" s="6">
        <v>198665.87</v>
      </c>
      <c r="M1845">
        <v>151241.51</v>
      </c>
      <c r="N1845" t="s">
        <v>56</v>
      </c>
      <c r="O1845">
        <v>15</v>
      </c>
      <c r="P1845">
        <v>91</v>
      </c>
      <c r="Q1845">
        <v>1</v>
      </c>
      <c r="R1845">
        <v>131</v>
      </c>
      <c r="S1845">
        <v>151.69999999999999</v>
      </c>
      <c r="T1845" t="s">
        <v>65</v>
      </c>
      <c r="U1845" s="7">
        <f t="shared" si="112"/>
        <v>57</v>
      </c>
      <c r="V1845" s="7">
        <f t="shared" si="113"/>
        <v>15</v>
      </c>
      <c r="W1845" s="6">
        <f t="shared" si="114"/>
        <v>47424.359999999986</v>
      </c>
      <c r="X1845" t="str">
        <f t="shared" si="115"/>
        <v>Middle Age</v>
      </c>
    </row>
    <row r="1846" spans="1:24">
      <c r="A1846" t="s">
        <v>3880</v>
      </c>
      <c r="B1846" t="s">
        <v>1044</v>
      </c>
      <c r="C1846" t="s">
        <v>40</v>
      </c>
      <c r="D1846" s="5">
        <v>38356</v>
      </c>
      <c r="E1846" s="5">
        <v>45389</v>
      </c>
      <c r="F1846" s="5">
        <v>45600</v>
      </c>
      <c r="G1846" t="s">
        <v>94</v>
      </c>
      <c r="H1846" t="s">
        <v>95</v>
      </c>
      <c r="I1846" t="s">
        <v>33</v>
      </c>
      <c r="J1846" t="s">
        <v>179</v>
      </c>
      <c r="K1846" t="s">
        <v>161</v>
      </c>
      <c r="L1846" s="6">
        <v>110963.88</v>
      </c>
      <c r="M1846">
        <v>105568.21</v>
      </c>
      <c r="N1846" t="s">
        <v>56</v>
      </c>
      <c r="O1846">
        <v>4</v>
      </c>
      <c r="P1846">
        <v>25</v>
      </c>
      <c r="Q1846">
        <v>5</v>
      </c>
      <c r="R1846">
        <v>111</v>
      </c>
      <c r="S1846">
        <v>163.5</v>
      </c>
      <c r="T1846" t="s">
        <v>47</v>
      </c>
      <c r="U1846" s="7">
        <f t="shared" si="112"/>
        <v>19</v>
      </c>
      <c r="V1846" s="7">
        <f t="shared" si="113"/>
        <v>211</v>
      </c>
      <c r="W1846" s="6">
        <f t="shared" si="114"/>
        <v>5395.6699999999983</v>
      </c>
      <c r="X1846" t="str">
        <f t="shared" si="115"/>
        <v>Adult</v>
      </c>
    </row>
    <row r="1847" spans="1:24">
      <c r="A1847" t="s">
        <v>3882</v>
      </c>
      <c r="B1847" t="s">
        <v>93</v>
      </c>
      <c r="C1847" t="s">
        <v>133</v>
      </c>
      <c r="D1847" s="5">
        <v>28453</v>
      </c>
      <c r="E1847" s="5">
        <v>45328</v>
      </c>
      <c r="F1847" s="5">
        <v>45340</v>
      </c>
      <c r="G1847" t="s">
        <v>94</v>
      </c>
      <c r="H1847" t="s">
        <v>124</v>
      </c>
      <c r="I1847" t="s">
        <v>45</v>
      </c>
      <c r="J1847" t="s">
        <v>34</v>
      </c>
      <c r="K1847" t="s">
        <v>161</v>
      </c>
      <c r="L1847" s="6">
        <v>166641.59</v>
      </c>
      <c r="M1847">
        <v>154305.1</v>
      </c>
      <c r="N1847" t="s">
        <v>91</v>
      </c>
      <c r="O1847">
        <v>12</v>
      </c>
      <c r="P1847">
        <v>64</v>
      </c>
      <c r="Q1847">
        <v>1</v>
      </c>
      <c r="R1847">
        <v>154</v>
      </c>
      <c r="S1847">
        <v>195.6</v>
      </c>
      <c r="T1847" t="s">
        <v>37</v>
      </c>
      <c r="U1847" s="7">
        <f t="shared" si="112"/>
        <v>46</v>
      </c>
      <c r="V1847" s="7">
        <f t="shared" si="113"/>
        <v>12</v>
      </c>
      <c r="W1847" s="6">
        <f t="shared" si="114"/>
        <v>12336.489999999991</v>
      </c>
      <c r="X1847" t="str">
        <f t="shared" si="115"/>
        <v>Middle Age</v>
      </c>
    </row>
    <row r="1848" spans="1:24">
      <c r="A1848" t="s">
        <v>3884</v>
      </c>
      <c r="B1848" t="s">
        <v>752</v>
      </c>
      <c r="C1848" t="s">
        <v>133</v>
      </c>
      <c r="D1848" s="5">
        <v>25708</v>
      </c>
      <c r="E1848" s="5">
        <v>45719</v>
      </c>
      <c r="F1848" s="5">
        <v>45737</v>
      </c>
      <c r="G1848" t="s">
        <v>77</v>
      </c>
      <c r="H1848" t="s">
        <v>32</v>
      </c>
      <c r="I1848" t="s">
        <v>45</v>
      </c>
      <c r="J1848" t="s">
        <v>64</v>
      </c>
      <c r="K1848" t="s">
        <v>55</v>
      </c>
      <c r="L1848" s="6">
        <v>196000.48</v>
      </c>
      <c r="M1848">
        <v>161972.53</v>
      </c>
      <c r="N1848" t="s">
        <v>56</v>
      </c>
      <c r="O1848">
        <v>18</v>
      </c>
      <c r="P1848">
        <v>5</v>
      </c>
      <c r="Q1848">
        <v>2</v>
      </c>
      <c r="R1848">
        <v>178</v>
      </c>
      <c r="S1848">
        <v>235.4</v>
      </c>
      <c r="T1848" t="s">
        <v>37</v>
      </c>
      <c r="U1848" s="7">
        <f t="shared" si="112"/>
        <v>54</v>
      </c>
      <c r="V1848" s="7">
        <f t="shared" si="113"/>
        <v>18</v>
      </c>
      <c r="W1848" s="6">
        <f t="shared" si="114"/>
        <v>34027.950000000012</v>
      </c>
      <c r="X1848" t="str">
        <f t="shared" si="115"/>
        <v>Middle Age</v>
      </c>
    </row>
    <row r="1849" spans="1:24">
      <c r="A1849" t="s">
        <v>3886</v>
      </c>
      <c r="B1849" t="s">
        <v>898</v>
      </c>
      <c r="C1849" t="s">
        <v>40</v>
      </c>
      <c r="D1849" s="5">
        <v>34520</v>
      </c>
      <c r="E1849" s="5">
        <v>45068</v>
      </c>
      <c r="F1849" s="5">
        <v>45070</v>
      </c>
      <c r="G1849" t="s">
        <v>161</v>
      </c>
      <c r="H1849" t="s">
        <v>113</v>
      </c>
      <c r="I1849" t="s">
        <v>25</v>
      </c>
      <c r="J1849" t="s">
        <v>97</v>
      </c>
      <c r="K1849" t="s">
        <v>161</v>
      </c>
      <c r="L1849" s="6">
        <v>132851.59</v>
      </c>
      <c r="M1849">
        <v>111075.83</v>
      </c>
      <c r="N1849" t="s">
        <v>56</v>
      </c>
      <c r="O1849">
        <v>2</v>
      </c>
      <c r="P1849">
        <v>239</v>
      </c>
      <c r="Q1849">
        <v>5</v>
      </c>
      <c r="R1849">
        <v>137</v>
      </c>
      <c r="S1849">
        <v>74.400000000000006</v>
      </c>
      <c r="T1849" t="s">
        <v>37</v>
      </c>
      <c r="U1849" s="7">
        <f t="shared" si="112"/>
        <v>28</v>
      </c>
      <c r="V1849" s="7">
        <f t="shared" si="113"/>
        <v>2</v>
      </c>
      <c r="W1849" s="6">
        <f t="shared" si="114"/>
        <v>21775.759999999995</v>
      </c>
      <c r="X1849" t="str">
        <f t="shared" si="115"/>
        <v>Adult</v>
      </c>
    </row>
    <row r="1850" spans="1:24">
      <c r="A1850" t="s">
        <v>3888</v>
      </c>
      <c r="B1850" t="s">
        <v>261</v>
      </c>
      <c r="C1850" t="s">
        <v>40</v>
      </c>
      <c r="D1850" s="5">
        <v>28210</v>
      </c>
      <c r="E1850" s="5">
        <v>45310</v>
      </c>
      <c r="F1850" s="5">
        <v>45311</v>
      </c>
      <c r="G1850" t="s">
        <v>77</v>
      </c>
      <c r="H1850" t="s">
        <v>63</v>
      </c>
      <c r="I1850" t="s">
        <v>33</v>
      </c>
      <c r="J1850" t="s">
        <v>64</v>
      </c>
      <c r="K1850" t="s">
        <v>55</v>
      </c>
      <c r="L1850" s="6">
        <v>123663.9</v>
      </c>
      <c r="M1850">
        <v>33030.69</v>
      </c>
      <c r="N1850" t="s">
        <v>4237</v>
      </c>
      <c r="O1850">
        <v>1</v>
      </c>
      <c r="P1850">
        <v>54</v>
      </c>
      <c r="Q1850">
        <v>4</v>
      </c>
      <c r="R1850">
        <v>93</v>
      </c>
      <c r="S1850">
        <v>92.3</v>
      </c>
      <c r="T1850" t="s">
        <v>47</v>
      </c>
      <c r="U1850" s="7">
        <f t="shared" si="112"/>
        <v>46</v>
      </c>
      <c r="V1850" s="7">
        <f t="shared" si="113"/>
        <v>1</v>
      </c>
      <c r="W1850" s="6">
        <f t="shared" si="114"/>
        <v>90633.209999999992</v>
      </c>
      <c r="X1850" t="str">
        <f t="shared" si="115"/>
        <v>Middle Age</v>
      </c>
    </row>
    <row r="1851" spans="1:24">
      <c r="A1851" t="s">
        <v>3891</v>
      </c>
      <c r="B1851" t="s">
        <v>565</v>
      </c>
      <c r="C1851" t="s">
        <v>133</v>
      </c>
      <c r="D1851" s="5">
        <v>23696</v>
      </c>
      <c r="E1851" s="5" t="s">
        <v>4237</v>
      </c>
      <c r="F1851" s="5">
        <v>45925</v>
      </c>
      <c r="G1851" t="s">
        <v>77</v>
      </c>
      <c r="H1851" t="s">
        <v>118</v>
      </c>
      <c r="I1851" t="s">
        <v>96</v>
      </c>
      <c r="J1851" t="s">
        <v>34</v>
      </c>
      <c r="K1851" t="s">
        <v>110</v>
      </c>
      <c r="L1851" s="6">
        <v>98522.01</v>
      </c>
      <c r="M1851">
        <v>70719.13</v>
      </c>
      <c r="N1851" t="s">
        <v>56</v>
      </c>
      <c r="O1851">
        <v>12</v>
      </c>
      <c r="P1851">
        <v>217</v>
      </c>
      <c r="Q1851">
        <v>3</v>
      </c>
      <c r="R1851">
        <v>125</v>
      </c>
      <c r="S1851">
        <v>92.2</v>
      </c>
      <c r="T1851" t="s">
        <v>65</v>
      </c>
      <c r="U1851" s="7" t="s">
        <v>4237</v>
      </c>
      <c r="V1851" s="7" t="s">
        <v>4237</v>
      </c>
      <c r="W1851" s="6">
        <f t="shared" si="114"/>
        <v>27802.87999999999</v>
      </c>
      <c r="X1851" t="s">
        <v>4237</v>
      </c>
    </row>
    <row r="1852" spans="1:24">
      <c r="A1852" t="s">
        <v>3893</v>
      </c>
      <c r="B1852" t="s">
        <v>864</v>
      </c>
      <c r="C1852" t="s">
        <v>40</v>
      </c>
      <c r="D1852" s="5">
        <v>30489</v>
      </c>
      <c r="E1852" s="5">
        <v>45826</v>
      </c>
      <c r="F1852" s="5">
        <v>45844</v>
      </c>
      <c r="G1852" t="s">
        <v>117</v>
      </c>
      <c r="H1852" t="s">
        <v>44</v>
      </c>
      <c r="I1852" t="s">
        <v>119</v>
      </c>
      <c r="J1852" t="s">
        <v>26</v>
      </c>
      <c r="K1852" t="s">
        <v>120</v>
      </c>
      <c r="L1852" s="6">
        <v>194492.92</v>
      </c>
      <c r="M1852">
        <v>131955.89000000001</v>
      </c>
      <c r="N1852" t="s">
        <v>192</v>
      </c>
      <c r="O1852">
        <v>18</v>
      </c>
      <c r="P1852">
        <v>40</v>
      </c>
      <c r="Q1852">
        <v>4</v>
      </c>
      <c r="R1852">
        <v>162</v>
      </c>
      <c r="S1852">
        <v>116</v>
      </c>
      <c r="T1852" t="s">
        <v>37</v>
      </c>
      <c r="U1852" s="7">
        <f t="shared" si="112"/>
        <v>41</v>
      </c>
      <c r="V1852" s="7">
        <f t="shared" si="113"/>
        <v>18</v>
      </c>
      <c r="W1852" s="6">
        <f t="shared" si="114"/>
        <v>62537.03</v>
      </c>
      <c r="X1852" t="str">
        <f t="shared" si="115"/>
        <v>Middle Age</v>
      </c>
    </row>
    <row r="1853" spans="1:24">
      <c r="A1853" t="s">
        <v>4220</v>
      </c>
      <c r="B1853" t="s">
        <v>922</v>
      </c>
      <c r="C1853" t="s">
        <v>133</v>
      </c>
      <c r="D1853" s="5">
        <v>32913</v>
      </c>
      <c r="E1853" s="5">
        <v>45509</v>
      </c>
      <c r="F1853" s="5" t="s">
        <v>4237</v>
      </c>
      <c r="G1853" t="s">
        <v>152</v>
      </c>
      <c r="H1853" t="s">
        <v>32</v>
      </c>
      <c r="I1853" t="s">
        <v>33</v>
      </c>
      <c r="J1853" t="s">
        <v>71</v>
      </c>
      <c r="K1853" t="s">
        <v>120</v>
      </c>
      <c r="L1853" s="6">
        <v>112624.07</v>
      </c>
      <c r="M1853">
        <v>99852.88</v>
      </c>
      <c r="N1853" t="s">
        <v>91</v>
      </c>
      <c r="O1853">
        <v>18</v>
      </c>
      <c r="P1853">
        <v>154</v>
      </c>
      <c r="Q1853">
        <v>4</v>
      </c>
      <c r="R1853">
        <v>174</v>
      </c>
      <c r="S1853">
        <v>207</v>
      </c>
      <c r="T1853" t="s">
        <v>37</v>
      </c>
      <c r="U1853" s="7">
        <f t="shared" si="112"/>
        <v>34</v>
      </c>
      <c r="V1853" s="7" t="s">
        <v>4237</v>
      </c>
      <c r="W1853" s="6">
        <f t="shared" si="114"/>
        <v>12771.190000000002</v>
      </c>
      <c r="X1853" t="str">
        <f t="shared" si="115"/>
        <v>Adult</v>
      </c>
    </row>
    <row r="1854" spans="1:24">
      <c r="A1854" t="s">
        <v>3895</v>
      </c>
      <c r="B1854" t="s">
        <v>342</v>
      </c>
      <c r="C1854" t="s">
        <v>133</v>
      </c>
      <c r="D1854" s="5">
        <v>30216</v>
      </c>
      <c r="E1854" s="5">
        <v>45709</v>
      </c>
      <c r="F1854" s="5">
        <v>45724</v>
      </c>
      <c r="G1854" t="s">
        <v>94</v>
      </c>
      <c r="H1854" t="s">
        <v>44</v>
      </c>
      <c r="I1854" t="s">
        <v>53</v>
      </c>
      <c r="J1854" t="s">
        <v>179</v>
      </c>
      <c r="K1854" t="s">
        <v>110</v>
      </c>
      <c r="L1854" s="6">
        <v>84301.52</v>
      </c>
      <c r="M1854">
        <v>50813.13</v>
      </c>
      <c r="N1854" t="s">
        <v>192</v>
      </c>
      <c r="O1854">
        <v>15</v>
      </c>
      <c r="P1854">
        <v>215</v>
      </c>
      <c r="Q1854">
        <v>5</v>
      </c>
      <c r="R1854">
        <v>150</v>
      </c>
      <c r="S1854">
        <v>171.6</v>
      </c>
      <c r="T1854" t="s">
        <v>65</v>
      </c>
      <c r="U1854" s="7">
        <f t="shared" si="112"/>
        <v>42</v>
      </c>
      <c r="V1854" s="7">
        <f t="shared" si="113"/>
        <v>15</v>
      </c>
      <c r="W1854" s="6">
        <f t="shared" si="114"/>
        <v>33488.390000000007</v>
      </c>
      <c r="X1854" t="str">
        <f t="shared" si="115"/>
        <v>Middle Age</v>
      </c>
    </row>
    <row r="1855" spans="1:24">
      <c r="A1855" t="s">
        <v>3897</v>
      </c>
      <c r="B1855" t="s">
        <v>556</v>
      </c>
      <c r="C1855" t="s">
        <v>133</v>
      </c>
      <c r="D1855" s="5">
        <v>19847</v>
      </c>
      <c r="E1855" s="5">
        <v>45405</v>
      </c>
      <c r="F1855" s="5">
        <v>45422</v>
      </c>
      <c r="G1855" t="s">
        <v>117</v>
      </c>
      <c r="H1855" t="s">
        <v>95</v>
      </c>
      <c r="I1855" t="s">
        <v>33</v>
      </c>
      <c r="J1855" t="s">
        <v>64</v>
      </c>
      <c r="K1855" t="s">
        <v>55</v>
      </c>
      <c r="L1855" s="6">
        <v>123663.9</v>
      </c>
      <c r="M1855">
        <v>11382.46</v>
      </c>
      <c r="N1855" t="s">
        <v>56</v>
      </c>
      <c r="O1855">
        <v>17</v>
      </c>
      <c r="P1855">
        <v>115</v>
      </c>
      <c r="Q1855">
        <v>4</v>
      </c>
      <c r="R1855">
        <v>144</v>
      </c>
      <c r="S1855">
        <v>129.80000000000001</v>
      </c>
      <c r="T1855" t="s">
        <v>37</v>
      </c>
      <c r="U1855" s="7">
        <f t="shared" si="112"/>
        <v>69</v>
      </c>
      <c r="V1855" s="7">
        <f t="shared" si="113"/>
        <v>17</v>
      </c>
      <c r="W1855" s="6">
        <f t="shared" si="114"/>
        <v>112281.44</v>
      </c>
      <c r="X1855" t="str">
        <f t="shared" si="115"/>
        <v>Senior</v>
      </c>
    </row>
    <row r="1856" spans="1:24">
      <c r="A1856" t="s">
        <v>3898</v>
      </c>
      <c r="B1856" t="s">
        <v>1167</v>
      </c>
      <c r="C1856" t="s">
        <v>40</v>
      </c>
      <c r="D1856" s="5">
        <v>27026</v>
      </c>
      <c r="E1856" s="5">
        <v>45264</v>
      </c>
      <c r="F1856" s="5">
        <v>45270</v>
      </c>
      <c r="G1856" t="s">
        <v>161</v>
      </c>
      <c r="H1856" t="s">
        <v>153</v>
      </c>
      <c r="I1856" t="s">
        <v>53</v>
      </c>
      <c r="J1856" t="s">
        <v>71</v>
      </c>
      <c r="K1856" t="s">
        <v>120</v>
      </c>
      <c r="L1856" s="6">
        <v>248735.49</v>
      </c>
      <c r="M1856">
        <v>199101.44</v>
      </c>
      <c r="N1856" t="s">
        <v>91</v>
      </c>
      <c r="O1856">
        <v>6</v>
      </c>
      <c r="P1856">
        <v>181</v>
      </c>
      <c r="Q1856">
        <v>5</v>
      </c>
      <c r="R1856">
        <v>181</v>
      </c>
      <c r="S1856">
        <v>162.4</v>
      </c>
      <c r="T1856" t="s">
        <v>37</v>
      </c>
      <c r="U1856" s="7">
        <f t="shared" si="112"/>
        <v>49</v>
      </c>
      <c r="V1856" s="7">
        <f t="shared" si="113"/>
        <v>6</v>
      </c>
      <c r="W1856" s="6">
        <f t="shared" si="114"/>
        <v>49634.049999999988</v>
      </c>
      <c r="X1856" t="str">
        <f t="shared" si="115"/>
        <v>Middle Age</v>
      </c>
    </row>
    <row r="1857" spans="1:24">
      <c r="A1857" t="s">
        <v>3899</v>
      </c>
      <c r="B1857" t="s">
        <v>332</v>
      </c>
      <c r="C1857" t="s">
        <v>133</v>
      </c>
      <c r="D1857" s="5">
        <v>19421</v>
      </c>
      <c r="E1857" s="5">
        <v>45496</v>
      </c>
      <c r="F1857" s="5" t="s">
        <v>4237</v>
      </c>
      <c r="G1857" t="s">
        <v>161</v>
      </c>
      <c r="H1857" t="s">
        <v>78</v>
      </c>
      <c r="I1857" t="s">
        <v>96</v>
      </c>
      <c r="J1857" t="s">
        <v>34</v>
      </c>
      <c r="K1857" t="s">
        <v>27</v>
      </c>
      <c r="L1857" s="6">
        <v>243505.41</v>
      </c>
      <c r="M1857">
        <v>230030.4</v>
      </c>
      <c r="N1857" t="s">
        <v>56</v>
      </c>
      <c r="O1857">
        <v>17</v>
      </c>
      <c r="P1857">
        <v>90</v>
      </c>
      <c r="Q1857">
        <v>5</v>
      </c>
      <c r="R1857">
        <v>147</v>
      </c>
      <c r="S1857">
        <v>200</v>
      </c>
      <c r="T1857" t="s">
        <v>47</v>
      </c>
      <c r="U1857" s="7">
        <f t="shared" si="112"/>
        <v>71</v>
      </c>
      <c r="V1857" s="7" t="s">
        <v>4237</v>
      </c>
      <c r="W1857" s="6">
        <f t="shared" si="114"/>
        <v>13475.010000000009</v>
      </c>
      <c r="X1857" t="str">
        <f t="shared" si="115"/>
        <v>Senior</v>
      </c>
    </row>
    <row r="1858" spans="1:24">
      <c r="A1858" t="s">
        <v>3901</v>
      </c>
      <c r="B1858" t="s">
        <v>936</v>
      </c>
      <c r="C1858" t="s">
        <v>133</v>
      </c>
      <c r="D1858" s="5">
        <v>32120</v>
      </c>
      <c r="E1858" s="5" t="s">
        <v>4237</v>
      </c>
      <c r="F1858" s="5">
        <v>45994</v>
      </c>
      <c r="G1858" t="s">
        <v>89</v>
      </c>
      <c r="H1858" t="s">
        <v>113</v>
      </c>
      <c r="I1858" t="s">
        <v>25</v>
      </c>
      <c r="J1858" t="s">
        <v>64</v>
      </c>
      <c r="K1858" t="s">
        <v>161</v>
      </c>
      <c r="L1858" s="6">
        <v>69705.86</v>
      </c>
      <c r="M1858">
        <v>53625.13</v>
      </c>
      <c r="N1858" t="s">
        <v>73</v>
      </c>
      <c r="O1858">
        <v>8</v>
      </c>
      <c r="P1858">
        <v>197</v>
      </c>
      <c r="Q1858">
        <v>4</v>
      </c>
      <c r="R1858">
        <v>116</v>
      </c>
      <c r="S1858">
        <v>96.3</v>
      </c>
      <c r="T1858" t="s">
        <v>37</v>
      </c>
      <c r="U1858" s="7" t="s">
        <v>4237</v>
      </c>
      <c r="V1858" s="7" t="s">
        <v>4237</v>
      </c>
      <c r="W1858" s="6">
        <f t="shared" ref="W1858:W1921" si="116">L1858-M1858</f>
        <v>16080.730000000003</v>
      </c>
      <c r="X1858" t="s">
        <v>4237</v>
      </c>
    </row>
    <row r="1859" spans="1:24">
      <c r="A1859" t="s">
        <v>3903</v>
      </c>
      <c r="B1859" t="s">
        <v>515</v>
      </c>
      <c r="C1859" t="s">
        <v>133</v>
      </c>
      <c r="D1859" s="5">
        <v>26590</v>
      </c>
      <c r="E1859" s="5">
        <v>44986</v>
      </c>
      <c r="F1859" s="5">
        <v>44988</v>
      </c>
      <c r="G1859" t="s">
        <v>109</v>
      </c>
      <c r="H1859" t="s">
        <v>24</v>
      </c>
      <c r="I1859" t="s">
        <v>96</v>
      </c>
      <c r="J1859" t="s">
        <v>34</v>
      </c>
      <c r="K1859" t="s">
        <v>110</v>
      </c>
      <c r="L1859" s="6">
        <v>132303.35999999999</v>
      </c>
      <c r="M1859">
        <v>125015.17</v>
      </c>
      <c r="N1859" t="s">
        <v>4237</v>
      </c>
      <c r="O1859">
        <v>2</v>
      </c>
      <c r="P1859">
        <v>42</v>
      </c>
      <c r="Q1859">
        <v>4</v>
      </c>
      <c r="R1859">
        <v>127</v>
      </c>
      <c r="S1859">
        <v>147</v>
      </c>
      <c r="T1859" t="s">
        <v>65</v>
      </c>
      <c r="U1859" s="7">
        <f t="shared" ref="U1859:U1921" si="117">DATEDIF(D1859,E1859,"Y")</f>
        <v>50</v>
      </c>
      <c r="V1859" s="7">
        <f t="shared" ref="V1859:V1921" si="118">IF(OR(E1859=" ",F1859=" ",E1859="Unknown",F1859="Unknown")," ",F1859-E1859)</f>
        <v>2</v>
      </c>
      <c r="W1859" s="6">
        <f t="shared" si="116"/>
        <v>7288.1899999999878</v>
      </c>
      <c r="X1859" t="str">
        <f t="shared" ref="X1859:X1921" si="119">IF(OR(U1859="",U1859="Unknown"),"",IF(U1859&lt;18,"Child",IF(U1859&lt;40,"Adult",IF(U1859&lt;60,"Middle Age","Senior"))))</f>
        <v>Middle Age</v>
      </c>
    </row>
    <row r="1860" spans="1:24">
      <c r="A1860" t="s">
        <v>3905</v>
      </c>
      <c r="B1860" t="s">
        <v>181</v>
      </c>
      <c r="C1860" t="s">
        <v>133</v>
      </c>
      <c r="D1860" s="5">
        <v>28994</v>
      </c>
      <c r="E1860" s="5">
        <v>45430</v>
      </c>
      <c r="F1860" s="5">
        <v>45432</v>
      </c>
      <c r="G1860" t="s">
        <v>161</v>
      </c>
      <c r="H1860" t="s">
        <v>113</v>
      </c>
      <c r="I1860" t="s">
        <v>33</v>
      </c>
      <c r="J1860" t="s">
        <v>64</v>
      </c>
      <c r="K1860" t="s">
        <v>120</v>
      </c>
      <c r="L1860" s="6">
        <v>36751.050000000003</v>
      </c>
      <c r="M1860">
        <v>36283.19</v>
      </c>
      <c r="N1860" t="s">
        <v>73</v>
      </c>
      <c r="O1860">
        <v>2</v>
      </c>
      <c r="P1860">
        <v>23</v>
      </c>
      <c r="Q1860">
        <v>5</v>
      </c>
      <c r="R1860">
        <v>173</v>
      </c>
      <c r="S1860">
        <v>88.3</v>
      </c>
      <c r="T1860" t="s">
        <v>47</v>
      </c>
      <c r="U1860" s="7">
        <f t="shared" si="117"/>
        <v>44</v>
      </c>
      <c r="V1860" s="7">
        <f t="shared" si="118"/>
        <v>2</v>
      </c>
      <c r="W1860" s="6">
        <f t="shared" si="116"/>
        <v>467.86000000000058</v>
      </c>
      <c r="X1860" t="str">
        <f t="shared" si="119"/>
        <v>Middle Age</v>
      </c>
    </row>
    <row r="1861" spans="1:24">
      <c r="A1861" t="s">
        <v>3906</v>
      </c>
      <c r="B1861" t="s">
        <v>427</v>
      </c>
      <c r="C1861" t="s">
        <v>133</v>
      </c>
      <c r="D1861" s="5">
        <v>38580</v>
      </c>
      <c r="E1861" s="5">
        <v>45902</v>
      </c>
      <c r="F1861" s="5" t="s">
        <v>4237</v>
      </c>
      <c r="G1861" t="s">
        <v>152</v>
      </c>
      <c r="H1861" t="s">
        <v>78</v>
      </c>
      <c r="I1861" t="s">
        <v>25</v>
      </c>
      <c r="J1861" t="s">
        <v>80</v>
      </c>
      <c r="K1861" t="s">
        <v>27</v>
      </c>
      <c r="L1861" s="6">
        <v>46036.58</v>
      </c>
      <c r="M1861">
        <v>32450.38</v>
      </c>
      <c r="N1861" t="s">
        <v>56</v>
      </c>
      <c r="O1861">
        <v>12</v>
      </c>
      <c r="P1861">
        <v>126</v>
      </c>
      <c r="Q1861">
        <v>4</v>
      </c>
      <c r="R1861">
        <v>126</v>
      </c>
      <c r="S1861">
        <v>214.4</v>
      </c>
      <c r="T1861" t="s">
        <v>37</v>
      </c>
      <c r="U1861" s="7">
        <f t="shared" si="117"/>
        <v>20</v>
      </c>
      <c r="V1861" s="7" t="s">
        <v>4237</v>
      </c>
      <c r="W1861" s="6">
        <f t="shared" si="116"/>
        <v>13586.2</v>
      </c>
      <c r="X1861" t="str">
        <f t="shared" si="119"/>
        <v>Adult</v>
      </c>
    </row>
    <row r="1862" spans="1:24">
      <c r="A1862" t="s">
        <v>3908</v>
      </c>
      <c r="B1862" t="s">
        <v>438</v>
      </c>
      <c r="C1862" t="s">
        <v>40</v>
      </c>
      <c r="D1862" s="5">
        <v>23642</v>
      </c>
      <c r="E1862" s="5">
        <v>45651</v>
      </c>
      <c r="F1862" s="5">
        <v>45660</v>
      </c>
      <c r="G1862" t="s">
        <v>161</v>
      </c>
      <c r="H1862" t="s">
        <v>134</v>
      </c>
      <c r="I1862" t="s">
        <v>33</v>
      </c>
      <c r="J1862" t="s">
        <v>80</v>
      </c>
      <c r="K1862" t="s">
        <v>120</v>
      </c>
      <c r="L1862" s="6">
        <v>16143.48</v>
      </c>
      <c r="M1862">
        <v>13954.33</v>
      </c>
      <c r="N1862" t="s">
        <v>56</v>
      </c>
      <c r="O1862">
        <v>9</v>
      </c>
      <c r="P1862">
        <v>142</v>
      </c>
      <c r="Q1862">
        <v>3</v>
      </c>
      <c r="R1862">
        <v>99</v>
      </c>
      <c r="S1862">
        <v>188</v>
      </c>
      <c r="T1862" t="s">
        <v>4237</v>
      </c>
      <c r="U1862" s="7">
        <f t="shared" si="117"/>
        <v>60</v>
      </c>
      <c r="V1862" s="7">
        <f t="shared" si="118"/>
        <v>9</v>
      </c>
      <c r="W1862" s="6">
        <f t="shared" si="116"/>
        <v>2189.1499999999996</v>
      </c>
      <c r="X1862" t="str">
        <f t="shared" si="119"/>
        <v>Senior</v>
      </c>
    </row>
    <row r="1863" spans="1:24">
      <c r="A1863" t="s">
        <v>3909</v>
      </c>
      <c r="B1863" t="s">
        <v>419</v>
      </c>
      <c r="C1863" t="s">
        <v>133</v>
      </c>
      <c r="D1863" s="5">
        <v>32758</v>
      </c>
      <c r="E1863" s="5">
        <v>45271</v>
      </c>
      <c r="F1863" s="5" t="s">
        <v>4237</v>
      </c>
      <c r="G1863" t="s">
        <v>89</v>
      </c>
      <c r="H1863" t="s">
        <v>52</v>
      </c>
      <c r="I1863" t="s">
        <v>96</v>
      </c>
      <c r="J1863" t="s">
        <v>26</v>
      </c>
      <c r="K1863" t="s">
        <v>110</v>
      </c>
      <c r="L1863" s="6">
        <v>34082.620000000003</v>
      </c>
      <c r="M1863">
        <v>28636.57</v>
      </c>
      <c r="N1863" t="s">
        <v>35</v>
      </c>
      <c r="O1863">
        <v>7</v>
      </c>
      <c r="P1863">
        <v>174</v>
      </c>
      <c r="Q1863">
        <v>4</v>
      </c>
      <c r="R1863">
        <v>147</v>
      </c>
      <c r="S1863">
        <v>241.6</v>
      </c>
      <c r="T1863" t="s">
        <v>37</v>
      </c>
      <c r="U1863" s="7">
        <f t="shared" si="117"/>
        <v>34</v>
      </c>
      <c r="V1863" s="7" t="s">
        <v>4237</v>
      </c>
      <c r="W1863" s="6">
        <f t="shared" si="116"/>
        <v>5446.0500000000029</v>
      </c>
      <c r="X1863" t="str">
        <f t="shared" si="119"/>
        <v>Adult</v>
      </c>
    </row>
    <row r="1864" spans="1:24">
      <c r="A1864" t="s">
        <v>3911</v>
      </c>
      <c r="B1864" t="s">
        <v>1590</v>
      </c>
      <c r="C1864" t="s">
        <v>40</v>
      </c>
      <c r="D1864" s="5">
        <v>37664</v>
      </c>
      <c r="E1864" s="5">
        <v>45777</v>
      </c>
      <c r="F1864" s="5">
        <v>45794</v>
      </c>
      <c r="G1864" t="s">
        <v>94</v>
      </c>
      <c r="H1864" t="s">
        <v>63</v>
      </c>
      <c r="I1864" t="s">
        <v>25</v>
      </c>
      <c r="J1864" t="s">
        <v>97</v>
      </c>
      <c r="K1864" t="s">
        <v>161</v>
      </c>
      <c r="L1864" s="6">
        <v>76374.429999999993</v>
      </c>
      <c r="M1864">
        <v>68296.539999999994</v>
      </c>
      <c r="N1864" t="s">
        <v>192</v>
      </c>
      <c r="O1864">
        <v>17</v>
      </c>
      <c r="P1864">
        <v>86</v>
      </c>
      <c r="Q1864">
        <v>4</v>
      </c>
      <c r="R1864">
        <v>119</v>
      </c>
      <c r="S1864">
        <v>178.7</v>
      </c>
      <c r="T1864" t="s">
        <v>65</v>
      </c>
      <c r="U1864" s="7">
        <f t="shared" si="117"/>
        <v>22</v>
      </c>
      <c r="V1864" s="7">
        <f t="shared" si="118"/>
        <v>17</v>
      </c>
      <c r="W1864" s="6">
        <f t="shared" si="116"/>
        <v>8077.8899999999994</v>
      </c>
      <c r="X1864" t="str">
        <f t="shared" si="119"/>
        <v>Adult</v>
      </c>
    </row>
    <row r="1865" spans="1:24">
      <c r="A1865" t="s">
        <v>3914</v>
      </c>
      <c r="B1865" t="s">
        <v>492</v>
      </c>
      <c r="C1865" t="s">
        <v>133</v>
      </c>
      <c r="D1865" s="5">
        <v>22956</v>
      </c>
      <c r="E1865" s="5" t="s">
        <v>4237</v>
      </c>
      <c r="F1865" s="5" t="s">
        <v>4237</v>
      </c>
      <c r="G1865" t="s">
        <v>62</v>
      </c>
      <c r="H1865" t="s">
        <v>32</v>
      </c>
      <c r="I1865" t="s">
        <v>33</v>
      </c>
      <c r="J1865" t="s">
        <v>64</v>
      </c>
      <c r="K1865" t="s">
        <v>55</v>
      </c>
      <c r="L1865" s="6">
        <v>40766.980000000003</v>
      </c>
      <c r="M1865">
        <v>30790.38</v>
      </c>
      <c r="N1865" t="s">
        <v>192</v>
      </c>
      <c r="O1865">
        <v>12</v>
      </c>
      <c r="P1865">
        <v>195</v>
      </c>
      <c r="Q1865">
        <v>1</v>
      </c>
      <c r="R1865">
        <v>112</v>
      </c>
      <c r="S1865">
        <v>114.7</v>
      </c>
      <c r="T1865" t="s">
        <v>37</v>
      </c>
      <c r="U1865" s="7" t="s">
        <v>4237</v>
      </c>
      <c r="V1865" s="7" t="s">
        <v>4237</v>
      </c>
      <c r="W1865" s="6">
        <f t="shared" si="116"/>
        <v>9976.6000000000022</v>
      </c>
      <c r="X1865" t="s">
        <v>4237</v>
      </c>
    </row>
    <row r="1866" spans="1:24">
      <c r="A1866" t="s">
        <v>3917</v>
      </c>
      <c r="B1866" t="s">
        <v>867</v>
      </c>
      <c r="C1866" t="s">
        <v>40</v>
      </c>
      <c r="D1866" s="5">
        <v>32131</v>
      </c>
      <c r="E1866" s="5">
        <v>44932</v>
      </c>
      <c r="F1866" s="5">
        <v>44936</v>
      </c>
      <c r="G1866" t="s">
        <v>43</v>
      </c>
      <c r="H1866" t="s">
        <v>113</v>
      </c>
      <c r="I1866" t="s">
        <v>96</v>
      </c>
      <c r="J1866" t="s">
        <v>80</v>
      </c>
      <c r="K1866" t="s">
        <v>120</v>
      </c>
      <c r="L1866" s="6">
        <v>186917.09</v>
      </c>
      <c r="M1866">
        <v>122639.86</v>
      </c>
      <c r="N1866" t="s">
        <v>192</v>
      </c>
      <c r="O1866">
        <v>4</v>
      </c>
      <c r="P1866">
        <v>110</v>
      </c>
      <c r="Q1866">
        <v>3</v>
      </c>
      <c r="R1866">
        <v>114</v>
      </c>
      <c r="S1866">
        <v>180.4</v>
      </c>
      <c r="T1866" t="s">
        <v>37</v>
      </c>
      <c r="U1866" s="7">
        <f t="shared" si="117"/>
        <v>35</v>
      </c>
      <c r="V1866" s="7">
        <f t="shared" si="118"/>
        <v>4</v>
      </c>
      <c r="W1866" s="6">
        <f t="shared" si="116"/>
        <v>64277.229999999996</v>
      </c>
      <c r="X1866" t="str">
        <f t="shared" si="119"/>
        <v>Adult</v>
      </c>
    </row>
    <row r="1867" spans="1:24">
      <c r="A1867" t="s">
        <v>3919</v>
      </c>
      <c r="B1867" t="s">
        <v>871</v>
      </c>
      <c r="C1867" t="s">
        <v>133</v>
      </c>
      <c r="D1867" s="5">
        <v>26394</v>
      </c>
      <c r="E1867" s="5">
        <v>45268</v>
      </c>
      <c r="F1867" s="5">
        <v>45211</v>
      </c>
      <c r="G1867" t="s">
        <v>94</v>
      </c>
      <c r="H1867" t="s">
        <v>118</v>
      </c>
      <c r="I1867" t="s">
        <v>33</v>
      </c>
      <c r="J1867" t="s">
        <v>34</v>
      </c>
      <c r="K1867" t="s">
        <v>120</v>
      </c>
      <c r="L1867" s="6">
        <v>246507.41</v>
      </c>
      <c r="M1867">
        <v>211686.05</v>
      </c>
      <c r="N1867" t="s">
        <v>4237</v>
      </c>
      <c r="O1867">
        <v>2</v>
      </c>
      <c r="P1867">
        <v>140</v>
      </c>
      <c r="Q1867">
        <v>1</v>
      </c>
      <c r="R1867">
        <v>127</v>
      </c>
      <c r="S1867">
        <v>150.69999999999999</v>
      </c>
      <c r="T1867" t="s">
        <v>37</v>
      </c>
      <c r="U1867" s="7">
        <f t="shared" si="117"/>
        <v>51</v>
      </c>
      <c r="V1867" s="7">
        <f t="shared" si="118"/>
        <v>-57</v>
      </c>
      <c r="W1867" s="6">
        <f t="shared" si="116"/>
        <v>34821.360000000015</v>
      </c>
      <c r="X1867" t="str">
        <f t="shared" si="119"/>
        <v>Middle Age</v>
      </c>
    </row>
    <row r="1868" spans="1:24">
      <c r="A1868" t="s">
        <v>3921</v>
      </c>
      <c r="B1868" t="s">
        <v>796</v>
      </c>
      <c r="C1868" t="s">
        <v>40</v>
      </c>
      <c r="D1868" s="5">
        <v>39301</v>
      </c>
      <c r="E1868" s="5">
        <v>45017</v>
      </c>
      <c r="F1868" s="5">
        <v>45030</v>
      </c>
      <c r="G1868" t="s">
        <v>152</v>
      </c>
      <c r="H1868" t="s">
        <v>153</v>
      </c>
      <c r="I1868" t="s">
        <v>79</v>
      </c>
      <c r="J1868" t="s">
        <v>64</v>
      </c>
      <c r="K1868" t="s">
        <v>120</v>
      </c>
      <c r="L1868" s="6">
        <v>133886.15</v>
      </c>
      <c r="M1868">
        <v>96823.51</v>
      </c>
      <c r="N1868" t="s">
        <v>91</v>
      </c>
      <c r="O1868">
        <v>13</v>
      </c>
      <c r="P1868">
        <v>123</v>
      </c>
      <c r="Q1868">
        <v>4</v>
      </c>
      <c r="R1868">
        <v>189</v>
      </c>
      <c r="S1868">
        <v>77.400000000000006</v>
      </c>
      <c r="T1868" t="s">
        <v>37</v>
      </c>
      <c r="U1868" s="7">
        <f t="shared" si="117"/>
        <v>15</v>
      </c>
      <c r="V1868" s="7">
        <f t="shared" si="118"/>
        <v>13</v>
      </c>
      <c r="W1868" s="6">
        <f t="shared" si="116"/>
        <v>37062.639999999999</v>
      </c>
      <c r="X1868" t="str">
        <f t="shared" si="119"/>
        <v>Child</v>
      </c>
    </row>
    <row r="1869" spans="1:24">
      <c r="A1869" t="s">
        <v>3923</v>
      </c>
      <c r="B1869" t="s">
        <v>438</v>
      </c>
      <c r="C1869" t="s">
        <v>40</v>
      </c>
      <c r="D1869" s="5">
        <v>36548</v>
      </c>
      <c r="E1869" s="5">
        <v>45642</v>
      </c>
      <c r="F1869" s="5">
        <v>45647</v>
      </c>
      <c r="G1869" t="s">
        <v>109</v>
      </c>
      <c r="H1869" t="s">
        <v>52</v>
      </c>
      <c r="I1869" t="s">
        <v>79</v>
      </c>
      <c r="J1869" t="s">
        <v>64</v>
      </c>
      <c r="K1869" t="s">
        <v>55</v>
      </c>
      <c r="L1869" s="6">
        <v>203876.74</v>
      </c>
      <c r="M1869">
        <v>159943.47</v>
      </c>
      <c r="N1869" t="s">
        <v>4237</v>
      </c>
      <c r="O1869">
        <v>5</v>
      </c>
      <c r="P1869">
        <v>115</v>
      </c>
      <c r="Q1869">
        <v>5</v>
      </c>
      <c r="R1869">
        <v>138</v>
      </c>
      <c r="S1869">
        <v>172</v>
      </c>
      <c r="T1869" t="s">
        <v>37</v>
      </c>
      <c r="U1869" s="7">
        <f t="shared" si="117"/>
        <v>24</v>
      </c>
      <c r="V1869" s="7">
        <f t="shared" si="118"/>
        <v>5</v>
      </c>
      <c r="W1869" s="6">
        <f t="shared" si="116"/>
        <v>43933.26999999999</v>
      </c>
      <c r="X1869" t="str">
        <f t="shared" si="119"/>
        <v>Adult</v>
      </c>
    </row>
    <row r="1870" spans="1:24">
      <c r="A1870" t="s">
        <v>3925</v>
      </c>
      <c r="B1870" t="s">
        <v>875</v>
      </c>
      <c r="C1870" t="s">
        <v>133</v>
      </c>
      <c r="D1870" s="5">
        <v>37959</v>
      </c>
      <c r="E1870" s="5">
        <v>45360</v>
      </c>
      <c r="F1870" s="5">
        <v>45375</v>
      </c>
      <c r="G1870" t="s">
        <v>77</v>
      </c>
      <c r="H1870" t="s">
        <v>95</v>
      </c>
      <c r="I1870" t="s">
        <v>96</v>
      </c>
      <c r="J1870" t="s">
        <v>34</v>
      </c>
      <c r="K1870" t="s">
        <v>120</v>
      </c>
      <c r="L1870" s="6">
        <v>183586.65</v>
      </c>
      <c r="M1870">
        <v>170254.19</v>
      </c>
      <c r="N1870" t="s">
        <v>192</v>
      </c>
      <c r="O1870">
        <v>15</v>
      </c>
      <c r="P1870">
        <v>66</v>
      </c>
      <c r="Q1870">
        <v>4</v>
      </c>
      <c r="R1870">
        <v>112</v>
      </c>
      <c r="S1870">
        <v>106.2</v>
      </c>
      <c r="T1870" t="s">
        <v>47</v>
      </c>
      <c r="U1870" s="7">
        <f t="shared" si="117"/>
        <v>20</v>
      </c>
      <c r="V1870" s="7">
        <f t="shared" si="118"/>
        <v>15</v>
      </c>
      <c r="W1870" s="6">
        <f t="shared" si="116"/>
        <v>13332.459999999992</v>
      </c>
      <c r="X1870" t="str">
        <f t="shared" si="119"/>
        <v>Adult</v>
      </c>
    </row>
    <row r="1871" spans="1:24">
      <c r="A1871" t="s">
        <v>3927</v>
      </c>
      <c r="B1871" t="s">
        <v>932</v>
      </c>
      <c r="C1871" t="s">
        <v>40</v>
      </c>
      <c r="D1871" s="5">
        <v>24625</v>
      </c>
      <c r="E1871" s="5">
        <v>45163</v>
      </c>
      <c r="F1871" s="5">
        <v>45174</v>
      </c>
      <c r="G1871" t="s">
        <v>77</v>
      </c>
      <c r="H1871" t="s">
        <v>32</v>
      </c>
      <c r="I1871" t="s">
        <v>79</v>
      </c>
      <c r="J1871" t="s">
        <v>46</v>
      </c>
      <c r="K1871" t="s">
        <v>55</v>
      </c>
      <c r="L1871" s="6">
        <v>116800.38</v>
      </c>
      <c r="M1871">
        <v>110916.75</v>
      </c>
      <c r="N1871" t="s">
        <v>35</v>
      </c>
      <c r="O1871">
        <v>11</v>
      </c>
      <c r="P1871">
        <v>116</v>
      </c>
      <c r="Q1871">
        <v>2</v>
      </c>
      <c r="R1871">
        <v>95</v>
      </c>
      <c r="S1871">
        <v>202.7</v>
      </c>
      <c r="T1871" t="s">
        <v>37</v>
      </c>
      <c r="U1871" s="7">
        <f t="shared" si="117"/>
        <v>56</v>
      </c>
      <c r="V1871" s="7">
        <f t="shared" si="118"/>
        <v>11</v>
      </c>
      <c r="W1871" s="6">
        <f t="shared" si="116"/>
        <v>5883.6300000000047</v>
      </c>
      <c r="X1871" t="str">
        <f t="shared" si="119"/>
        <v>Middle Age</v>
      </c>
    </row>
    <row r="1872" spans="1:24">
      <c r="A1872" t="s">
        <v>3930</v>
      </c>
      <c r="B1872" t="s">
        <v>565</v>
      </c>
      <c r="C1872" t="s">
        <v>40</v>
      </c>
      <c r="D1872" s="5">
        <v>25468</v>
      </c>
      <c r="E1872" s="5">
        <v>45101</v>
      </c>
      <c r="F1872" s="5" t="s">
        <v>4237</v>
      </c>
      <c r="G1872" t="s">
        <v>43</v>
      </c>
      <c r="H1872" t="s">
        <v>118</v>
      </c>
      <c r="I1872" t="s">
        <v>79</v>
      </c>
      <c r="J1872" t="s">
        <v>80</v>
      </c>
      <c r="K1872" t="s">
        <v>55</v>
      </c>
      <c r="L1872" s="6">
        <v>23833.32</v>
      </c>
      <c r="M1872">
        <v>23619.84</v>
      </c>
      <c r="N1872" t="s">
        <v>35</v>
      </c>
      <c r="O1872">
        <v>10</v>
      </c>
      <c r="P1872">
        <v>93</v>
      </c>
      <c r="Q1872">
        <v>5</v>
      </c>
      <c r="R1872">
        <v>176</v>
      </c>
      <c r="S1872">
        <v>169.9</v>
      </c>
      <c r="T1872" t="s">
        <v>4237</v>
      </c>
      <c r="U1872" s="7">
        <f t="shared" si="117"/>
        <v>53</v>
      </c>
      <c r="V1872" s="7" t="s">
        <v>4237</v>
      </c>
      <c r="W1872" s="6">
        <f t="shared" si="116"/>
        <v>213.47999999999956</v>
      </c>
      <c r="X1872" t="str">
        <f t="shared" si="119"/>
        <v>Middle Age</v>
      </c>
    </row>
    <row r="1873" spans="1:24">
      <c r="A1873" t="s">
        <v>3932</v>
      </c>
      <c r="B1873" t="s">
        <v>624</v>
      </c>
      <c r="C1873" t="s">
        <v>40</v>
      </c>
      <c r="D1873" s="5">
        <v>19687</v>
      </c>
      <c r="E1873" s="5">
        <v>45502</v>
      </c>
      <c r="F1873" s="5">
        <v>45511</v>
      </c>
      <c r="G1873" t="s">
        <v>89</v>
      </c>
      <c r="H1873" t="s">
        <v>113</v>
      </c>
      <c r="I1873" t="s">
        <v>119</v>
      </c>
      <c r="J1873" t="s">
        <v>179</v>
      </c>
      <c r="K1873" t="s">
        <v>120</v>
      </c>
      <c r="L1873" s="6">
        <v>28587.14</v>
      </c>
      <c r="M1873">
        <v>25422.66</v>
      </c>
      <c r="N1873" t="s">
        <v>56</v>
      </c>
      <c r="O1873">
        <v>9</v>
      </c>
      <c r="P1873">
        <v>27</v>
      </c>
      <c r="Q1873">
        <v>4</v>
      </c>
      <c r="R1873">
        <v>154</v>
      </c>
      <c r="S1873">
        <v>139.69999999999999</v>
      </c>
      <c r="T1873" t="s">
        <v>4237</v>
      </c>
      <c r="U1873" s="7">
        <f t="shared" si="117"/>
        <v>70</v>
      </c>
      <c r="V1873" s="7">
        <f t="shared" si="118"/>
        <v>9</v>
      </c>
      <c r="W1873" s="6">
        <f t="shared" si="116"/>
        <v>3164.4799999999996</v>
      </c>
      <c r="X1873" t="str">
        <f t="shared" si="119"/>
        <v>Senior</v>
      </c>
    </row>
    <row r="1874" spans="1:24">
      <c r="A1874" t="s">
        <v>3934</v>
      </c>
      <c r="B1874" t="s">
        <v>845</v>
      </c>
      <c r="C1874" t="s">
        <v>40</v>
      </c>
      <c r="D1874" s="5">
        <v>37855</v>
      </c>
      <c r="E1874" s="5">
        <v>45004</v>
      </c>
      <c r="F1874" s="5" t="s">
        <v>4237</v>
      </c>
      <c r="G1874" t="s">
        <v>105</v>
      </c>
      <c r="H1874" t="s">
        <v>86</v>
      </c>
      <c r="I1874" t="s">
        <v>79</v>
      </c>
      <c r="J1874" t="s">
        <v>179</v>
      </c>
      <c r="K1874" t="s">
        <v>55</v>
      </c>
      <c r="L1874" s="6">
        <v>88134.87</v>
      </c>
      <c r="M1874">
        <v>71009.13</v>
      </c>
      <c r="N1874" t="s">
        <v>73</v>
      </c>
      <c r="O1874">
        <v>3</v>
      </c>
      <c r="P1874">
        <v>129</v>
      </c>
      <c r="Q1874">
        <v>2</v>
      </c>
      <c r="R1874">
        <v>113</v>
      </c>
      <c r="S1874">
        <v>159.9</v>
      </c>
      <c r="T1874" t="s">
        <v>47</v>
      </c>
      <c r="U1874" s="7">
        <f t="shared" si="117"/>
        <v>19</v>
      </c>
      <c r="V1874" s="7" t="s">
        <v>4237</v>
      </c>
      <c r="W1874" s="6">
        <f t="shared" si="116"/>
        <v>17125.739999999991</v>
      </c>
      <c r="X1874" t="str">
        <f t="shared" si="119"/>
        <v>Adult</v>
      </c>
    </row>
    <row r="1875" spans="1:24">
      <c r="A1875" t="s">
        <v>3936</v>
      </c>
      <c r="B1875" t="s">
        <v>647</v>
      </c>
      <c r="C1875" t="s">
        <v>133</v>
      </c>
      <c r="D1875" s="5">
        <v>28460</v>
      </c>
      <c r="E1875" s="5">
        <v>45542</v>
      </c>
      <c r="F1875" s="5">
        <v>45546</v>
      </c>
      <c r="G1875" t="s">
        <v>117</v>
      </c>
      <c r="H1875" t="s">
        <v>134</v>
      </c>
      <c r="I1875" t="s">
        <v>79</v>
      </c>
      <c r="J1875" t="s">
        <v>179</v>
      </c>
      <c r="K1875" t="s">
        <v>110</v>
      </c>
      <c r="L1875" s="6">
        <v>153654.45000000001</v>
      </c>
      <c r="M1875">
        <v>125269.37</v>
      </c>
      <c r="N1875" t="s">
        <v>192</v>
      </c>
      <c r="O1875">
        <v>4</v>
      </c>
      <c r="P1875">
        <v>226</v>
      </c>
      <c r="Q1875">
        <v>2</v>
      </c>
      <c r="R1875">
        <v>100</v>
      </c>
      <c r="S1875">
        <v>225.8</v>
      </c>
      <c r="T1875" t="s">
        <v>37</v>
      </c>
      <c r="U1875" s="7">
        <f t="shared" si="117"/>
        <v>46</v>
      </c>
      <c r="V1875" s="7">
        <f t="shared" si="118"/>
        <v>4</v>
      </c>
      <c r="W1875" s="6">
        <f t="shared" si="116"/>
        <v>28385.080000000016</v>
      </c>
      <c r="X1875" t="str">
        <f t="shared" si="119"/>
        <v>Middle Age</v>
      </c>
    </row>
    <row r="1876" spans="1:24">
      <c r="A1876" t="s">
        <v>3937</v>
      </c>
      <c r="B1876" t="s">
        <v>202</v>
      </c>
      <c r="C1876" t="s">
        <v>40</v>
      </c>
      <c r="D1876" s="5">
        <v>34522</v>
      </c>
      <c r="E1876" s="5">
        <v>45158</v>
      </c>
      <c r="F1876" s="5">
        <v>45167</v>
      </c>
      <c r="G1876" t="s">
        <v>62</v>
      </c>
      <c r="H1876" t="s">
        <v>95</v>
      </c>
      <c r="I1876" t="s">
        <v>79</v>
      </c>
      <c r="J1876" t="s">
        <v>64</v>
      </c>
      <c r="K1876" t="s">
        <v>27</v>
      </c>
      <c r="L1876" s="6">
        <v>25875.37</v>
      </c>
      <c r="M1876">
        <v>18063.43</v>
      </c>
      <c r="N1876" t="s">
        <v>192</v>
      </c>
      <c r="O1876">
        <v>9</v>
      </c>
      <c r="P1876">
        <v>173</v>
      </c>
      <c r="Q1876">
        <v>4</v>
      </c>
      <c r="R1876">
        <v>130</v>
      </c>
      <c r="S1876">
        <v>192.9</v>
      </c>
      <c r="T1876" t="s">
        <v>37</v>
      </c>
      <c r="U1876" s="7">
        <f t="shared" si="117"/>
        <v>29</v>
      </c>
      <c r="V1876" s="7">
        <f t="shared" si="118"/>
        <v>9</v>
      </c>
      <c r="W1876" s="6">
        <f t="shared" si="116"/>
        <v>7811.9399999999987</v>
      </c>
      <c r="X1876" t="str">
        <f t="shared" si="119"/>
        <v>Adult</v>
      </c>
    </row>
    <row r="1877" spans="1:24">
      <c r="A1877" t="s">
        <v>3938</v>
      </c>
      <c r="B1877" t="s">
        <v>679</v>
      </c>
      <c r="C1877" t="s">
        <v>40</v>
      </c>
      <c r="D1877" s="5">
        <v>33674</v>
      </c>
      <c r="E1877" s="5">
        <v>45629</v>
      </c>
      <c r="F1877" s="5">
        <v>45646</v>
      </c>
      <c r="G1877" t="s">
        <v>152</v>
      </c>
      <c r="H1877" t="s">
        <v>24</v>
      </c>
      <c r="I1877" t="s">
        <v>45</v>
      </c>
      <c r="J1877" t="s">
        <v>46</v>
      </c>
      <c r="K1877" t="s">
        <v>161</v>
      </c>
      <c r="L1877" s="6">
        <v>134838.71</v>
      </c>
      <c r="M1877">
        <v>104395.45</v>
      </c>
      <c r="N1877" t="s">
        <v>56</v>
      </c>
      <c r="O1877">
        <v>17</v>
      </c>
      <c r="P1877">
        <v>146</v>
      </c>
      <c r="Q1877">
        <v>4</v>
      </c>
      <c r="R1877">
        <v>137</v>
      </c>
      <c r="S1877">
        <v>147.1</v>
      </c>
      <c r="T1877" t="s">
        <v>47</v>
      </c>
      <c r="U1877" s="7">
        <f t="shared" si="117"/>
        <v>32</v>
      </c>
      <c r="V1877" s="7">
        <f t="shared" si="118"/>
        <v>17</v>
      </c>
      <c r="W1877" s="6">
        <f t="shared" si="116"/>
        <v>30443.259999999995</v>
      </c>
      <c r="X1877" t="str">
        <f t="shared" si="119"/>
        <v>Adult</v>
      </c>
    </row>
    <row r="1878" spans="1:24">
      <c r="A1878" t="s">
        <v>3944</v>
      </c>
      <c r="B1878" t="s">
        <v>524</v>
      </c>
      <c r="C1878" t="s">
        <v>40</v>
      </c>
      <c r="D1878" s="5">
        <v>37695</v>
      </c>
      <c r="E1878" s="5">
        <v>45262</v>
      </c>
      <c r="F1878" s="5" t="s">
        <v>4237</v>
      </c>
      <c r="G1878" t="s">
        <v>94</v>
      </c>
      <c r="H1878" t="s">
        <v>32</v>
      </c>
      <c r="I1878" t="s">
        <v>45</v>
      </c>
      <c r="J1878" t="s">
        <v>71</v>
      </c>
      <c r="K1878" t="s">
        <v>120</v>
      </c>
      <c r="L1878" s="6">
        <v>14153.06</v>
      </c>
      <c r="M1878">
        <v>12108.45</v>
      </c>
      <c r="N1878" t="s">
        <v>73</v>
      </c>
      <c r="O1878">
        <v>15</v>
      </c>
      <c r="P1878">
        <v>165</v>
      </c>
      <c r="Q1878">
        <v>4</v>
      </c>
      <c r="R1878">
        <v>107</v>
      </c>
      <c r="S1878">
        <v>248.6</v>
      </c>
      <c r="T1878" t="s">
        <v>37</v>
      </c>
      <c r="U1878" s="7">
        <f t="shared" si="117"/>
        <v>20</v>
      </c>
      <c r="V1878" s="7" t="s">
        <v>4237</v>
      </c>
      <c r="W1878" s="6">
        <f t="shared" si="116"/>
        <v>2044.6099999999988</v>
      </c>
      <c r="X1878" t="str">
        <f t="shared" si="119"/>
        <v>Adult</v>
      </c>
    </row>
    <row r="1879" spans="1:24">
      <c r="A1879" t="s">
        <v>3948</v>
      </c>
      <c r="B1879" t="s">
        <v>2270</v>
      </c>
      <c r="C1879" t="s">
        <v>40</v>
      </c>
      <c r="D1879" s="5">
        <v>28172</v>
      </c>
      <c r="E1879" s="5" t="s">
        <v>4237</v>
      </c>
      <c r="F1879" s="5">
        <v>45574</v>
      </c>
      <c r="G1879" t="s">
        <v>109</v>
      </c>
      <c r="H1879" t="s">
        <v>52</v>
      </c>
      <c r="I1879" t="s">
        <v>33</v>
      </c>
      <c r="J1879" t="s">
        <v>64</v>
      </c>
      <c r="K1879" t="s">
        <v>27</v>
      </c>
      <c r="L1879" s="6">
        <v>18922.29</v>
      </c>
      <c r="M1879">
        <v>16872.080000000002</v>
      </c>
      <c r="N1879" t="s">
        <v>73</v>
      </c>
      <c r="O1879">
        <v>11</v>
      </c>
      <c r="P1879">
        <v>6</v>
      </c>
      <c r="Q1879">
        <v>1</v>
      </c>
      <c r="R1879">
        <v>141</v>
      </c>
      <c r="S1879">
        <v>75.400000000000006</v>
      </c>
      <c r="T1879" t="s">
        <v>37</v>
      </c>
      <c r="U1879" s="7" t="s">
        <v>4237</v>
      </c>
      <c r="V1879" s="7" t="s">
        <v>4237</v>
      </c>
      <c r="W1879" s="6">
        <f t="shared" si="116"/>
        <v>2050.2099999999991</v>
      </c>
      <c r="X1879" t="s">
        <v>4237</v>
      </c>
    </row>
    <row r="1880" spans="1:24">
      <c r="A1880" t="s">
        <v>3950</v>
      </c>
      <c r="B1880" t="s">
        <v>2389</v>
      </c>
      <c r="C1880" t="s">
        <v>40</v>
      </c>
      <c r="D1880" s="5">
        <v>37944</v>
      </c>
      <c r="E1880" s="5">
        <v>45258</v>
      </c>
      <c r="F1880" s="5">
        <v>45262</v>
      </c>
      <c r="G1880" t="s">
        <v>152</v>
      </c>
      <c r="H1880" t="s">
        <v>95</v>
      </c>
      <c r="I1880" t="s">
        <v>33</v>
      </c>
      <c r="J1880" t="s">
        <v>64</v>
      </c>
      <c r="K1880" t="s">
        <v>161</v>
      </c>
      <c r="L1880" s="6">
        <v>39623.910000000003</v>
      </c>
      <c r="M1880">
        <v>36954.29</v>
      </c>
      <c r="N1880" t="s">
        <v>192</v>
      </c>
      <c r="O1880">
        <v>4</v>
      </c>
      <c r="P1880">
        <v>73</v>
      </c>
      <c r="Q1880">
        <v>5</v>
      </c>
      <c r="R1880">
        <v>121</v>
      </c>
      <c r="S1880">
        <v>192.6</v>
      </c>
      <c r="T1880" t="s">
        <v>4237</v>
      </c>
      <c r="U1880" s="7">
        <f t="shared" si="117"/>
        <v>20</v>
      </c>
      <c r="V1880" s="7">
        <f t="shared" si="118"/>
        <v>4</v>
      </c>
      <c r="W1880" s="6">
        <f t="shared" si="116"/>
        <v>2669.6200000000026</v>
      </c>
      <c r="X1880" t="str">
        <f t="shared" si="119"/>
        <v>Adult</v>
      </c>
    </row>
    <row r="1881" spans="1:24">
      <c r="A1881" t="s">
        <v>3952</v>
      </c>
      <c r="B1881" t="s">
        <v>541</v>
      </c>
      <c r="C1881" t="s">
        <v>40</v>
      </c>
      <c r="D1881" s="5">
        <v>23322</v>
      </c>
      <c r="E1881" s="5" t="s">
        <v>4237</v>
      </c>
      <c r="F1881" s="5">
        <v>45844</v>
      </c>
      <c r="G1881" t="s">
        <v>152</v>
      </c>
      <c r="H1881" t="s">
        <v>113</v>
      </c>
      <c r="I1881" t="s">
        <v>33</v>
      </c>
      <c r="J1881" t="s">
        <v>71</v>
      </c>
      <c r="K1881" t="s">
        <v>27</v>
      </c>
      <c r="L1881" s="6">
        <v>130047.43</v>
      </c>
      <c r="M1881">
        <v>110390.14</v>
      </c>
      <c r="N1881" t="s">
        <v>91</v>
      </c>
      <c r="O1881">
        <v>10</v>
      </c>
      <c r="P1881">
        <v>35</v>
      </c>
      <c r="Q1881">
        <v>3</v>
      </c>
      <c r="R1881">
        <v>179</v>
      </c>
      <c r="S1881">
        <v>197.9</v>
      </c>
      <c r="T1881" t="s">
        <v>37</v>
      </c>
      <c r="U1881" s="7" t="s">
        <v>4237</v>
      </c>
      <c r="V1881" s="7" t="s">
        <v>4237</v>
      </c>
      <c r="W1881" s="6">
        <f t="shared" si="116"/>
        <v>19657.289999999994</v>
      </c>
      <c r="X1881" t="s">
        <v>4237</v>
      </c>
    </row>
    <row r="1882" spans="1:24">
      <c r="A1882" t="s">
        <v>3956</v>
      </c>
      <c r="B1882" t="s">
        <v>591</v>
      </c>
      <c r="C1882" t="s">
        <v>40</v>
      </c>
      <c r="D1882" s="5">
        <v>21379</v>
      </c>
      <c r="E1882" s="5">
        <v>45769</v>
      </c>
      <c r="F1882" s="5">
        <v>45773</v>
      </c>
      <c r="G1882" t="s">
        <v>94</v>
      </c>
      <c r="H1882" t="s">
        <v>118</v>
      </c>
      <c r="I1882" t="s">
        <v>53</v>
      </c>
      <c r="J1882" t="s">
        <v>34</v>
      </c>
      <c r="K1882" t="s">
        <v>55</v>
      </c>
      <c r="L1882" s="6">
        <v>217649.91</v>
      </c>
      <c r="M1882">
        <v>130989.84</v>
      </c>
      <c r="N1882" t="s">
        <v>73</v>
      </c>
      <c r="O1882">
        <v>4</v>
      </c>
      <c r="P1882">
        <v>219</v>
      </c>
      <c r="Q1882">
        <v>4</v>
      </c>
      <c r="R1882">
        <v>171</v>
      </c>
      <c r="S1882">
        <v>150.6</v>
      </c>
      <c r="T1882" t="s">
        <v>37</v>
      </c>
      <c r="U1882" s="7">
        <f t="shared" si="117"/>
        <v>66</v>
      </c>
      <c r="V1882" s="7">
        <f t="shared" si="118"/>
        <v>4</v>
      </c>
      <c r="W1882" s="6">
        <f t="shared" si="116"/>
        <v>86660.07</v>
      </c>
      <c r="X1882" t="str">
        <f t="shared" si="119"/>
        <v>Senior</v>
      </c>
    </row>
    <row r="1883" spans="1:24">
      <c r="A1883" t="s">
        <v>3957</v>
      </c>
      <c r="B1883" t="s">
        <v>611</v>
      </c>
      <c r="C1883" t="s">
        <v>133</v>
      </c>
      <c r="D1883" s="5">
        <v>29334</v>
      </c>
      <c r="E1883" s="5">
        <v>45965</v>
      </c>
      <c r="F1883" s="5" t="s">
        <v>4237</v>
      </c>
      <c r="G1883" t="s">
        <v>77</v>
      </c>
      <c r="H1883" t="s">
        <v>63</v>
      </c>
      <c r="I1883" t="s">
        <v>25</v>
      </c>
      <c r="J1883" t="s">
        <v>34</v>
      </c>
      <c r="K1883" t="s">
        <v>161</v>
      </c>
      <c r="L1883" s="6">
        <v>132308.32999999999</v>
      </c>
      <c r="M1883">
        <v>118640.46</v>
      </c>
      <c r="N1883" t="s">
        <v>91</v>
      </c>
      <c r="O1883">
        <v>1</v>
      </c>
      <c r="P1883">
        <v>68</v>
      </c>
      <c r="Q1883">
        <v>4</v>
      </c>
      <c r="R1883">
        <v>120</v>
      </c>
      <c r="S1883">
        <v>229.2</v>
      </c>
      <c r="T1883" t="s">
        <v>47</v>
      </c>
      <c r="U1883" s="7">
        <f t="shared" si="117"/>
        <v>45</v>
      </c>
      <c r="V1883" s="7" t="s">
        <v>4237</v>
      </c>
      <c r="W1883" s="6">
        <f t="shared" si="116"/>
        <v>13667.869999999981</v>
      </c>
      <c r="X1883" t="str">
        <f t="shared" si="119"/>
        <v>Middle Age</v>
      </c>
    </row>
    <row r="1884" spans="1:24">
      <c r="A1884" t="s">
        <v>3958</v>
      </c>
      <c r="B1884" t="s">
        <v>845</v>
      </c>
      <c r="C1884" t="s">
        <v>40</v>
      </c>
      <c r="D1884" s="5">
        <v>39242</v>
      </c>
      <c r="E1884" s="5">
        <v>45751</v>
      </c>
      <c r="F1884" s="5">
        <v>45752</v>
      </c>
      <c r="G1884" t="s">
        <v>94</v>
      </c>
      <c r="H1884" t="s">
        <v>63</v>
      </c>
      <c r="I1884" t="s">
        <v>53</v>
      </c>
      <c r="J1884" t="s">
        <v>26</v>
      </c>
      <c r="K1884" t="s">
        <v>110</v>
      </c>
      <c r="L1884" s="6">
        <v>243330.07</v>
      </c>
      <c r="M1884">
        <v>180207.7</v>
      </c>
      <c r="N1884" t="s">
        <v>35</v>
      </c>
      <c r="O1884">
        <v>1</v>
      </c>
      <c r="P1884">
        <v>68</v>
      </c>
      <c r="Q1884">
        <v>4</v>
      </c>
      <c r="R1884">
        <v>90</v>
      </c>
      <c r="S1884">
        <v>191.3</v>
      </c>
      <c r="T1884" t="s">
        <v>37</v>
      </c>
      <c r="U1884" s="7">
        <f t="shared" si="117"/>
        <v>17</v>
      </c>
      <c r="V1884" s="7">
        <f t="shared" si="118"/>
        <v>1</v>
      </c>
      <c r="W1884" s="6">
        <f t="shared" si="116"/>
        <v>63122.369999999995</v>
      </c>
      <c r="X1884" t="str">
        <f t="shared" si="119"/>
        <v>Child</v>
      </c>
    </row>
    <row r="1885" spans="1:24">
      <c r="A1885" t="s">
        <v>3961</v>
      </c>
      <c r="B1885" t="s">
        <v>1182</v>
      </c>
      <c r="C1885" t="s">
        <v>40</v>
      </c>
      <c r="D1885" s="5">
        <v>27692</v>
      </c>
      <c r="E1885" s="5">
        <v>45373</v>
      </c>
      <c r="F1885" s="5">
        <v>45375</v>
      </c>
      <c r="G1885" t="s">
        <v>89</v>
      </c>
      <c r="H1885" t="s">
        <v>86</v>
      </c>
      <c r="I1885" t="s">
        <v>33</v>
      </c>
      <c r="J1885" t="s">
        <v>179</v>
      </c>
      <c r="K1885" t="s">
        <v>120</v>
      </c>
      <c r="L1885" s="6">
        <v>111062.69</v>
      </c>
      <c r="M1885">
        <v>82568.27</v>
      </c>
      <c r="N1885" t="s">
        <v>73</v>
      </c>
      <c r="O1885">
        <v>2</v>
      </c>
      <c r="P1885">
        <v>22</v>
      </c>
      <c r="Q1885">
        <v>1</v>
      </c>
      <c r="R1885">
        <v>143</v>
      </c>
      <c r="S1885">
        <v>94.2</v>
      </c>
      <c r="T1885" t="s">
        <v>4237</v>
      </c>
      <c r="U1885" s="7">
        <f t="shared" si="117"/>
        <v>48</v>
      </c>
      <c r="V1885" s="7">
        <f t="shared" si="118"/>
        <v>2</v>
      </c>
      <c r="W1885" s="6">
        <f t="shared" si="116"/>
        <v>28494.42</v>
      </c>
      <c r="X1885" t="str">
        <f t="shared" si="119"/>
        <v>Middle Age</v>
      </c>
    </row>
    <row r="1886" spans="1:24">
      <c r="A1886" t="s">
        <v>3962</v>
      </c>
      <c r="B1886" t="s">
        <v>1464</v>
      </c>
      <c r="C1886" t="s">
        <v>133</v>
      </c>
      <c r="D1886" s="5">
        <v>29621</v>
      </c>
      <c r="E1886" s="5">
        <v>45827</v>
      </c>
      <c r="F1886" s="5">
        <v>45833</v>
      </c>
      <c r="G1886" t="s">
        <v>89</v>
      </c>
      <c r="H1886" t="s">
        <v>113</v>
      </c>
      <c r="I1886" t="s">
        <v>119</v>
      </c>
      <c r="J1886" t="s">
        <v>64</v>
      </c>
      <c r="K1886" t="s">
        <v>55</v>
      </c>
      <c r="L1886" s="6">
        <v>95840.07</v>
      </c>
      <c r="M1886">
        <v>72897.100000000006</v>
      </c>
      <c r="N1886" t="s">
        <v>192</v>
      </c>
      <c r="O1886">
        <v>6</v>
      </c>
      <c r="P1886">
        <v>100</v>
      </c>
      <c r="Q1886">
        <v>1</v>
      </c>
      <c r="R1886">
        <v>168</v>
      </c>
      <c r="S1886">
        <v>117.6</v>
      </c>
      <c r="T1886" t="s">
        <v>37</v>
      </c>
      <c r="U1886" s="7">
        <f t="shared" si="117"/>
        <v>44</v>
      </c>
      <c r="V1886" s="7">
        <f t="shared" si="118"/>
        <v>6</v>
      </c>
      <c r="W1886" s="6">
        <f t="shared" si="116"/>
        <v>22942.97</v>
      </c>
      <c r="X1886" t="str">
        <f t="shared" si="119"/>
        <v>Middle Age</v>
      </c>
    </row>
    <row r="1887" spans="1:24">
      <c r="A1887" t="s">
        <v>3964</v>
      </c>
      <c r="B1887" t="s">
        <v>2008</v>
      </c>
      <c r="C1887" t="s">
        <v>133</v>
      </c>
      <c r="D1887" s="5">
        <v>28339</v>
      </c>
      <c r="E1887" s="5">
        <v>45056</v>
      </c>
      <c r="F1887" s="5">
        <v>45059</v>
      </c>
      <c r="G1887" t="s">
        <v>161</v>
      </c>
      <c r="H1887" t="s">
        <v>32</v>
      </c>
      <c r="I1887" t="s">
        <v>33</v>
      </c>
      <c r="J1887" t="s">
        <v>179</v>
      </c>
      <c r="K1887" t="s">
        <v>55</v>
      </c>
      <c r="L1887" s="6">
        <v>68771.460000000006</v>
      </c>
      <c r="M1887">
        <v>62908.26</v>
      </c>
      <c r="N1887" t="s">
        <v>73</v>
      </c>
      <c r="O1887">
        <v>3</v>
      </c>
      <c r="P1887">
        <v>121</v>
      </c>
      <c r="Q1887">
        <v>3</v>
      </c>
      <c r="R1887">
        <v>181</v>
      </c>
      <c r="S1887">
        <v>239.2</v>
      </c>
      <c r="T1887" t="s">
        <v>37</v>
      </c>
      <c r="U1887" s="7">
        <f t="shared" si="117"/>
        <v>45</v>
      </c>
      <c r="V1887" s="7">
        <f t="shared" si="118"/>
        <v>3</v>
      </c>
      <c r="W1887" s="6">
        <f t="shared" si="116"/>
        <v>5863.2000000000044</v>
      </c>
      <c r="X1887" t="str">
        <f t="shared" si="119"/>
        <v>Middle Age</v>
      </c>
    </row>
    <row r="1888" spans="1:24">
      <c r="A1888" t="s">
        <v>3966</v>
      </c>
      <c r="B1888" t="s">
        <v>83</v>
      </c>
      <c r="C1888" t="s">
        <v>40</v>
      </c>
      <c r="D1888" s="5">
        <v>24884</v>
      </c>
      <c r="E1888" s="5">
        <v>45452</v>
      </c>
      <c r="F1888" s="5">
        <v>45455</v>
      </c>
      <c r="G1888" t="s">
        <v>117</v>
      </c>
      <c r="H1888" t="s">
        <v>63</v>
      </c>
      <c r="I1888" t="s">
        <v>119</v>
      </c>
      <c r="J1888" t="s">
        <v>71</v>
      </c>
      <c r="K1888" t="s">
        <v>161</v>
      </c>
      <c r="L1888" s="6">
        <v>123663.9</v>
      </c>
      <c r="M1888">
        <v>82551.429999999993</v>
      </c>
      <c r="N1888" t="s">
        <v>192</v>
      </c>
      <c r="O1888">
        <v>3</v>
      </c>
      <c r="P1888">
        <v>225</v>
      </c>
      <c r="Q1888">
        <v>4</v>
      </c>
      <c r="R1888">
        <v>133</v>
      </c>
      <c r="S1888">
        <v>139.19999999999999</v>
      </c>
      <c r="T1888" t="s">
        <v>37</v>
      </c>
      <c r="U1888" s="7">
        <f t="shared" si="117"/>
        <v>56</v>
      </c>
      <c r="V1888" s="7">
        <f t="shared" si="118"/>
        <v>3</v>
      </c>
      <c r="W1888" s="6">
        <f t="shared" si="116"/>
        <v>41112.47</v>
      </c>
      <c r="X1888" t="str">
        <f t="shared" si="119"/>
        <v>Middle Age</v>
      </c>
    </row>
    <row r="1889" spans="1:24">
      <c r="A1889" t="s">
        <v>3968</v>
      </c>
      <c r="B1889" t="s">
        <v>394</v>
      </c>
      <c r="C1889" t="s">
        <v>40</v>
      </c>
      <c r="D1889" s="5">
        <v>18643</v>
      </c>
      <c r="E1889" s="5">
        <v>45530</v>
      </c>
      <c r="F1889" s="5">
        <v>45539</v>
      </c>
      <c r="G1889" t="s">
        <v>62</v>
      </c>
      <c r="H1889" t="s">
        <v>78</v>
      </c>
      <c r="I1889" t="s">
        <v>119</v>
      </c>
      <c r="J1889" t="s">
        <v>179</v>
      </c>
      <c r="K1889" t="s">
        <v>55</v>
      </c>
      <c r="L1889" s="6">
        <v>18414.560000000001</v>
      </c>
      <c r="M1889">
        <v>12036.87</v>
      </c>
      <c r="N1889" t="s">
        <v>192</v>
      </c>
      <c r="O1889">
        <v>9</v>
      </c>
      <c r="P1889">
        <v>98</v>
      </c>
      <c r="Q1889">
        <v>4</v>
      </c>
      <c r="R1889">
        <v>140</v>
      </c>
      <c r="S1889">
        <v>119.3</v>
      </c>
      <c r="T1889" t="s">
        <v>37</v>
      </c>
      <c r="U1889" s="7">
        <f t="shared" si="117"/>
        <v>73</v>
      </c>
      <c r="V1889" s="7">
        <f t="shared" si="118"/>
        <v>9</v>
      </c>
      <c r="W1889" s="6">
        <f t="shared" si="116"/>
        <v>6377.6900000000005</v>
      </c>
      <c r="X1889" t="str">
        <f t="shared" si="119"/>
        <v>Senior</v>
      </c>
    </row>
    <row r="1890" spans="1:24">
      <c r="A1890" t="s">
        <v>3970</v>
      </c>
      <c r="B1890" t="s">
        <v>887</v>
      </c>
      <c r="C1890" t="s">
        <v>40</v>
      </c>
      <c r="D1890" s="5" t="s">
        <v>4237</v>
      </c>
      <c r="E1890" s="5">
        <v>45814</v>
      </c>
      <c r="F1890" s="5">
        <v>45823</v>
      </c>
      <c r="G1890" t="s">
        <v>161</v>
      </c>
      <c r="H1890" t="s">
        <v>113</v>
      </c>
      <c r="I1890" t="s">
        <v>119</v>
      </c>
      <c r="J1890" t="s">
        <v>80</v>
      </c>
      <c r="K1890" t="s">
        <v>161</v>
      </c>
      <c r="L1890" s="6">
        <v>88159.74</v>
      </c>
      <c r="M1890">
        <v>76806.720000000001</v>
      </c>
      <c r="N1890" t="s">
        <v>73</v>
      </c>
      <c r="O1890">
        <v>9</v>
      </c>
      <c r="P1890">
        <v>176</v>
      </c>
      <c r="Q1890">
        <v>5</v>
      </c>
      <c r="R1890">
        <v>115</v>
      </c>
      <c r="S1890">
        <v>253.1</v>
      </c>
      <c r="T1890" t="s">
        <v>4237</v>
      </c>
      <c r="U1890" s="7" t="s">
        <v>4237</v>
      </c>
      <c r="V1890" s="7">
        <f t="shared" si="118"/>
        <v>9</v>
      </c>
      <c r="W1890" s="6">
        <f t="shared" si="116"/>
        <v>11353.020000000004</v>
      </c>
      <c r="X1890" t="s">
        <v>4237</v>
      </c>
    </row>
    <row r="1891" spans="1:24">
      <c r="A1891" t="s">
        <v>3972</v>
      </c>
      <c r="B1891" t="s">
        <v>438</v>
      </c>
      <c r="C1891" t="s">
        <v>40</v>
      </c>
      <c r="D1891" s="5">
        <v>20091</v>
      </c>
      <c r="E1891" s="5">
        <v>45539</v>
      </c>
      <c r="F1891" s="5">
        <v>45543</v>
      </c>
      <c r="G1891" t="s">
        <v>43</v>
      </c>
      <c r="H1891" t="s">
        <v>78</v>
      </c>
      <c r="I1891" t="s">
        <v>96</v>
      </c>
      <c r="J1891" t="s">
        <v>80</v>
      </c>
      <c r="K1891" t="s">
        <v>55</v>
      </c>
      <c r="L1891" s="6">
        <v>241578.14</v>
      </c>
      <c r="M1891">
        <v>223919.59</v>
      </c>
      <c r="N1891" t="s">
        <v>192</v>
      </c>
      <c r="O1891">
        <v>4</v>
      </c>
      <c r="P1891">
        <v>187</v>
      </c>
      <c r="Q1891">
        <v>1</v>
      </c>
      <c r="R1891">
        <v>183</v>
      </c>
      <c r="S1891">
        <v>185.9</v>
      </c>
      <c r="T1891" t="s">
        <v>37</v>
      </c>
      <c r="U1891" s="7">
        <f t="shared" si="117"/>
        <v>69</v>
      </c>
      <c r="V1891" s="7">
        <f t="shared" si="118"/>
        <v>4</v>
      </c>
      <c r="W1891" s="6">
        <f t="shared" si="116"/>
        <v>17658.550000000017</v>
      </c>
      <c r="X1891" t="str">
        <f t="shared" si="119"/>
        <v>Senior</v>
      </c>
    </row>
    <row r="1892" spans="1:24">
      <c r="A1892" t="s">
        <v>3973</v>
      </c>
      <c r="B1892" t="s">
        <v>274</v>
      </c>
      <c r="C1892" t="s">
        <v>40</v>
      </c>
      <c r="D1892" s="5">
        <v>31872</v>
      </c>
      <c r="E1892" s="5">
        <v>45804</v>
      </c>
      <c r="F1892" s="5">
        <v>45816</v>
      </c>
      <c r="G1892" t="s">
        <v>94</v>
      </c>
      <c r="H1892" t="s">
        <v>52</v>
      </c>
      <c r="I1892" t="s">
        <v>33</v>
      </c>
      <c r="J1892" t="s">
        <v>64</v>
      </c>
      <c r="K1892" t="s">
        <v>55</v>
      </c>
      <c r="L1892" s="6">
        <v>44285.93</v>
      </c>
      <c r="M1892">
        <v>44001.71</v>
      </c>
      <c r="N1892" t="s">
        <v>91</v>
      </c>
      <c r="O1892">
        <v>12</v>
      </c>
      <c r="P1892">
        <v>195</v>
      </c>
      <c r="Q1892">
        <v>2</v>
      </c>
      <c r="R1892">
        <v>107</v>
      </c>
      <c r="S1892">
        <v>167.1</v>
      </c>
      <c r="T1892" t="s">
        <v>4237</v>
      </c>
      <c r="U1892" s="7">
        <f t="shared" si="117"/>
        <v>38</v>
      </c>
      <c r="V1892" s="7">
        <f t="shared" si="118"/>
        <v>12</v>
      </c>
      <c r="W1892" s="6">
        <f t="shared" si="116"/>
        <v>284.22000000000116</v>
      </c>
      <c r="X1892" t="str">
        <f t="shared" si="119"/>
        <v>Adult</v>
      </c>
    </row>
    <row r="1893" spans="1:24">
      <c r="A1893" t="s">
        <v>3974</v>
      </c>
      <c r="B1893" t="s">
        <v>607</v>
      </c>
      <c r="C1893" t="s">
        <v>133</v>
      </c>
      <c r="D1893" s="5">
        <v>29862</v>
      </c>
      <c r="E1893" s="5">
        <v>45937</v>
      </c>
      <c r="F1893" s="5">
        <v>45952</v>
      </c>
      <c r="G1893" t="s">
        <v>152</v>
      </c>
      <c r="H1893" t="s">
        <v>153</v>
      </c>
      <c r="I1893" t="s">
        <v>79</v>
      </c>
      <c r="J1893" t="s">
        <v>179</v>
      </c>
      <c r="K1893" t="s">
        <v>120</v>
      </c>
      <c r="L1893" s="6">
        <v>124134.82</v>
      </c>
      <c r="M1893">
        <v>90428</v>
      </c>
      <c r="N1893" t="s">
        <v>73</v>
      </c>
      <c r="O1893">
        <v>15</v>
      </c>
      <c r="P1893">
        <v>41</v>
      </c>
      <c r="Q1893">
        <v>3</v>
      </c>
      <c r="R1893">
        <v>120</v>
      </c>
      <c r="S1893">
        <v>113.4</v>
      </c>
      <c r="T1893" t="s">
        <v>4237</v>
      </c>
      <c r="U1893" s="7">
        <f t="shared" si="117"/>
        <v>44</v>
      </c>
      <c r="V1893" s="7">
        <f t="shared" si="118"/>
        <v>15</v>
      </c>
      <c r="W1893" s="6">
        <f t="shared" si="116"/>
        <v>33706.820000000007</v>
      </c>
      <c r="X1893" t="str">
        <f t="shared" si="119"/>
        <v>Middle Age</v>
      </c>
    </row>
    <row r="1894" spans="1:24">
      <c r="A1894" t="s">
        <v>3976</v>
      </c>
      <c r="B1894" t="s">
        <v>334</v>
      </c>
      <c r="C1894" t="s">
        <v>133</v>
      </c>
      <c r="D1894" s="5">
        <v>26660</v>
      </c>
      <c r="E1894" s="5">
        <v>44972</v>
      </c>
      <c r="F1894" s="5" t="s">
        <v>4237</v>
      </c>
      <c r="G1894" t="s">
        <v>161</v>
      </c>
      <c r="H1894" t="s">
        <v>24</v>
      </c>
      <c r="I1894" t="s">
        <v>96</v>
      </c>
      <c r="J1894" t="s">
        <v>26</v>
      </c>
      <c r="K1894" t="s">
        <v>120</v>
      </c>
      <c r="L1894" s="6">
        <v>68448.53</v>
      </c>
      <c r="M1894">
        <v>58493.47</v>
      </c>
      <c r="N1894" t="s">
        <v>192</v>
      </c>
      <c r="O1894">
        <v>9</v>
      </c>
      <c r="P1894">
        <v>28</v>
      </c>
      <c r="Q1894">
        <v>4</v>
      </c>
      <c r="R1894">
        <v>160</v>
      </c>
      <c r="S1894">
        <v>101.5</v>
      </c>
      <c r="T1894" t="s">
        <v>4237</v>
      </c>
      <c r="U1894" s="7">
        <f t="shared" si="117"/>
        <v>50</v>
      </c>
      <c r="V1894" s="7" t="s">
        <v>4237</v>
      </c>
      <c r="W1894" s="6">
        <f t="shared" si="116"/>
        <v>9955.0599999999977</v>
      </c>
      <c r="X1894" t="str">
        <f t="shared" si="119"/>
        <v>Middle Age</v>
      </c>
    </row>
    <row r="1895" spans="1:24">
      <c r="A1895" t="s">
        <v>3979</v>
      </c>
      <c r="B1895" t="s">
        <v>350</v>
      </c>
      <c r="C1895" t="s">
        <v>133</v>
      </c>
      <c r="D1895" s="5">
        <v>38301</v>
      </c>
      <c r="E1895" s="5">
        <v>45826</v>
      </c>
      <c r="F1895" s="5">
        <v>45834</v>
      </c>
      <c r="G1895" t="s">
        <v>161</v>
      </c>
      <c r="H1895" t="s">
        <v>124</v>
      </c>
      <c r="I1895" t="s">
        <v>45</v>
      </c>
      <c r="J1895" t="s">
        <v>97</v>
      </c>
      <c r="K1895" t="s">
        <v>55</v>
      </c>
      <c r="L1895" s="6">
        <v>239605.53</v>
      </c>
      <c r="M1895">
        <v>179132.74</v>
      </c>
      <c r="N1895" t="s">
        <v>91</v>
      </c>
      <c r="O1895">
        <v>8</v>
      </c>
      <c r="P1895">
        <v>115</v>
      </c>
      <c r="Q1895">
        <v>4</v>
      </c>
      <c r="R1895">
        <v>147</v>
      </c>
      <c r="S1895">
        <v>257.10000000000002</v>
      </c>
      <c r="T1895" t="s">
        <v>37</v>
      </c>
      <c r="U1895" s="7">
        <f t="shared" si="117"/>
        <v>20</v>
      </c>
      <c r="V1895" s="7">
        <f t="shared" si="118"/>
        <v>8</v>
      </c>
      <c r="W1895" s="6">
        <f t="shared" si="116"/>
        <v>60472.790000000008</v>
      </c>
      <c r="X1895" t="str">
        <f t="shared" si="119"/>
        <v>Adult</v>
      </c>
    </row>
    <row r="1896" spans="1:24">
      <c r="A1896" t="s">
        <v>3980</v>
      </c>
      <c r="B1896" t="s">
        <v>992</v>
      </c>
      <c r="C1896" t="s">
        <v>40</v>
      </c>
      <c r="D1896" s="5">
        <v>32517</v>
      </c>
      <c r="E1896" s="5">
        <v>45455</v>
      </c>
      <c r="F1896" s="5">
        <v>45470</v>
      </c>
      <c r="G1896" t="s">
        <v>161</v>
      </c>
      <c r="H1896" t="s">
        <v>32</v>
      </c>
      <c r="I1896" t="s">
        <v>79</v>
      </c>
      <c r="J1896" t="s">
        <v>71</v>
      </c>
      <c r="K1896" t="s">
        <v>55</v>
      </c>
      <c r="L1896" s="6">
        <v>55670.400000000001</v>
      </c>
      <c r="M1896">
        <v>40271.300000000003</v>
      </c>
      <c r="N1896" t="s">
        <v>35</v>
      </c>
      <c r="O1896">
        <v>15</v>
      </c>
      <c r="P1896">
        <v>93</v>
      </c>
      <c r="Q1896">
        <v>4</v>
      </c>
      <c r="R1896">
        <v>165</v>
      </c>
      <c r="S1896">
        <v>126.9</v>
      </c>
      <c r="T1896" t="s">
        <v>4237</v>
      </c>
      <c r="U1896" s="7">
        <f t="shared" si="117"/>
        <v>35</v>
      </c>
      <c r="V1896" s="7">
        <f t="shared" si="118"/>
        <v>15</v>
      </c>
      <c r="W1896" s="6">
        <f t="shared" si="116"/>
        <v>15399.099999999999</v>
      </c>
      <c r="X1896" t="str">
        <f t="shared" si="119"/>
        <v>Adult</v>
      </c>
    </row>
    <row r="1897" spans="1:24">
      <c r="A1897" t="s">
        <v>3981</v>
      </c>
      <c r="B1897" t="s">
        <v>553</v>
      </c>
      <c r="C1897" t="s">
        <v>40</v>
      </c>
      <c r="D1897" s="5">
        <v>21112</v>
      </c>
      <c r="E1897" s="5">
        <v>45682</v>
      </c>
      <c r="F1897" s="5">
        <v>45693</v>
      </c>
      <c r="G1897" t="s">
        <v>94</v>
      </c>
      <c r="H1897" t="s">
        <v>95</v>
      </c>
      <c r="I1897" t="s">
        <v>33</v>
      </c>
      <c r="J1897" t="s">
        <v>34</v>
      </c>
      <c r="K1897" t="s">
        <v>55</v>
      </c>
      <c r="L1897" s="6">
        <v>81238.27</v>
      </c>
      <c r="M1897">
        <v>68908.740000000005</v>
      </c>
      <c r="N1897" t="s">
        <v>4237</v>
      </c>
      <c r="O1897">
        <v>11</v>
      </c>
      <c r="P1897">
        <v>188</v>
      </c>
      <c r="Q1897">
        <v>4</v>
      </c>
      <c r="R1897">
        <v>190</v>
      </c>
      <c r="S1897">
        <v>163.5</v>
      </c>
      <c r="T1897" t="s">
        <v>65</v>
      </c>
      <c r="U1897" s="7">
        <f t="shared" si="117"/>
        <v>67</v>
      </c>
      <c r="V1897" s="7">
        <f t="shared" si="118"/>
        <v>11</v>
      </c>
      <c r="W1897" s="6">
        <f t="shared" si="116"/>
        <v>12329.529999999999</v>
      </c>
      <c r="X1897" t="str">
        <f t="shared" si="119"/>
        <v>Senior</v>
      </c>
    </row>
    <row r="1898" spans="1:24">
      <c r="A1898" t="s">
        <v>3983</v>
      </c>
      <c r="B1898" t="s">
        <v>611</v>
      </c>
      <c r="C1898" t="s">
        <v>40</v>
      </c>
      <c r="D1898" s="5">
        <v>24408</v>
      </c>
      <c r="E1898" s="5">
        <v>45511</v>
      </c>
      <c r="F1898" s="5">
        <v>45529</v>
      </c>
      <c r="G1898" t="s">
        <v>62</v>
      </c>
      <c r="H1898" t="s">
        <v>44</v>
      </c>
      <c r="I1898" t="s">
        <v>96</v>
      </c>
      <c r="J1898" t="s">
        <v>64</v>
      </c>
      <c r="K1898" t="s">
        <v>55</v>
      </c>
      <c r="L1898" s="6">
        <v>241733.98</v>
      </c>
      <c r="M1898">
        <v>168824.13</v>
      </c>
      <c r="N1898" t="s">
        <v>91</v>
      </c>
      <c r="O1898">
        <v>18</v>
      </c>
      <c r="P1898">
        <v>49</v>
      </c>
      <c r="Q1898">
        <v>4</v>
      </c>
      <c r="R1898">
        <v>186</v>
      </c>
      <c r="S1898">
        <v>163.5</v>
      </c>
      <c r="T1898" t="s">
        <v>4237</v>
      </c>
      <c r="U1898" s="7">
        <f t="shared" si="117"/>
        <v>57</v>
      </c>
      <c r="V1898" s="7">
        <f t="shared" si="118"/>
        <v>18</v>
      </c>
      <c r="W1898" s="6">
        <f t="shared" si="116"/>
        <v>72909.850000000006</v>
      </c>
      <c r="X1898" t="str">
        <f t="shared" si="119"/>
        <v>Middle Age</v>
      </c>
    </row>
    <row r="1899" spans="1:24">
      <c r="A1899" t="s">
        <v>3984</v>
      </c>
      <c r="B1899" t="s">
        <v>3015</v>
      </c>
      <c r="C1899" t="s">
        <v>133</v>
      </c>
      <c r="D1899" s="5">
        <v>32403</v>
      </c>
      <c r="E1899" s="5">
        <v>45300</v>
      </c>
      <c r="F1899" s="5">
        <v>45306</v>
      </c>
      <c r="G1899" t="s">
        <v>117</v>
      </c>
      <c r="H1899" t="s">
        <v>153</v>
      </c>
      <c r="I1899" t="s">
        <v>53</v>
      </c>
      <c r="J1899" t="s">
        <v>46</v>
      </c>
      <c r="K1899" t="s">
        <v>161</v>
      </c>
      <c r="L1899" s="6">
        <v>46291.66</v>
      </c>
      <c r="M1899">
        <v>32458.49</v>
      </c>
      <c r="N1899" t="s">
        <v>73</v>
      </c>
      <c r="O1899">
        <v>6</v>
      </c>
      <c r="P1899">
        <v>185</v>
      </c>
      <c r="Q1899">
        <v>5</v>
      </c>
      <c r="R1899">
        <v>141</v>
      </c>
      <c r="S1899">
        <v>97.4</v>
      </c>
      <c r="T1899" t="s">
        <v>4237</v>
      </c>
      <c r="U1899" s="7">
        <f t="shared" si="117"/>
        <v>35</v>
      </c>
      <c r="V1899" s="7">
        <f t="shared" si="118"/>
        <v>6</v>
      </c>
      <c r="W1899" s="6">
        <f t="shared" si="116"/>
        <v>13833.170000000002</v>
      </c>
      <c r="X1899" t="str">
        <f t="shared" si="119"/>
        <v>Adult</v>
      </c>
    </row>
    <row r="1900" spans="1:24">
      <c r="A1900" t="s">
        <v>3987</v>
      </c>
      <c r="B1900" t="s">
        <v>1426</v>
      </c>
      <c r="C1900" t="s">
        <v>133</v>
      </c>
      <c r="D1900" s="5">
        <v>18573</v>
      </c>
      <c r="E1900" s="5">
        <v>45273</v>
      </c>
      <c r="F1900" s="5">
        <v>45289</v>
      </c>
      <c r="G1900" t="s">
        <v>94</v>
      </c>
      <c r="H1900" t="s">
        <v>124</v>
      </c>
      <c r="I1900" t="s">
        <v>119</v>
      </c>
      <c r="J1900" t="s">
        <v>34</v>
      </c>
      <c r="K1900" t="s">
        <v>27</v>
      </c>
      <c r="L1900" s="6">
        <v>144113.54999999999</v>
      </c>
      <c r="M1900">
        <v>123019.24</v>
      </c>
      <c r="N1900" t="s">
        <v>56</v>
      </c>
      <c r="O1900">
        <v>16</v>
      </c>
      <c r="P1900">
        <v>235</v>
      </c>
      <c r="Q1900">
        <v>4</v>
      </c>
      <c r="R1900">
        <v>121</v>
      </c>
      <c r="S1900">
        <v>133.30000000000001</v>
      </c>
      <c r="T1900" t="s">
        <v>37</v>
      </c>
      <c r="U1900" s="7">
        <f t="shared" si="117"/>
        <v>73</v>
      </c>
      <c r="V1900" s="7">
        <f t="shared" si="118"/>
        <v>16</v>
      </c>
      <c r="W1900" s="6">
        <f t="shared" si="116"/>
        <v>21094.309999999983</v>
      </c>
      <c r="X1900" t="str">
        <f t="shared" si="119"/>
        <v>Senior</v>
      </c>
    </row>
    <row r="1901" spans="1:24">
      <c r="A1901" t="s">
        <v>3988</v>
      </c>
      <c r="B1901" t="s">
        <v>304</v>
      </c>
      <c r="C1901" t="s">
        <v>40</v>
      </c>
      <c r="D1901" s="5">
        <v>36407</v>
      </c>
      <c r="E1901" s="5">
        <v>45931</v>
      </c>
      <c r="F1901" s="5">
        <v>45935</v>
      </c>
      <c r="G1901" t="s">
        <v>152</v>
      </c>
      <c r="H1901" t="s">
        <v>134</v>
      </c>
      <c r="I1901" t="s">
        <v>119</v>
      </c>
      <c r="J1901" t="s">
        <v>97</v>
      </c>
      <c r="K1901" t="s">
        <v>55</v>
      </c>
      <c r="L1901" s="6">
        <v>75187.350000000006</v>
      </c>
      <c r="M1901">
        <v>64050.25</v>
      </c>
      <c r="N1901" t="s">
        <v>192</v>
      </c>
      <c r="O1901">
        <v>4</v>
      </c>
      <c r="P1901">
        <v>233</v>
      </c>
      <c r="Q1901">
        <v>4</v>
      </c>
      <c r="R1901">
        <v>164</v>
      </c>
      <c r="S1901">
        <v>140.1</v>
      </c>
      <c r="T1901" t="s">
        <v>37</v>
      </c>
      <c r="U1901" s="7">
        <f t="shared" si="117"/>
        <v>26</v>
      </c>
      <c r="V1901" s="7">
        <f t="shared" si="118"/>
        <v>4</v>
      </c>
      <c r="W1901" s="6">
        <f t="shared" si="116"/>
        <v>11137.100000000006</v>
      </c>
      <c r="X1901" t="str">
        <f t="shared" si="119"/>
        <v>Adult</v>
      </c>
    </row>
    <row r="1902" spans="1:24">
      <c r="A1902" t="s">
        <v>3990</v>
      </c>
      <c r="B1902" t="s">
        <v>132</v>
      </c>
      <c r="C1902" t="s">
        <v>40</v>
      </c>
      <c r="D1902" s="5">
        <v>34934</v>
      </c>
      <c r="E1902" s="5" t="s">
        <v>4237</v>
      </c>
      <c r="F1902" s="5">
        <v>45529</v>
      </c>
      <c r="G1902" t="s">
        <v>161</v>
      </c>
      <c r="H1902" t="s">
        <v>78</v>
      </c>
      <c r="I1902" t="s">
        <v>33</v>
      </c>
      <c r="J1902" t="s">
        <v>26</v>
      </c>
      <c r="K1902" t="s">
        <v>27</v>
      </c>
      <c r="L1902" s="6">
        <v>94886.89</v>
      </c>
      <c r="M1902">
        <v>82786.59</v>
      </c>
      <c r="N1902" t="s">
        <v>35</v>
      </c>
      <c r="O1902">
        <v>9</v>
      </c>
      <c r="P1902">
        <v>65</v>
      </c>
      <c r="Q1902">
        <v>4</v>
      </c>
      <c r="R1902">
        <v>127</v>
      </c>
      <c r="S1902">
        <v>228.2</v>
      </c>
      <c r="T1902" t="s">
        <v>37</v>
      </c>
      <c r="U1902" s="7" t="s">
        <v>4237</v>
      </c>
      <c r="V1902" s="7" t="s">
        <v>4237</v>
      </c>
      <c r="W1902" s="6">
        <f t="shared" si="116"/>
        <v>12100.300000000003</v>
      </c>
      <c r="X1902" t="s">
        <v>4237</v>
      </c>
    </row>
    <row r="1903" spans="1:24">
      <c r="A1903" t="s">
        <v>3992</v>
      </c>
      <c r="B1903" t="s">
        <v>59</v>
      </c>
      <c r="C1903" t="s">
        <v>40</v>
      </c>
      <c r="D1903" s="5">
        <v>24585</v>
      </c>
      <c r="E1903" s="5">
        <v>45204</v>
      </c>
      <c r="F1903" s="5">
        <v>45219</v>
      </c>
      <c r="G1903" t="s">
        <v>152</v>
      </c>
      <c r="H1903" t="s">
        <v>134</v>
      </c>
      <c r="I1903" t="s">
        <v>33</v>
      </c>
      <c r="J1903" t="s">
        <v>26</v>
      </c>
      <c r="K1903" t="s">
        <v>55</v>
      </c>
      <c r="L1903" s="6">
        <v>85464.57</v>
      </c>
      <c r="M1903">
        <v>69602.259999999995</v>
      </c>
      <c r="N1903" t="s">
        <v>73</v>
      </c>
      <c r="O1903">
        <v>15</v>
      </c>
      <c r="P1903">
        <v>212</v>
      </c>
      <c r="Q1903">
        <v>5</v>
      </c>
      <c r="R1903">
        <v>176</v>
      </c>
      <c r="S1903">
        <v>188</v>
      </c>
      <c r="T1903" t="s">
        <v>37</v>
      </c>
      <c r="U1903" s="7">
        <f t="shared" si="117"/>
        <v>56</v>
      </c>
      <c r="V1903" s="7">
        <f t="shared" si="118"/>
        <v>15</v>
      </c>
      <c r="W1903" s="6">
        <f t="shared" si="116"/>
        <v>15862.310000000012</v>
      </c>
      <c r="X1903" t="str">
        <f t="shared" si="119"/>
        <v>Middle Age</v>
      </c>
    </row>
    <row r="1904" spans="1:24">
      <c r="A1904" t="s">
        <v>4221</v>
      </c>
      <c r="B1904" t="s">
        <v>1391</v>
      </c>
      <c r="C1904" t="s">
        <v>40</v>
      </c>
      <c r="D1904" s="5">
        <v>22749</v>
      </c>
      <c r="E1904" s="5">
        <v>45383</v>
      </c>
      <c r="F1904" s="5">
        <v>45395</v>
      </c>
      <c r="G1904" t="s">
        <v>161</v>
      </c>
      <c r="H1904" t="s">
        <v>113</v>
      </c>
      <c r="I1904" t="s">
        <v>33</v>
      </c>
      <c r="J1904" t="s">
        <v>97</v>
      </c>
      <c r="K1904" t="s">
        <v>55</v>
      </c>
      <c r="L1904" s="6">
        <v>52493.81</v>
      </c>
      <c r="M1904">
        <v>51827.12</v>
      </c>
      <c r="N1904" t="s">
        <v>192</v>
      </c>
      <c r="O1904">
        <v>12</v>
      </c>
      <c r="P1904">
        <v>197</v>
      </c>
      <c r="Q1904">
        <v>2</v>
      </c>
      <c r="R1904">
        <v>137</v>
      </c>
      <c r="S1904">
        <v>130.9</v>
      </c>
      <c r="T1904" t="s">
        <v>4237</v>
      </c>
      <c r="U1904" s="7">
        <f t="shared" si="117"/>
        <v>61</v>
      </c>
      <c r="V1904" s="7">
        <f t="shared" si="118"/>
        <v>12</v>
      </c>
      <c r="W1904" s="6">
        <f t="shared" si="116"/>
        <v>666.68999999999505</v>
      </c>
      <c r="X1904" t="str">
        <f t="shared" si="119"/>
        <v>Senior</v>
      </c>
    </row>
    <row r="1905" spans="1:24">
      <c r="A1905" t="s">
        <v>3995</v>
      </c>
      <c r="B1905" t="s">
        <v>762</v>
      </c>
      <c r="C1905" t="s">
        <v>40</v>
      </c>
      <c r="D1905" s="5">
        <v>21171</v>
      </c>
      <c r="E1905" s="5">
        <v>45951</v>
      </c>
      <c r="F1905" s="5">
        <v>45962</v>
      </c>
      <c r="G1905" t="s">
        <v>117</v>
      </c>
      <c r="H1905" t="s">
        <v>153</v>
      </c>
      <c r="I1905" t="s">
        <v>33</v>
      </c>
      <c r="J1905" t="s">
        <v>64</v>
      </c>
      <c r="K1905" t="s">
        <v>55</v>
      </c>
      <c r="L1905" s="6">
        <v>39116.78</v>
      </c>
      <c r="M1905">
        <v>27128.84</v>
      </c>
      <c r="N1905" t="s">
        <v>192</v>
      </c>
      <c r="O1905">
        <v>11</v>
      </c>
      <c r="P1905">
        <v>121</v>
      </c>
      <c r="Q1905">
        <v>5</v>
      </c>
      <c r="R1905">
        <v>141</v>
      </c>
      <c r="S1905">
        <v>160.4</v>
      </c>
      <c r="T1905" t="s">
        <v>47</v>
      </c>
      <c r="U1905" s="7">
        <f t="shared" si="117"/>
        <v>67</v>
      </c>
      <c r="V1905" s="7">
        <f t="shared" si="118"/>
        <v>11</v>
      </c>
      <c r="W1905" s="6">
        <f t="shared" si="116"/>
        <v>11987.939999999999</v>
      </c>
      <c r="X1905" t="str">
        <f t="shared" si="119"/>
        <v>Senior</v>
      </c>
    </row>
    <row r="1906" spans="1:24">
      <c r="A1906" t="s">
        <v>3997</v>
      </c>
      <c r="B1906" t="s">
        <v>155</v>
      </c>
      <c r="C1906" t="s">
        <v>40</v>
      </c>
      <c r="D1906" s="5">
        <v>19417</v>
      </c>
      <c r="E1906" s="5">
        <v>45147</v>
      </c>
      <c r="F1906" s="5">
        <v>45148</v>
      </c>
      <c r="G1906" t="s">
        <v>94</v>
      </c>
      <c r="H1906" t="s">
        <v>95</v>
      </c>
      <c r="I1906" t="s">
        <v>53</v>
      </c>
      <c r="J1906" t="s">
        <v>97</v>
      </c>
      <c r="K1906" t="s">
        <v>120</v>
      </c>
      <c r="L1906" s="6">
        <v>70241.47</v>
      </c>
      <c r="M1906">
        <v>54125.33</v>
      </c>
      <c r="N1906" t="s">
        <v>73</v>
      </c>
      <c r="O1906">
        <v>1</v>
      </c>
      <c r="P1906">
        <v>103</v>
      </c>
      <c r="Q1906">
        <v>5</v>
      </c>
      <c r="R1906">
        <v>188</v>
      </c>
      <c r="S1906">
        <v>120.4</v>
      </c>
      <c r="T1906" t="s">
        <v>37</v>
      </c>
      <c r="U1906" s="7">
        <f t="shared" si="117"/>
        <v>70</v>
      </c>
      <c r="V1906" s="7">
        <f t="shared" si="118"/>
        <v>1</v>
      </c>
      <c r="W1906" s="6">
        <f t="shared" si="116"/>
        <v>16116.14</v>
      </c>
      <c r="X1906" t="str">
        <f t="shared" si="119"/>
        <v>Senior</v>
      </c>
    </row>
    <row r="1907" spans="1:24">
      <c r="A1907" t="s">
        <v>3999</v>
      </c>
      <c r="B1907" t="s">
        <v>234</v>
      </c>
      <c r="C1907" t="s">
        <v>40</v>
      </c>
      <c r="D1907" s="5">
        <v>26447</v>
      </c>
      <c r="E1907" s="5">
        <v>45415</v>
      </c>
      <c r="F1907" s="5">
        <v>45428</v>
      </c>
      <c r="G1907" t="s">
        <v>94</v>
      </c>
      <c r="H1907" t="s">
        <v>24</v>
      </c>
      <c r="I1907" t="s">
        <v>45</v>
      </c>
      <c r="J1907" t="s">
        <v>71</v>
      </c>
      <c r="K1907" t="s">
        <v>55</v>
      </c>
      <c r="L1907" s="6">
        <v>93378.4</v>
      </c>
      <c r="M1907">
        <v>61669.37</v>
      </c>
      <c r="N1907" t="s">
        <v>56</v>
      </c>
      <c r="O1907">
        <v>13</v>
      </c>
      <c r="P1907">
        <v>157</v>
      </c>
      <c r="Q1907">
        <v>4</v>
      </c>
      <c r="R1907">
        <v>93</v>
      </c>
      <c r="S1907">
        <v>255.2</v>
      </c>
      <c r="T1907" t="s">
        <v>65</v>
      </c>
      <c r="U1907" s="7">
        <f t="shared" si="117"/>
        <v>51</v>
      </c>
      <c r="V1907" s="7">
        <f t="shared" si="118"/>
        <v>13</v>
      </c>
      <c r="W1907" s="6">
        <f t="shared" si="116"/>
        <v>31709.029999999992</v>
      </c>
      <c r="X1907" t="str">
        <f t="shared" si="119"/>
        <v>Middle Age</v>
      </c>
    </row>
    <row r="1908" spans="1:24">
      <c r="A1908" t="s">
        <v>4000</v>
      </c>
      <c r="B1908" t="s">
        <v>1206</v>
      </c>
      <c r="C1908" t="s">
        <v>40</v>
      </c>
      <c r="D1908" s="5">
        <v>20286</v>
      </c>
      <c r="E1908" s="5">
        <v>45271</v>
      </c>
      <c r="F1908" s="5">
        <v>45284</v>
      </c>
      <c r="G1908" t="s">
        <v>109</v>
      </c>
      <c r="H1908" t="s">
        <v>24</v>
      </c>
      <c r="I1908" t="s">
        <v>45</v>
      </c>
      <c r="J1908" t="s">
        <v>179</v>
      </c>
      <c r="K1908" t="s">
        <v>120</v>
      </c>
      <c r="L1908" s="6">
        <v>113121.47</v>
      </c>
      <c r="M1908">
        <v>90613.88</v>
      </c>
      <c r="N1908" t="s">
        <v>35</v>
      </c>
      <c r="O1908">
        <v>13</v>
      </c>
      <c r="P1908">
        <v>121</v>
      </c>
      <c r="Q1908">
        <v>1</v>
      </c>
      <c r="R1908">
        <v>173</v>
      </c>
      <c r="S1908">
        <v>249.8</v>
      </c>
      <c r="T1908" t="s">
        <v>65</v>
      </c>
      <c r="U1908" s="7">
        <f t="shared" si="117"/>
        <v>68</v>
      </c>
      <c r="V1908" s="7">
        <f t="shared" si="118"/>
        <v>13</v>
      </c>
      <c r="W1908" s="6">
        <f t="shared" si="116"/>
        <v>22507.589999999997</v>
      </c>
      <c r="X1908" t="str">
        <f t="shared" si="119"/>
        <v>Senior</v>
      </c>
    </row>
    <row r="1909" spans="1:24">
      <c r="A1909" t="s">
        <v>4002</v>
      </c>
      <c r="B1909" t="s">
        <v>895</v>
      </c>
      <c r="C1909" t="s">
        <v>133</v>
      </c>
      <c r="D1909" s="5">
        <v>30874</v>
      </c>
      <c r="E1909" s="5">
        <v>45367</v>
      </c>
      <c r="F1909" s="5">
        <v>45383</v>
      </c>
      <c r="G1909" t="s">
        <v>109</v>
      </c>
      <c r="H1909" t="s">
        <v>63</v>
      </c>
      <c r="I1909" t="s">
        <v>119</v>
      </c>
      <c r="J1909" t="s">
        <v>64</v>
      </c>
      <c r="K1909" t="s">
        <v>27</v>
      </c>
      <c r="L1909" s="6">
        <v>50935.62</v>
      </c>
      <c r="M1909">
        <v>36955.230000000003</v>
      </c>
      <c r="N1909" t="s">
        <v>56</v>
      </c>
      <c r="O1909">
        <v>16</v>
      </c>
      <c r="P1909">
        <v>98</v>
      </c>
      <c r="Q1909">
        <v>4</v>
      </c>
      <c r="R1909">
        <v>141</v>
      </c>
      <c r="S1909">
        <v>209.3</v>
      </c>
      <c r="T1909" t="s">
        <v>65</v>
      </c>
      <c r="U1909" s="7">
        <f t="shared" si="117"/>
        <v>39</v>
      </c>
      <c r="V1909" s="7">
        <f t="shared" si="118"/>
        <v>16</v>
      </c>
      <c r="W1909" s="6">
        <f t="shared" si="116"/>
        <v>13980.39</v>
      </c>
      <c r="X1909" t="str">
        <f t="shared" si="119"/>
        <v>Adult</v>
      </c>
    </row>
    <row r="1910" spans="1:24">
      <c r="A1910" t="s">
        <v>4004</v>
      </c>
      <c r="B1910" t="s">
        <v>472</v>
      </c>
      <c r="C1910" t="s">
        <v>133</v>
      </c>
      <c r="D1910" s="5">
        <v>35025</v>
      </c>
      <c r="E1910" s="5">
        <v>45415</v>
      </c>
      <c r="F1910" s="5" t="s">
        <v>4237</v>
      </c>
      <c r="G1910" t="s">
        <v>117</v>
      </c>
      <c r="H1910" t="s">
        <v>32</v>
      </c>
      <c r="I1910" t="s">
        <v>25</v>
      </c>
      <c r="J1910" t="s">
        <v>80</v>
      </c>
      <c r="K1910" t="s">
        <v>120</v>
      </c>
      <c r="L1910" s="6">
        <v>8162.39</v>
      </c>
      <c r="M1910">
        <v>6472.86</v>
      </c>
      <c r="N1910" t="s">
        <v>192</v>
      </c>
      <c r="O1910">
        <v>6</v>
      </c>
      <c r="P1910">
        <v>35</v>
      </c>
      <c r="Q1910">
        <v>4</v>
      </c>
      <c r="R1910">
        <v>184</v>
      </c>
      <c r="S1910">
        <v>150.5</v>
      </c>
      <c r="T1910" t="s">
        <v>47</v>
      </c>
      <c r="U1910" s="7">
        <f t="shared" si="117"/>
        <v>28</v>
      </c>
      <c r="V1910" s="7" t="s">
        <v>4237</v>
      </c>
      <c r="W1910" s="6">
        <f t="shared" si="116"/>
        <v>1689.5300000000007</v>
      </c>
      <c r="X1910" t="str">
        <f t="shared" si="119"/>
        <v>Adult</v>
      </c>
    </row>
    <row r="1911" spans="1:24">
      <c r="A1911" t="s">
        <v>4005</v>
      </c>
      <c r="B1911" t="s">
        <v>328</v>
      </c>
      <c r="C1911" t="s">
        <v>40</v>
      </c>
      <c r="D1911" s="5">
        <v>38035</v>
      </c>
      <c r="E1911" s="5">
        <v>44987</v>
      </c>
      <c r="F1911" s="5">
        <v>45002</v>
      </c>
      <c r="G1911" t="s">
        <v>109</v>
      </c>
      <c r="H1911" t="s">
        <v>44</v>
      </c>
      <c r="I1911" t="s">
        <v>96</v>
      </c>
      <c r="J1911" t="s">
        <v>97</v>
      </c>
      <c r="K1911" t="s">
        <v>120</v>
      </c>
      <c r="L1911" s="6">
        <v>67656.47</v>
      </c>
      <c r="M1911">
        <v>53374.17</v>
      </c>
      <c r="N1911" t="s">
        <v>192</v>
      </c>
      <c r="O1911">
        <v>15</v>
      </c>
      <c r="P1911">
        <v>184</v>
      </c>
      <c r="Q1911">
        <v>1</v>
      </c>
      <c r="R1911">
        <v>97</v>
      </c>
      <c r="S1911">
        <v>118.3</v>
      </c>
      <c r="T1911" t="s">
        <v>4237</v>
      </c>
      <c r="U1911" s="7">
        <f t="shared" si="117"/>
        <v>19</v>
      </c>
      <c r="V1911" s="7">
        <f t="shared" si="118"/>
        <v>15</v>
      </c>
      <c r="W1911" s="6">
        <f t="shared" si="116"/>
        <v>14282.300000000003</v>
      </c>
      <c r="X1911" t="str">
        <f t="shared" si="119"/>
        <v>Adult</v>
      </c>
    </row>
    <row r="1912" spans="1:24">
      <c r="A1912" t="s">
        <v>4006</v>
      </c>
      <c r="B1912" t="s">
        <v>458</v>
      </c>
      <c r="C1912" t="s">
        <v>40</v>
      </c>
      <c r="D1912" s="5">
        <v>20375</v>
      </c>
      <c r="E1912" s="5">
        <v>45057</v>
      </c>
      <c r="F1912" s="5">
        <v>45066</v>
      </c>
      <c r="G1912" t="s">
        <v>117</v>
      </c>
      <c r="H1912" t="s">
        <v>24</v>
      </c>
      <c r="I1912" t="s">
        <v>33</v>
      </c>
      <c r="J1912" t="s">
        <v>71</v>
      </c>
      <c r="K1912" t="s">
        <v>110</v>
      </c>
      <c r="L1912" s="6">
        <v>9442.75</v>
      </c>
      <c r="M1912">
        <v>8388.44</v>
      </c>
      <c r="N1912" t="s">
        <v>192</v>
      </c>
      <c r="O1912">
        <v>9</v>
      </c>
      <c r="P1912">
        <v>90</v>
      </c>
      <c r="Q1912">
        <v>5</v>
      </c>
      <c r="R1912">
        <v>172</v>
      </c>
      <c r="S1912">
        <v>127.1</v>
      </c>
      <c r="T1912" t="s">
        <v>37</v>
      </c>
      <c r="U1912" s="7">
        <f t="shared" si="117"/>
        <v>67</v>
      </c>
      <c r="V1912" s="7">
        <f t="shared" si="118"/>
        <v>9</v>
      </c>
      <c r="W1912" s="6">
        <f t="shared" si="116"/>
        <v>1054.3099999999995</v>
      </c>
      <c r="X1912" t="str">
        <f t="shared" si="119"/>
        <v>Senior</v>
      </c>
    </row>
    <row r="1913" spans="1:24">
      <c r="A1913" t="s">
        <v>4009</v>
      </c>
      <c r="B1913" t="s">
        <v>295</v>
      </c>
      <c r="C1913" t="s">
        <v>40</v>
      </c>
      <c r="D1913" s="5">
        <v>39023</v>
      </c>
      <c r="E1913" s="5">
        <v>45863</v>
      </c>
      <c r="F1913" s="5">
        <v>45846</v>
      </c>
      <c r="G1913" t="s">
        <v>43</v>
      </c>
      <c r="H1913" t="s">
        <v>32</v>
      </c>
      <c r="I1913" t="s">
        <v>119</v>
      </c>
      <c r="J1913" t="s">
        <v>97</v>
      </c>
      <c r="K1913" t="s">
        <v>55</v>
      </c>
      <c r="L1913" s="6">
        <v>212095.37</v>
      </c>
      <c r="M1913">
        <v>142287.18</v>
      </c>
      <c r="N1913" t="s">
        <v>35</v>
      </c>
      <c r="O1913">
        <v>13</v>
      </c>
      <c r="P1913">
        <v>8</v>
      </c>
      <c r="Q1913">
        <v>4</v>
      </c>
      <c r="R1913">
        <v>103</v>
      </c>
      <c r="S1913">
        <v>229.2</v>
      </c>
      <c r="T1913" t="s">
        <v>65</v>
      </c>
      <c r="U1913" s="7">
        <f t="shared" si="117"/>
        <v>18</v>
      </c>
      <c r="V1913" s="7">
        <f t="shared" si="118"/>
        <v>-17</v>
      </c>
      <c r="W1913" s="6">
        <f t="shared" si="116"/>
        <v>69808.19</v>
      </c>
      <c r="X1913" t="str">
        <f t="shared" si="119"/>
        <v>Adult</v>
      </c>
    </row>
    <row r="1914" spans="1:24">
      <c r="A1914" t="s">
        <v>4011</v>
      </c>
      <c r="B1914" t="s">
        <v>572</v>
      </c>
      <c r="C1914" t="s">
        <v>133</v>
      </c>
      <c r="D1914" s="5">
        <v>23530</v>
      </c>
      <c r="E1914" s="5">
        <v>45790</v>
      </c>
      <c r="F1914" s="5" t="s">
        <v>4237</v>
      </c>
      <c r="G1914" t="s">
        <v>161</v>
      </c>
      <c r="H1914" t="s">
        <v>118</v>
      </c>
      <c r="I1914" t="s">
        <v>53</v>
      </c>
      <c r="J1914" t="s">
        <v>97</v>
      </c>
      <c r="K1914" t="s">
        <v>120</v>
      </c>
      <c r="L1914" s="6">
        <v>116231.4</v>
      </c>
      <c r="M1914">
        <v>91045.37</v>
      </c>
      <c r="N1914" t="s">
        <v>35</v>
      </c>
      <c r="O1914">
        <v>17</v>
      </c>
      <c r="P1914">
        <v>57</v>
      </c>
      <c r="Q1914">
        <v>4</v>
      </c>
      <c r="R1914">
        <v>135</v>
      </c>
      <c r="S1914">
        <v>104.2</v>
      </c>
      <c r="T1914" t="s">
        <v>37</v>
      </c>
      <c r="U1914" s="7">
        <f t="shared" si="117"/>
        <v>60</v>
      </c>
      <c r="V1914" s="7" t="s">
        <v>4237</v>
      </c>
      <c r="W1914" s="6">
        <f t="shared" si="116"/>
        <v>25186.03</v>
      </c>
      <c r="X1914" t="str">
        <f t="shared" si="119"/>
        <v>Senior</v>
      </c>
    </row>
    <row r="1915" spans="1:24">
      <c r="A1915" t="s">
        <v>4012</v>
      </c>
      <c r="B1915" t="s">
        <v>363</v>
      </c>
      <c r="C1915" t="s">
        <v>40</v>
      </c>
      <c r="D1915" s="5">
        <v>26263</v>
      </c>
      <c r="E1915" s="5">
        <v>45459</v>
      </c>
      <c r="F1915" s="5">
        <v>45464</v>
      </c>
      <c r="G1915" t="s">
        <v>161</v>
      </c>
      <c r="H1915" t="s">
        <v>24</v>
      </c>
      <c r="I1915" t="s">
        <v>33</v>
      </c>
      <c r="J1915" t="s">
        <v>64</v>
      </c>
      <c r="K1915" t="s">
        <v>110</v>
      </c>
      <c r="L1915" s="6">
        <v>34182.800000000003</v>
      </c>
      <c r="M1915">
        <v>30553.73</v>
      </c>
      <c r="N1915" t="s">
        <v>35</v>
      </c>
      <c r="O1915">
        <v>5</v>
      </c>
      <c r="P1915">
        <v>222</v>
      </c>
      <c r="Q1915">
        <v>3</v>
      </c>
      <c r="R1915">
        <v>172</v>
      </c>
      <c r="S1915">
        <v>189.3</v>
      </c>
      <c r="T1915" t="s">
        <v>37</v>
      </c>
      <c r="U1915" s="7">
        <f t="shared" si="117"/>
        <v>52</v>
      </c>
      <c r="V1915" s="7">
        <f t="shared" si="118"/>
        <v>5</v>
      </c>
      <c r="W1915" s="6">
        <f t="shared" si="116"/>
        <v>3629.0700000000033</v>
      </c>
      <c r="X1915" t="str">
        <f t="shared" si="119"/>
        <v>Middle Age</v>
      </c>
    </row>
    <row r="1916" spans="1:24">
      <c r="A1916" t="s">
        <v>4013</v>
      </c>
      <c r="B1916" t="s">
        <v>324</v>
      </c>
      <c r="C1916" t="s">
        <v>40</v>
      </c>
      <c r="D1916" s="5">
        <v>23471</v>
      </c>
      <c r="E1916" s="5">
        <v>45085</v>
      </c>
      <c r="F1916" s="5">
        <v>45096</v>
      </c>
      <c r="G1916" t="s">
        <v>161</v>
      </c>
      <c r="H1916" t="s">
        <v>95</v>
      </c>
      <c r="I1916" t="s">
        <v>45</v>
      </c>
      <c r="J1916" t="s">
        <v>46</v>
      </c>
      <c r="K1916" t="s">
        <v>161</v>
      </c>
      <c r="L1916" s="6">
        <v>212908.01</v>
      </c>
      <c r="M1916">
        <v>209773.33</v>
      </c>
      <c r="N1916" t="s">
        <v>73</v>
      </c>
      <c r="O1916">
        <v>11</v>
      </c>
      <c r="P1916">
        <v>194</v>
      </c>
      <c r="Q1916">
        <v>4</v>
      </c>
      <c r="R1916">
        <v>148</v>
      </c>
      <c r="S1916">
        <v>134.5</v>
      </c>
      <c r="T1916" t="s">
        <v>4237</v>
      </c>
      <c r="U1916" s="7">
        <f t="shared" si="117"/>
        <v>59</v>
      </c>
      <c r="V1916" s="7">
        <f t="shared" si="118"/>
        <v>11</v>
      </c>
      <c r="W1916" s="6">
        <f t="shared" si="116"/>
        <v>3134.6800000000221</v>
      </c>
      <c r="X1916" t="str">
        <f t="shared" si="119"/>
        <v>Middle Age</v>
      </c>
    </row>
    <row r="1917" spans="1:24">
      <c r="A1917" t="s">
        <v>4014</v>
      </c>
      <c r="B1917" t="s">
        <v>251</v>
      </c>
      <c r="C1917" t="s">
        <v>40</v>
      </c>
      <c r="D1917" s="5">
        <v>40436</v>
      </c>
      <c r="E1917" s="5">
        <v>45056</v>
      </c>
      <c r="F1917" s="5">
        <v>45069</v>
      </c>
      <c r="G1917" t="s">
        <v>152</v>
      </c>
      <c r="H1917" t="s">
        <v>118</v>
      </c>
      <c r="I1917" t="s">
        <v>45</v>
      </c>
      <c r="J1917" t="s">
        <v>179</v>
      </c>
      <c r="K1917" t="s">
        <v>55</v>
      </c>
      <c r="L1917" s="6">
        <v>53854.25</v>
      </c>
      <c r="M1917">
        <v>40298.86</v>
      </c>
      <c r="N1917" t="s">
        <v>35</v>
      </c>
      <c r="O1917">
        <v>13</v>
      </c>
      <c r="P1917">
        <v>116</v>
      </c>
      <c r="Q1917">
        <v>4</v>
      </c>
      <c r="R1917">
        <v>181</v>
      </c>
      <c r="S1917">
        <v>218.5</v>
      </c>
      <c r="T1917" t="s">
        <v>37</v>
      </c>
      <c r="U1917" s="7">
        <f t="shared" si="117"/>
        <v>12</v>
      </c>
      <c r="V1917" s="7">
        <f t="shared" si="118"/>
        <v>13</v>
      </c>
      <c r="W1917" s="6">
        <f t="shared" si="116"/>
        <v>13555.39</v>
      </c>
      <c r="X1917" t="str">
        <f t="shared" si="119"/>
        <v>Child</v>
      </c>
    </row>
    <row r="1918" spans="1:24">
      <c r="A1918" t="s">
        <v>4016</v>
      </c>
      <c r="B1918" t="s">
        <v>524</v>
      </c>
      <c r="C1918" t="s">
        <v>133</v>
      </c>
      <c r="D1918" s="5">
        <v>40333</v>
      </c>
      <c r="E1918" s="5">
        <v>45292</v>
      </c>
      <c r="F1918" s="5">
        <v>45413</v>
      </c>
      <c r="G1918" t="s">
        <v>94</v>
      </c>
      <c r="H1918" t="s">
        <v>153</v>
      </c>
      <c r="I1918" t="s">
        <v>45</v>
      </c>
      <c r="J1918" t="s">
        <v>71</v>
      </c>
      <c r="K1918" t="s">
        <v>120</v>
      </c>
      <c r="L1918" s="6">
        <v>6266.17</v>
      </c>
      <c r="M1918">
        <v>3852.93</v>
      </c>
      <c r="N1918" t="s">
        <v>73</v>
      </c>
      <c r="O1918">
        <v>4</v>
      </c>
      <c r="P1918">
        <v>152</v>
      </c>
      <c r="Q1918">
        <v>2</v>
      </c>
      <c r="R1918">
        <v>165</v>
      </c>
      <c r="S1918">
        <v>241.3</v>
      </c>
      <c r="T1918" t="s">
        <v>65</v>
      </c>
      <c r="U1918" s="7">
        <f t="shared" si="117"/>
        <v>13</v>
      </c>
      <c r="V1918" s="7">
        <f t="shared" si="118"/>
        <v>121</v>
      </c>
      <c r="W1918" s="6">
        <f t="shared" si="116"/>
        <v>2413.2400000000002</v>
      </c>
      <c r="X1918" t="str">
        <f t="shared" si="119"/>
        <v>Child</v>
      </c>
    </row>
    <row r="1919" spans="1:24">
      <c r="A1919" t="s">
        <v>4018</v>
      </c>
      <c r="B1919" t="s">
        <v>511</v>
      </c>
      <c r="C1919" t="s">
        <v>40</v>
      </c>
      <c r="D1919" s="5">
        <v>35491</v>
      </c>
      <c r="E1919" s="5">
        <v>45394</v>
      </c>
      <c r="F1919" s="5">
        <v>45404</v>
      </c>
      <c r="G1919" t="s">
        <v>161</v>
      </c>
      <c r="H1919" t="s">
        <v>32</v>
      </c>
      <c r="I1919" t="s">
        <v>96</v>
      </c>
      <c r="J1919" t="s">
        <v>26</v>
      </c>
      <c r="K1919" t="s">
        <v>110</v>
      </c>
      <c r="L1919" s="6">
        <v>158935.01999999999</v>
      </c>
      <c r="M1919">
        <v>121128.16</v>
      </c>
      <c r="N1919" t="s">
        <v>192</v>
      </c>
      <c r="O1919">
        <v>10</v>
      </c>
      <c r="P1919">
        <v>93</v>
      </c>
      <c r="Q1919">
        <v>3</v>
      </c>
      <c r="R1919">
        <v>116</v>
      </c>
      <c r="S1919">
        <v>258.89999999999998</v>
      </c>
      <c r="T1919" t="s">
        <v>37</v>
      </c>
      <c r="U1919" s="7">
        <f t="shared" si="117"/>
        <v>27</v>
      </c>
      <c r="V1919" s="7">
        <f t="shared" si="118"/>
        <v>10</v>
      </c>
      <c r="W1919" s="6">
        <f t="shared" si="116"/>
        <v>37806.859999999986</v>
      </c>
      <c r="X1919" t="str">
        <f t="shared" si="119"/>
        <v>Adult</v>
      </c>
    </row>
    <row r="1920" spans="1:24">
      <c r="A1920" t="s">
        <v>4021</v>
      </c>
      <c r="B1920" t="s">
        <v>932</v>
      </c>
      <c r="C1920" t="s">
        <v>40</v>
      </c>
      <c r="D1920" s="5">
        <v>39504</v>
      </c>
      <c r="E1920" s="5">
        <v>45851</v>
      </c>
      <c r="F1920" s="5">
        <v>45857</v>
      </c>
      <c r="G1920" t="s">
        <v>161</v>
      </c>
      <c r="H1920" t="s">
        <v>52</v>
      </c>
      <c r="I1920" t="s">
        <v>119</v>
      </c>
      <c r="J1920" t="s">
        <v>97</v>
      </c>
      <c r="K1920" t="s">
        <v>55</v>
      </c>
      <c r="L1920" s="6">
        <v>239746.55</v>
      </c>
      <c r="M1920">
        <v>161506.89000000001</v>
      </c>
      <c r="N1920" t="s">
        <v>91</v>
      </c>
      <c r="O1920">
        <v>6</v>
      </c>
      <c r="P1920">
        <v>197</v>
      </c>
      <c r="Q1920">
        <v>1</v>
      </c>
      <c r="R1920">
        <v>168</v>
      </c>
      <c r="S1920">
        <v>246.9</v>
      </c>
      <c r="T1920" t="s">
        <v>37</v>
      </c>
      <c r="U1920" s="7">
        <f t="shared" si="117"/>
        <v>17</v>
      </c>
      <c r="V1920" s="7">
        <f t="shared" si="118"/>
        <v>6</v>
      </c>
      <c r="W1920" s="6">
        <f t="shared" si="116"/>
        <v>78239.659999999974</v>
      </c>
      <c r="X1920" t="str">
        <f t="shared" si="119"/>
        <v>Child</v>
      </c>
    </row>
    <row r="1921" spans="1:24">
      <c r="A1921" t="s">
        <v>4022</v>
      </c>
      <c r="B1921" t="s">
        <v>556</v>
      </c>
      <c r="C1921" t="s">
        <v>133</v>
      </c>
      <c r="D1921" s="5">
        <v>19744</v>
      </c>
      <c r="E1921" s="5">
        <v>45161</v>
      </c>
      <c r="F1921" s="5">
        <v>45162</v>
      </c>
      <c r="G1921" t="s">
        <v>94</v>
      </c>
      <c r="H1921" t="s">
        <v>44</v>
      </c>
      <c r="I1921" t="s">
        <v>79</v>
      </c>
      <c r="J1921" t="s">
        <v>179</v>
      </c>
      <c r="K1921" t="s">
        <v>55</v>
      </c>
      <c r="L1921" s="6">
        <v>14392.53</v>
      </c>
      <c r="M1921">
        <v>10877.61</v>
      </c>
      <c r="N1921" t="s">
        <v>192</v>
      </c>
      <c r="O1921">
        <v>1</v>
      </c>
      <c r="P1921">
        <v>16</v>
      </c>
      <c r="Q1921">
        <v>5</v>
      </c>
      <c r="R1921">
        <v>164</v>
      </c>
      <c r="S1921">
        <v>134.69999999999999</v>
      </c>
      <c r="T1921" t="s">
        <v>37</v>
      </c>
      <c r="U1921" s="7">
        <f t="shared" si="117"/>
        <v>69</v>
      </c>
      <c r="V1921" s="7">
        <f t="shared" si="118"/>
        <v>1</v>
      </c>
      <c r="W1921" s="6">
        <f t="shared" si="116"/>
        <v>3514.92</v>
      </c>
      <c r="X1921" t="str">
        <f t="shared" si="119"/>
        <v>Senior</v>
      </c>
    </row>
    <row r="1922" spans="1:24">
      <c r="A1922" t="s">
        <v>4024</v>
      </c>
      <c r="B1922" t="s">
        <v>76</v>
      </c>
      <c r="C1922" t="s">
        <v>40</v>
      </c>
      <c r="D1922" s="5">
        <v>39165</v>
      </c>
      <c r="E1922" s="5">
        <v>44943</v>
      </c>
      <c r="F1922" s="5">
        <v>44949</v>
      </c>
      <c r="G1922" t="s">
        <v>94</v>
      </c>
      <c r="H1922" t="s">
        <v>124</v>
      </c>
      <c r="I1922" t="s">
        <v>96</v>
      </c>
      <c r="J1922" t="s">
        <v>71</v>
      </c>
      <c r="K1922" t="s">
        <v>120</v>
      </c>
      <c r="L1922" s="6">
        <v>133379.16</v>
      </c>
      <c r="M1922">
        <v>115247.07</v>
      </c>
      <c r="N1922" t="s">
        <v>192</v>
      </c>
      <c r="O1922">
        <v>6</v>
      </c>
      <c r="P1922">
        <v>10</v>
      </c>
      <c r="Q1922">
        <v>4</v>
      </c>
      <c r="R1922">
        <v>188</v>
      </c>
      <c r="S1922">
        <v>259.5</v>
      </c>
      <c r="T1922" t="s">
        <v>37</v>
      </c>
      <c r="U1922" s="7">
        <f t="shared" ref="U1922:U1985" si="120">DATEDIF(D1922,E1922,"Y")</f>
        <v>15</v>
      </c>
      <c r="V1922" s="7">
        <f t="shared" ref="V1922:V1985" si="121">IF(OR(E1922=" ",F1922=" ",E1922="Unknown",F1922="Unknown")," ",F1922-E1922)</f>
        <v>6</v>
      </c>
      <c r="W1922" s="6">
        <f t="shared" ref="W1922:W1985" si="122">L1922-M1922</f>
        <v>18132.089999999997</v>
      </c>
      <c r="X1922" t="str">
        <f t="shared" ref="X1922:X1985" si="123">IF(OR(U1922="",U1922="Unknown"),"",IF(U1922&lt;18,"Child",IF(U1922&lt;40,"Adult",IF(U1922&lt;60,"Middle Age","Senior"))))</f>
        <v>Child</v>
      </c>
    </row>
    <row r="1923" spans="1:24">
      <c r="A1923" t="s">
        <v>4222</v>
      </c>
      <c r="B1923" t="s">
        <v>527</v>
      </c>
      <c r="C1923" t="s">
        <v>40</v>
      </c>
      <c r="D1923" s="5">
        <v>22245</v>
      </c>
      <c r="E1923" s="5">
        <v>45532</v>
      </c>
      <c r="F1923" s="5">
        <v>45543</v>
      </c>
      <c r="G1923" t="s">
        <v>109</v>
      </c>
      <c r="H1923" t="s">
        <v>32</v>
      </c>
      <c r="I1923" t="s">
        <v>96</v>
      </c>
      <c r="J1923" t="s">
        <v>64</v>
      </c>
      <c r="K1923" t="s">
        <v>120</v>
      </c>
      <c r="L1923" s="6">
        <v>176590.03</v>
      </c>
      <c r="M1923">
        <v>173895.3</v>
      </c>
      <c r="N1923" t="s">
        <v>4237</v>
      </c>
      <c r="O1923">
        <v>11</v>
      </c>
      <c r="P1923">
        <v>108</v>
      </c>
      <c r="Q1923">
        <v>1</v>
      </c>
      <c r="R1923">
        <v>183</v>
      </c>
      <c r="S1923">
        <v>166.8</v>
      </c>
      <c r="T1923" t="s">
        <v>4237</v>
      </c>
      <c r="U1923" s="7">
        <f t="shared" si="120"/>
        <v>63</v>
      </c>
      <c r="V1923" s="7">
        <f t="shared" si="121"/>
        <v>11</v>
      </c>
      <c r="W1923" s="6">
        <f t="shared" si="122"/>
        <v>2694.7300000000105</v>
      </c>
      <c r="X1923" t="str">
        <f t="shared" si="123"/>
        <v>Senior</v>
      </c>
    </row>
    <row r="1924" spans="1:24">
      <c r="A1924" t="s">
        <v>4028</v>
      </c>
      <c r="B1924" t="s">
        <v>1464</v>
      </c>
      <c r="C1924" t="s">
        <v>133</v>
      </c>
      <c r="D1924" s="5">
        <v>30493</v>
      </c>
      <c r="E1924" s="5">
        <v>45736</v>
      </c>
      <c r="F1924" s="5">
        <v>45746</v>
      </c>
      <c r="G1924" t="s">
        <v>105</v>
      </c>
      <c r="H1924" t="s">
        <v>52</v>
      </c>
      <c r="I1924" t="s">
        <v>96</v>
      </c>
      <c r="J1924" t="s">
        <v>97</v>
      </c>
      <c r="K1924" t="s">
        <v>55</v>
      </c>
      <c r="L1924" s="6">
        <v>31718.2</v>
      </c>
      <c r="M1924">
        <v>26612.86</v>
      </c>
      <c r="N1924" t="s">
        <v>35</v>
      </c>
      <c r="O1924">
        <v>10</v>
      </c>
      <c r="P1924">
        <v>163</v>
      </c>
      <c r="Q1924">
        <v>2</v>
      </c>
      <c r="R1924">
        <v>122</v>
      </c>
      <c r="S1924">
        <v>95.2</v>
      </c>
      <c r="T1924" t="s">
        <v>4237</v>
      </c>
      <c r="U1924" s="7">
        <f t="shared" si="120"/>
        <v>41</v>
      </c>
      <c r="V1924" s="7">
        <f t="shared" si="121"/>
        <v>10</v>
      </c>
      <c r="W1924" s="6">
        <f t="shared" si="122"/>
        <v>5105.34</v>
      </c>
      <c r="X1924" t="str">
        <f t="shared" si="123"/>
        <v>Middle Age</v>
      </c>
    </row>
    <row r="1925" spans="1:24">
      <c r="A1925" t="s">
        <v>4029</v>
      </c>
      <c r="B1925" t="s">
        <v>624</v>
      </c>
      <c r="C1925" t="s">
        <v>40</v>
      </c>
      <c r="D1925" s="5">
        <v>26459</v>
      </c>
      <c r="E1925" s="5">
        <v>45678</v>
      </c>
      <c r="F1925" s="5">
        <v>45683</v>
      </c>
      <c r="G1925" t="s">
        <v>161</v>
      </c>
      <c r="H1925" t="s">
        <v>44</v>
      </c>
      <c r="I1925" t="s">
        <v>33</v>
      </c>
      <c r="J1925" t="s">
        <v>80</v>
      </c>
      <c r="K1925" t="s">
        <v>55</v>
      </c>
      <c r="L1925" s="6">
        <v>111768.91</v>
      </c>
      <c r="M1925">
        <v>105870.89</v>
      </c>
      <c r="N1925" t="s">
        <v>91</v>
      </c>
      <c r="O1925">
        <v>5</v>
      </c>
      <c r="P1925">
        <v>208</v>
      </c>
      <c r="Q1925">
        <v>4</v>
      </c>
      <c r="R1925">
        <v>146</v>
      </c>
      <c r="S1925">
        <v>191.3</v>
      </c>
      <c r="T1925" t="s">
        <v>4237</v>
      </c>
      <c r="U1925" s="7">
        <f t="shared" si="120"/>
        <v>52</v>
      </c>
      <c r="V1925" s="7">
        <f t="shared" si="121"/>
        <v>5</v>
      </c>
      <c r="W1925" s="6">
        <f t="shared" si="122"/>
        <v>5898.0200000000041</v>
      </c>
      <c r="X1925" t="str">
        <f t="shared" si="123"/>
        <v>Middle Age</v>
      </c>
    </row>
    <row r="1926" spans="1:24">
      <c r="A1926" t="s">
        <v>4030</v>
      </c>
      <c r="B1926" t="s">
        <v>673</v>
      </c>
      <c r="C1926" t="s">
        <v>40</v>
      </c>
      <c r="D1926" s="5">
        <v>26042</v>
      </c>
      <c r="E1926" s="5">
        <v>45164</v>
      </c>
      <c r="F1926" s="5">
        <v>45167</v>
      </c>
      <c r="G1926" t="s">
        <v>94</v>
      </c>
      <c r="H1926" t="s">
        <v>113</v>
      </c>
      <c r="I1926" t="s">
        <v>45</v>
      </c>
      <c r="J1926" t="s">
        <v>64</v>
      </c>
      <c r="K1926" t="s">
        <v>55</v>
      </c>
      <c r="L1926" s="6">
        <v>233325.06</v>
      </c>
      <c r="M1926">
        <v>98646.34</v>
      </c>
      <c r="N1926" t="s">
        <v>73</v>
      </c>
      <c r="O1926">
        <v>3</v>
      </c>
      <c r="P1926">
        <v>149</v>
      </c>
      <c r="Q1926">
        <v>2</v>
      </c>
      <c r="R1926">
        <v>155</v>
      </c>
      <c r="S1926">
        <v>229.7</v>
      </c>
      <c r="T1926" t="s">
        <v>47</v>
      </c>
      <c r="U1926" s="7">
        <f t="shared" si="120"/>
        <v>52</v>
      </c>
      <c r="V1926" s="7">
        <f t="shared" si="121"/>
        <v>3</v>
      </c>
      <c r="W1926" s="6">
        <f t="shared" si="122"/>
        <v>134678.72</v>
      </c>
      <c r="X1926" t="str">
        <f t="shared" si="123"/>
        <v>Middle Age</v>
      </c>
    </row>
    <row r="1927" spans="1:24">
      <c r="A1927" t="s">
        <v>4031</v>
      </c>
      <c r="B1927" t="s">
        <v>940</v>
      </c>
      <c r="C1927" t="s">
        <v>133</v>
      </c>
      <c r="D1927" s="5">
        <v>21414</v>
      </c>
      <c r="E1927" s="5">
        <v>45610</v>
      </c>
      <c r="F1927" s="5">
        <v>45623</v>
      </c>
      <c r="G1927" t="s">
        <v>152</v>
      </c>
      <c r="H1927" t="s">
        <v>134</v>
      </c>
      <c r="I1927" t="s">
        <v>53</v>
      </c>
      <c r="J1927" t="s">
        <v>26</v>
      </c>
      <c r="K1927" t="s">
        <v>161</v>
      </c>
      <c r="L1927" s="6">
        <v>118696.07</v>
      </c>
      <c r="M1927">
        <v>93431.89</v>
      </c>
      <c r="N1927" t="s">
        <v>73</v>
      </c>
      <c r="O1927">
        <v>13</v>
      </c>
      <c r="P1927">
        <v>46</v>
      </c>
      <c r="Q1927">
        <v>4</v>
      </c>
      <c r="R1927">
        <v>181</v>
      </c>
      <c r="S1927">
        <v>103.7</v>
      </c>
      <c r="T1927" t="s">
        <v>47</v>
      </c>
      <c r="U1927" s="7">
        <f t="shared" si="120"/>
        <v>66</v>
      </c>
      <c r="V1927" s="7">
        <f t="shared" si="121"/>
        <v>13</v>
      </c>
      <c r="W1927" s="6">
        <f t="shared" si="122"/>
        <v>25264.180000000008</v>
      </c>
      <c r="X1927" t="str">
        <f t="shared" si="123"/>
        <v>Senior</v>
      </c>
    </row>
    <row r="1928" spans="1:24">
      <c r="A1928" t="s">
        <v>4033</v>
      </c>
      <c r="B1928" t="s">
        <v>1167</v>
      </c>
      <c r="C1928" t="s">
        <v>133</v>
      </c>
      <c r="D1928" s="5">
        <v>24312</v>
      </c>
      <c r="E1928" s="5">
        <v>45362</v>
      </c>
      <c r="F1928" s="5">
        <v>45370</v>
      </c>
      <c r="G1928" t="s">
        <v>105</v>
      </c>
      <c r="H1928" t="s">
        <v>63</v>
      </c>
      <c r="I1928" t="s">
        <v>96</v>
      </c>
      <c r="J1928" t="s">
        <v>46</v>
      </c>
      <c r="K1928" t="s">
        <v>120</v>
      </c>
      <c r="L1928" s="6">
        <v>200429.27</v>
      </c>
      <c r="M1928">
        <v>147823.38</v>
      </c>
      <c r="N1928" t="s">
        <v>56</v>
      </c>
      <c r="O1928">
        <v>8</v>
      </c>
      <c r="P1928">
        <v>41</v>
      </c>
      <c r="Q1928">
        <v>3</v>
      </c>
      <c r="R1928">
        <v>99</v>
      </c>
      <c r="S1928">
        <v>242.4</v>
      </c>
      <c r="T1928" t="s">
        <v>4237</v>
      </c>
      <c r="U1928" s="7">
        <f t="shared" si="120"/>
        <v>57</v>
      </c>
      <c r="V1928" s="7">
        <f t="shared" si="121"/>
        <v>8</v>
      </c>
      <c r="W1928" s="6">
        <f t="shared" si="122"/>
        <v>52605.889999999985</v>
      </c>
      <c r="X1928" t="str">
        <f t="shared" si="123"/>
        <v>Middle Age</v>
      </c>
    </row>
    <row r="1929" spans="1:24">
      <c r="A1929" t="s">
        <v>4035</v>
      </c>
      <c r="B1929" t="s">
        <v>1044</v>
      </c>
      <c r="C1929" t="s">
        <v>133</v>
      </c>
      <c r="D1929" s="5">
        <v>33302</v>
      </c>
      <c r="E1929" s="5">
        <v>45008</v>
      </c>
      <c r="F1929" s="5">
        <v>45014</v>
      </c>
      <c r="G1929" t="s">
        <v>109</v>
      </c>
      <c r="H1929" t="s">
        <v>52</v>
      </c>
      <c r="I1929" t="s">
        <v>33</v>
      </c>
      <c r="J1929" t="s">
        <v>34</v>
      </c>
      <c r="K1929" t="s">
        <v>110</v>
      </c>
      <c r="L1929" s="6">
        <v>123663.9</v>
      </c>
      <c r="M1929">
        <v>98646.34</v>
      </c>
      <c r="N1929" t="s">
        <v>192</v>
      </c>
      <c r="O1929">
        <v>6</v>
      </c>
      <c r="P1929">
        <v>214</v>
      </c>
      <c r="Q1929">
        <v>4</v>
      </c>
      <c r="R1929">
        <v>157</v>
      </c>
      <c r="S1929">
        <v>108.3</v>
      </c>
      <c r="T1929" t="s">
        <v>37</v>
      </c>
      <c r="U1929" s="7">
        <f t="shared" si="120"/>
        <v>32</v>
      </c>
      <c r="V1929" s="7">
        <f t="shared" si="121"/>
        <v>6</v>
      </c>
      <c r="W1929" s="6">
        <f t="shared" si="122"/>
        <v>25017.559999999998</v>
      </c>
      <c r="X1929" t="str">
        <f t="shared" si="123"/>
        <v>Adult</v>
      </c>
    </row>
    <row r="1930" spans="1:24">
      <c r="A1930" t="s">
        <v>4036</v>
      </c>
      <c r="B1930" t="s">
        <v>622</v>
      </c>
      <c r="C1930" t="s">
        <v>133</v>
      </c>
      <c r="D1930" s="5">
        <v>32095</v>
      </c>
      <c r="E1930" s="5" t="s">
        <v>4237</v>
      </c>
      <c r="F1930" s="5">
        <v>45318</v>
      </c>
      <c r="G1930" t="s">
        <v>117</v>
      </c>
      <c r="H1930" t="s">
        <v>63</v>
      </c>
      <c r="I1930" t="s">
        <v>25</v>
      </c>
      <c r="J1930" t="s">
        <v>26</v>
      </c>
      <c r="K1930" t="s">
        <v>161</v>
      </c>
      <c r="L1930" s="6">
        <v>37427.279999999999</v>
      </c>
      <c r="M1930">
        <v>30288.89</v>
      </c>
      <c r="N1930" t="s">
        <v>91</v>
      </c>
      <c r="O1930">
        <v>12</v>
      </c>
      <c r="P1930">
        <v>239</v>
      </c>
      <c r="Q1930">
        <v>4</v>
      </c>
      <c r="R1930">
        <v>96</v>
      </c>
      <c r="S1930">
        <v>92.5</v>
      </c>
      <c r="T1930" t="s">
        <v>65</v>
      </c>
      <c r="U1930" s="7" t="s">
        <v>4237</v>
      </c>
      <c r="V1930" s="7" t="s">
        <v>4237</v>
      </c>
      <c r="W1930" s="6">
        <f t="shared" si="122"/>
        <v>7138.3899999999994</v>
      </c>
      <c r="X1930" t="s">
        <v>4237</v>
      </c>
    </row>
    <row r="1931" spans="1:24">
      <c r="A1931" t="s">
        <v>4040</v>
      </c>
      <c r="B1931" t="s">
        <v>1302</v>
      </c>
      <c r="C1931" t="s">
        <v>133</v>
      </c>
      <c r="D1931" s="5">
        <v>23318</v>
      </c>
      <c r="E1931" s="5">
        <v>45329</v>
      </c>
      <c r="F1931" s="5">
        <v>45492</v>
      </c>
      <c r="G1931" t="s">
        <v>161</v>
      </c>
      <c r="H1931" t="s">
        <v>52</v>
      </c>
      <c r="I1931" t="s">
        <v>96</v>
      </c>
      <c r="J1931" t="s">
        <v>46</v>
      </c>
      <c r="K1931" t="s">
        <v>120</v>
      </c>
      <c r="L1931" s="6">
        <v>238238.98</v>
      </c>
      <c r="M1931">
        <v>171749.92</v>
      </c>
      <c r="N1931" t="s">
        <v>192</v>
      </c>
      <c r="O1931">
        <v>17</v>
      </c>
      <c r="P1931">
        <v>9</v>
      </c>
      <c r="Q1931">
        <v>5</v>
      </c>
      <c r="R1931">
        <v>137</v>
      </c>
      <c r="S1931">
        <v>130.9</v>
      </c>
      <c r="T1931" t="s">
        <v>47</v>
      </c>
      <c r="U1931" s="7">
        <f t="shared" si="120"/>
        <v>60</v>
      </c>
      <c r="V1931" s="7">
        <f t="shared" si="121"/>
        <v>163</v>
      </c>
      <c r="W1931" s="6">
        <f t="shared" si="122"/>
        <v>66489.06</v>
      </c>
      <c r="X1931" t="str">
        <f t="shared" si="123"/>
        <v>Senior</v>
      </c>
    </row>
    <row r="1932" spans="1:24">
      <c r="A1932" t="s">
        <v>4042</v>
      </c>
      <c r="B1932" t="s">
        <v>1125</v>
      </c>
      <c r="C1932" t="s">
        <v>133</v>
      </c>
      <c r="D1932" s="5">
        <v>37539</v>
      </c>
      <c r="E1932" s="5">
        <v>45679</v>
      </c>
      <c r="F1932" s="5">
        <v>45680</v>
      </c>
      <c r="G1932" t="s">
        <v>89</v>
      </c>
      <c r="H1932" t="s">
        <v>52</v>
      </c>
      <c r="I1932" t="s">
        <v>45</v>
      </c>
      <c r="J1932" t="s">
        <v>34</v>
      </c>
      <c r="K1932" t="s">
        <v>110</v>
      </c>
      <c r="L1932" s="6">
        <v>15811.03</v>
      </c>
      <c r="M1932">
        <v>11773.51</v>
      </c>
      <c r="N1932" t="s">
        <v>91</v>
      </c>
      <c r="O1932">
        <v>1</v>
      </c>
      <c r="P1932">
        <v>148</v>
      </c>
      <c r="Q1932">
        <v>4</v>
      </c>
      <c r="R1932">
        <v>141</v>
      </c>
      <c r="S1932">
        <v>218.5</v>
      </c>
      <c r="T1932" t="s">
        <v>37</v>
      </c>
      <c r="U1932" s="7">
        <f t="shared" si="120"/>
        <v>22</v>
      </c>
      <c r="V1932" s="7">
        <f t="shared" si="121"/>
        <v>1</v>
      </c>
      <c r="W1932" s="6">
        <f t="shared" si="122"/>
        <v>4037.5200000000004</v>
      </c>
      <c r="X1932" t="str">
        <f t="shared" si="123"/>
        <v>Adult</v>
      </c>
    </row>
    <row r="1933" spans="1:24">
      <c r="A1933" t="s">
        <v>4043</v>
      </c>
      <c r="B1933" t="s">
        <v>833</v>
      </c>
      <c r="C1933" t="s">
        <v>40</v>
      </c>
      <c r="D1933" s="5">
        <v>40518</v>
      </c>
      <c r="E1933" s="5">
        <v>46012</v>
      </c>
      <c r="F1933" s="5">
        <v>46024</v>
      </c>
      <c r="G1933" t="s">
        <v>109</v>
      </c>
      <c r="H1933" t="s">
        <v>153</v>
      </c>
      <c r="I1933" t="s">
        <v>33</v>
      </c>
      <c r="J1933" t="s">
        <v>179</v>
      </c>
      <c r="K1933" t="s">
        <v>27</v>
      </c>
      <c r="L1933" s="6">
        <v>80217.64</v>
      </c>
      <c r="M1933">
        <v>52051.96</v>
      </c>
      <c r="N1933" t="s">
        <v>192</v>
      </c>
      <c r="O1933">
        <v>12</v>
      </c>
      <c r="P1933">
        <v>121</v>
      </c>
      <c r="Q1933">
        <v>2</v>
      </c>
      <c r="R1933">
        <v>122</v>
      </c>
      <c r="S1933">
        <v>234.9</v>
      </c>
      <c r="T1933" t="s">
        <v>37</v>
      </c>
      <c r="U1933" s="7">
        <f t="shared" si="120"/>
        <v>15</v>
      </c>
      <c r="V1933" s="7">
        <f t="shared" si="121"/>
        <v>12</v>
      </c>
      <c r="W1933" s="6">
        <f t="shared" si="122"/>
        <v>28165.68</v>
      </c>
      <c r="X1933" t="str">
        <f t="shared" si="123"/>
        <v>Child</v>
      </c>
    </row>
    <row r="1934" spans="1:24">
      <c r="A1934" t="s">
        <v>4045</v>
      </c>
      <c r="B1934" t="s">
        <v>1658</v>
      </c>
      <c r="C1934" t="s">
        <v>133</v>
      </c>
      <c r="D1934" s="5">
        <v>33521</v>
      </c>
      <c r="E1934" s="5">
        <v>44936</v>
      </c>
      <c r="F1934" s="5">
        <v>44951</v>
      </c>
      <c r="G1934" t="s">
        <v>94</v>
      </c>
      <c r="H1934" t="s">
        <v>118</v>
      </c>
      <c r="I1934" t="s">
        <v>45</v>
      </c>
      <c r="J1934" t="s">
        <v>34</v>
      </c>
      <c r="K1934" t="s">
        <v>55</v>
      </c>
      <c r="L1934" s="6">
        <v>184211.38</v>
      </c>
      <c r="M1934">
        <v>158071.16</v>
      </c>
      <c r="N1934" t="s">
        <v>73</v>
      </c>
      <c r="O1934">
        <v>15</v>
      </c>
      <c r="P1934">
        <v>17</v>
      </c>
      <c r="Q1934">
        <v>5</v>
      </c>
      <c r="R1934">
        <v>155</v>
      </c>
      <c r="S1934">
        <v>140.19999999999999</v>
      </c>
      <c r="T1934" t="s">
        <v>37</v>
      </c>
      <c r="U1934" s="7">
        <f t="shared" si="120"/>
        <v>31</v>
      </c>
      <c r="V1934" s="7">
        <f t="shared" si="121"/>
        <v>15</v>
      </c>
      <c r="W1934" s="6">
        <f t="shared" si="122"/>
        <v>26140.22</v>
      </c>
      <c r="X1934" t="str">
        <f t="shared" si="123"/>
        <v>Adult</v>
      </c>
    </row>
    <row r="1935" spans="1:24">
      <c r="A1935" t="s">
        <v>4223</v>
      </c>
      <c r="B1935" t="s">
        <v>93</v>
      </c>
      <c r="C1935" t="s">
        <v>40</v>
      </c>
      <c r="D1935" s="5">
        <v>24129</v>
      </c>
      <c r="E1935" s="5">
        <v>45976</v>
      </c>
      <c r="F1935" s="5">
        <v>45993</v>
      </c>
      <c r="G1935" t="s">
        <v>117</v>
      </c>
      <c r="H1935" t="s">
        <v>118</v>
      </c>
      <c r="I1935" t="s">
        <v>119</v>
      </c>
      <c r="J1935" t="s">
        <v>26</v>
      </c>
      <c r="K1935" t="s">
        <v>55</v>
      </c>
      <c r="L1935" s="6">
        <v>82509.039999999994</v>
      </c>
      <c r="M1935">
        <v>69209.789999999994</v>
      </c>
      <c r="N1935" t="s">
        <v>91</v>
      </c>
      <c r="O1935">
        <v>17</v>
      </c>
      <c r="P1935">
        <v>217</v>
      </c>
      <c r="Q1935">
        <v>3</v>
      </c>
      <c r="R1935">
        <v>107</v>
      </c>
      <c r="S1935">
        <v>182.4</v>
      </c>
      <c r="T1935" t="s">
        <v>4237</v>
      </c>
      <c r="U1935" s="7">
        <f t="shared" si="120"/>
        <v>59</v>
      </c>
      <c r="V1935" s="7">
        <f t="shared" si="121"/>
        <v>17</v>
      </c>
      <c r="W1935" s="6">
        <f t="shared" si="122"/>
        <v>13299.25</v>
      </c>
      <c r="X1935" t="str">
        <f t="shared" si="123"/>
        <v>Middle Age</v>
      </c>
    </row>
    <row r="1936" spans="1:24">
      <c r="A1936" t="s">
        <v>4048</v>
      </c>
      <c r="B1936" t="s">
        <v>877</v>
      </c>
      <c r="C1936" t="s">
        <v>133</v>
      </c>
      <c r="D1936" s="5" t="s">
        <v>4237</v>
      </c>
      <c r="E1936" s="5">
        <v>45561</v>
      </c>
      <c r="F1936" s="5">
        <v>45577</v>
      </c>
      <c r="G1936" t="s">
        <v>117</v>
      </c>
      <c r="H1936" t="s">
        <v>52</v>
      </c>
      <c r="I1936" t="s">
        <v>96</v>
      </c>
      <c r="J1936" t="s">
        <v>26</v>
      </c>
      <c r="K1936" t="s">
        <v>110</v>
      </c>
      <c r="L1936" s="6">
        <v>226185.29</v>
      </c>
      <c r="M1936">
        <v>191917.85</v>
      </c>
      <c r="N1936" t="s">
        <v>56</v>
      </c>
      <c r="O1936">
        <v>16</v>
      </c>
      <c r="P1936">
        <v>152</v>
      </c>
      <c r="Q1936">
        <v>3</v>
      </c>
      <c r="R1936">
        <v>188</v>
      </c>
      <c r="S1936">
        <v>251.4</v>
      </c>
      <c r="T1936" t="s">
        <v>37</v>
      </c>
      <c r="U1936" s="7" t="s">
        <v>4237</v>
      </c>
      <c r="V1936" s="7">
        <f t="shared" si="121"/>
        <v>16</v>
      </c>
      <c r="W1936" s="6">
        <f t="shared" si="122"/>
        <v>34267.440000000002</v>
      </c>
      <c r="X1936" t="s">
        <v>4237</v>
      </c>
    </row>
    <row r="1937" spans="1:24">
      <c r="A1937" t="s">
        <v>4050</v>
      </c>
      <c r="B1937" t="s">
        <v>455</v>
      </c>
      <c r="C1937" t="s">
        <v>133</v>
      </c>
      <c r="D1937" s="5">
        <v>36025</v>
      </c>
      <c r="E1937" s="5">
        <v>45630</v>
      </c>
      <c r="F1937" s="5">
        <v>45644</v>
      </c>
      <c r="G1937" t="s">
        <v>77</v>
      </c>
      <c r="H1937" t="s">
        <v>52</v>
      </c>
      <c r="I1937" t="s">
        <v>79</v>
      </c>
      <c r="J1937" t="s">
        <v>71</v>
      </c>
      <c r="K1937" t="s">
        <v>120</v>
      </c>
      <c r="L1937" s="6">
        <v>61046.93</v>
      </c>
      <c r="M1937">
        <v>54693</v>
      </c>
      <c r="N1937" t="s">
        <v>73</v>
      </c>
      <c r="O1937">
        <v>14</v>
      </c>
      <c r="P1937">
        <v>185</v>
      </c>
      <c r="Q1937">
        <v>2</v>
      </c>
      <c r="R1937">
        <v>102</v>
      </c>
      <c r="S1937">
        <v>251.9</v>
      </c>
      <c r="T1937" t="s">
        <v>37</v>
      </c>
      <c r="U1937" s="7">
        <f t="shared" si="120"/>
        <v>26</v>
      </c>
      <c r="V1937" s="7">
        <f t="shared" si="121"/>
        <v>14</v>
      </c>
      <c r="W1937" s="6">
        <f t="shared" si="122"/>
        <v>6353.93</v>
      </c>
      <c r="X1937" t="str">
        <f t="shared" si="123"/>
        <v>Adult</v>
      </c>
    </row>
    <row r="1938" spans="1:24">
      <c r="A1938" t="s">
        <v>4051</v>
      </c>
      <c r="B1938" t="s">
        <v>553</v>
      </c>
      <c r="C1938" t="s">
        <v>40</v>
      </c>
      <c r="D1938" s="5">
        <v>22435</v>
      </c>
      <c r="E1938" s="5">
        <v>44947</v>
      </c>
      <c r="F1938" s="5">
        <v>44951</v>
      </c>
      <c r="G1938" t="s">
        <v>152</v>
      </c>
      <c r="H1938" t="s">
        <v>124</v>
      </c>
      <c r="I1938" t="s">
        <v>45</v>
      </c>
      <c r="J1938" t="s">
        <v>26</v>
      </c>
      <c r="K1938" t="s">
        <v>55</v>
      </c>
      <c r="L1938" s="6">
        <v>196774.38</v>
      </c>
      <c r="M1938">
        <v>159402.18</v>
      </c>
      <c r="N1938" t="s">
        <v>192</v>
      </c>
      <c r="O1938">
        <v>4</v>
      </c>
      <c r="P1938">
        <v>22</v>
      </c>
      <c r="Q1938">
        <v>5</v>
      </c>
      <c r="R1938">
        <v>99</v>
      </c>
      <c r="S1938">
        <v>80.099999999999994</v>
      </c>
      <c r="T1938" t="s">
        <v>37</v>
      </c>
      <c r="U1938" s="7">
        <f t="shared" si="120"/>
        <v>61</v>
      </c>
      <c r="V1938" s="7">
        <f t="shared" si="121"/>
        <v>4</v>
      </c>
      <c r="W1938" s="6">
        <f t="shared" si="122"/>
        <v>37372.200000000012</v>
      </c>
      <c r="X1938" t="str">
        <f t="shared" si="123"/>
        <v>Senior</v>
      </c>
    </row>
    <row r="1939" spans="1:24">
      <c r="A1939" t="s">
        <v>4054</v>
      </c>
      <c r="B1939" t="s">
        <v>829</v>
      </c>
      <c r="C1939" t="s">
        <v>133</v>
      </c>
      <c r="D1939" s="5">
        <v>38783</v>
      </c>
      <c r="E1939" s="5">
        <v>45952</v>
      </c>
      <c r="F1939" s="5">
        <v>45954</v>
      </c>
      <c r="G1939" t="s">
        <v>161</v>
      </c>
      <c r="H1939" t="s">
        <v>124</v>
      </c>
      <c r="I1939" t="s">
        <v>96</v>
      </c>
      <c r="J1939" t="s">
        <v>46</v>
      </c>
      <c r="K1939" t="s">
        <v>55</v>
      </c>
      <c r="L1939" s="6">
        <v>201407.47</v>
      </c>
      <c r="M1939">
        <v>135267.38</v>
      </c>
      <c r="N1939" t="s">
        <v>35</v>
      </c>
      <c r="O1939">
        <v>2</v>
      </c>
      <c r="P1939">
        <v>224</v>
      </c>
      <c r="Q1939">
        <v>4</v>
      </c>
      <c r="R1939">
        <v>185</v>
      </c>
      <c r="S1939">
        <v>71.7</v>
      </c>
      <c r="T1939" t="s">
        <v>37</v>
      </c>
      <c r="U1939" s="7">
        <f t="shared" si="120"/>
        <v>19</v>
      </c>
      <c r="V1939" s="7">
        <f t="shared" si="121"/>
        <v>2</v>
      </c>
      <c r="W1939" s="6">
        <f t="shared" si="122"/>
        <v>66140.09</v>
      </c>
      <c r="X1939" t="str">
        <f t="shared" si="123"/>
        <v>Adult</v>
      </c>
    </row>
    <row r="1940" spans="1:24">
      <c r="A1940" t="s">
        <v>4055</v>
      </c>
      <c r="B1940" t="s">
        <v>1727</v>
      </c>
      <c r="C1940" t="s">
        <v>40</v>
      </c>
      <c r="D1940" s="5">
        <v>19431</v>
      </c>
      <c r="E1940" s="5">
        <v>45148</v>
      </c>
      <c r="F1940" s="5">
        <v>45159</v>
      </c>
      <c r="G1940" t="s">
        <v>152</v>
      </c>
      <c r="H1940" t="s">
        <v>44</v>
      </c>
      <c r="I1940" t="s">
        <v>79</v>
      </c>
      <c r="J1940" t="s">
        <v>34</v>
      </c>
      <c r="K1940" t="s">
        <v>110</v>
      </c>
      <c r="L1940" s="6">
        <v>110502.3</v>
      </c>
      <c r="M1940">
        <v>69456.960000000006</v>
      </c>
      <c r="N1940" t="s">
        <v>4237</v>
      </c>
      <c r="O1940">
        <v>11</v>
      </c>
      <c r="P1940">
        <v>225</v>
      </c>
      <c r="Q1940">
        <v>1</v>
      </c>
      <c r="R1940">
        <v>151</v>
      </c>
      <c r="S1940">
        <v>217.3</v>
      </c>
      <c r="T1940" t="s">
        <v>47</v>
      </c>
      <c r="U1940" s="7">
        <f t="shared" si="120"/>
        <v>70</v>
      </c>
      <c r="V1940" s="7">
        <f t="shared" si="121"/>
        <v>11</v>
      </c>
      <c r="W1940" s="6">
        <f t="shared" si="122"/>
        <v>41045.339999999997</v>
      </c>
      <c r="X1940" t="str">
        <f t="shared" si="123"/>
        <v>Senior</v>
      </c>
    </row>
    <row r="1941" spans="1:24">
      <c r="A1941" t="s">
        <v>4056</v>
      </c>
      <c r="B1941" t="s">
        <v>877</v>
      </c>
      <c r="C1941" t="s">
        <v>133</v>
      </c>
      <c r="D1941" s="5">
        <v>36138</v>
      </c>
      <c r="E1941" s="5">
        <v>45644</v>
      </c>
      <c r="F1941" s="5">
        <v>45652</v>
      </c>
      <c r="G1941" t="s">
        <v>105</v>
      </c>
      <c r="H1941" t="s">
        <v>32</v>
      </c>
      <c r="I1941" t="s">
        <v>25</v>
      </c>
      <c r="J1941" t="s">
        <v>64</v>
      </c>
      <c r="K1941" t="s">
        <v>110</v>
      </c>
      <c r="L1941" s="6">
        <v>45166.36</v>
      </c>
      <c r="M1941">
        <v>27108.49</v>
      </c>
      <c r="N1941" t="s">
        <v>35</v>
      </c>
      <c r="O1941">
        <v>8</v>
      </c>
      <c r="P1941">
        <v>56</v>
      </c>
      <c r="Q1941">
        <v>4</v>
      </c>
      <c r="R1941">
        <v>182</v>
      </c>
      <c r="S1941">
        <v>259.5</v>
      </c>
      <c r="T1941" t="s">
        <v>37</v>
      </c>
      <c r="U1941" s="7">
        <f t="shared" si="120"/>
        <v>26</v>
      </c>
      <c r="V1941" s="7">
        <f t="shared" si="121"/>
        <v>8</v>
      </c>
      <c r="W1941" s="6">
        <f t="shared" si="122"/>
        <v>18057.87</v>
      </c>
      <c r="X1941" t="str">
        <f t="shared" si="123"/>
        <v>Adult</v>
      </c>
    </row>
    <row r="1942" spans="1:24">
      <c r="A1942" t="s">
        <v>4058</v>
      </c>
      <c r="B1942" t="s">
        <v>277</v>
      </c>
      <c r="C1942" t="s">
        <v>133</v>
      </c>
      <c r="D1942" s="5">
        <v>20781</v>
      </c>
      <c r="E1942" s="5">
        <v>45527</v>
      </c>
      <c r="F1942" s="5">
        <v>45542</v>
      </c>
      <c r="G1942" t="s">
        <v>109</v>
      </c>
      <c r="H1942" t="s">
        <v>44</v>
      </c>
      <c r="I1942" t="s">
        <v>33</v>
      </c>
      <c r="J1942" t="s">
        <v>46</v>
      </c>
      <c r="K1942" t="s">
        <v>55</v>
      </c>
      <c r="L1942" s="6">
        <v>22781.5</v>
      </c>
      <c r="M1942">
        <v>98646.34</v>
      </c>
      <c r="N1942" t="s">
        <v>192</v>
      </c>
      <c r="O1942">
        <v>15</v>
      </c>
      <c r="P1942">
        <v>167</v>
      </c>
      <c r="Q1942">
        <v>3</v>
      </c>
      <c r="R1942">
        <v>141</v>
      </c>
      <c r="S1942">
        <v>163.5</v>
      </c>
      <c r="T1942" t="s">
        <v>37</v>
      </c>
      <c r="U1942" s="7">
        <f t="shared" si="120"/>
        <v>67</v>
      </c>
      <c r="V1942" s="7">
        <f t="shared" si="121"/>
        <v>15</v>
      </c>
      <c r="W1942" s="6">
        <f t="shared" si="122"/>
        <v>-75864.84</v>
      </c>
      <c r="X1942" t="str">
        <f t="shared" si="123"/>
        <v>Senior</v>
      </c>
    </row>
    <row r="1943" spans="1:24">
      <c r="A1943" t="s">
        <v>4060</v>
      </c>
      <c r="B1943" t="s">
        <v>1678</v>
      </c>
      <c r="C1943" t="s">
        <v>133</v>
      </c>
      <c r="D1943" s="5">
        <v>18465</v>
      </c>
      <c r="E1943" s="5">
        <v>45913</v>
      </c>
      <c r="F1943" s="5">
        <v>45931</v>
      </c>
      <c r="G1943" t="s">
        <v>109</v>
      </c>
      <c r="H1943" t="s">
        <v>134</v>
      </c>
      <c r="I1943" t="s">
        <v>119</v>
      </c>
      <c r="J1943" t="s">
        <v>46</v>
      </c>
      <c r="K1943" t="s">
        <v>55</v>
      </c>
      <c r="L1943" s="6">
        <v>52626.34</v>
      </c>
      <c r="M1943">
        <v>35249.65</v>
      </c>
      <c r="N1943" t="s">
        <v>73</v>
      </c>
      <c r="O1943">
        <v>18</v>
      </c>
      <c r="P1943">
        <v>51</v>
      </c>
      <c r="Q1943">
        <v>3</v>
      </c>
      <c r="R1943">
        <v>105</v>
      </c>
      <c r="S1943">
        <v>94.3</v>
      </c>
      <c r="T1943" t="s">
        <v>37</v>
      </c>
      <c r="U1943" s="7">
        <f t="shared" si="120"/>
        <v>75</v>
      </c>
      <c r="V1943" s="7">
        <f t="shared" si="121"/>
        <v>18</v>
      </c>
      <c r="W1943" s="6">
        <f t="shared" si="122"/>
        <v>17376.689999999995</v>
      </c>
      <c r="X1943" t="str">
        <f t="shared" si="123"/>
        <v>Senior</v>
      </c>
    </row>
    <row r="1944" spans="1:24">
      <c r="A1944" t="s">
        <v>4061</v>
      </c>
      <c r="B1944" t="s">
        <v>261</v>
      </c>
      <c r="C1944" t="s">
        <v>133</v>
      </c>
      <c r="D1944" s="5">
        <v>23506</v>
      </c>
      <c r="E1944" s="5">
        <v>45210</v>
      </c>
      <c r="F1944" s="5" t="s">
        <v>4237</v>
      </c>
      <c r="G1944" t="s">
        <v>94</v>
      </c>
      <c r="H1944" t="s">
        <v>134</v>
      </c>
      <c r="I1944" t="s">
        <v>25</v>
      </c>
      <c r="J1944" t="s">
        <v>64</v>
      </c>
      <c r="K1944" t="s">
        <v>110</v>
      </c>
      <c r="L1944" s="6">
        <v>55533.94</v>
      </c>
      <c r="M1944">
        <v>48992.73</v>
      </c>
      <c r="N1944" t="s">
        <v>56</v>
      </c>
      <c r="O1944">
        <v>9</v>
      </c>
      <c r="P1944">
        <v>175</v>
      </c>
      <c r="Q1944">
        <v>2</v>
      </c>
      <c r="R1944">
        <v>122</v>
      </c>
      <c r="S1944">
        <v>213.9</v>
      </c>
      <c r="T1944" t="s">
        <v>37</v>
      </c>
      <c r="U1944" s="7">
        <f t="shared" si="120"/>
        <v>59</v>
      </c>
      <c r="V1944" s="7" t="s">
        <v>4237</v>
      </c>
      <c r="W1944" s="6">
        <f t="shared" si="122"/>
        <v>6541.2099999999991</v>
      </c>
      <c r="X1944" t="str">
        <f t="shared" si="123"/>
        <v>Middle Age</v>
      </c>
    </row>
    <row r="1945" spans="1:24">
      <c r="A1945" t="s">
        <v>4063</v>
      </c>
      <c r="B1945" t="s">
        <v>1830</v>
      </c>
      <c r="C1945" t="s">
        <v>133</v>
      </c>
      <c r="D1945" s="5">
        <v>31627</v>
      </c>
      <c r="E1945" s="5">
        <v>45019</v>
      </c>
      <c r="F1945" s="5">
        <v>45036</v>
      </c>
      <c r="G1945" t="s">
        <v>94</v>
      </c>
      <c r="H1945" t="s">
        <v>95</v>
      </c>
      <c r="I1945" t="s">
        <v>79</v>
      </c>
      <c r="J1945" t="s">
        <v>80</v>
      </c>
      <c r="K1945" t="s">
        <v>120</v>
      </c>
      <c r="L1945" s="6">
        <v>38809.96</v>
      </c>
      <c r="M1945">
        <v>29959.98</v>
      </c>
      <c r="N1945" t="s">
        <v>192</v>
      </c>
      <c r="O1945">
        <v>17</v>
      </c>
      <c r="P1945">
        <v>121</v>
      </c>
      <c r="Q1945">
        <v>4</v>
      </c>
      <c r="R1945">
        <v>186</v>
      </c>
      <c r="S1945">
        <v>201.6</v>
      </c>
      <c r="T1945" t="s">
        <v>4237</v>
      </c>
      <c r="U1945" s="7">
        <f t="shared" si="120"/>
        <v>36</v>
      </c>
      <c r="V1945" s="7">
        <f t="shared" si="121"/>
        <v>17</v>
      </c>
      <c r="W1945" s="6">
        <f t="shared" si="122"/>
        <v>8849.98</v>
      </c>
      <c r="X1945" t="str">
        <f t="shared" si="123"/>
        <v>Adult</v>
      </c>
    </row>
    <row r="1946" spans="1:24">
      <c r="A1946" t="s">
        <v>4064</v>
      </c>
      <c r="B1946" t="s">
        <v>1734</v>
      </c>
      <c r="C1946" t="s">
        <v>40</v>
      </c>
      <c r="D1946" s="5">
        <v>39773</v>
      </c>
      <c r="E1946" s="5">
        <v>45935</v>
      </c>
      <c r="F1946" s="5">
        <v>45944</v>
      </c>
      <c r="G1946" t="s">
        <v>62</v>
      </c>
      <c r="H1946" t="s">
        <v>124</v>
      </c>
      <c r="I1946" t="s">
        <v>119</v>
      </c>
      <c r="J1946" t="s">
        <v>64</v>
      </c>
      <c r="K1946" t="s">
        <v>27</v>
      </c>
      <c r="L1946" s="6">
        <v>171518.23</v>
      </c>
      <c r="M1946">
        <v>123867.45</v>
      </c>
      <c r="N1946" t="s">
        <v>35</v>
      </c>
      <c r="O1946">
        <v>9</v>
      </c>
      <c r="P1946">
        <v>60</v>
      </c>
      <c r="Q1946">
        <v>4</v>
      </c>
      <c r="R1946">
        <v>122</v>
      </c>
      <c r="S1946">
        <v>167.9</v>
      </c>
      <c r="T1946" t="s">
        <v>65</v>
      </c>
      <c r="U1946" s="7">
        <f t="shared" si="120"/>
        <v>16</v>
      </c>
      <c r="V1946" s="7">
        <f t="shared" si="121"/>
        <v>9</v>
      </c>
      <c r="W1946" s="6">
        <f t="shared" si="122"/>
        <v>47650.780000000013</v>
      </c>
      <c r="X1946" t="str">
        <f t="shared" si="123"/>
        <v>Child</v>
      </c>
    </row>
    <row r="1947" spans="1:24">
      <c r="A1947" t="s">
        <v>4065</v>
      </c>
      <c r="B1947" t="s">
        <v>503</v>
      </c>
      <c r="C1947" t="s">
        <v>133</v>
      </c>
      <c r="D1947" s="5">
        <v>23763</v>
      </c>
      <c r="E1947" s="5">
        <v>45858</v>
      </c>
      <c r="F1947" s="5">
        <v>45874</v>
      </c>
      <c r="G1947" t="s">
        <v>43</v>
      </c>
      <c r="H1947" t="s">
        <v>153</v>
      </c>
      <c r="I1947" t="s">
        <v>79</v>
      </c>
      <c r="J1947" t="s">
        <v>34</v>
      </c>
      <c r="K1947" t="s">
        <v>55</v>
      </c>
      <c r="L1947" s="6">
        <v>190712.3</v>
      </c>
      <c r="M1947">
        <v>138466.06</v>
      </c>
      <c r="N1947" t="s">
        <v>73</v>
      </c>
      <c r="O1947">
        <v>16</v>
      </c>
      <c r="P1947">
        <v>137</v>
      </c>
      <c r="Q1947">
        <v>4</v>
      </c>
      <c r="R1947">
        <v>152</v>
      </c>
      <c r="S1947">
        <v>163.5</v>
      </c>
      <c r="T1947" t="s">
        <v>4237</v>
      </c>
      <c r="U1947" s="7">
        <f t="shared" si="120"/>
        <v>60</v>
      </c>
      <c r="V1947" s="7">
        <f t="shared" si="121"/>
        <v>16</v>
      </c>
      <c r="W1947" s="6">
        <f t="shared" si="122"/>
        <v>52246.239999999991</v>
      </c>
      <c r="X1947" t="str">
        <f t="shared" si="123"/>
        <v>Senior</v>
      </c>
    </row>
    <row r="1948" spans="1:24">
      <c r="A1948" t="s">
        <v>4067</v>
      </c>
      <c r="B1948" t="s">
        <v>679</v>
      </c>
      <c r="C1948" t="s">
        <v>133</v>
      </c>
      <c r="D1948" s="5">
        <v>36567</v>
      </c>
      <c r="E1948" s="5">
        <v>45595</v>
      </c>
      <c r="F1948" s="5">
        <v>45609</v>
      </c>
      <c r="G1948" t="s">
        <v>109</v>
      </c>
      <c r="H1948" t="s">
        <v>113</v>
      </c>
      <c r="I1948" t="s">
        <v>33</v>
      </c>
      <c r="J1948" t="s">
        <v>34</v>
      </c>
      <c r="K1948" t="s">
        <v>55</v>
      </c>
      <c r="L1948" s="6">
        <v>191110.32</v>
      </c>
      <c r="M1948">
        <v>129107.95</v>
      </c>
      <c r="N1948" t="s">
        <v>35</v>
      </c>
      <c r="O1948">
        <v>14</v>
      </c>
      <c r="P1948">
        <v>194</v>
      </c>
      <c r="Q1948">
        <v>4</v>
      </c>
      <c r="R1948">
        <v>105</v>
      </c>
      <c r="S1948">
        <v>99.1</v>
      </c>
      <c r="T1948" t="s">
        <v>4237</v>
      </c>
      <c r="U1948" s="7">
        <f t="shared" si="120"/>
        <v>24</v>
      </c>
      <c r="V1948" s="7">
        <f t="shared" si="121"/>
        <v>14</v>
      </c>
      <c r="W1948" s="6">
        <f t="shared" si="122"/>
        <v>62002.37000000001</v>
      </c>
      <c r="X1948" t="str">
        <f t="shared" si="123"/>
        <v>Adult</v>
      </c>
    </row>
    <row r="1949" spans="1:24">
      <c r="A1949" t="s">
        <v>4070</v>
      </c>
      <c r="B1949" t="s">
        <v>108</v>
      </c>
      <c r="C1949" t="s">
        <v>133</v>
      </c>
      <c r="D1949" s="5">
        <v>21055</v>
      </c>
      <c r="E1949" s="5">
        <v>45429</v>
      </c>
      <c r="F1949" s="5">
        <v>45444</v>
      </c>
      <c r="G1949" t="s">
        <v>161</v>
      </c>
      <c r="H1949" t="s">
        <v>32</v>
      </c>
      <c r="I1949" t="s">
        <v>25</v>
      </c>
      <c r="J1949" t="s">
        <v>26</v>
      </c>
      <c r="K1949" t="s">
        <v>27</v>
      </c>
      <c r="L1949" s="6">
        <v>30304.03</v>
      </c>
      <c r="M1949">
        <v>27013.57</v>
      </c>
      <c r="N1949" t="s">
        <v>35</v>
      </c>
      <c r="O1949">
        <v>15</v>
      </c>
      <c r="P1949">
        <v>90</v>
      </c>
      <c r="Q1949">
        <v>4</v>
      </c>
      <c r="R1949">
        <v>148</v>
      </c>
      <c r="S1949">
        <v>157.30000000000001</v>
      </c>
      <c r="T1949" t="s">
        <v>65</v>
      </c>
      <c r="U1949" s="7">
        <f t="shared" si="120"/>
        <v>66</v>
      </c>
      <c r="V1949" s="7">
        <f t="shared" si="121"/>
        <v>15</v>
      </c>
      <c r="W1949" s="6">
        <f t="shared" si="122"/>
        <v>3290.4599999999991</v>
      </c>
      <c r="X1949" t="str">
        <f t="shared" si="123"/>
        <v>Senior</v>
      </c>
    </row>
    <row r="1950" spans="1:24">
      <c r="A1950" t="s">
        <v>4072</v>
      </c>
      <c r="B1950" t="s">
        <v>321</v>
      </c>
      <c r="C1950" t="s">
        <v>40</v>
      </c>
      <c r="D1950" s="5">
        <v>40232</v>
      </c>
      <c r="E1950" s="5">
        <v>45743</v>
      </c>
      <c r="F1950" s="5">
        <v>45759</v>
      </c>
      <c r="G1950" t="s">
        <v>89</v>
      </c>
      <c r="H1950" t="s">
        <v>86</v>
      </c>
      <c r="I1950" t="s">
        <v>25</v>
      </c>
      <c r="J1950" t="s">
        <v>80</v>
      </c>
      <c r="K1950" t="s">
        <v>55</v>
      </c>
      <c r="L1950" s="6">
        <v>6991.5</v>
      </c>
      <c r="M1950">
        <v>6943.42</v>
      </c>
      <c r="N1950" t="s">
        <v>35</v>
      </c>
      <c r="O1950">
        <v>16</v>
      </c>
      <c r="P1950">
        <v>197</v>
      </c>
      <c r="Q1950">
        <v>3</v>
      </c>
      <c r="R1950">
        <v>118</v>
      </c>
      <c r="S1950">
        <v>198.2</v>
      </c>
      <c r="T1950" t="s">
        <v>4237</v>
      </c>
      <c r="U1950" s="7">
        <f t="shared" si="120"/>
        <v>15</v>
      </c>
      <c r="V1950" s="7">
        <f t="shared" si="121"/>
        <v>16</v>
      </c>
      <c r="W1950" s="6">
        <f t="shared" si="122"/>
        <v>48.079999999999927</v>
      </c>
      <c r="X1950" t="str">
        <f t="shared" si="123"/>
        <v>Child</v>
      </c>
    </row>
    <row r="1951" spans="1:24">
      <c r="A1951" t="s">
        <v>4073</v>
      </c>
      <c r="B1951" t="s">
        <v>1471</v>
      </c>
      <c r="C1951" t="s">
        <v>40</v>
      </c>
      <c r="D1951" s="5">
        <v>19466</v>
      </c>
      <c r="E1951" s="5">
        <v>44947</v>
      </c>
      <c r="F1951" s="5">
        <v>44954</v>
      </c>
      <c r="G1951" t="s">
        <v>109</v>
      </c>
      <c r="H1951" t="s">
        <v>86</v>
      </c>
      <c r="I1951" t="s">
        <v>33</v>
      </c>
      <c r="J1951" t="s">
        <v>80</v>
      </c>
      <c r="K1951" t="s">
        <v>55</v>
      </c>
      <c r="L1951" s="6">
        <v>111653.07</v>
      </c>
      <c r="M1951">
        <v>81819.34</v>
      </c>
      <c r="N1951" t="s">
        <v>73</v>
      </c>
      <c r="O1951">
        <v>7</v>
      </c>
      <c r="P1951">
        <v>187</v>
      </c>
      <c r="Q1951">
        <v>5</v>
      </c>
      <c r="R1951">
        <v>178</v>
      </c>
      <c r="S1951">
        <v>75.5</v>
      </c>
      <c r="T1951" t="s">
        <v>65</v>
      </c>
      <c r="U1951" s="7">
        <f t="shared" si="120"/>
        <v>69</v>
      </c>
      <c r="V1951" s="7">
        <f t="shared" si="121"/>
        <v>7</v>
      </c>
      <c r="W1951" s="6">
        <f t="shared" si="122"/>
        <v>29833.73000000001</v>
      </c>
      <c r="X1951" t="str">
        <f t="shared" si="123"/>
        <v>Senior</v>
      </c>
    </row>
    <row r="1952" spans="1:24">
      <c r="A1952" t="s">
        <v>2246</v>
      </c>
      <c r="B1952" t="s">
        <v>1101</v>
      </c>
      <c r="C1952" t="s">
        <v>133</v>
      </c>
      <c r="D1952" s="5">
        <v>31189</v>
      </c>
      <c r="E1952" s="5">
        <v>45567</v>
      </c>
      <c r="F1952" s="5">
        <v>45578</v>
      </c>
      <c r="G1952" t="s">
        <v>161</v>
      </c>
      <c r="H1952" t="s">
        <v>134</v>
      </c>
      <c r="I1952" t="s">
        <v>79</v>
      </c>
      <c r="J1952" t="s">
        <v>80</v>
      </c>
      <c r="K1952" t="s">
        <v>120</v>
      </c>
      <c r="L1952" s="6">
        <v>187954.81</v>
      </c>
      <c r="M1952">
        <v>149924.20000000001</v>
      </c>
      <c r="N1952" t="s">
        <v>192</v>
      </c>
      <c r="O1952">
        <v>11</v>
      </c>
      <c r="P1952">
        <v>231</v>
      </c>
      <c r="Q1952">
        <v>5</v>
      </c>
      <c r="R1952">
        <v>105</v>
      </c>
      <c r="S1952">
        <v>218.8</v>
      </c>
      <c r="T1952" t="s">
        <v>4237</v>
      </c>
      <c r="U1952" s="7">
        <f t="shared" si="120"/>
        <v>39</v>
      </c>
      <c r="V1952" s="7">
        <f t="shared" si="121"/>
        <v>11</v>
      </c>
      <c r="W1952" s="6">
        <f t="shared" si="122"/>
        <v>38030.609999999986</v>
      </c>
      <c r="X1952" t="str">
        <f t="shared" si="123"/>
        <v>Adult</v>
      </c>
    </row>
    <row r="1953" spans="1:24">
      <c r="A1953" t="s">
        <v>462</v>
      </c>
      <c r="B1953" t="s">
        <v>147</v>
      </c>
      <c r="C1953" t="s">
        <v>133</v>
      </c>
      <c r="D1953" s="5">
        <v>27777</v>
      </c>
      <c r="E1953" s="5">
        <v>44927</v>
      </c>
      <c r="F1953" s="5">
        <v>44930</v>
      </c>
      <c r="G1953" t="s">
        <v>117</v>
      </c>
      <c r="H1953" t="s">
        <v>113</v>
      </c>
      <c r="I1953" t="s">
        <v>96</v>
      </c>
      <c r="J1953" t="s">
        <v>64</v>
      </c>
      <c r="K1953" t="s">
        <v>55</v>
      </c>
      <c r="L1953" s="6">
        <v>141677.31</v>
      </c>
      <c r="M1953">
        <v>98646.34</v>
      </c>
      <c r="N1953" t="s">
        <v>73</v>
      </c>
      <c r="O1953">
        <v>3</v>
      </c>
      <c r="P1953">
        <v>92</v>
      </c>
      <c r="Q1953">
        <v>5</v>
      </c>
      <c r="R1953">
        <v>96</v>
      </c>
      <c r="S1953">
        <v>225.2</v>
      </c>
      <c r="T1953" t="s">
        <v>37</v>
      </c>
      <c r="U1953" s="7">
        <f t="shared" si="120"/>
        <v>46</v>
      </c>
      <c r="V1953" s="7">
        <f t="shared" si="121"/>
        <v>3</v>
      </c>
      <c r="W1953" s="6">
        <f t="shared" si="122"/>
        <v>43030.97</v>
      </c>
      <c r="X1953" t="str">
        <f t="shared" si="123"/>
        <v>Middle Age</v>
      </c>
    </row>
    <row r="1954" spans="1:24">
      <c r="A1954" t="s">
        <v>2521</v>
      </c>
      <c r="B1954" t="s">
        <v>2249</v>
      </c>
      <c r="C1954" t="s">
        <v>133</v>
      </c>
      <c r="D1954" s="5">
        <v>28197</v>
      </c>
      <c r="E1954" s="5">
        <v>45389</v>
      </c>
      <c r="F1954" s="5">
        <v>45391</v>
      </c>
      <c r="G1954" t="s">
        <v>161</v>
      </c>
      <c r="H1954" t="s">
        <v>153</v>
      </c>
      <c r="I1954" t="s">
        <v>79</v>
      </c>
      <c r="J1954" t="s">
        <v>71</v>
      </c>
      <c r="K1954" t="s">
        <v>55</v>
      </c>
      <c r="L1954" s="6">
        <v>87965.03</v>
      </c>
      <c r="M1954">
        <v>86710.12</v>
      </c>
      <c r="N1954" t="s">
        <v>35</v>
      </c>
      <c r="O1954">
        <v>2</v>
      </c>
      <c r="P1954">
        <v>62</v>
      </c>
      <c r="Q1954">
        <v>4</v>
      </c>
      <c r="R1954">
        <v>91</v>
      </c>
      <c r="S1954">
        <v>186.2</v>
      </c>
      <c r="T1954" t="s">
        <v>4237</v>
      </c>
      <c r="U1954" s="7">
        <f t="shared" si="120"/>
        <v>47</v>
      </c>
      <c r="V1954" s="7">
        <f t="shared" si="121"/>
        <v>2</v>
      </c>
      <c r="W1954" s="6">
        <f t="shared" si="122"/>
        <v>1254.9100000000035</v>
      </c>
      <c r="X1954" t="str">
        <f t="shared" si="123"/>
        <v>Middle Age</v>
      </c>
    </row>
    <row r="1955" spans="1:24">
      <c r="A1955" t="s">
        <v>595</v>
      </c>
      <c r="B1955" t="s">
        <v>332</v>
      </c>
      <c r="C1955" t="s">
        <v>40</v>
      </c>
      <c r="D1955" s="5">
        <v>40516</v>
      </c>
      <c r="E1955" s="5">
        <v>45304</v>
      </c>
      <c r="F1955" s="5">
        <v>45315</v>
      </c>
      <c r="G1955" t="s">
        <v>62</v>
      </c>
      <c r="H1955" t="s">
        <v>153</v>
      </c>
      <c r="I1955" t="s">
        <v>25</v>
      </c>
      <c r="J1955" t="s">
        <v>46</v>
      </c>
      <c r="K1955" t="s">
        <v>110</v>
      </c>
      <c r="L1955" s="6">
        <v>220332.65</v>
      </c>
      <c r="M1955">
        <v>206879.34</v>
      </c>
      <c r="N1955" t="s">
        <v>56</v>
      </c>
      <c r="O1955">
        <v>11</v>
      </c>
      <c r="P1955">
        <v>82</v>
      </c>
      <c r="Q1955">
        <v>4</v>
      </c>
      <c r="R1955">
        <v>185</v>
      </c>
      <c r="S1955">
        <v>247.4</v>
      </c>
      <c r="T1955" t="s">
        <v>4237</v>
      </c>
      <c r="U1955" s="7">
        <f t="shared" si="120"/>
        <v>13</v>
      </c>
      <c r="V1955" s="7">
        <f t="shared" si="121"/>
        <v>11</v>
      </c>
      <c r="W1955" s="6">
        <f t="shared" si="122"/>
        <v>13453.309999999998</v>
      </c>
      <c r="X1955" t="str">
        <f t="shared" si="123"/>
        <v>Child</v>
      </c>
    </row>
    <row r="1956" spans="1:24">
      <c r="A1956" t="s">
        <v>4080</v>
      </c>
      <c r="B1956" t="s">
        <v>867</v>
      </c>
      <c r="C1956" t="s">
        <v>133</v>
      </c>
      <c r="D1956" s="5">
        <v>29769</v>
      </c>
      <c r="E1956" s="5">
        <v>45627</v>
      </c>
      <c r="F1956" s="5">
        <v>45641</v>
      </c>
      <c r="G1956" t="s">
        <v>161</v>
      </c>
      <c r="H1956" t="s">
        <v>113</v>
      </c>
      <c r="I1956" t="s">
        <v>119</v>
      </c>
      <c r="J1956" t="s">
        <v>34</v>
      </c>
      <c r="K1956" t="s">
        <v>120</v>
      </c>
      <c r="L1956" s="6">
        <v>23229.43</v>
      </c>
      <c r="M1956">
        <v>20194.95</v>
      </c>
      <c r="N1956" t="s">
        <v>56</v>
      </c>
      <c r="O1956">
        <v>14</v>
      </c>
      <c r="P1956">
        <v>145</v>
      </c>
      <c r="Q1956">
        <v>4</v>
      </c>
      <c r="R1956">
        <v>119</v>
      </c>
      <c r="S1956">
        <v>217</v>
      </c>
      <c r="T1956" t="s">
        <v>65</v>
      </c>
      <c r="U1956" s="7">
        <f t="shared" si="120"/>
        <v>43</v>
      </c>
      <c r="V1956" s="7">
        <f t="shared" si="121"/>
        <v>14</v>
      </c>
      <c r="W1956" s="6">
        <f t="shared" si="122"/>
        <v>3034.4799999999996</v>
      </c>
      <c r="X1956" t="str">
        <f t="shared" si="123"/>
        <v>Middle Age</v>
      </c>
    </row>
    <row r="1957" spans="1:24">
      <c r="A1957" t="s">
        <v>651</v>
      </c>
      <c r="B1957" t="s">
        <v>652</v>
      </c>
      <c r="C1957" t="s">
        <v>133</v>
      </c>
      <c r="D1957" s="5">
        <v>37162</v>
      </c>
      <c r="E1957" s="5">
        <v>44994</v>
      </c>
      <c r="F1957" s="5" t="s">
        <v>4237</v>
      </c>
      <c r="G1957" t="s">
        <v>62</v>
      </c>
      <c r="H1957" t="s">
        <v>118</v>
      </c>
      <c r="I1957" t="s">
        <v>53</v>
      </c>
      <c r="J1957" t="s">
        <v>34</v>
      </c>
      <c r="K1957" t="s">
        <v>55</v>
      </c>
      <c r="L1957" s="6">
        <v>188808.42</v>
      </c>
      <c r="M1957">
        <v>167011.4</v>
      </c>
      <c r="N1957" t="s">
        <v>73</v>
      </c>
      <c r="O1957">
        <v>11</v>
      </c>
      <c r="P1957">
        <v>65</v>
      </c>
      <c r="Q1957">
        <v>4</v>
      </c>
      <c r="R1957">
        <v>182</v>
      </c>
      <c r="S1957">
        <v>191.1</v>
      </c>
      <c r="T1957" t="s">
        <v>47</v>
      </c>
      <c r="U1957" s="7">
        <f t="shared" si="120"/>
        <v>21</v>
      </c>
      <c r="V1957" s="7" t="s">
        <v>4237</v>
      </c>
      <c r="W1957" s="6">
        <f t="shared" si="122"/>
        <v>21797.020000000019</v>
      </c>
      <c r="X1957" t="str">
        <f t="shared" si="123"/>
        <v>Adult</v>
      </c>
    </row>
    <row r="1958" spans="1:24">
      <c r="A1958" t="s">
        <v>2039</v>
      </c>
      <c r="B1958" t="s">
        <v>999</v>
      </c>
      <c r="C1958" t="s">
        <v>133</v>
      </c>
      <c r="D1958" s="5">
        <v>28082</v>
      </c>
      <c r="E1958" s="5">
        <v>44931</v>
      </c>
      <c r="F1958" s="5">
        <v>44936</v>
      </c>
      <c r="G1958" t="s">
        <v>94</v>
      </c>
      <c r="H1958" t="s">
        <v>118</v>
      </c>
      <c r="I1958" t="s">
        <v>45</v>
      </c>
      <c r="J1958" t="s">
        <v>80</v>
      </c>
      <c r="K1958" t="s">
        <v>55</v>
      </c>
      <c r="L1958" s="6">
        <v>231313.19</v>
      </c>
      <c r="M1958">
        <v>141884.26999999999</v>
      </c>
      <c r="N1958" t="s">
        <v>192</v>
      </c>
      <c r="O1958">
        <v>5</v>
      </c>
      <c r="P1958">
        <v>72</v>
      </c>
      <c r="Q1958">
        <v>3</v>
      </c>
      <c r="R1958">
        <v>180</v>
      </c>
      <c r="S1958">
        <v>211.2</v>
      </c>
      <c r="T1958" t="s">
        <v>37</v>
      </c>
      <c r="U1958" s="7">
        <f t="shared" si="120"/>
        <v>46</v>
      </c>
      <c r="V1958" s="7">
        <f t="shared" si="121"/>
        <v>5</v>
      </c>
      <c r="W1958" s="6">
        <f t="shared" si="122"/>
        <v>89428.920000000013</v>
      </c>
      <c r="X1958" t="str">
        <f t="shared" si="123"/>
        <v>Middle Age</v>
      </c>
    </row>
    <row r="1959" spans="1:24">
      <c r="A1959" t="s">
        <v>2845</v>
      </c>
      <c r="B1959" t="s">
        <v>992</v>
      </c>
      <c r="C1959" t="s">
        <v>40</v>
      </c>
      <c r="D1959" s="5">
        <v>22593</v>
      </c>
      <c r="E1959" s="5">
        <v>45026</v>
      </c>
      <c r="F1959" s="5">
        <v>45037</v>
      </c>
      <c r="G1959" t="s">
        <v>94</v>
      </c>
      <c r="H1959" t="s">
        <v>95</v>
      </c>
      <c r="I1959" t="s">
        <v>53</v>
      </c>
      <c r="J1959" t="s">
        <v>71</v>
      </c>
      <c r="K1959" t="s">
        <v>27</v>
      </c>
      <c r="L1959" s="6">
        <v>82759.759999999995</v>
      </c>
      <c r="M1959">
        <v>82701.22</v>
      </c>
      <c r="N1959" t="s">
        <v>56</v>
      </c>
      <c r="O1959">
        <v>11</v>
      </c>
      <c r="P1959">
        <v>11</v>
      </c>
      <c r="Q1959">
        <v>4</v>
      </c>
      <c r="R1959">
        <v>101</v>
      </c>
      <c r="S1959">
        <v>96.7</v>
      </c>
      <c r="T1959" t="s">
        <v>37</v>
      </c>
      <c r="U1959" s="7">
        <f t="shared" si="120"/>
        <v>61</v>
      </c>
      <c r="V1959" s="7">
        <f t="shared" si="121"/>
        <v>11</v>
      </c>
      <c r="W1959" s="6">
        <f t="shared" si="122"/>
        <v>58.539999999993597</v>
      </c>
      <c r="X1959" t="str">
        <f t="shared" si="123"/>
        <v>Senior</v>
      </c>
    </row>
    <row r="1960" spans="1:24">
      <c r="A1960" t="s">
        <v>1411</v>
      </c>
      <c r="B1960" t="s">
        <v>116</v>
      </c>
      <c r="C1960" t="s">
        <v>40</v>
      </c>
      <c r="D1960" s="5">
        <v>39315</v>
      </c>
      <c r="E1960" s="5">
        <v>45233</v>
      </c>
      <c r="F1960" s="5">
        <v>45008</v>
      </c>
      <c r="G1960" t="s">
        <v>94</v>
      </c>
      <c r="H1960" t="s">
        <v>63</v>
      </c>
      <c r="I1960" t="s">
        <v>33</v>
      </c>
      <c r="J1960" t="s">
        <v>179</v>
      </c>
      <c r="K1960" t="s">
        <v>55</v>
      </c>
      <c r="L1960" s="6">
        <v>10266.43</v>
      </c>
      <c r="M1960">
        <v>8386.32</v>
      </c>
      <c r="N1960" t="s">
        <v>73</v>
      </c>
      <c r="O1960">
        <v>12</v>
      </c>
      <c r="P1960">
        <v>213</v>
      </c>
      <c r="Q1960">
        <v>4</v>
      </c>
      <c r="R1960">
        <v>141</v>
      </c>
      <c r="S1960">
        <v>195.1</v>
      </c>
      <c r="T1960" t="s">
        <v>37</v>
      </c>
      <c r="U1960" s="7">
        <f t="shared" si="120"/>
        <v>16</v>
      </c>
      <c r="V1960" s="7">
        <f t="shared" si="121"/>
        <v>-225</v>
      </c>
      <c r="W1960" s="6">
        <f t="shared" si="122"/>
        <v>1880.1100000000006</v>
      </c>
      <c r="X1960" t="str">
        <f t="shared" si="123"/>
        <v>Child</v>
      </c>
    </row>
    <row r="1961" spans="1:24">
      <c r="A1961" t="s">
        <v>1404</v>
      </c>
      <c r="B1961" t="s">
        <v>765</v>
      </c>
      <c r="C1961" t="s">
        <v>133</v>
      </c>
      <c r="D1961" s="5">
        <v>37442</v>
      </c>
      <c r="E1961" s="5">
        <v>45775</v>
      </c>
      <c r="F1961" s="5">
        <v>45791</v>
      </c>
      <c r="G1961" t="s">
        <v>105</v>
      </c>
      <c r="H1961" t="s">
        <v>63</v>
      </c>
      <c r="I1961" t="s">
        <v>33</v>
      </c>
      <c r="J1961" t="s">
        <v>71</v>
      </c>
      <c r="K1961" t="s">
        <v>27</v>
      </c>
      <c r="L1961" s="6">
        <v>60831.37</v>
      </c>
      <c r="M1961">
        <v>56538.69</v>
      </c>
      <c r="N1961" t="s">
        <v>56</v>
      </c>
      <c r="O1961">
        <v>16</v>
      </c>
      <c r="P1961">
        <v>106</v>
      </c>
      <c r="Q1961">
        <v>4</v>
      </c>
      <c r="R1961">
        <v>141</v>
      </c>
      <c r="S1961">
        <v>151.69999999999999</v>
      </c>
      <c r="T1961" t="s">
        <v>47</v>
      </c>
      <c r="U1961" s="7">
        <f t="shared" si="120"/>
        <v>22</v>
      </c>
      <c r="V1961" s="7">
        <f t="shared" si="121"/>
        <v>16</v>
      </c>
      <c r="W1961" s="6">
        <f t="shared" si="122"/>
        <v>4292.68</v>
      </c>
      <c r="X1961" t="str">
        <f t="shared" si="123"/>
        <v>Adult</v>
      </c>
    </row>
    <row r="1962" spans="1:24">
      <c r="A1962" t="s">
        <v>3655</v>
      </c>
      <c r="B1962" t="s">
        <v>1464</v>
      </c>
      <c r="C1962" t="s">
        <v>40</v>
      </c>
      <c r="D1962" s="5">
        <v>37035</v>
      </c>
      <c r="E1962" s="5">
        <v>45578</v>
      </c>
      <c r="F1962" s="5">
        <v>45584</v>
      </c>
      <c r="G1962" t="s">
        <v>161</v>
      </c>
      <c r="H1962" t="s">
        <v>95</v>
      </c>
      <c r="I1962" t="s">
        <v>79</v>
      </c>
      <c r="J1962" t="s">
        <v>71</v>
      </c>
      <c r="K1962" t="s">
        <v>161</v>
      </c>
      <c r="L1962" s="6">
        <v>96279.4</v>
      </c>
      <c r="M1962">
        <v>92951.38</v>
      </c>
      <c r="N1962" t="s">
        <v>35</v>
      </c>
      <c r="O1962">
        <v>6</v>
      </c>
      <c r="P1962">
        <v>161</v>
      </c>
      <c r="Q1962">
        <v>4</v>
      </c>
      <c r="R1962">
        <v>93</v>
      </c>
      <c r="S1962">
        <v>117.5</v>
      </c>
      <c r="T1962" t="s">
        <v>37</v>
      </c>
      <c r="U1962" s="7">
        <f t="shared" si="120"/>
        <v>23</v>
      </c>
      <c r="V1962" s="7">
        <f t="shared" si="121"/>
        <v>6</v>
      </c>
      <c r="W1962" s="6">
        <f t="shared" si="122"/>
        <v>3328.0199999999895</v>
      </c>
      <c r="X1962" t="str">
        <f t="shared" si="123"/>
        <v>Adult</v>
      </c>
    </row>
    <row r="1963" spans="1:24">
      <c r="A1963" t="s">
        <v>749</v>
      </c>
      <c r="B1963" t="s">
        <v>251</v>
      </c>
      <c r="C1963" t="s">
        <v>133</v>
      </c>
      <c r="D1963" s="5">
        <v>33306</v>
      </c>
      <c r="E1963" s="5">
        <v>45410</v>
      </c>
      <c r="F1963" s="5">
        <v>45423</v>
      </c>
      <c r="G1963" t="s">
        <v>62</v>
      </c>
      <c r="H1963" t="s">
        <v>86</v>
      </c>
      <c r="I1963" t="s">
        <v>33</v>
      </c>
      <c r="J1963" t="s">
        <v>80</v>
      </c>
      <c r="K1963" t="s">
        <v>110</v>
      </c>
      <c r="L1963" s="6">
        <v>199768.58</v>
      </c>
      <c r="M1963">
        <v>167655.35999999999</v>
      </c>
      <c r="N1963" t="s">
        <v>91</v>
      </c>
      <c r="O1963">
        <v>13</v>
      </c>
      <c r="P1963">
        <v>148</v>
      </c>
      <c r="Q1963">
        <v>4</v>
      </c>
      <c r="R1963">
        <v>144</v>
      </c>
      <c r="S1963">
        <v>192.9</v>
      </c>
      <c r="T1963" t="s">
        <v>37</v>
      </c>
      <c r="U1963" s="7">
        <f t="shared" si="120"/>
        <v>33</v>
      </c>
      <c r="V1963" s="7">
        <f t="shared" si="121"/>
        <v>13</v>
      </c>
      <c r="W1963" s="6">
        <f t="shared" si="122"/>
        <v>32113.22</v>
      </c>
      <c r="X1963" t="str">
        <f t="shared" si="123"/>
        <v>Adult</v>
      </c>
    </row>
    <row r="1964" spans="1:24">
      <c r="A1964" t="s">
        <v>3035</v>
      </c>
      <c r="B1964" t="s">
        <v>3036</v>
      </c>
      <c r="C1964" t="s">
        <v>133</v>
      </c>
      <c r="D1964" s="5">
        <v>32207</v>
      </c>
      <c r="E1964" s="5">
        <v>45377</v>
      </c>
      <c r="F1964" s="5">
        <v>45389</v>
      </c>
      <c r="G1964" t="s">
        <v>62</v>
      </c>
      <c r="H1964" t="s">
        <v>153</v>
      </c>
      <c r="I1964" t="s">
        <v>119</v>
      </c>
      <c r="J1964" t="s">
        <v>64</v>
      </c>
      <c r="K1964" t="s">
        <v>110</v>
      </c>
      <c r="L1964" s="6">
        <v>123835.93</v>
      </c>
      <c r="M1964">
        <v>118992.45</v>
      </c>
      <c r="N1964" t="s">
        <v>192</v>
      </c>
      <c r="O1964">
        <v>12</v>
      </c>
      <c r="P1964">
        <v>234</v>
      </c>
      <c r="Q1964">
        <v>4</v>
      </c>
      <c r="R1964">
        <v>114</v>
      </c>
      <c r="S1964">
        <v>71.099999999999994</v>
      </c>
      <c r="T1964" t="s">
        <v>4237</v>
      </c>
      <c r="U1964" s="7">
        <f t="shared" si="120"/>
        <v>36</v>
      </c>
      <c r="V1964" s="7">
        <f t="shared" si="121"/>
        <v>12</v>
      </c>
      <c r="W1964" s="6">
        <f t="shared" si="122"/>
        <v>4843.4799999999959</v>
      </c>
      <c r="X1964" t="str">
        <f t="shared" si="123"/>
        <v>Adult</v>
      </c>
    </row>
    <row r="1965" spans="1:24">
      <c r="A1965" t="s">
        <v>2591</v>
      </c>
      <c r="B1965" t="s">
        <v>857</v>
      </c>
      <c r="C1965" t="s">
        <v>133</v>
      </c>
      <c r="D1965" s="5">
        <v>19132</v>
      </c>
      <c r="E1965" s="5">
        <v>45648</v>
      </c>
      <c r="F1965" s="5">
        <v>45656</v>
      </c>
      <c r="G1965" t="s">
        <v>94</v>
      </c>
      <c r="H1965" t="s">
        <v>44</v>
      </c>
      <c r="I1965" t="s">
        <v>96</v>
      </c>
      <c r="J1965" t="s">
        <v>80</v>
      </c>
      <c r="K1965" t="s">
        <v>55</v>
      </c>
      <c r="L1965" s="6">
        <v>249624.12</v>
      </c>
      <c r="M1965">
        <v>211948.49</v>
      </c>
      <c r="N1965" t="s">
        <v>56</v>
      </c>
      <c r="O1965">
        <v>8</v>
      </c>
      <c r="P1965">
        <v>75</v>
      </c>
      <c r="Q1965">
        <v>4</v>
      </c>
      <c r="R1965">
        <v>101</v>
      </c>
      <c r="S1965">
        <v>91.4</v>
      </c>
      <c r="T1965" t="s">
        <v>37</v>
      </c>
      <c r="U1965" s="7">
        <f t="shared" si="120"/>
        <v>72</v>
      </c>
      <c r="V1965" s="7">
        <f t="shared" si="121"/>
        <v>8</v>
      </c>
      <c r="W1965" s="6">
        <f t="shared" si="122"/>
        <v>37675.630000000005</v>
      </c>
      <c r="X1965" t="str">
        <f t="shared" si="123"/>
        <v>Senior</v>
      </c>
    </row>
    <row r="1966" spans="1:24">
      <c r="A1966" t="s">
        <v>890</v>
      </c>
      <c r="B1966" t="s">
        <v>891</v>
      </c>
      <c r="C1966" t="s">
        <v>133</v>
      </c>
      <c r="D1966" s="5">
        <v>38619</v>
      </c>
      <c r="E1966" s="5">
        <v>45693</v>
      </c>
      <c r="F1966" s="5">
        <v>45709</v>
      </c>
      <c r="G1966" t="s">
        <v>43</v>
      </c>
      <c r="H1966" t="s">
        <v>134</v>
      </c>
      <c r="I1966" t="s">
        <v>119</v>
      </c>
      <c r="J1966" t="s">
        <v>34</v>
      </c>
      <c r="K1966" t="s">
        <v>110</v>
      </c>
      <c r="L1966" s="6">
        <v>123663.9</v>
      </c>
      <c r="M1966">
        <v>104720.83</v>
      </c>
      <c r="N1966" t="s">
        <v>192</v>
      </c>
      <c r="O1966">
        <v>16</v>
      </c>
      <c r="P1966">
        <v>23</v>
      </c>
      <c r="Q1966">
        <v>4</v>
      </c>
      <c r="R1966">
        <v>94</v>
      </c>
      <c r="S1966">
        <v>258.60000000000002</v>
      </c>
      <c r="T1966" t="s">
        <v>37</v>
      </c>
      <c r="U1966" s="7">
        <f t="shared" si="120"/>
        <v>19</v>
      </c>
      <c r="V1966" s="7">
        <f t="shared" si="121"/>
        <v>16</v>
      </c>
      <c r="W1966" s="6">
        <f t="shared" si="122"/>
        <v>18943.069999999992</v>
      </c>
      <c r="X1966" t="str">
        <f t="shared" si="123"/>
        <v>Adult</v>
      </c>
    </row>
    <row r="1967" spans="1:24">
      <c r="A1967" t="s">
        <v>1991</v>
      </c>
      <c r="B1967" t="s">
        <v>679</v>
      </c>
      <c r="C1967" t="s">
        <v>40</v>
      </c>
      <c r="D1967" s="5">
        <v>21316</v>
      </c>
      <c r="E1967" s="5">
        <v>45240</v>
      </c>
      <c r="F1967" s="5" t="s">
        <v>4237</v>
      </c>
      <c r="G1967" t="s">
        <v>94</v>
      </c>
      <c r="H1967" t="s">
        <v>63</v>
      </c>
      <c r="I1967" t="s">
        <v>79</v>
      </c>
      <c r="J1967" t="s">
        <v>64</v>
      </c>
      <c r="K1967" t="s">
        <v>161</v>
      </c>
      <c r="L1967" s="6">
        <v>69399.7</v>
      </c>
      <c r="M1967">
        <v>54801.279999999999</v>
      </c>
      <c r="N1967" t="s">
        <v>4237</v>
      </c>
      <c r="O1967">
        <v>18</v>
      </c>
      <c r="P1967">
        <v>239</v>
      </c>
      <c r="Q1967">
        <v>1</v>
      </c>
      <c r="R1967">
        <v>149</v>
      </c>
      <c r="S1967">
        <v>108.9</v>
      </c>
      <c r="T1967" t="s">
        <v>37</v>
      </c>
      <c r="U1967" s="7">
        <f t="shared" si="120"/>
        <v>65</v>
      </c>
      <c r="V1967" s="7" t="s">
        <v>4237</v>
      </c>
      <c r="W1967" s="6">
        <f t="shared" si="122"/>
        <v>14598.419999999998</v>
      </c>
      <c r="X1967" t="str">
        <f t="shared" si="123"/>
        <v>Senior</v>
      </c>
    </row>
    <row r="1968" spans="1:24">
      <c r="A1968" t="s">
        <v>3362</v>
      </c>
      <c r="B1968" t="s">
        <v>2594</v>
      </c>
      <c r="C1968" t="s">
        <v>40</v>
      </c>
      <c r="D1968" s="5">
        <v>27651</v>
      </c>
      <c r="E1968" s="5">
        <v>45784</v>
      </c>
      <c r="F1968" s="5" t="s">
        <v>4237</v>
      </c>
      <c r="G1968" t="s">
        <v>161</v>
      </c>
      <c r="H1968" t="s">
        <v>118</v>
      </c>
      <c r="I1968" t="s">
        <v>53</v>
      </c>
      <c r="J1968" t="s">
        <v>80</v>
      </c>
      <c r="K1968" t="s">
        <v>55</v>
      </c>
      <c r="L1968" s="6">
        <v>49065.57</v>
      </c>
      <c r="M1968">
        <v>36304.1</v>
      </c>
      <c r="N1968" t="s">
        <v>73</v>
      </c>
      <c r="O1968">
        <v>2</v>
      </c>
      <c r="P1968">
        <v>81</v>
      </c>
      <c r="Q1968">
        <v>1</v>
      </c>
      <c r="R1968">
        <v>124</v>
      </c>
      <c r="S1968">
        <v>239.5</v>
      </c>
      <c r="T1968" t="s">
        <v>37</v>
      </c>
      <c r="U1968" s="7">
        <f t="shared" si="120"/>
        <v>49</v>
      </c>
      <c r="V1968" s="7" t="s">
        <v>4237</v>
      </c>
      <c r="W1968" s="6">
        <f t="shared" si="122"/>
        <v>12761.470000000001</v>
      </c>
      <c r="X1968" t="str">
        <f t="shared" si="123"/>
        <v>Middle Age</v>
      </c>
    </row>
    <row r="1969" spans="1:24">
      <c r="A1969" t="s">
        <v>2792</v>
      </c>
      <c r="B1969" t="s">
        <v>485</v>
      </c>
      <c r="C1969" t="s">
        <v>133</v>
      </c>
      <c r="D1969" s="5">
        <v>36023</v>
      </c>
      <c r="E1969" s="5">
        <v>45378</v>
      </c>
      <c r="F1969" s="5">
        <v>45394</v>
      </c>
      <c r="G1969" t="s">
        <v>105</v>
      </c>
      <c r="H1969" t="s">
        <v>44</v>
      </c>
      <c r="I1969" t="s">
        <v>33</v>
      </c>
      <c r="J1969" t="s">
        <v>34</v>
      </c>
      <c r="K1969" t="s">
        <v>161</v>
      </c>
      <c r="L1969" s="6">
        <v>18555.72</v>
      </c>
      <c r="M1969">
        <v>15459.59</v>
      </c>
      <c r="N1969" t="s">
        <v>73</v>
      </c>
      <c r="O1969">
        <v>16</v>
      </c>
      <c r="P1969">
        <v>126</v>
      </c>
      <c r="Q1969">
        <v>4</v>
      </c>
      <c r="R1969">
        <v>133</v>
      </c>
      <c r="S1969">
        <v>130.9</v>
      </c>
      <c r="T1969" t="s">
        <v>37</v>
      </c>
      <c r="U1969" s="7">
        <f t="shared" si="120"/>
        <v>25</v>
      </c>
      <c r="V1969" s="7">
        <f t="shared" si="121"/>
        <v>16</v>
      </c>
      <c r="W1969" s="6">
        <f t="shared" si="122"/>
        <v>3096.130000000001</v>
      </c>
      <c r="X1969" t="str">
        <f t="shared" si="123"/>
        <v>Adult</v>
      </c>
    </row>
    <row r="1970" spans="1:24">
      <c r="A1970" t="s">
        <v>2397</v>
      </c>
      <c r="B1970" t="s">
        <v>999</v>
      </c>
      <c r="C1970" t="s">
        <v>133</v>
      </c>
      <c r="D1970" s="5">
        <v>20491</v>
      </c>
      <c r="E1970" s="5">
        <v>45674</v>
      </c>
      <c r="F1970" s="5">
        <v>45692</v>
      </c>
      <c r="G1970" t="s">
        <v>94</v>
      </c>
      <c r="H1970" t="s">
        <v>124</v>
      </c>
      <c r="I1970" t="s">
        <v>45</v>
      </c>
      <c r="J1970" t="s">
        <v>80</v>
      </c>
      <c r="K1970" t="s">
        <v>110</v>
      </c>
      <c r="L1970" s="6">
        <v>10080.73</v>
      </c>
      <c r="M1970">
        <v>8698.7800000000007</v>
      </c>
      <c r="N1970" t="s">
        <v>192</v>
      </c>
      <c r="O1970">
        <v>18</v>
      </c>
      <c r="P1970">
        <v>97</v>
      </c>
      <c r="Q1970">
        <v>4</v>
      </c>
      <c r="R1970">
        <v>121</v>
      </c>
      <c r="S1970">
        <v>76.099999999999994</v>
      </c>
      <c r="T1970" t="s">
        <v>37</v>
      </c>
      <c r="U1970" s="7">
        <f t="shared" si="120"/>
        <v>68</v>
      </c>
      <c r="V1970" s="7">
        <f t="shared" si="121"/>
        <v>18</v>
      </c>
      <c r="W1970" s="6">
        <f t="shared" si="122"/>
        <v>1381.9499999999989</v>
      </c>
      <c r="X1970" t="str">
        <f t="shared" si="123"/>
        <v>Senior</v>
      </c>
    </row>
    <row r="1971" spans="1:24">
      <c r="A1971" t="s">
        <v>4040</v>
      </c>
      <c r="B1971" t="s">
        <v>1302</v>
      </c>
      <c r="C1971" t="s">
        <v>133</v>
      </c>
      <c r="D1971" s="5">
        <v>23318</v>
      </c>
      <c r="E1971" s="5">
        <v>45475</v>
      </c>
      <c r="F1971" s="5">
        <v>45492</v>
      </c>
      <c r="G1971" t="s">
        <v>161</v>
      </c>
      <c r="H1971" t="s">
        <v>52</v>
      </c>
      <c r="I1971" t="s">
        <v>96</v>
      </c>
      <c r="J1971" t="s">
        <v>46</v>
      </c>
      <c r="K1971" t="s">
        <v>120</v>
      </c>
      <c r="L1971" s="6">
        <v>238238.98</v>
      </c>
      <c r="M1971">
        <v>171749.92</v>
      </c>
      <c r="N1971" t="s">
        <v>192</v>
      </c>
      <c r="O1971">
        <v>17</v>
      </c>
      <c r="P1971">
        <v>9</v>
      </c>
      <c r="Q1971">
        <v>5</v>
      </c>
      <c r="R1971">
        <v>137</v>
      </c>
      <c r="S1971">
        <v>130.9</v>
      </c>
      <c r="T1971" t="s">
        <v>47</v>
      </c>
      <c r="U1971" s="7">
        <f t="shared" si="120"/>
        <v>60</v>
      </c>
      <c r="V1971" s="7">
        <f t="shared" si="121"/>
        <v>17</v>
      </c>
      <c r="W1971" s="6">
        <f t="shared" si="122"/>
        <v>66489.06</v>
      </c>
      <c r="X1971" t="str">
        <f t="shared" si="123"/>
        <v>Senior</v>
      </c>
    </row>
    <row r="1972" spans="1:24">
      <c r="A1972" t="s">
        <v>4072</v>
      </c>
      <c r="B1972" t="s">
        <v>321</v>
      </c>
      <c r="C1972" t="s">
        <v>40</v>
      </c>
      <c r="D1972" s="5">
        <v>40232</v>
      </c>
      <c r="E1972" s="5">
        <v>45743</v>
      </c>
      <c r="F1972" s="5">
        <v>45759</v>
      </c>
      <c r="G1972" t="s">
        <v>89</v>
      </c>
      <c r="H1972" t="s">
        <v>86</v>
      </c>
      <c r="I1972" t="s">
        <v>25</v>
      </c>
      <c r="J1972" t="s">
        <v>80</v>
      </c>
      <c r="K1972" t="s">
        <v>55</v>
      </c>
      <c r="L1972" s="6">
        <v>6991.5</v>
      </c>
      <c r="M1972">
        <v>6943.42</v>
      </c>
      <c r="N1972" t="s">
        <v>35</v>
      </c>
      <c r="O1972">
        <v>16</v>
      </c>
      <c r="P1972">
        <v>197</v>
      </c>
      <c r="Q1972">
        <v>3</v>
      </c>
      <c r="R1972">
        <v>118</v>
      </c>
      <c r="S1972">
        <v>198.2</v>
      </c>
      <c r="T1972" t="s">
        <v>4237</v>
      </c>
      <c r="U1972" s="7">
        <f t="shared" si="120"/>
        <v>15</v>
      </c>
      <c r="V1972" s="7">
        <f t="shared" si="121"/>
        <v>16</v>
      </c>
      <c r="W1972" s="6">
        <f t="shared" si="122"/>
        <v>48.079999999999927</v>
      </c>
      <c r="X1972" t="str">
        <f t="shared" si="123"/>
        <v>Child</v>
      </c>
    </row>
    <row r="1973" spans="1:24">
      <c r="A1973" t="s">
        <v>3063</v>
      </c>
      <c r="B1973" t="s">
        <v>607</v>
      </c>
      <c r="C1973" t="s">
        <v>40</v>
      </c>
      <c r="D1973" s="5">
        <v>38000</v>
      </c>
      <c r="E1973" s="5">
        <v>45777</v>
      </c>
      <c r="F1973" s="5">
        <v>45792</v>
      </c>
      <c r="G1973" t="s">
        <v>94</v>
      </c>
      <c r="H1973" t="s">
        <v>124</v>
      </c>
      <c r="I1973" t="s">
        <v>33</v>
      </c>
      <c r="J1973" t="s">
        <v>46</v>
      </c>
      <c r="K1973" t="s">
        <v>27</v>
      </c>
      <c r="L1973" s="6">
        <v>98561.34</v>
      </c>
      <c r="M1973">
        <v>85338.07</v>
      </c>
      <c r="N1973" t="s">
        <v>73</v>
      </c>
      <c r="O1973">
        <v>15</v>
      </c>
      <c r="P1973">
        <v>205</v>
      </c>
      <c r="Q1973">
        <v>1</v>
      </c>
      <c r="R1973">
        <v>113</v>
      </c>
      <c r="S1973">
        <v>161.9</v>
      </c>
      <c r="T1973" t="s">
        <v>37</v>
      </c>
      <c r="U1973" s="7">
        <f t="shared" si="120"/>
        <v>21</v>
      </c>
      <c r="V1973" s="7">
        <f t="shared" si="121"/>
        <v>15</v>
      </c>
      <c r="W1973" s="6">
        <f t="shared" si="122"/>
        <v>13223.26999999999</v>
      </c>
      <c r="X1973" t="str">
        <f t="shared" si="123"/>
        <v>Adult</v>
      </c>
    </row>
    <row r="1974" spans="1:24">
      <c r="A1974" t="s">
        <v>570</v>
      </c>
      <c r="B1974" t="s">
        <v>244</v>
      </c>
      <c r="C1974" t="s">
        <v>133</v>
      </c>
      <c r="D1974" s="5">
        <v>31399</v>
      </c>
      <c r="E1974" s="5">
        <v>45777</v>
      </c>
      <c r="F1974" s="5">
        <v>45781</v>
      </c>
      <c r="G1974" t="s">
        <v>117</v>
      </c>
      <c r="H1974" t="s">
        <v>63</v>
      </c>
      <c r="I1974" t="s">
        <v>33</v>
      </c>
      <c r="J1974" t="s">
        <v>34</v>
      </c>
      <c r="K1974" t="s">
        <v>120</v>
      </c>
      <c r="L1974" s="6">
        <v>220998.94</v>
      </c>
      <c r="M1974">
        <v>207239.21</v>
      </c>
      <c r="N1974" t="s">
        <v>4237</v>
      </c>
      <c r="O1974">
        <v>4</v>
      </c>
      <c r="P1974">
        <v>145</v>
      </c>
      <c r="Q1974">
        <v>4</v>
      </c>
      <c r="R1974">
        <v>154</v>
      </c>
      <c r="S1974">
        <v>134.1</v>
      </c>
      <c r="T1974" t="s">
        <v>47</v>
      </c>
      <c r="U1974" s="7">
        <f t="shared" si="120"/>
        <v>39</v>
      </c>
      <c r="V1974" s="7">
        <f t="shared" si="121"/>
        <v>4</v>
      </c>
      <c r="W1974" s="6">
        <f t="shared" si="122"/>
        <v>13759.73000000001</v>
      </c>
      <c r="X1974" t="str">
        <f t="shared" si="123"/>
        <v>Adult</v>
      </c>
    </row>
    <row r="1975" spans="1:24">
      <c r="A1975" t="s">
        <v>2417</v>
      </c>
      <c r="B1975" t="s">
        <v>406</v>
      </c>
      <c r="C1975" t="s">
        <v>40</v>
      </c>
      <c r="D1975" s="5">
        <v>23301</v>
      </c>
      <c r="E1975" s="5">
        <v>45423</v>
      </c>
      <c r="F1975" s="5">
        <v>45603</v>
      </c>
      <c r="G1975" t="s">
        <v>117</v>
      </c>
      <c r="H1975" t="s">
        <v>153</v>
      </c>
      <c r="I1975" t="s">
        <v>79</v>
      </c>
      <c r="J1975" t="s">
        <v>46</v>
      </c>
      <c r="K1975" t="s">
        <v>55</v>
      </c>
      <c r="L1975" s="6">
        <v>127804.69</v>
      </c>
      <c r="M1975">
        <v>106733.77</v>
      </c>
      <c r="N1975" t="s">
        <v>73</v>
      </c>
      <c r="O1975">
        <v>2</v>
      </c>
      <c r="P1975">
        <v>198</v>
      </c>
      <c r="Q1975">
        <v>4</v>
      </c>
      <c r="R1975">
        <v>176</v>
      </c>
      <c r="S1975">
        <v>164.4</v>
      </c>
      <c r="T1975" t="s">
        <v>37</v>
      </c>
      <c r="U1975" s="7">
        <f t="shared" si="120"/>
        <v>60</v>
      </c>
      <c r="V1975" s="7">
        <f t="shared" si="121"/>
        <v>180</v>
      </c>
      <c r="W1975" s="6">
        <f t="shared" si="122"/>
        <v>21070.92</v>
      </c>
      <c r="X1975" t="str">
        <f t="shared" si="123"/>
        <v>Senior</v>
      </c>
    </row>
    <row r="1976" spans="1:24">
      <c r="A1976" t="s">
        <v>3232</v>
      </c>
      <c r="B1976" t="s">
        <v>895</v>
      </c>
      <c r="C1976" t="s">
        <v>133</v>
      </c>
      <c r="D1976" s="5">
        <v>26259</v>
      </c>
      <c r="E1976" s="5">
        <v>45964</v>
      </c>
      <c r="F1976" s="5">
        <v>45979</v>
      </c>
      <c r="G1976" t="s">
        <v>43</v>
      </c>
      <c r="H1976" t="s">
        <v>86</v>
      </c>
      <c r="I1976" t="s">
        <v>25</v>
      </c>
      <c r="J1976" t="s">
        <v>34</v>
      </c>
      <c r="K1976" t="s">
        <v>55</v>
      </c>
      <c r="L1976" s="6">
        <v>193997.99</v>
      </c>
      <c r="M1976">
        <v>144985.13</v>
      </c>
      <c r="N1976" t="s">
        <v>73</v>
      </c>
      <c r="O1976">
        <v>15</v>
      </c>
      <c r="P1976">
        <v>110</v>
      </c>
      <c r="Q1976">
        <v>4</v>
      </c>
      <c r="R1976">
        <v>137</v>
      </c>
      <c r="S1976">
        <v>226</v>
      </c>
      <c r="T1976" t="s">
        <v>37</v>
      </c>
      <c r="U1976" s="7">
        <f t="shared" si="120"/>
        <v>53</v>
      </c>
      <c r="V1976" s="7">
        <f t="shared" si="121"/>
        <v>15</v>
      </c>
      <c r="W1976" s="6">
        <f t="shared" si="122"/>
        <v>49012.859999999986</v>
      </c>
      <c r="X1976" t="str">
        <f t="shared" si="123"/>
        <v>Middle Age</v>
      </c>
    </row>
    <row r="1977" spans="1:24">
      <c r="A1977" t="s">
        <v>3387</v>
      </c>
      <c r="B1977" t="s">
        <v>1305</v>
      </c>
      <c r="C1977" t="s">
        <v>133</v>
      </c>
      <c r="D1977" s="5">
        <v>34207</v>
      </c>
      <c r="E1977" s="5">
        <v>45113</v>
      </c>
      <c r="F1977" s="5">
        <v>45096</v>
      </c>
      <c r="G1977" t="s">
        <v>94</v>
      </c>
      <c r="H1977" t="s">
        <v>52</v>
      </c>
      <c r="I1977" t="s">
        <v>79</v>
      </c>
      <c r="J1977" t="s">
        <v>80</v>
      </c>
      <c r="K1977" t="s">
        <v>120</v>
      </c>
      <c r="L1977" s="6">
        <v>37356.300000000003</v>
      </c>
      <c r="M1977">
        <v>33439.49</v>
      </c>
      <c r="N1977" t="s">
        <v>192</v>
      </c>
      <c r="O1977">
        <v>12</v>
      </c>
      <c r="P1977">
        <v>129</v>
      </c>
      <c r="Q1977">
        <v>4</v>
      </c>
      <c r="R1977">
        <v>109</v>
      </c>
      <c r="S1977">
        <v>134</v>
      </c>
      <c r="T1977" t="s">
        <v>37</v>
      </c>
      <c r="U1977" s="7">
        <f t="shared" si="120"/>
        <v>29</v>
      </c>
      <c r="V1977" s="7">
        <f t="shared" si="121"/>
        <v>-17</v>
      </c>
      <c r="W1977" s="6">
        <f t="shared" si="122"/>
        <v>3916.8100000000049</v>
      </c>
      <c r="X1977" t="str">
        <f t="shared" si="123"/>
        <v>Adult</v>
      </c>
    </row>
    <row r="1978" spans="1:24">
      <c r="A1978" t="s">
        <v>2279</v>
      </c>
      <c r="B1978" t="s">
        <v>553</v>
      </c>
      <c r="C1978" t="s">
        <v>40</v>
      </c>
      <c r="D1978" s="5">
        <v>31221</v>
      </c>
      <c r="E1978" s="5">
        <v>45581</v>
      </c>
      <c r="F1978" s="5">
        <v>45592</v>
      </c>
      <c r="G1978" t="s">
        <v>89</v>
      </c>
      <c r="H1978" t="s">
        <v>153</v>
      </c>
      <c r="I1978" t="s">
        <v>45</v>
      </c>
      <c r="J1978" t="s">
        <v>34</v>
      </c>
      <c r="K1978" t="s">
        <v>120</v>
      </c>
      <c r="L1978" s="6">
        <v>234860.44</v>
      </c>
      <c r="M1978">
        <v>214701.29</v>
      </c>
      <c r="N1978" t="s">
        <v>192</v>
      </c>
      <c r="O1978">
        <v>11</v>
      </c>
      <c r="P1978">
        <v>108</v>
      </c>
      <c r="Q1978">
        <v>1</v>
      </c>
      <c r="R1978">
        <v>105</v>
      </c>
      <c r="S1978">
        <v>163.5</v>
      </c>
      <c r="T1978" t="s">
        <v>47</v>
      </c>
      <c r="U1978" s="7">
        <f t="shared" si="120"/>
        <v>39</v>
      </c>
      <c r="V1978" s="7">
        <f t="shared" si="121"/>
        <v>11</v>
      </c>
      <c r="W1978" s="6">
        <f t="shared" si="122"/>
        <v>20159.149999999994</v>
      </c>
      <c r="X1978" t="str">
        <f t="shared" si="123"/>
        <v>Adult</v>
      </c>
    </row>
    <row r="1979" spans="1:24">
      <c r="A1979" t="s">
        <v>3125</v>
      </c>
      <c r="B1979" t="s">
        <v>503</v>
      </c>
      <c r="C1979" t="s">
        <v>40</v>
      </c>
      <c r="D1979" s="5">
        <v>30492</v>
      </c>
      <c r="E1979" s="5">
        <v>45805</v>
      </c>
      <c r="F1979" s="5">
        <v>45809</v>
      </c>
      <c r="G1979" t="s">
        <v>161</v>
      </c>
      <c r="H1979" t="s">
        <v>32</v>
      </c>
      <c r="I1979" t="s">
        <v>33</v>
      </c>
      <c r="J1979" t="s">
        <v>71</v>
      </c>
      <c r="K1979" t="s">
        <v>27</v>
      </c>
      <c r="L1979" s="6">
        <v>25252.42</v>
      </c>
      <c r="M1979">
        <v>23670.29</v>
      </c>
      <c r="N1979" t="s">
        <v>35</v>
      </c>
      <c r="O1979">
        <v>4</v>
      </c>
      <c r="P1979">
        <v>132</v>
      </c>
      <c r="Q1979">
        <v>4</v>
      </c>
      <c r="R1979">
        <v>114</v>
      </c>
      <c r="S1979">
        <v>97.4</v>
      </c>
      <c r="T1979" t="s">
        <v>65</v>
      </c>
      <c r="U1979" s="7">
        <f t="shared" si="120"/>
        <v>41</v>
      </c>
      <c r="V1979" s="7">
        <f t="shared" si="121"/>
        <v>4</v>
      </c>
      <c r="W1979" s="6">
        <f t="shared" si="122"/>
        <v>1582.1299999999974</v>
      </c>
      <c r="X1979" t="str">
        <f t="shared" si="123"/>
        <v>Middle Age</v>
      </c>
    </row>
    <row r="1980" spans="1:24">
      <c r="A1980" t="s">
        <v>430</v>
      </c>
      <c r="B1980" t="s">
        <v>390</v>
      </c>
      <c r="C1980" t="s">
        <v>133</v>
      </c>
      <c r="D1980" s="5">
        <v>19867</v>
      </c>
      <c r="E1980" s="5">
        <v>45964</v>
      </c>
      <c r="F1980" s="5">
        <v>45977</v>
      </c>
      <c r="G1980" t="s">
        <v>43</v>
      </c>
      <c r="H1980" t="s">
        <v>95</v>
      </c>
      <c r="I1980" t="s">
        <v>25</v>
      </c>
      <c r="J1980" t="s">
        <v>97</v>
      </c>
      <c r="K1980" t="s">
        <v>161</v>
      </c>
      <c r="L1980" s="6">
        <v>50208.95</v>
      </c>
      <c r="M1980">
        <v>47753.38</v>
      </c>
      <c r="N1980" t="s">
        <v>91</v>
      </c>
      <c r="O1980">
        <v>13</v>
      </c>
      <c r="P1980">
        <v>68</v>
      </c>
      <c r="Q1980">
        <v>1</v>
      </c>
      <c r="R1980">
        <v>148</v>
      </c>
      <c r="S1980">
        <v>79.599999999999994</v>
      </c>
      <c r="T1980" t="s">
        <v>65</v>
      </c>
      <c r="U1980" s="7">
        <f t="shared" si="120"/>
        <v>71</v>
      </c>
      <c r="V1980" s="7">
        <f t="shared" si="121"/>
        <v>13</v>
      </c>
      <c r="W1980" s="6">
        <f t="shared" si="122"/>
        <v>2455.5699999999997</v>
      </c>
      <c r="X1980" t="str">
        <f t="shared" si="123"/>
        <v>Senior</v>
      </c>
    </row>
    <row r="1981" spans="1:24">
      <c r="A1981" t="s">
        <v>3225</v>
      </c>
      <c r="B1981" t="s">
        <v>147</v>
      </c>
      <c r="C1981" t="s">
        <v>40</v>
      </c>
      <c r="D1981" s="5">
        <v>36284</v>
      </c>
      <c r="E1981" s="5">
        <v>45393</v>
      </c>
      <c r="F1981" s="5">
        <v>45410</v>
      </c>
      <c r="G1981" t="s">
        <v>161</v>
      </c>
      <c r="H1981" t="s">
        <v>86</v>
      </c>
      <c r="I1981" t="s">
        <v>79</v>
      </c>
      <c r="J1981" t="s">
        <v>64</v>
      </c>
      <c r="K1981" t="s">
        <v>110</v>
      </c>
      <c r="L1981" s="6">
        <v>132589.54999999999</v>
      </c>
      <c r="M1981">
        <v>117321.12</v>
      </c>
      <c r="N1981" t="s">
        <v>192</v>
      </c>
      <c r="O1981">
        <v>17</v>
      </c>
      <c r="P1981">
        <v>210</v>
      </c>
      <c r="Q1981">
        <v>4</v>
      </c>
      <c r="R1981">
        <v>158</v>
      </c>
      <c r="S1981">
        <v>196.6</v>
      </c>
      <c r="T1981" t="s">
        <v>37</v>
      </c>
      <c r="U1981" s="7">
        <f t="shared" si="120"/>
        <v>24</v>
      </c>
      <c r="V1981" s="7">
        <f t="shared" si="121"/>
        <v>17</v>
      </c>
      <c r="W1981" s="6">
        <f t="shared" si="122"/>
        <v>15268.429999999993</v>
      </c>
      <c r="X1981" t="str">
        <f t="shared" si="123"/>
        <v>Adult</v>
      </c>
    </row>
    <row r="1982" spans="1:24">
      <c r="A1982" t="s">
        <v>748</v>
      </c>
      <c r="B1982" t="s">
        <v>515</v>
      </c>
      <c r="C1982" t="s">
        <v>40</v>
      </c>
      <c r="D1982" s="5">
        <v>33853</v>
      </c>
      <c r="E1982" s="5">
        <v>44965</v>
      </c>
      <c r="F1982" s="5">
        <v>44982</v>
      </c>
      <c r="G1982" t="s">
        <v>117</v>
      </c>
      <c r="H1982" t="s">
        <v>32</v>
      </c>
      <c r="I1982" t="s">
        <v>45</v>
      </c>
      <c r="J1982" t="s">
        <v>34</v>
      </c>
      <c r="K1982" t="s">
        <v>120</v>
      </c>
      <c r="L1982" s="6">
        <v>68814.149999999994</v>
      </c>
      <c r="M1982">
        <v>50292.37</v>
      </c>
      <c r="N1982" t="s">
        <v>91</v>
      </c>
      <c r="O1982">
        <v>17</v>
      </c>
      <c r="P1982">
        <v>162</v>
      </c>
      <c r="Q1982">
        <v>4</v>
      </c>
      <c r="R1982">
        <v>162</v>
      </c>
      <c r="S1982">
        <v>208.1</v>
      </c>
      <c r="T1982" t="s">
        <v>37</v>
      </c>
      <c r="U1982" s="7">
        <f t="shared" si="120"/>
        <v>30</v>
      </c>
      <c r="V1982" s="7">
        <f t="shared" si="121"/>
        <v>17</v>
      </c>
      <c r="W1982" s="6">
        <f t="shared" si="122"/>
        <v>18521.779999999992</v>
      </c>
      <c r="X1982" t="str">
        <f t="shared" si="123"/>
        <v>Adult</v>
      </c>
    </row>
    <row r="1983" spans="1:24">
      <c r="A1983" t="s">
        <v>1781</v>
      </c>
      <c r="B1983" t="s">
        <v>363</v>
      </c>
      <c r="C1983" t="s">
        <v>40</v>
      </c>
      <c r="D1983" s="5" t="s">
        <v>4237</v>
      </c>
      <c r="E1983" s="5">
        <v>45431</v>
      </c>
      <c r="F1983" s="5">
        <v>45434</v>
      </c>
      <c r="G1983" t="s">
        <v>161</v>
      </c>
      <c r="H1983" t="s">
        <v>134</v>
      </c>
      <c r="I1983" t="s">
        <v>79</v>
      </c>
      <c r="J1983" t="s">
        <v>80</v>
      </c>
      <c r="K1983" t="s">
        <v>55</v>
      </c>
      <c r="L1983" s="6">
        <v>147233.82999999999</v>
      </c>
      <c r="M1983">
        <v>100148.91</v>
      </c>
      <c r="N1983" t="s">
        <v>192</v>
      </c>
      <c r="O1983">
        <v>3</v>
      </c>
      <c r="P1983">
        <v>93</v>
      </c>
      <c r="Q1983">
        <v>2</v>
      </c>
      <c r="R1983">
        <v>102</v>
      </c>
      <c r="S1983">
        <v>142.19999999999999</v>
      </c>
      <c r="T1983" t="s">
        <v>47</v>
      </c>
      <c r="U1983" s="7" t="s">
        <v>4237</v>
      </c>
      <c r="V1983" s="7">
        <f t="shared" si="121"/>
        <v>3</v>
      </c>
      <c r="W1983" s="6">
        <f t="shared" si="122"/>
        <v>47084.919999999984</v>
      </c>
      <c r="X1983" t="s">
        <v>4237</v>
      </c>
    </row>
    <row r="1984" spans="1:24">
      <c r="A1984" t="s">
        <v>1300</v>
      </c>
      <c r="B1984" t="s">
        <v>1146</v>
      </c>
      <c r="C1984" t="s">
        <v>133</v>
      </c>
      <c r="D1984" s="5">
        <v>32650</v>
      </c>
      <c r="E1984" s="5">
        <v>45733</v>
      </c>
      <c r="F1984" s="5">
        <v>45738</v>
      </c>
      <c r="G1984" t="s">
        <v>94</v>
      </c>
      <c r="H1984" t="s">
        <v>113</v>
      </c>
      <c r="I1984" t="s">
        <v>45</v>
      </c>
      <c r="J1984" t="s">
        <v>46</v>
      </c>
      <c r="K1984" t="s">
        <v>110</v>
      </c>
      <c r="L1984" s="6">
        <v>74856.490000000005</v>
      </c>
      <c r="M1984">
        <v>98646.34</v>
      </c>
      <c r="N1984" t="s">
        <v>192</v>
      </c>
      <c r="O1984">
        <v>5</v>
      </c>
      <c r="P1984">
        <v>209</v>
      </c>
      <c r="Q1984">
        <v>4</v>
      </c>
      <c r="R1984">
        <v>92</v>
      </c>
      <c r="S1984">
        <v>188.2</v>
      </c>
      <c r="T1984" t="s">
        <v>37</v>
      </c>
      <c r="U1984" s="7">
        <f t="shared" si="120"/>
        <v>35</v>
      </c>
      <c r="V1984" s="7">
        <f t="shared" si="121"/>
        <v>5</v>
      </c>
      <c r="W1984" s="6">
        <f t="shared" si="122"/>
        <v>-23789.849999999991</v>
      </c>
      <c r="X1984" t="str">
        <f t="shared" si="123"/>
        <v>Adult</v>
      </c>
    </row>
    <row r="1985" spans="1:24">
      <c r="A1985" t="s">
        <v>3251</v>
      </c>
      <c r="B1985" t="s">
        <v>850</v>
      </c>
      <c r="C1985" t="s">
        <v>40</v>
      </c>
      <c r="D1985" s="5">
        <v>33385</v>
      </c>
      <c r="E1985" s="5">
        <v>45940</v>
      </c>
      <c r="F1985" s="5">
        <v>45951</v>
      </c>
      <c r="G1985" t="s">
        <v>161</v>
      </c>
      <c r="H1985" t="s">
        <v>118</v>
      </c>
      <c r="I1985" t="s">
        <v>79</v>
      </c>
      <c r="J1985" t="s">
        <v>26</v>
      </c>
      <c r="K1985" t="s">
        <v>110</v>
      </c>
      <c r="L1985" s="6">
        <v>215194.17</v>
      </c>
      <c r="M1985">
        <v>165230.59</v>
      </c>
      <c r="N1985" t="s">
        <v>35</v>
      </c>
      <c r="O1985">
        <v>11</v>
      </c>
      <c r="P1985">
        <v>17</v>
      </c>
      <c r="Q1985">
        <v>3</v>
      </c>
      <c r="R1985">
        <v>104</v>
      </c>
      <c r="S1985">
        <v>222.5</v>
      </c>
      <c r="T1985" t="s">
        <v>37</v>
      </c>
      <c r="U1985" s="7">
        <f t="shared" si="120"/>
        <v>34</v>
      </c>
      <c r="V1985" s="7">
        <f t="shared" si="121"/>
        <v>11</v>
      </c>
      <c r="W1985" s="6">
        <f t="shared" si="122"/>
        <v>49963.580000000016</v>
      </c>
      <c r="X1985" t="str">
        <f t="shared" si="123"/>
        <v>Adult</v>
      </c>
    </row>
    <row r="1986" spans="1:24">
      <c r="A1986" t="s">
        <v>2682</v>
      </c>
      <c r="B1986" t="s">
        <v>2033</v>
      </c>
      <c r="C1986" t="s">
        <v>133</v>
      </c>
      <c r="D1986" s="5">
        <v>28626</v>
      </c>
      <c r="E1986" s="5">
        <v>45850</v>
      </c>
      <c r="F1986" s="5">
        <v>45858</v>
      </c>
      <c r="G1986" t="s">
        <v>117</v>
      </c>
      <c r="H1986" t="s">
        <v>118</v>
      </c>
      <c r="I1986" t="s">
        <v>119</v>
      </c>
      <c r="J1986" t="s">
        <v>64</v>
      </c>
      <c r="K1986" t="s">
        <v>55</v>
      </c>
      <c r="L1986" s="6">
        <v>78456.5</v>
      </c>
      <c r="M1986">
        <v>54409.82</v>
      </c>
      <c r="N1986" t="s">
        <v>192</v>
      </c>
      <c r="O1986">
        <v>8</v>
      </c>
      <c r="P1986">
        <v>103</v>
      </c>
      <c r="Q1986">
        <v>4</v>
      </c>
      <c r="R1986">
        <v>186</v>
      </c>
      <c r="S1986">
        <v>93.6</v>
      </c>
      <c r="T1986" t="s">
        <v>65</v>
      </c>
      <c r="U1986" s="7">
        <f t="shared" ref="U1986:U2001" si="124">DATEDIF(D1986,E1986,"Y")</f>
        <v>47</v>
      </c>
      <c r="V1986" s="7">
        <f t="shared" ref="V1986:V2001" si="125">IF(OR(E1986=" ",F1986=" ",E1986="Unknown",F1986="Unknown")," ",F1986-E1986)</f>
        <v>8</v>
      </c>
      <c r="W1986" s="6">
        <f t="shared" ref="W1986:W2001" si="126">L1986-M1986</f>
        <v>24046.68</v>
      </c>
      <c r="X1986" t="str">
        <f t="shared" ref="X1986:X2001" si="127">IF(OR(U1986="",U1986="Unknown"),"",IF(U1986&lt;18,"Child",IF(U1986&lt;40,"Adult",IF(U1986&lt;60,"Middle Age","Senior"))))</f>
        <v>Middle Age</v>
      </c>
    </row>
    <row r="1987" spans="1:24">
      <c r="A1987" t="s">
        <v>4101</v>
      </c>
      <c r="B1987" t="s">
        <v>879</v>
      </c>
      <c r="C1987" t="s">
        <v>133</v>
      </c>
      <c r="D1987" s="5">
        <v>34345</v>
      </c>
      <c r="E1987" s="5">
        <v>45523</v>
      </c>
      <c r="F1987" s="5" t="s">
        <v>4237</v>
      </c>
      <c r="G1987" t="s">
        <v>77</v>
      </c>
      <c r="H1987" t="s">
        <v>124</v>
      </c>
      <c r="I1987" t="s">
        <v>25</v>
      </c>
      <c r="J1987" t="s">
        <v>64</v>
      </c>
      <c r="K1987" t="s">
        <v>27</v>
      </c>
      <c r="L1987" s="6">
        <v>4948</v>
      </c>
      <c r="M1987">
        <v>4750.38</v>
      </c>
      <c r="N1987" t="s">
        <v>56</v>
      </c>
      <c r="O1987">
        <v>9</v>
      </c>
      <c r="P1987">
        <v>146</v>
      </c>
      <c r="Q1987">
        <v>4</v>
      </c>
      <c r="R1987">
        <v>121</v>
      </c>
      <c r="S1987">
        <v>220.5</v>
      </c>
      <c r="T1987" t="s">
        <v>37</v>
      </c>
      <c r="U1987" s="7">
        <f t="shared" si="124"/>
        <v>30</v>
      </c>
      <c r="V1987" s="7" t="s">
        <v>4237</v>
      </c>
      <c r="W1987" s="6">
        <f t="shared" si="126"/>
        <v>197.61999999999989</v>
      </c>
      <c r="X1987" t="str">
        <f t="shared" si="127"/>
        <v>Adult</v>
      </c>
    </row>
    <row r="1988" spans="1:24">
      <c r="A1988" t="s">
        <v>3076</v>
      </c>
      <c r="B1988" t="s">
        <v>684</v>
      </c>
      <c r="C1988" t="s">
        <v>40</v>
      </c>
      <c r="D1988" s="5">
        <v>36881</v>
      </c>
      <c r="E1988" s="5" t="s">
        <v>4237</v>
      </c>
      <c r="F1988" s="5">
        <v>45575</v>
      </c>
      <c r="G1988" t="s">
        <v>152</v>
      </c>
      <c r="H1988" t="s">
        <v>95</v>
      </c>
      <c r="I1988" t="s">
        <v>25</v>
      </c>
      <c r="J1988" t="s">
        <v>64</v>
      </c>
      <c r="K1988" t="s">
        <v>55</v>
      </c>
      <c r="L1988" s="6">
        <v>162771.71</v>
      </c>
      <c r="M1988">
        <v>136986.06</v>
      </c>
      <c r="N1988" t="s">
        <v>73</v>
      </c>
      <c r="O1988">
        <v>16</v>
      </c>
      <c r="P1988">
        <v>35</v>
      </c>
      <c r="Q1988">
        <v>4</v>
      </c>
      <c r="R1988">
        <v>119</v>
      </c>
      <c r="S1988">
        <v>193.9</v>
      </c>
      <c r="T1988" t="s">
        <v>37</v>
      </c>
      <c r="U1988" s="7" t="s">
        <v>4237</v>
      </c>
      <c r="V1988" s="7" t="s">
        <v>4237</v>
      </c>
      <c r="W1988" s="6">
        <f t="shared" si="126"/>
        <v>25785.649999999994</v>
      </c>
      <c r="X1988" t="s">
        <v>4237</v>
      </c>
    </row>
    <row r="1989" spans="1:24">
      <c r="A1989" t="s">
        <v>2263</v>
      </c>
      <c r="B1989" t="s">
        <v>108</v>
      </c>
      <c r="C1989" t="s">
        <v>40</v>
      </c>
      <c r="D1989" s="5">
        <v>37976</v>
      </c>
      <c r="E1989" s="5">
        <v>45168</v>
      </c>
      <c r="F1989" s="5">
        <v>45184</v>
      </c>
      <c r="G1989" t="s">
        <v>105</v>
      </c>
      <c r="H1989" t="s">
        <v>24</v>
      </c>
      <c r="I1989" t="s">
        <v>96</v>
      </c>
      <c r="J1989" t="s">
        <v>64</v>
      </c>
      <c r="K1989" t="s">
        <v>55</v>
      </c>
      <c r="L1989" s="6">
        <v>103049.14</v>
      </c>
      <c r="M1989">
        <v>74358.45</v>
      </c>
      <c r="N1989" t="s">
        <v>192</v>
      </c>
      <c r="O1989">
        <v>16</v>
      </c>
      <c r="P1989">
        <v>96</v>
      </c>
      <c r="Q1989">
        <v>4</v>
      </c>
      <c r="R1989">
        <v>129</v>
      </c>
      <c r="S1989">
        <v>238.5</v>
      </c>
      <c r="T1989" t="s">
        <v>37</v>
      </c>
      <c r="U1989" s="7">
        <f t="shared" si="124"/>
        <v>19</v>
      </c>
      <c r="V1989" s="7">
        <f t="shared" si="125"/>
        <v>16</v>
      </c>
      <c r="W1989" s="6">
        <f t="shared" si="126"/>
        <v>28690.690000000002</v>
      </c>
      <c r="X1989" t="str">
        <f t="shared" si="127"/>
        <v>Adult</v>
      </c>
    </row>
    <row r="1990" spans="1:24">
      <c r="A1990" t="s">
        <v>1469</v>
      </c>
      <c r="B1990" t="s">
        <v>1061</v>
      </c>
      <c r="C1990" t="s">
        <v>133</v>
      </c>
      <c r="D1990" s="5">
        <v>39467</v>
      </c>
      <c r="E1990" s="5">
        <v>45364</v>
      </c>
      <c r="F1990" s="5">
        <v>45377</v>
      </c>
      <c r="G1990" t="s">
        <v>94</v>
      </c>
      <c r="H1990" t="s">
        <v>63</v>
      </c>
      <c r="I1990" t="s">
        <v>53</v>
      </c>
      <c r="J1990" t="s">
        <v>179</v>
      </c>
      <c r="K1990" t="s">
        <v>161</v>
      </c>
      <c r="L1990" s="6">
        <v>21372.36</v>
      </c>
      <c r="M1990">
        <v>13873.79</v>
      </c>
      <c r="N1990" t="s">
        <v>73</v>
      </c>
      <c r="O1990">
        <v>13</v>
      </c>
      <c r="P1990">
        <v>36</v>
      </c>
      <c r="Q1990">
        <v>4</v>
      </c>
      <c r="R1990">
        <v>171</v>
      </c>
      <c r="S1990">
        <v>216.7</v>
      </c>
      <c r="T1990" t="s">
        <v>65</v>
      </c>
      <c r="U1990" s="7">
        <f t="shared" si="124"/>
        <v>16</v>
      </c>
      <c r="V1990" s="7">
        <f t="shared" si="125"/>
        <v>13</v>
      </c>
      <c r="W1990" s="6">
        <f t="shared" si="126"/>
        <v>7498.57</v>
      </c>
      <c r="X1990" t="str">
        <f t="shared" si="127"/>
        <v>Child</v>
      </c>
    </row>
    <row r="1991" spans="1:24">
      <c r="A1991" t="s">
        <v>2246</v>
      </c>
      <c r="B1991" t="s">
        <v>1101</v>
      </c>
      <c r="C1991" t="s">
        <v>133</v>
      </c>
      <c r="D1991" s="5">
        <v>31189</v>
      </c>
      <c r="E1991" s="5">
        <v>45567</v>
      </c>
      <c r="F1991" s="5">
        <v>45578</v>
      </c>
      <c r="G1991" t="s">
        <v>161</v>
      </c>
      <c r="H1991" t="s">
        <v>134</v>
      </c>
      <c r="I1991" t="s">
        <v>79</v>
      </c>
      <c r="J1991" t="s">
        <v>80</v>
      </c>
      <c r="K1991" t="s">
        <v>120</v>
      </c>
      <c r="L1991" s="6">
        <v>187954.81</v>
      </c>
      <c r="M1991">
        <v>149924.20000000001</v>
      </c>
      <c r="N1991" t="s">
        <v>192</v>
      </c>
      <c r="O1991">
        <v>11</v>
      </c>
      <c r="P1991">
        <v>231</v>
      </c>
      <c r="Q1991">
        <v>5</v>
      </c>
      <c r="R1991">
        <v>105</v>
      </c>
      <c r="S1991">
        <v>218.8</v>
      </c>
      <c r="T1991" t="s">
        <v>4237</v>
      </c>
      <c r="U1991" s="7">
        <f t="shared" si="124"/>
        <v>39</v>
      </c>
      <c r="V1991" s="7">
        <f t="shared" si="125"/>
        <v>11</v>
      </c>
      <c r="W1991" s="6">
        <f t="shared" si="126"/>
        <v>38030.609999999986</v>
      </c>
      <c r="X1991" t="str">
        <f t="shared" si="127"/>
        <v>Adult</v>
      </c>
    </row>
    <row r="1992" spans="1:24">
      <c r="A1992" t="s">
        <v>3592</v>
      </c>
      <c r="B1992" t="s">
        <v>980</v>
      </c>
      <c r="C1992" t="s">
        <v>133</v>
      </c>
      <c r="D1992" s="5">
        <v>22693</v>
      </c>
      <c r="E1992" s="5">
        <v>45885</v>
      </c>
      <c r="F1992" s="5">
        <v>45901</v>
      </c>
      <c r="G1992" t="s">
        <v>161</v>
      </c>
      <c r="H1992" t="s">
        <v>153</v>
      </c>
      <c r="I1992" t="s">
        <v>53</v>
      </c>
      <c r="J1992" t="s">
        <v>97</v>
      </c>
      <c r="K1992" t="s">
        <v>120</v>
      </c>
      <c r="L1992" s="6">
        <v>38418.589999999997</v>
      </c>
      <c r="M1992">
        <v>34727.26</v>
      </c>
      <c r="N1992" t="s">
        <v>91</v>
      </c>
      <c r="O1992">
        <v>16</v>
      </c>
      <c r="P1992">
        <v>38</v>
      </c>
      <c r="Q1992">
        <v>2</v>
      </c>
      <c r="R1992">
        <v>181</v>
      </c>
      <c r="S1992">
        <v>220.9</v>
      </c>
      <c r="T1992" t="s">
        <v>37</v>
      </c>
      <c r="U1992" s="7">
        <f t="shared" si="124"/>
        <v>63</v>
      </c>
      <c r="V1992" s="7">
        <f t="shared" si="125"/>
        <v>16</v>
      </c>
      <c r="W1992" s="6">
        <f t="shared" si="126"/>
        <v>3691.3299999999945</v>
      </c>
      <c r="X1992" t="str">
        <f t="shared" si="127"/>
        <v>Senior</v>
      </c>
    </row>
    <row r="1993" spans="1:24">
      <c r="A1993" t="s">
        <v>215</v>
      </c>
      <c r="B1993" t="s">
        <v>926</v>
      </c>
      <c r="C1993" t="s">
        <v>133</v>
      </c>
      <c r="D1993" s="5">
        <v>36070</v>
      </c>
      <c r="E1993" s="5">
        <v>45094</v>
      </c>
      <c r="F1993" s="5">
        <v>45103</v>
      </c>
      <c r="G1993" t="s">
        <v>43</v>
      </c>
      <c r="H1993" t="s">
        <v>153</v>
      </c>
      <c r="I1993" t="s">
        <v>33</v>
      </c>
      <c r="J1993" t="s">
        <v>34</v>
      </c>
      <c r="K1993" t="s">
        <v>161</v>
      </c>
      <c r="L1993" s="6">
        <v>70108.789999999994</v>
      </c>
      <c r="M1993">
        <v>46323.03</v>
      </c>
      <c r="N1993" t="s">
        <v>4237</v>
      </c>
      <c r="O1993">
        <v>9</v>
      </c>
      <c r="P1993">
        <v>115</v>
      </c>
      <c r="Q1993">
        <v>2</v>
      </c>
      <c r="R1993">
        <v>126</v>
      </c>
      <c r="S1993">
        <v>198.9</v>
      </c>
      <c r="T1993" t="s">
        <v>37</v>
      </c>
      <c r="U1993" s="7">
        <f t="shared" si="124"/>
        <v>24</v>
      </c>
      <c r="V1993" s="7">
        <f t="shared" si="125"/>
        <v>9</v>
      </c>
      <c r="W1993" s="6">
        <f t="shared" si="126"/>
        <v>23785.759999999995</v>
      </c>
      <c r="X1993" t="str">
        <f t="shared" si="127"/>
        <v>Adult</v>
      </c>
    </row>
    <row r="1994" spans="1:24">
      <c r="A1994" t="s">
        <v>1812</v>
      </c>
      <c r="B1994" t="s">
        <v>292</v>
      </c>
      <c r="C1994" t="s">
        <v>40</v>
      </c>
      <c r="D1994" s="5">
        <v>37680</v>
      </c>
      <c r="E1994" s="5">
        <v>45797</v>
      </c>
      <c r="F1994" s="5">
        <v>45813</v>
      </c>
      <c r="G1994" t="s">
        <v>43</v>
      </c>
      <c r="H1994" t="s">
        <v>86</v>
      </c>
      <c r="I1994" t="s">
        <v>25</v>
      </c>
      <c r="J1994" t="s">
        <v>179</v>
      </c>
      <c r="K1994" t="s">
        <v>120</v>
      </c>
      <c r="L1994" s="6">
        <v>8206.77</v>
      </c>
      <c r="M1994">
        <v>6978.24</v>
      </c>
      <c r="N1994" t="s">
        <v>192</v>
      </c>
      <c r="O1994">
        <v>16</v>
      </c>
      <c r="P1994">
        <v>155</v>
      </c>
      <c r="Q1994">
        <v>4</v>
      </c>
      <c r="R1994">
        <v>125</v>
      </c>
      <c r="S1994">
        <v>200</v>
      </c>
      <c r="T1994" t="s">
        <v>47</v>
      </c>
      <c r="U1994" s="7">
        <f t="shared" si="124"/>
        <v>22</v>
      </c>
      <c r="V1994" s="7">
        <f t="shared" si="125"/>
        <v>16</v>
      </c>
      <c r="W1994" s="6">
        <f t="shared" si="126"/>
        <v>1228.5300000000007</v>
      </c>
      <c r="X1994" t="str">
        <f t="shared" si="127"/>
        <v>Adult</v>
      </c>
    </row>
    <row r="1995" spans="1:24">
      <c r="A1995" t="s">
        <v>3357</v>
      </c>
      <c r="B1995" t="s">
        <v>221</v>
      </c>
      <c r="C1995" t="s">
        <v>40</v>
      </c>
      <c r="D1995" s="5">
        <v>36641</v>
      </c>
      <c r="E1995" s="5">
        <v>45730</v>
      </c>
      <c r="F1995" s="5">
        <v>45737</v>
      </c>
      <c r="G1995" t="s">
        <v>161</v>
      </c>
      <c r="H1995" t="s">
        <v>86</v>
      </c>
      <c r="I1995" t="s">
        <v>25</v>
      </c>
      <c r="J1995" t="s">
        <v>80</v>
      </c>
      <c r="K1995" t="s">
        <v>55</v>
      </c>
      <c r="L1995" s="6">
        <v>37747.360000000001</v>
      </c>
      <c r="M1995">
        <v>26498.66</v>
      </c>
      <c r="N1995" t="s">
        <v>56</v>
      </c>
      <c r="O1995">
        <v>7</v>
      </c>
      <c r="P1995">
        <v>180</v>
      </c>
      <c r="Q1995">
        <v>4</v>
      </c>
      <c r="R1995">
        <v>143</v>
      </c>
      <c r="S1995">
        <v>127.6</v>
      </c>
      <c r="T1995" t="s">
        <v>37</v>
      </c>
      <c r="U1995" s="7">
        <f t="shared" si="124"/>
        <v>24</v>
      </c>
      <c r="V1995" s="7">
        <f t="shared" si="125"/>
        <v>7</v>
      </c>
      <c r="W1995" s="6">
        <f t="shared" si="126"/>
        <v>11248.7</v>
      </c>
      <c r="X1995" t="str">
        <f t="shared" si="127"/>
        <v>Adult</v>
      </c>
    </row>
    <row r="1996" spans="1:24">
      <c r="A1996" t="s">
        <v>1482</v>
      </c>
      <c r="B1996" t="s">
        <v>139</v>
      </c>
      <c r="C1996" t="s">
        <v>133</v>
      </c>
      <c r="D1996" s="5">
        <v>39247</v>
      </c>
      <c r="E1996" s="5">
        <v>45168</v>
      </c>
      <c r="F1996" s="5">
        <v>45173</v>
      </c>
      <c r="G1996" t="s">
        <v>117</v>
      </c>
      <c r="H1996" t="s">
        <v>118</v>
      </c>
      <c r="I1996" t="s">
        <v>79</v>
      </c>
      <c r="J1996" t="s">
        <v>46</v>
      </c>
      <c r="K1996" t="s">
        <v>120</v>
      </c>
      <c r="L1996" s="6">
        <v>9910.1200000000008</v>
      </c>
      <c r="M1996">
        <v>8144.82</v>
      </c>
      <c r="N1996" t="s">
        <v>56</v>
      </c>
      <c r="O1996">
        <v>5</v>
      </c>
      <c r="P1996">
        <v>121</v>
      </c>
      <c r="Q1996">
        <v>5</v>
      </c>
      <c r="R1996">
        <v>159</v>
      </c>
      <c r="S1996">
        <v>198.5</v>
      </c>
      <c r="T1996" t="s">
        <v>37</v>
      </c>
      <c r="U1996" s="7">
        <f t="shared" si="124"/>
        <v>16</v>
      </c>
      <c r="V1996" s="7">
        <f t="shared" si="125"/>
        <v>5</v>
      </c>
      <c r="W1996" s="6">
        <f t="shared" si="126"/>
        <v>1765.3000000000011</v>
      </c>
      <c r="X1996" t="str">
        <f t="shared" si="127"/>
        <v>Child</v>
      </c>
    </row>
    <row r="1997" spans="1:24">
      <c r="A1997" t="s">
        <v>4108</v>
      </c>
      <c r="B1997" t="s">
        <v>545</v>
      </c>
      <c r="C1997" t="s">
        <v>40</v>
      </c>
      <c r="D1997" s="5">
        <v>35720</v>
      </c>
      <c r="E1997" s="5">
        <v>45968</v>
      </c>
      <c r="F1997" s="5">
        <v>45863</v>
      </c>
      <c r="G1997" t="s">
        <v>117</v>
      </c>
      <c r="H1997" t="s">
        <v>24</v>
      </c>
      <c r="I1997" t="s">
        <v>33</v>
      </c>
      <c r="J1997" t="s">
        <v>80</v>
      </c>
      <c r="K1997" t="s">
        <v>55</v>
      </c>
      <c r="L1997" s="6">
        <v>166350.57999999999</v>
      </c>
      <c r="M1997">
        <v>128701.74</v>
      </c>
      <c r="N1997" t="s">
        <v>73</v>
      </c>
      <c r="O1997">
        <v>14</v>
      </c>
      <c r="P1997">
        <v>25</v>
      </c>
      <c r="Q1997">
        <v>4</v>
      </c>
      <c r="R1997">
        <v>111</v>
      </c>
      <c r="S1997">
        <v>145.4</v>
      </c>
      <c r="T1997" t="s">
        <v>37</v>
      </c>
      <c r="U1997" s="7">
        <f t="shared" si="124"/>
        <v>28</v>
      </c>
      <c r="V1997" s="7">
        <f t="shared" si="125"/>
        <v>-105</v>
      </c>
      <c r="W1997" s="6">
        <f t="shared" si="126"/>
        <v>37648.839999999982</v>
      </c>
      <c r="X1997" t="str">
        <f t="shared" si="127"/>
        <v>Adult</v>
      </c>
    </row>
    <row r="1998" spans="1:24">
      <c r="A1998" t="s">
        <v>2706</v>
      </c>
      <c r="B1998" t="s">
        <v>1153</v>
      </c>
      <c r="C1998" t="s">
        <v>40</v>
      </c>
      <c r="D1998" s="5">
        <v>32988</v>
      </c>
      <c r="E1998" s="5">
        <v>45250</v>
      </c>
      <c r="F1998" s="5">
        <v>45251</v>
      </c>
      <c r="G1998" t="s">
        <v>105</v>
      </c>
      <c r="H1998" t="s">
        <v>86</v>
      </c>
      <c r="I1998" t="s">
        <v>96</v>
      </c>
      <c r="J1998" t="s">
        <v>97</v>
      </c>
      <c r="K1998" t="s">
        <v>27</v>
      </c>
      <c r="L1998" s="6">
        <v>62331.040000000001</v>
      </c>
      <c r="M1998">
        <v>49284.42</v>
      </c>
      <c r="N1998" t="s">
        <v>192</v>
      </c>
      <c r="O1998">
        <v>1</v>
      </c>
      <c r="P1998">
        <v>15</v>
      </c>
      <c r="Q1998">
        <v>4</v>
      </c>
      <c r="R1998">
        <v>150</v>
      </c>
      <c r="S1998">
        <v>143.1</v>
      </c>
      <c r="T1998" t="s">
        <v>65</v>
      </c>
      <c r="U1998" s="7">
        <f t="shared" si="124"/>
        <v>33</v>
      </c>
      <c r="V1998" s="7">
        <f t="shared" si="125"/>
        <v>1</v>
      </c>
      <c r="W1998" s="6">
        <f t="shared" si="126"/>
        <v>13046.620000000003</v>
      </c>
      <c r="X1998" t="str">
        <f t="shared" si="127"/>
        <v>Adult</v>
      </c>
    </row>
    <row r="1999" spans="1:24">
      <c r="A1999" t="s">
        <v>471</v>
      </c>
      <c r="B1999" t="s">
        <v>472</v>
      </c>
      <c r="C1999" t="s">
        <v>40</v>
      </c>
      <c r="D1999" s="5">
        <v>35051</v>
      </c>
      <c r="E1999" s="5">
        <v>45372</v>
      </c>
      <c r="F1999" s="5">
        <v>45379</v>
      </c>
      <c r="G1999" t="s">
        <v>161</v>
      </c>
      <c r="H1999" t="s">
        <v>44</v>
      </c>
      <c r="I1999" t="s">
        <v>119</v>
      </c>
      <c r="J1999" t="s">
        <v>97</v>
      </c>
      <c r="K1999" t="s">
        <v>120</v>
      </c>
      <c r="L1999" s="6">
        <v>245380.54</v>
      </c>
      <c r="M1999">
        <v>207020.39</v>
      </c>
      <c r="N1999" t="s">
        <v>73</v>
      </c>
      <c r="O1999">
        <v>7</v>
      </c>
      <c r="P1999">
        <v>50</v>
      </c>
      <c r="Q1999">
        <v>4</v>
      </c>
      <c r="R1999">
        <v>159</v>
      </c>
      <c r="S1999">
        <v>201.9</v>
      </c>
      <c r="T1999" t="s">
        <v>65</v>
      </c>
      <c r="U1999" s="7">
        <f t="shared" si="124"/>
        <v>28</v>
      </c>
      <c r="V1999" s="7">
        <f t="shared" si="125"/>
        <v>7</v>
      </c>
      <c r="W1999" s="6">
        <f t="shared" si="126"/>
        <v>38360.149999999994</v>
      </c>
      <c r="X1999" t="str">
        <f t="shared" si="127"/>
        <v>Adult</v>
      </c>
    </row>
    <row r="2000" spans="1:24">
      <c r="A2000" t="s">
        <v>2726</v>
      </c>
      <c r="B2000" t="s">
        <v>21</v>
      </c>
      <c r="C2000" t="s">
        <v>133</v>
      </c>
      <c r="D2000" s="5">
        <v>26723</v>
      </c>
      <c r="E2000" s="5">
        <v>45019</v>
      </c>
      <c r="F2000" s="5">
        <v>45020</v>
      </c>
      <c r="G2000" t="s">
        <v>43</v>
      </c>
      <c r="H2000" t="s">
        <v>24</v>
      </c>
      <c r="I2000" t="s">
        <v>33</v>
      </c>
      <c r="J2000" t="s">
        <v>179</v>
      </c>
      <c r="K2000" t="s">
        <v>161</v>
      </c>
      <c r="L2000" s="6">
        <v>158179.03</v>
      </c>
      <c r="M2000">
        <v>120181.79</v>
      </c>
      <c r="N2000" t="s">
        <v>35</v>
      </c>
      <c r="O2000">
        <v>1</v>
      </c>
      <c r="P2000">
        <v>65</v>
      </c>
      <c r="Q2000">
        <v>5</v>
      </c>
      <c r="R2000">
        <v>136</v>
      </c>
      <c r="S2000">
        <v>133.5</v>
      </c>
      <c r="T2000" t="s">
        <v>4237</v>
      </c>
      <c r="U2000" s="7">
        <f t="shared" si="124"/>
        <v>50</v>
      </c>
      <c r="V2000" s="7">
        <f t="shared" si="125"/>
        <v>1</v>
      </c>
      <c r="W2000" s="6">
        <f t="shared" si="126"/>
        <v>37997.240000000005</v>
      </c>
      <c r="X2000" t="str">
        <f t="shared" si="127"/>
        <v>Middle Age</v>
      </c>
    </row>
    <row r="2001" spans="1:24">
      <c r="A2001" t="s">
        <v>3548</v>
      </c>
      <c r="B2001" t="s">
        <v>88</v>
      </c>
      <c r="C2001" t="s">
        <v>133</v>
      </c>
      <c r="D2001" s="5">
        <v>18707</v>
      </c>
      <c r="E2001" s="5">
        <v>45052</v>
      </c>
      <c r="F2001" s="5">
        <v>45097</v>
      </c>
      <c r="G2001" t="s">
        <v>43</v>
      </c>
      <c r="H2001" t="s">
        <v>63</v>
      </c>
      <c r="I2001" t="s">
        <v>33</v>
      </c>
      <c r="J2001" t="s">
        <v>80</v>
      </c>
      <c r="K2001" t="s">
        <v>120</v>
      </c>
      <c r="L2001" s="6">
        <v>180451.02</v>
      </c>
      <c r="M2001">
        <v>128088.72</v>
      </c>
      <c r="N2001" t="s">
        <v>91</v>
      </c>
      <c r="O2001">
        <v>15</v>
      </c>
      <c r="P2001">
        <v>165</v>
      </c>
      <c r="Q2001">
        <v>5</v>
      </c>
      <c r="R2001">
        <v>152</v>
      </c>
      <c r="S2001">
        <v>168</v>
      </c>
      <c r="T2001" t="s">
        <v>37</v>
      </c>
      <c r="U2001" s="7">
        <f t="shared" si="124"/>
        <v>72</v>
      </c>
      <c r="V2001" s="7">
        <f t="shared" si="125"/>
        <v>45</v>
      </c>
      <c r="W2001" s="6">
        <f t="shared" si="126"/>
        <v>52362.299999999988</v>
      </c>
      <c r="X2001" t="str">
        <f t="shared" si="127"/>
        <v>Senior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A51CB-7493-4869-B9EA-2A8D54E17CB2}">
  <dimension ref="A1:A21"/>
  <sheetViews>
    <sheetView workbookViewId="0">
      <selection activeCell="A18" sqref="A18"/>
    </sheetView>
  </sheetViews>
  <sheetFormatPr defaultRowHeight="14.4"/>
  <cols>
    <col min="1" max="1" width="156.44140625" customWidth="1"/>
  </cols>
  <sheetData>
    <row r="1" spans="1:1" ht="18">
      <c r="A1" s="8" t="s">
        <v>4278</v>
      </c>
    </row>
    <row r="3" spans="1:1" ht="15.6">
      <c r="A3" s="9" t="s">
        <v>4279</v>
      </c>
    </row>
    <row r="5" spans="1:1">
      <c r="A5" t="s">
        <v>4280</v>
      </c>
    </row>
    <row r="7" spans="1:1" ht="15.6">
      <c r="A7" s="9" t="s">
        <v>4281</v>
      </c>
    </row>
    <row r="9" spans="1:1">
      <c r="A9" t="s">
        <v>4282</v>
      </c>
    </row>
    <row r="11" spans="1:1" ht="15.6">
      <c r="A11" s="9" t="s">
        <v>4283</v>
      </c>
    </row>
    <row r="12" spans="1:1">
      <c r="A12" t="s">
        <v>4284</v>
      </c>
    </row>
    <row r="13" spans="1:1">
      <c r="A13" t="s">
        <v>4285</v>
      </c>
    </row>
    <row r="14" spans="1:1">
      <c r="A14" t="s">
        <v>4286</v>
      </c>
    </row>
    <row r="15" spans="1:1">
      <c r="A15" t="s">
        <v>4287</v>
      </c>
    </row>
    <row r="16" spans="1:1">
      <c r="A16" t="s">
        <v>4288</v>
      </c>
    </row>
    <row r="17" spans="1:1">
      <c r="A17" t="s">
        <v>4289</v>
      </c>
    </row>
    <row r="18" spans="1:1">
      <c r="A18" t="s">
        <v>4290</v>
      </c>
    </row>
    <row r="19" spans="1:1">
      <c r="A19" t="s">
        <v>4291</v>
      </c>
    </row>
    <row r="20" spans="1:1">
      <c r="A20" t="s">
        <v>4292</v>
      </c>
    </row>
    <row r="21" spans="1:1">
      <c r="A21" t="s">
        <v>4293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4F65-0A1B-4434-BFF0-ACE9BB0FF332}">
  <dimension ref="A1:B8"/>
  <sheetViews>
    <sheetView workbookViewId="0">
      <selection activeCell="B9" sqref="B9"/>
    </sheetView>
  </sheetViews>
  <sheetFormatPr defaultRowHeight="14.4"/>
  <cols>
    <col min="1" max="1" width="17" customWidth="1"/>
    <col min="2" max="2" width="13.33203125" customWidth="1"/>
  </cols>
  <sheetData>
    <row r="1" spans="1:2">
      <c r="A1" t="s">
        <v>4251</v>
      </c>
      <c r="B1" t="s">
        <v>4252</v>
      </c>
    </row>
    <row r="2" spans="1:2">
      <c r="A2" t="s">
        <v>25</v>
      </c>
      <c r="B2" t="s">
        <v>4229</v>
      </c>
    </row>
    <row r="3" spans="1:2">
      <c r="A3" t="s">
        <v>119</v>
      </c>
      <c r="B3" t="s">
        <v>4230</v>
      </c>
    </row>
    <row r="4" spans="1:2">
      <c r="A4" t="s">
        <v>4224</v>
      </c>
      <c r="B4" t="s">
        <v>4231</v>
      </c>
    </row>
    <row r="5" spans="1:2">
      <c r="A5" t="s">
        <v>4225</v>
      </c>
      <c r="B5" t="s">
        <v>4232</v>
      </c>
    </row>
    <row r="6" spans="1:2">
      <c r="A6" t="s">
        <v>4227</v>
      </c>
      <c r="B6" t="s">
        <v>4233</v>
      </c>
    </row>
    <row r="7" spans="1:2">
      <c r="A7" t="s">
        <v>4226</v>
      </c>
      <c r="B7" t="s">
        <v>4234</v>
      </c>
    </row>
    <row r="8" spans="1:2">
      <c r="A8" t="s">
        <v>4228</v>
      </c>
      <c r="B8" t="s">
        <v>4235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446C-BE7D-46C6-BC50-4C6B39542830}">
  <dimension ref="A1:B11"/>
  <sheetViews>
    <sheetView workbookViewId="0">
      <selection activeCell="B12" sqref="B12"/>
    </sheetView>
  </sheetViews>
  <sheetFormatPr defaultRowHeight="14.4"/>
  <cols>
    <col min="1" max="1" width="15.77734375" customWidth="1"/>
    <col min="2" max="2" width="17.6640625" customWidth="1"/>
    <col min="3" max="4" width="10.44140625" customWidth="1"/>
  </cols>
  <sheetData>
    <row r="1" spans="1:2">
      <c r="A1" t="s">
        <v>4238</v>
      </c>
      <c r="B1" t="s">
        <v>6</v>
      </c>
    </row>
    <row r="2" spans="1:2">
      <c r="A2" t="s">
        <v>4240</v>
      </c>
      <c r="B2" t="s">
        <v>152</v>
      </c>
    </row>
    <row r="3" spans="1:2">
      <c r="A3" t="s">
        <v>4241</v>
      </c>
      <c r="B3" t="s">
        <v>77</v>
      </c>
    </row>
    <row r="4" spans="1:2">
      <c r="A4" t="s">
        <v>4242</v>
      </c>
      <c r="B4" t="s">
        <v>4239</v>
      </c>
    </row>
    <row r="5" spans="1:2">
      <c r="A5" t="s">
        <v>4243</v>
      </c>
      <c r="B5" t="s">
        <v>117</v>
      </c>
    </row>
    <row r="6" spans="1:2">
      <c r="A6" t="s">
        <v>4244</v>
      </c>
      <c r="B6" t="s">
        <v>94</v>
      </c>
    </row>
    <row r="7" spans="1:2">
      <c r="A7" t="s">
        <v>4245</v>
      </c>
      <c r="B7" t="s">
        <v>89</v>
      </c>
    </row>
    <row r="8" spans="1:2">
      <c r="A8" t="s">
        <v>4246</v>
      </c>
      <c r="B8" t="s">
        <v>109</v>
      </c>
    </row>
    <row r="9" spans="1:2">
      <c r="A9" t="s">
        <v>4247</v>
      </c>
      <c r="B9" t="s">
        <v>43</v>
      </c>
    </row>
    <row r="10" spans="1:2">
      <c r="A10" t="s">
        <v>4248</v>
      </c>
      <c r="B10" t="s">
        <v>62</v>
      </c>
    </row>
    <row r="11" spans="1:2">
      <c r="A11" t="s">
        <v>4249</v>
      </c>
      <c r="B11" t="s">
        <v>105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79AB8-E062-4D20-BFCC-1829CA72CEBB}">
  <dimension ref="A1:G2001"/>
  <sheetViews>
    <sheetView workbookViewId="0"/>
  </sheetViews>
  <sheetFormatPr defaultRowHeight="14.4"/>
  <cols>
    <col min="1" max="1" width="12" bestFit="1" customWidth="1"/>
    <col min="2" max="2" width="15.33203125" bestFit="1" customWidth="1"/>
    <col min="3" max="3" width="9.33203125" bestFit="1" customWidth="1"/>
    <col min="4" max="4" width="15.44140625" bestFit="1" customWidth="1"/>
    <col min="5" max="5" width="16.88671875" bestFit="1" customWidth="1"/>
    <col min="6" max="6" width="6.44140625" bestFit="1" customWidth="1"/>
    <col min="7" max="7" width="12.66406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4250</v>
      </c>
      <c r="G1" t="s">
        <v>4295</v>
      </c>
    </row>
    <row r="2" spans="1:7">
      <c r="A2" t="s">
        <v>20</v>
      </c>
      <c r="B2" t="s">
        <v>21</v>
      </c>
      <c r="C2" t="s">
        <v>133</v>
      </c>
      <c r="D2" s="10">
        <v>23837</v>
      </c>
      <c r="E2" s="10">
        <v>45136</v>
      </c>
      <c r="F2">
        <v>58</v>
      </c>
      <c r="G2" t="s">
        <v>4296</v>
      </c>
    </row>
    <row r="3" spans="1:7">
      <c r="A3" t="s">
        <v>28</v>
      </c>
      <c r="B3" t="s">
        <v>29</v>
      </c>
      <c r="C3" t="s">
        <v>133</v>
      </c>
      <c r="D3" s="10">
        <v>20634</v>
      </c>
      <c r="E3" s="10">
        <v>45631</v>
      </c>
      <c r="F3">
        <v>68</v>
      </c>
      <c r="G3" t="s">
        <v>4296</v>
      </c>
    </row>
    <row r="4" spans="1:7">
      <c r="A4" t="s">
        <v>38</v>
      </c>
      <c r="B4" t="s">
        <v>39</v>
      </c>
      <c r="C4" t="s">
        <v>40</v>
      </c>
      <c r="D4" s="10">
        <v>32453</v>
      </c>
      <c r="E4" s="10">
        <v>46020</v>
      </c>
      <c r="F4">
        <v>37</v>
      </c>
      <c r="G4" t="s">
        <v>4296</v>
      </c>
    </row>
    <row r="5" spans="1:7">
      <c r="A5" t="s">
        <v>48</v>
      </c>
      <c r="B5" t="s">
        <v>49</v>
      </c>
      <c r="C5" t="s">
        <v>40</v>
      </c>
      <c r="D5" s="10">
        <v>23453</v>
      </c>
      <c r="E5" s="10">
        <v>45937</v>
      </c>
      <c r="F5">
        <v>61</v>
      </c>
      <c r="G5" t="s">
        <v>4296</v>
      </c>
    </row>
    <row r="6" spans="1:7">
      <c r="A6" t="s">
        <v>58</v>
      </c>
      <c r="B6" t="s">
        <v>59</v>
      </c>
      <c r="C6" t="s">
        <v>133</v>
      </c>
      <c r="D6" s="10">
        <v>30010</v>
      </c>
      <c r="E6" s="10">
        <v>45538</v>
      </c>
      <c r="F6">
        <v>42</v>
      </c>
      <c r="G6" t="s">
        <v>4296</v>
      </c>
    </row>
    <row r="7" spans="1:7">
      <c r="A7" t="s">
        <v>66</v>
      </c>
      <c r="B7" t="s">
        <v>67</v>
      </c>
      <c r="C7" t="s">
        <v>133</v>
      </c>
      <c r="D7" s="10">
        <v>24378</v>
      </c>
      <c r="E7" s="10">
        <v>45793</v>
      </c>
      <c r="F7">
        <v>58</v>
      </c>
      <c r="G7" t="s">
        <v>4296</v>
      </c>
    </row>
    <row r="8" spans="1:7">
      <c r="A8" t="s">
        <v>75</v>
      </c>
      <c r="B8" t="s">
        <v>76</v>
      </c>
      <c r="C8" t="s">
        <v>40</v>
      </c>
      <c r="D8" s="10">
        <v>33823</v>
      </c>
      <c r="E8" s="10">
        <v>45197</v>
      </c>
      <c r="F8">
        <v>31</v>
      </c>
      <c r="G8" t="s">
        <v>4296</v>
      </c>
    </row>
    <row r="9" spans="1:7">
      <c r="A9" t="s">
        <v>82</v>
      </c>
      <c r="B9" t="s">
        <v>83</v>
      </c>
      <c r="C9" t="s">
        <v>133</v>
      </c>
      <c r="D9" s="10">
        <v>20475</v>
      </c>
      <c r="E9" s="10">
        <v>44957</v>
      </c>
      <c r="F9">
        <v>67</v>
      </c>
      <c r="G9" t="s">
        <v>4296</v>
      </c>
    </row>
    <row r="10" spans="1:7">
      <c r="A10" t="s">
        <v>87</v>
      </c>
      <c r="B10" t="s">
        <v>88</v>
      </c>
      <c r="C10" t="s">
        <v>133</v>
      </c>
      <c r="D10" s="10">
        <v>19378</v>
      </c>
      <c r="E10" s="10">
        <v>45903</v>
      </c>
      <c r="F10">
        <v>72</v>
      </c>
      <c r="G10" t="s">
        <v>4296</v>
      </c>
    </row>
    <row r="11" spans="1:7">
      <c r="A11" t="s">
        <v>92</v>
      </c>
      <c r="B11" t="s">
        <v>93</v>
      </c>
      <c r="C11" t="s">
        <v>40</v>
      </c>
      <c r="D11" s="10">
        <v>39845</v>
      </c>
      <c r="E11" s="10">
        <v>45865</v>
      </c>
      <c r="F11">
        <v>16</v>
      </c>
      <c r="G11" t="s">
        <v>4296</v>
      </c>
    </row>
    <row r="12" spans="1:7">
      <c r="A12" t="s">
        <v>4111</v>
      </c>
      <c r="B12" t="s">
        <v>99</v>
      </c>
      <c r="C12" t="s">
        <v>133</v>
      </c>
      <c r="D12" s="10">
        <v>34857</v>
      </c>
      <c r="E12" s="10">
        <v>45467</v>
      </c>
      <c r="F12">
        <v>29</v>
      </c>
      <c r="G12" t="s">
        <v>4296</v>
      </c>
    </row>
    <row r="13" spans="1:7">
      <c r="A13" t="s">
        <v>103</v>
      </c>
      <c r="B13" t="s">
        <v>104</v>
      </c>
      <c r="C13" t="s">
        <v>133</v>
      </c>
      <c r="D13" s="10">
        <v>39094</v>
      </c>
      <c r="E13" s="10">
        <v>45357</v>
      </c>
      <c r="F13">
        <v>17</v>
      </c>
      <c r="G13" t="s">
        <v>4296</v>
      </c>
    </row>
    <row r="14" spans="1:7">
      <c r="A14" t="s">
        <v>107</v>
      </c>
      <c r="B14" t="s">
        <v>108</v>
      </c>
      <c r="C14" t="s">
        <v>40</v>
      </c>
      <c r="D14" s="10">
        <v>37354</v>
      </c>
      <c r="E14" s="10">
        <v>44975</v>
      </c>
      <c r="F14">
        <v>20</v>
      </c>
      <c r="G14" t="s">
        <v>4296</v>
      </c>
    </row>
    <row r="15" spans="1:7">
      <c r="A15" t="s">
        <v>111</v>
      </c>
      <c r="B15" t="s">
        <v>112</v>
      </c>
      <c r="C15" t="s">
        <v>133</v>
      </c>
      <c r="D15" s="10">
        <v>19342</v>
      </c>
      <c r="E15" s="10">
        <v>44930</v>
      </c>
      <c r="F15">
        <v>70</v>
      </c>
      <c r="G15" t="s">
        <v>4296</v>
      </c>
    </row>
    <row r="16" spans="1:7">
      <c r="A16" t="s">
        <v>115</v>
      </c>
      <c r="B16" t="s">
        <v>116</v>
      </c>
      <c r="C16" t="s">
        <v>133</v>
      </c>
      <c r="D16" s="10">
        <v>31057</v>
      </c>
      <c r="E16" s="10">
        <v>45514</v>
      </c>
      <c r="F16">
        <v>39</v>
      </c>
      <c r="G16" t="s">
        <v>4296</v>
      </c>
    </row>
    <row r="17" spans="1:7">
      <c r="A17" t="s">
        <v>122</v>
      </c>
      <c r="B17" t="s">
        <v>83</v>
      </c>
      <c r="C17" t="s">
        <v>40</v>
      </c>
      <c r="D17" s="10">
        <v>29330</v>
      </c>
      <c r="E17" s="10">
        <v>45325</v>
      </c>
      <c r="F17">
        <v>43</v>
      </c>
      <c r="G17" t="s">
        <v>4237</v>
      </c>
    </row>
    <row r="18" spans="1:7">
      <c r="A18" t="s">
        <v>125</v>
      </c>
      <c r="B18" t="s">
        <v>126</v>
      </c>
      <c r="C18" t="s">
        <v>40</v>
      </c>
      <c r="D18" s="10">
        <v>28573</v>
      </c>
      <c r="E18" s="10">
        <v>45899</v>
      </c>
      <c r="F18">
        <v>47</v>
      </c>
      <c r="G18" t="s">
        <v>4296</v>
      </c>
    </row>
    <row r="19" spans="1:7">
      <c r="A19" t="s">
        <v>128</v>
      </c>
      <c r="B19" t="s">
        <v>129</v>
      </c>
      <c r="C19" t="s">
        <v>40</v>
      </c>
      <c r="D19" s="10">
        <v>40513</v>
      </c>
      <c r="E19" s="10">
        <v>45482</v>
      </c>
      <c r="F19">
        <v>13</v>
      </c>
      <c r="G19" t="s">
        <v>4237</v>
      </c>
    </row>
    <row r="20" spans="1:7">
      <c r="A20" t="s">
        <v>131</v>
      </c>
      <c r="B20" t="s">
        <v>132</v>
      </c>
      <c r="C20" t="s">
        <v>133</v>
      </c>
      <c r="D20" s="10">
        <v>20407</v>
      </c>
      <c r="E20" s="10">
        <v>45204</v>
      </c>
      <c r="F20">
        <v>67</v>
      </c>
      <c r="G20" t="s">
        <v>4296</v>
      </c>
    </row>
    <row r="21" spans="1:7">
      <c r="A21" t="s">
        <v>135</v>
      </c>
      <c r="B21" t="s">
        <v>877</v>
      </c>
      <c r="C21" t="s">
        <v>40</v>
      </c>
      <c r="D21" s="10">
        <v>32575</v>
      </c>
      <c r="E21" s="10">
        <v>45185</v>
      </c>
      <c r="F21">
        <v>34</v>
      </c>
      <c r="G21" t="s">
        <v>4296</v>
      </c>
    </row>
    <row r="22" spans="1:7">
      <c r="A22" t="s">
        <v>138</v>
      </c>
      <c r="B22" t="s">
        <v>139</v>
      </c>
      <c r="C22" t="s">
        <v>133</v>
      </c>
      <c r="D22" s="10">
        <v>36948</v>
      </c>
      <c r="E22" s="10">
        <v>45482</v>
      </c>
      <c r="F22">
        <v>23</v>
      </c>
      <c r="G22" t="s">
        <v>4237</v>
      </c>
    </row>
    <row r="23" spans="1:7">
      <c r="A23" t="s">
        <v>142</v>
      </c>
      <c r="B23" t="s">
        <v>143</v>
      </c>
      <c r="C23" t="s">
        <v>133</v>
      </c>
      <c r="D23" s="10">
        <v>37661</v>
      </c>
      <c r="E23" s="10">
        <v>45850</v>
      </c>
      <c r="F23">
        <v>22</v>
      </c>
      <c r="G23" t="s">
        <v>4296</v>
      </c>
    </row>
    <row r="24" spans="1:7">
      <c r="A24" t="s">
        <v>146</v>
      </c>
      <c r="B24" t="s">
        <v>147</v>
      </c>
      <c r="C24" t="s">
        <v>133</v>
      </c>
      <c r="D24" s="10">
        <v>23581</v>
      </c>
      <c r="E24" s="10">
        <v>45425</v>
      </c>
      <c r="F24">
        <v>59</v>
      </c>
      <c r="G24" t="s">
        <v>4296</v>
      </c>
    </row>
    <row r="25" spans="1:7">
      <c r="A25" t="s">
        <v>149</v>
      </c>
      <c r="B25" t="s">
        <v>150</v>
      </c>
      <c r="C25" t="s">
        <v>40</v>
      </c>
      <c r="D25" s="10">
        <v>37721</v>
      </c>
      <c r="E25" s="10">
        <v>45392</v>
      </c>
      <c r="F25">
        <v>21</v>
      </c>
      <c r="G25" t="s">
        <v>4296</v>
      </c>
    </row>
    <row r="26" spans="1:7">
      <c r="A26" t="s">
        <v>154</v>
      </c>
      <c r="B26" t="s">
        <v>155</v>
      </c>
      <c r="C26" t="s">
        <v>40</v>
      </c>
      <c r="D26" s="10">
        <v>21635</v>
      </c>
      <c r="E26" s="10">
        <v>45549</v>
      </c>
      <c r="F26">
        <v>65</v>
      </c>
      <c r="G26" t="s">
        <v>4296</v>
      </c>
    </row>
    <row r="27" spans="1:7">
      <c r="A27" t="s">
        <v>4112</v>
      </c>
      <c r="B27" t="s">
        <v>159</v>
      </c>
      <c r="C27" t="s">
        <v>133</v>
      </c>
      <c r="D27" s="10">
        <v>18459</v>
      </c>
      <c r="E27" s="10">
        <v>45889</v>
      </c>
      <c r="F27">
        <v>75</v>
      </c>
      <c r="G27" t="s">
        <v>4296</v>
      </c>
    </row>
    <row r="28" spans="1:7">
      <c r="A28" t="s">
        <v>163</v>
      </c>
      <c r="B28" t="s">
        <v>164</v>
      </c>
      <c r="C28" t="s">
        <v>133</v>
      </c>
      <c r="D28" s="10">
        <v>30909</v>
      </c>
      <c r="E28" s="10">
        <v>45091</v>
      </c>
      <c r="F28">
        <v>38</v>
      </c>
      <c r="G28" t="s">
        <v>4296</v>
      </c>
    </row>
    <row r="29" spans="1:7">
      <c r="A29" t="s">
        <v>167</v>
      </c>
      <c r="B29" t="s">
        <v>168</v>
      </c>
      <c r="C29" t="s">
        <v>40</v>
      </c>
      <c r="D29" s="10">
        <v>38057</v>
      </c>
      <c r="E29" s="10">
        <v>45770</v>
      </c>
      <c r="F29">
        <v>21</v>
      </c>
      <c r="G29" t="s">
        <v>4296</v>
      </c>
    </row>
    <row r="30" spans="1:7">
      <c r="A30" t="s">
        <v>170</v>
      </c>
      <c r="B30" t="s">
        <v>171</v>
      </c>
      <c r="C30" t="s">
        <v>133</v>
      </c>
      <c r="D30" s="10">
        <v>33172</v>
      </c>
      <c r="E30" s="10">
        <v>45417</v>
      </c>
      <c r="F30">
        <v>33</v>
      </c>
      <c r="G30" t="s">
        <v>4296</v>
      </c>
    </row>
    <row r="31" spans="1:7">
      <c r="A31" t="s">
        <v>172</v>
      </c>
      <c r="B31" t="s">
        <v>173</v>
      </c>
      <c r="C31" t="s">
        <v>133</v>
      </c>
      <c r="D31" s="10">
        <v>26185</v>
      </c>
      <c r="E31" s="10">
        <v>44932</v>
      </c>
      <c r="F31">
        <v>51</v>
      </c>
      <c r="G31" t="s">
        <v>4296</v>
      </c>
    </row>
    <row r="32" spans="1:7">
      <c r="A32" t="s">
        <v>176</v>
      </c>
      <c r="B32" t="s">
        <v>378</v>
      </c>
      <c r="C32" t="s">
        <v>40</v>
      </c>
      <c r="D32" s="10">
        <v>21447</v>
      </c>
      <c r="E32" s="10">
        <v>45576</v>
      </c>
      <c r="F32">
        <v>66</v>
      </c>
      <c r="G32" t="s">
        <v>4296</v>
      </c>
    </row>
    <row r="33" spans="1:7">
      <c r="A33" t="s">
        <v>180</v>
      </c>
      <c r="B33" t="s">
        <v>181</v>
      </c>
      <c r="C33" t="s">
        <v>40</v>
      </c>
      <c r="D33" s="10">
        <v>24068</v>
      </c>
      <c r="E33" s="10">
        <v>45515</v>
      </c>
      <c r="F33">
        <v>58</v>
      </c>
      <c r="G33" t="s">
        <v>4296</v>
      </c>
    </row>
    <row r="34" spans="1:7">
      <c r="A34" t="s">
        <v>184</v>
      </c>
      <c r="B34" t="s">
        <v>185</v>
      </c>
      <c r="C34" t="s">
        <v>133</v>
      </c>
      <c r="D34" s="10">
        <v>29168</v>
      </c>
      <c r="E34" s="10">
        <v>45868</v>
      </c>
      <c r="F34">
        <v>45</v>
      </c>
      <c r="G34" t="s">
        <v>4296</v>
      </c>
    </row>
    <row r="35" spans="1:7">
      <c r="A35" t="s">
        <v>187</v>
      </c>
      <c r="B35" t="s">
        <v>164</v>
      </c>
      <c r="C35" t="s">
        <v>133</v>
      </c>
      <c r="D35" s="10">
        <v>31741</v>
      </c>
      <c r="E35" s="10">
        <v>45027</v>
      </c>
      <c r="F35">
        <v>36</v>
      </c>
      <c r="G35" t="s">
        <v>4296</v>
      </c>
    </row>
    <row r="36" spans="1:7">
      <c r="A36" t="s">
        <v>193</v>
      </c>
      <c r="B36" t="s">
        <v>194</v>
      </c>
      <c r="C36" t="s">
        <v>40</v>
      </c>
      <c r="D36" s="10">
        <v>36781</v>
      </c>
      <c r="E36" s="10">
        <v>46014</v>
      </c>
      <c r="F36">
        <v>25</v>
      </c>
      <c r="G36" t="s">
        <v>4296</v>
      </c>
    </row>
    <row r="37" spans="1:7">
      <c r="A37" t="s">
        <v>195</v>
      </c>
      <c r="B37" t="s">
        <v>49</v>
      </c>
      <c r="C37" t="s">
        <v>133</v>
      </c>
      <c r="D37" s="10">
        <v>20767</v>
      </c>
      <c r="E37" s="10">
        <v>45892</v>
      </c>
      <c r="F37">
        <v>68</v>
      </c>
      <c r="G37" t="s">
        <v>4296</v>
      </c>
    </row>
    <row r="38" spans="1:7">
      <c r="A38" t="s">
        <v>198</v>
      </c>
      <c r="B38" t="s">
        <v>199</v>
      </c>
      <c r="C38" t="s">
        <v>133</v>
      </c>
      <c r="D38" s="10">
        <v>33296</v>
      </c>
      <c r="E38" s="10">
        <v>45929</v>
      </c>
      <c r="F38">
        <v>34</v>
      </c>
      <c r="G38" t="s">
        <v>4296</v>
      </c>
    </row>
    <row r="39" spans="1:7">
      <c r="A39" t="s">
        <v>201</v>
      </c>
      <c r="B39" t="s">
        <v>202</v>
      </c>
      <c r="C39" t="s">
        <v>40</v>
      </c>
      <c r="D39" s="10">
        <v>36806</v>
      </c>
      <c r="E39" s="10">
        <v>45482</v>
      </c>
      <c r="F39">
        <v>23</v>
      </c>
      <c r="G39" t="s">
        <v>4237</v>
      </c>
    </row>
    <row r="40" spans="1:7">
      <c r="A40" t="s">
        <v>205</v>
      </c>
      <c r="B40" t="s">
        <v>83</v>
      </c>
      <c r="C40" t="s">
        <v>133</v>
      </c>
      <c r="D40" s="10">
        <v>36328</v>
      </c>
      <c r="E40" s="10">
        <v>45150</v>
      </c>
      <c r="F40">
        <v>24</v>
      </c>
      <c r="G40" t="s">
        <v>4296</v>
      </c>
    </row>
    <row r="41" spans="1:7">
      <c r="A41" t="s">
        <v>4113</v>
      </c>
      <c r="B41" t="s">
        <v>93</v>
      </c>
      <c r="C41" t="s">
        <v>40</v>
      </c>
      <c r="D41" s="10">
        <v>32328</v>
      </c>
      <c r="E41" s="10">
        <v>45161</v>
      </c>
      <c r="F41">
        <v>35</v>
      </c>
      <c r="G41" t="s">
        <v>4296</v>
      </c>
    </row>
    <row r="42" spans="1:7">
      <c r="A42" t="s">
        <v>209</v>
      </c>
      <c r="B42" t="s">
        <v>181</v>
      </c>
      <c r="C42" t="s">
        <v>133</v>
      </c>
      <c r="D42" s="10">
        <v>31220</v>
      </c>
      <c r="E42" s="10">
        <v>45177</v>
      </c>
      <c r="F42">
        <v>38</v>
      </c>
      <c r="G42" t="s">
        <v>4296</v>
      </c>
    </row>
    <row r="43" spans="1:7">
      <c r="A43" t="s">
        <v>213</v>
      </c>
      <c r="B43" t="s">
        <v>88</v>
      </c>
      <c r="C43" t="s">
        <v>133</v>
      </c>
      <c r="D43" s="10">
        <v>40144</v>
      </c>
      <c r="E43" s="10">
        <v>45474</v>
      </c>
      <c r="F43">
        <v>14</v>
      </c>
      <c r="G43" t="s">
        <v>4296</v>
      </c>
    </row>
    <row r="44" spans="1:7">
      <c r="A44" t="s">
        <v>215</v>
      </c>
      <c r="B44" t="s">
        <v>926</v>
      </c>
      <c r="C44" t="s">
        <v>40</v>
      </c>
      <c r="D44" s="10">
        <v>36070</v>
      </c>
      <c r="E44" s="10">
        <v>45094</v>
      </c>
      <c r="F44">
        <v>24</v>
      </c>
      <c r="G44" t="s">
        <v>4296</v>
      </c>
    </row>
    <row r="45" spans="1:7">
      <c r="A45" t="s">
        <v>217</v>
      </c>
      <c r="B45" t="s">
        <v>218</v>
      </c>
      <c r="C45" t="s">
        <v>40</v>
      </c>
      <c r="D45" s="10">
        <v>22353</v>
      </c>
      <c r="E45" s="10">
        <v>46017</v>
      </c>
      <c r="F45">
        <v>64</v>
      </c>
      <c r="G45" t="s">
        <v>4296</v>
      </c>
    </row>
    <row r="46" spans="1:7">
      <c r="A46" t="s">
        <v>220</v>
      </c>
      <c r="B46" t="s">
        <v>221</v>
      </c>
      <c r="C46" t="s">
        <v>40</v>
      </c>
      <c r="D46" s="10">
        <v>23942</v>
      </c>
      <c r="E46" s="10">
        <v>45482</v>
      </c>
      <c r="F46">
        <v>58</v>
      </c>
      <c r="G46" t="s">
        <v>4237</v>
      </c>
    </row>
    <row r="47" spans="1:7">
      <c r="A47" t="s">
        <v>223</v>
      </c>
      <c r="B47" t="s">
        <v>224</v>
      </c>
      <c r="C47" t="s">
        <v>40</v>
      </c>
      <c r="D47" s="10">
        <v>28813</v>
      </c>
      <c r="E47" s="10">
        <v>45482</v>
      </c>
      <c r="F47">
        <v>45</v>
      </c>
      <c r="G47" t="s">
        <v>4237</v>
      </c>
    </row>
    <row r="48" spans="1:7">
      <c r="A48" t="s">
        <v>228</v>
      </c>
      <c r="B48" t="s">
        <v>229</v>
      </c>
      <c r="C48" t="s">
        <v>133</v>
      </c>
      <c r="D48" s="10">
        <v>33339</v>
      </c>
      <c r="E48" s="10">
        <v>45901</v>
      </c>
      <c r="F48">
        <v>34</v>
      </c>
      <c r="G48" t="s">
        <v>4296</v>
      </c>
    </row>
    <row r="49" spans="1:7">
      <c r="A49" t="s">
        <v>230</v>
      </c>
      <c r="B49" t="s">
        <v>164</v>
      </c>
      <c r="C49" t="s">
        <v>40</v>
      </c>
      <c r="D49" s="10">
        <v>35389</v>
      </c>
      <c r="E49" s="10">
        <v>45234</v>
      </c>
      <c r="F49">
        <v>26</v>
      </c>
      <c r="G49" t="s">
        <v>4296</v>
      </c>
    </row>
    <row r="50" spans="1:7">
      <c r="A50" t="s">
        <v>231</v>
      </c>
      <c r="B50" t="s">
        <v>194</v>
      </c>
      <c r="C50" t="s">
        <v>40</v>
      </c>
      <c r="D50" s="10">
        <v>40397</v>
      </c>
      <c r="E50" s="10">
        <v>45390</v>
      </c>
      <c r="F50">
        <v>13</v>
      </c>
      <c r="G50" t="s">
        <v>4296</v>
      </c>
    </row>
    <row r="51" spans="1:7">
      <c r="A51" t="s">
        <v>233</v>
      </c>
      <c r="B51" t="s">
        <v>234</v>
      </c>
      <c r="C51" t="s">
        <v>133</v>
      </c>
      <c r="D51" s="10">
        <v>36155</v>
      </c>
      <c r="E51" s="10">
        <v>45846</v>
      </c>
      <c r="F51">
        <v>26</v>
      </c>
      <c r="G51" t="s">
        <v>4296</v>
      </c>
    </row>
    <row r="52" spans="1:7">
      <c r="A52" t="s">
        <v>237</v>
      </c>
      <c r="B52" t="s">
        <v>238</v>
      </c>
      <c r="C52" t="s">
        <v>133</v>
      </c>
      <c r="D52" s="10">
        <v>35863</v>
      </c>
      <c r="E52" s="10">
        <v>45847</v>
      </c>
      <c r="F52">
        <v>27</v>
      </c>
      <c r="G52" t="s">
        <v>4296</v>
      </c>
    </row>
    <row r="53" spans="1:7">
      <c r="A53" t="s">
        <v>240</v>
      </c>
      <c r="B53" t="s">
        <v>241</v>
      </c>
      <c r="C53" t="s">
        <v>133</v>
      </c>
      <c r="D53" s="10">
        <v>28764</v>
      </c>
      <c r="E53" s="10">
        <v>45089</v>
      </c>
      <c r="F53">
        <v>44</v>
      </c>
      <c r="G53" t="s">
        <v>4296</v>
      </c>
    </row>
    <row r="54" spans="1:7">
      <c r="A54" t="s">
        <v>243</v>
      </c>
      <c r="B54" t="s">
        <v>244</v>
      </c>
      <c r="C54" t="s">
        <v>40</v>
      </c>
      <c r="D54" s="10">
        <v>22607</v>
      </c>
      <c r="E54" s="10">
        <v>45102</v>
      </c>
      <c r="F54">
        <v>61</v>
      </c>
      <c r="G54" t="s">
        <v>4296</v>
      </c>
    </row>
    <row r="55" spans="1:7">
      <c r="A55" t="s">
        <v>246</v>
      </c>
      <c r="B55" t="s">
        <v>247</v>
      </c>
      <c r="C55" t="s">
        <v>40</v>
      </c>
      <c r="D55" s="10">
        <v>32958</v>
      </c>
      <c r="E55" s="10">
        <v>45203</v>
      </c>
      <c r="F55">
        <v>33</v>
      </c>
      <c r="G55" t="s">
        <v>4296</v>
      </c>
    </row>
    <row r="56" spans="1:7">
      <c r="A56" t="s">
        <v>248</v>
      </c>
      <c r="B56" t="s">
        <v>249</v>
      </c>
      <c r="C56" t="s">
        <v>133</v>
      </c>
      <c r="D56" s="10">
        <v>39274</v>
      </c>
      <c r="E56" s="10">
        <v>45309</v>
      </c>
      <c r="F56">
        <v>16</v>
      </c>
      <c r="G56" t="s">
        <v>4296</v>
      </c>
    </row>
    <row r="57" spans="1:7">
      <c r="A57" t="s">
        <v>250</v>
      </c>
      <c r="B57" t="s">
        <v>251</v>
      </c>
      <c r="C57" t="s">
        <v>133</v>
      </c>
      <c r="D57" s="10">
        <v>20049</v>
      </c>
      <c r="E57" s="10">
        <v>45758</v>
      </c>
      <c r="F57">
        <v>70</v>
      </c>
      <c r="G57" t="s">
        <v>4296</v>
      </c>
    </row>
    <row r="58" spans="1:7">
      <c r="A58" t="s">
        <v>252</v>
      </c>
      <c r="B58" t="s">
        <v>253</v>
      </c>
      <c r="C58" t="s">
        <v>133</v>
      </c>
      <c r="D58" s="10">
        <v>23774</v>
      </c>
      <c r="E58" s="10">
        <v>45308</v>
      </c>
      <c r="F58">
        <v>58</v>
      </c>
      <c r="G58" t="s">
        <v>4296</v>
      </c>
    </row>
    <row r="59" spans="1:7">
      <c r="A59" t="s">
        <v>256</v>
      </c>
      <c r="B59" t="s">
        <v>139</v>
      </c>
      <c r="C59" t="s">
        <v>40</v>
      </c>
      <c r="D59" s="10">
        <v>35056</v>
      </c>
      <c r="E59" s="10">
        <v>45283</v>
      </c>
      <c r="F59">
        <v>28</v>
      </c>
      <c r="G59" t="s">
        <v>4296</v>
      </c>
    </row>
    <row r="60" spans="1:7">
      <c r="A60" t="s">
        <v>257</v>
      </c>
      <c r="B60" t="s">
        <v>83</v>
      </c>
      <c r="C60" t="s">
        <v>40</v>
      </c>
      <c r="D60" s="10">
        <v>34224</v>
      </c>
      <c r="E60" s="10">
        <v>45189</v>
      </c>
      <c r="F60">
        <v>30</v>
      </c>
      <c r="G60" t="s">
        <v>4296</v>
      </c>
    </row>
    <row r="61" spans="1:7">
      <c r="A61" t="s">
        <v>258</v>
      </c>
      <c r="B61" t="s">
        <v>332</v>
      </c>
      <c r="C61" t="s">
        <v>40</v>
      </c>
      <c r="D61" s="10">
        <v>32055</v>
      </c>
      <c r="E61" s="10">
        <v>45277</v>
      </c>
      <c r="F61">
        <v>36</v>
      </c>
      <c r="G61" t="s">
        <v>4296</v>
      </c>
    </row>
    <row r="62" spans="1:7">
      <c r="A62" t="s">
        <v>260</v>
      </c>
      <c r="B62" t="s">
        <v>261</v>
      </c>
      <c r="C62" t="s">
        <v>40</v>
      </c>
      <c r="D62" s="10">
        <v>29440</v>
      </c>
      <c r="E62" s="10">
        <v>45623</v>
      </c>
      <c r="F62">
        <v>44</v>
      </c>
      <c r="G62" t="s">
        <v>4296</v>
      </c>
    </row>
    <row r="63" spans="1:7">
      <c r="A63" t="s">
        <v>262</v>
      </c>
      <c r="B63" t="s">
        <v>202</v>
      </c>
      <c r="C63" t="s">
        <v>133</v>
      </c>
      <c r="D63" s="10">
        <v>29844</v>
      </c>
      <c r="E63" s="10">
        <v>45948</v>
      </c>
      <c r="F63">
        <v>44</v>
      </c>
      <c r="G63" t="s">
        <v>4296</v>
      </c>
    </row>
    <row r="64" spans="1:7">
      <c r="A64" t="s">
        <v>267</v>
      </c>
      <c r="B64" t="s">
        <v>311</v>
      </c>
      <c r="C64" t="s">
        <v>133</v>
      </c>
      <c r="D64" s="10">
        <v>24881</v>
      </c>
      <c r="E64" s="10">
        <v>45959</v>
      </c>
      <c r="F64">
        <v>57</v>
      </c>
      <c r="G64" t="s">
        <v>4296</v>
      </c>
    </row>
    <row r="65" spans="1:7">
      <c r="A65" t="s">
        <v>269</v>
      </c>
      <c r="B65" t="s">
        <v>270</v>
      </c>
      <c r="C65" t="s">
        <v>133</v>
      </c>
      <c r="D65" s="10">
        <v>35569</v>
      </c>
      <c r="E65" s="10">
        <v>45615</v>
      </c>
      <c r="F65">
        <v>27</v>
      </c>
      <c r="G65" t="s">
        <v>4296</v>
      </c>
    </row>
    <row r="66" spans="1:7">
      <c r="A66" t="s">
        <v>273</v>
      </c>
      <c r="B66" t="s">
        <v>274</v>
      </c>
      <c r="C66" t="s">
        <v>40</v>
      </c>
      <c r="D66" s="10">
        <v>29330</v>
      </c>
      <c r="E66" s="10">
        <v>45152</v>
      </c>
      <c r="F66">
        <v>43</v>
      </c>
      <c r="G66" t="s">
        <v>4237</v>
      </c>
    </row>
    <row r="67" spans="1:7">
      <c r="A67" t="s">
        <v>276</v>
      </c>
      <c r="B67" t="s">
        <v>277</v>
      </c>
      <c r="C67" t="s">
        <v>40</v>
      </c>
      <c r="D67" s="10">
        <v>22745</v>
      </c>
      <c r="E67" s="10">
        <v>45538</v>
      </c>
      <c r="F67">
        <v>62</v>
      </c>
      <c r="G67" t="s">
        <v>4296</v>
      </c>
    </row>
    <row r="68" spans="1:7">
      <c r="A68" t="s">
        <v>279</v>
      </c>
      <c r="B68" t="s">
        <v>280</v>
      </c>
      <c r="C68" t="s">
        <v>133</v>
      </c>
      <c r="D68" s="10">
        <v>37508</v>
      </c>
      <c r="E68" s="10">
        <v>45483</v>
      </c>
      <c r="F68">
        <v>21</v>
      </c>
      <c r="G68" t="s">
        <v>4296</v>
      </c>
    </row>
    <row r="69" spans="1:7">
      <c r="A69" t="s">
        <v>282</v>
      </c>
      <c r="B69" t="s">
        <v>283</v>
      </c>
      <c r="C69" t="s">
        <v>133</v>
      </c>
      <c r="D69" s="10">
        <v>33263</v>
      </c>
      <c r="E69" s="10">
        <v>45110</v>
      </c>
      <c r="F69">
        <v>32</v>
      </c>
      <c r="G69" t="s">
        <v>4296</v>
      </c>
    </row>
    <row r="70" spans="1:7">
      <c r="A70" t="s">
        <v>287</v>
      </c>
      <c r="B70" t="s">
        <v>288</v>
      </c>
      <c r="C70" t="s">
        <v>133</v>
      </c>
      <c r="D70" s="10">
        <v>22952</v>
      </c>
      <c r="E70" s="10">
        <v>45259</v>
      </c>
      <c r="F70">
        <v>61</v>
      </c>
      <c r="G70" t="s">
        <v>4296</v>
      </c>
    </row>
    <row r="71" spans="1:7">
      <c r="A71" t="s">
        <v>291</v>
      </c>
      <c r="B71" t="s">
        <v>292</v>
      </c>
      <c r="C71" t="s">
        <v>40</v>
      </c>
      <c r="D71" s="10">
        <v>35339</v>
      </c>
      <c r="E71" s="10">
        <v>45482</v>
      </c>
      <c r="F71">
        <v>27</v>
      </c>
      <c r="G71" t="s">
        <v>4237</v>
      </c>
    </row>
    <row r="72" spans="1:7">
      <c r="A72" t="s">
        <v>294</v>
      </c>
      <c r="B72" t="s">
        <v>295</v>
      </c>
      <c r="C72" t="s">
        <v>133</v>
      </c>
      <c r="D72" s="10">
        <v>34270</v>
      </c>
      <c r="E72" s="10">
        <v>45094</v>
      </c>
      <c r="F72">
        <v>29</v>
      </c>
      <c r="G72" t="s">
        <v>4296</v>
      </c>
    </row>
    <row r="73" spans="1:7">
      <c r="A73" t="s">
        <v>297</v>
      </c>
      <c r="B73" t="s">
        <v>298</v>
      </c>
      <c r="C73" t="s">
        <v>133</v>
      </c>
      <c r="D73" s="10">
        <v>35077</v>
      </c>
      <c r="E73" s="10">
        <v>45448</v>
      </c>
      <c r="F73">
        <v>28</v>
      </c>
      <c r="G73" t="s">
        <v>4296</v>
      </c>
    </row>
    <row r="74" spans="1:7">
      <c r="A74" t="s">
        <v>300</v>
      </c>
      <c r="B74" t="s">
        <v>301</v>
      </c>
      <c r="C74" t="s">
        <v>40</v>
      </c>
      <c r="D74" s="10">
        <v>20897</v>
      </c>
      <c r="E74" s="10">
        <v>45731</v>
      </c>
      <c r="F74">
        <v>67</v>
      </c>
      <c r="G74" t="s">
        <v>4296</v>
      </c>
    </row>
    <row r="75" spans="1:7">
      <c r="A75" t="s">
        <v>303</v>
      </c>
      <c r="B75" t="s">
        <v>304</v>
      </c>
      <c r="C75" t="s">
        <v>40</v>
      </c>
      <c r="D75" s="10">
        <v>19775</v>
      </c>
      <c r="E75" s="10">
        <v>44995</v>
      </c>
      <c r="F75">
        <v>69</v>
      </c>
      <c r="G75" t="s">
        <v>4296</v>
      </c>
    </row>
    <row r="76" spans="1:7">
      <c r="A76" t="s">
        <v>306</v>
      </c>
      <c r="B76" t="s">
        <v>76</v>
      </c>
      <c r="C76" t="s">
        <v>40</v>
      </c>
      <c r="D76" s="10">
        <v>25325</v>
      </c>
      <c r="E76" s="10">
        <v>45285</v>
      </c>
      <c r="F76">
        <v>54</v>
      </c>
      <c r="G76" t="s">
        <v>4296</v>
      </c>
    </row>
    <row r="77" spans="1:7">
      <c r="A77" t="s">
        <v>310</v>
      </c>
      <c r="B77" t="s">
        <v>311</v>
      </c>
      <c r="C77" t="s">
        <v>133</v>
      </c>
      <c r="D77" s="10">
        <v>40053</v>
      </c>
      <c r="E77" s="10">
        <v>45686</v>
      </c>
      <c r="F77">
        <v>15</v>
      </c>
      <c r="G77" t="s">
        <v>4296</v>
      </c>
    </row>
    <row r="78" spans="1:7">
      <c r="A78" t="s">
        <v>313</v>
      </c>
      <c r="B78" t="s">
        <v>314</v>
      </c>
      <c r="C78" t="s">
        <v>40</v>
      </c>
      <c r="D78" s="10">
        <v>29330</v>
      </c>
      <c r="E78" s="10">
        <v>45417</v>
      </c>
      <c r="F78">
        <v>44</v>
      </c>
      <c r="G78" t="s">
        <v>4237</v>
      </c>
    </row>
    <row r="79" spans="1:7">
      <c r="A79" t="s">
        <v>317</v>
      </c>
      <c r="B79" t="s">
        <v>251</v>
      </c>
      <c r="C79" t="s">
        <v>40</v>
      </c>
      <c r="D79" s="10">
        <v>22805</v>
      </c>
      <c r="E79" s="10">
        <v>45482</v>
      </c>
      <c r="F79">
        <v>62</v>
      </c>
      <c r="G79" t="s">
        <v>4237</v>
      </c>
    </row>
    <row r="80" spans="1:7">
      <c r="A80" t="s">
        <v>320</v>
      </c>
      <c r="B80" t="s">
        <v>321</v>
      </c>
      <c r="C80" t="s">
        <v>133</v>
      </c>
      <c r="D80" s="10">
        <v>27846</v>
      </c>
      <c r="E80" s="10">
        <v>45400</v>
      </c>
      <c r="F80">
        <v>48</v>
      </c>
      <c r="G80" t="s">
        <v>4296</v>
      </c>
    </row>
    <row r="81" spans="1:7">
      <c r="A81" t="s">
        <v>323</v>
      </c>
      <c r="B81" t="s">
        <v>324</v>
      </c>
      <c r="C81" t="s">
        <v>40</v>
      </c>
      <c r="D81" s="10">
        <v>23852</v>
      </c>
      <c r="E81" s="10">
        <v>46005</v>
      </c>
      <c r="F81">
        <v>60</v>
      </c>
      <c r="G81" t="s">
        <v>4296</v>
      </c>
    </row>
    <row r="82" spans="1:7">
      <c r="A82" t="s">
        <v>327</v>
      </c>
      <c r="B82" t="s">
        <v>328</v>
      </c>
      <c r="C82" t="s">
        <v>40</v>
      </c>
      <c r="D82" s="10">
        <v>39455</v>
      </c>
      <c r="E82" s="10">
        <v>45359</v>
      </c>
      <c r="F82">
        <v>16</v>
      </c>
      <c r="G82" t="s">
        <v>4296</v>
      </c>
    </row>
    <row r="83" spans="1:7">
      <c r="A83" t="s">
        <v>331</v>
      </c>
      <c r="B83" t="s">
        <v>332</v>
      </c>
      <c r="C83" t="s">
        <v>40</v>
      </c>
      <c r="D83" s="10">
        <v>19404</v>
      </c>
      <c r="E83" s="10">
        <v>45402</v>
      </c>
      <c r="F83">
        <v>71</v>
      </c>
      <c r="G83" t="s">
        <v>4296</v>
      </c>
    </row>
    <row r="84" spans="1:7">
      <c r="A84" t="s">
        <v>333</v>
      </c>
      <c r="B84" t="s">
        <v>334</v>
      </c>
      <c r="C84" t="s">
        <v>40</v>
      </c>
      <c r="D84" s="10">
        <v>25723</v>
      </c>
      <c r="E84" s="10">
        <v>45114</v>
      </c>
      <c r="F84">
        <v>53</v>
      </c>
      <c r="G84" t="s">
        <v>4296</v>
      </c>
    </row>
    <row r="85" spans="1:7">
      <c r="A85" t="s">
        <v>4114</v>
      </c>
      <c r="B85" t="s">
        <v>244</v>
      </c>
      <c r="C85" t="s">
        <v>40</v>
      </c>
      <c r="D85" s="10">
        <v>22233</v>
      </c>
      <c r="E85" s="10">
        <v>45274</v>
      </c>
      <c r="F85">
        <v>63</v>
      </c>
      <c r="G85" t="s">
        <v>4296</v>
      </c>
    </row>
    <row r="86" spans="1:7">
      <c r="A86" t="s">
        <v>337</v>
      </c>
      <c r="B86" t="s">
        <v>338</v>
      </c>
      <c r="C86" t="s">
        <v>133</v>
      </c>
      <c r="D86" s="10">
        <v>25864</v>
      </c>
      <c r="E86" s="10">
        <v>45482</v>
      </c>
      <c r="F86">
        <v>53</v>
      </c>
      <c r="G86" t="s">
        <v>4237</v>
      </c>
    </row>
    <row r="87" spans="1:7">
      <c r="A87" t="s">
        <v>341</v>
      </c>
      <c r="B87" t="s">
        <v>342</v>
      </c>
      <c r="C87" t="s">
        <v>40</v>
      </c>
      <c r="D87" s="10">
        <v>21499</v>
      </c>
      <c r="E87" s="10">
        <v>45422</v>
      </c>
      <c r="F87">
        <v>65</v>
      </c>
      <c r="G87" t="s">
        <v>4296</v>
      </c>
    </row>
    <row r="88" spans="1:7">
      <c r="A88" t="s">
        <v>344</v>
      </c>
      <c r="B88" t="s">
        <v>345</v>
      </c>
      <c r="C88" t="s">
        <v>133</v>
      </c>
      <c r="D88" s="10">
        <v>33563</v>
      </c>
      <c r="E88" s="10">
        <v>45745</v>
      </c>
      <c r="F88">
        <v>33</v>
      </c>
      <c r="G88" t="s">
        <v>4296</v>
      </c>
    </row>
    <row r="89" spans="1:7">
      <c r="A89" t="s">
        <v>349</v>
      </c>
      <c r="B89" t="s">
        <v>350</v>
      </c>
      <c r="C89" t="s">
        <v>133</v>
      </c>
      <c r="D89" s="10">
        <v>26515</v>
      </c>
      <c r="E89" s="10">
        <v>45824</v>
      </c>
      <c r="F89">
        <v>52</v>
      </c>
      <c r="G89" t="s">
        <v>4296</v>
      </c>
    </row>
    <row r="90" spans="1:7">
      <c r="A90" t="s">
        <v>353</v>
      </c>
      <c r="B90" t="s">
        <v>354</v>
      </c>
      <c r="C90" t="s">
        <v>40</v>
      </c>
      <c r="D90" s="10">
        <v>28307</v>
      </c>
      <c r="E90" s="10">
        <v>45366</v>
      </c>
      <c r="F90">
        <v>46</v>
      </c>
      <c r="G90" t="s">
        <v>4296</v>
      </c>
    </row>
    <row r="91" spans="1:7">
      <c r="A91" t="s">
        <v>4115</v>
      </c>
      <c r="B91" t="s">
        <v>356</v>
      </c>
      <c r="C91" t="s">
        <v>133</v>
      </c>
      <c r="D91" s="10">
        <v>34039</v>
      </c>
      <c r="E91" s="10">
        <v>45168</v>
      </c>
      <c r="F91">
        <v>30</v>
      </c>
      <c r="G91" t="s">
        <v>4296</v>
      </c>
    </row>
    <row r="92" spans="1:7">
      <c r="A92" t="s">
        <v>359</v>
      </c>
      <c r="B92" t="s">
        <v>464</v>
      </c>
      <c r="C92" t="s">
        <v>40</v>
      </c>
      <c r="D92" s="10">
        <v>28080</v>
      </c>
      <c r="E92" s="10">
        <v>45778</v>
      </c>
      <c r="F92">
        <v>48</v>
      </c>
      <c r="G92" t="s">
        <v>4296</v>
      </c>
    </row>
    <row r="93" spans="1:7">
      <c r="A93" t="s">
        <v>362</v>
      </c>
      <c r="B93" t="s">
        <v>363</v>
      </c>
      <c r="C93" t="s">
        <v>133</v>
      </c>
      <c r="D93" s="10">
        <v>29330</v>
      </c>
      <c r="E93" s="10">
        <v>45465</v>
      </c>
      <c r="F93">
        <v>44</v>
      </c>
      <c r="G93" t="s">
        <v>4237</v>
      </c>
    </row>
    <row r="94" spans="1:7">
      <c r="A94" t="s">
        <v>367</v>
      </c>
      <c r="B94" t="s">
        <v>368</v>
      </c>
      <c r="C94" t="s">
        <v>133</v>
      </c>
      <c r="D94" s="10">
        <v>39456</v>
      </c>
      <c r="E94" s="10">
        <v>45186</v>
      </c>
      <c r="F94">
        <v>15</v>
      </c>
      <c r="G94" t="s">
        <v>4296</v>
      </c>
    </row>
    <row r="95" spans="1:7">
      <c r="A95" t="s">
        <v>372</v>
      </c>
      <c r="B95" t="s">
        <v>373</v>
      </c>
      <c r="C95" t="s">
        <v>40</v>
      </c>
      <c r="D95" s="10">
        <v>38043</v>
      </c>
      <c r="E95" s="10">
        <v>46021</v>
      </c>
      <c r="F95">
        <v>21</v>
      </c>
      <c r="G95" t="s">
        <v>4296</v>
      </c>
    </row>
    <row r="96" spans="1:7">
      <c r="A96" t="s">
        <v>374</v>
      </c>
      <c r="B96" t="s">
        <v>199</v>
      </c>
      <c r="C96" t="s">
        <v>40</v>
      </c>
      <c r="D96" s="10">
        <v>22039</v>
      </c>
      <c r="E96" s="10">
        <v>45665</v>
      </c>
      <c r="F96">
        <v>64</v>
      </c>
      <c r="G96" t="s">
        <v>4296</v>
      </c>
    </row>
    <row r="97" spans="1:7">
      <c r="A97" t="s">
        <v>377</v>
      </c>
      <c r="B97" t="s">
        <v>378</v>
      </c>
      <c r="C97" t="s">
        <v>133</v>
      </c>
      <c r="D97" s="10">
        <v>23561</v>
      </c>
      <c r="E97" s="10">
        <v>45136</v>
      </c>
      <c r="F97">
        <v>59</v>
      </c>
      <c r="G97" t="s">
        <v>4296</v>
      </c>
    </row>
    <row r="98" spans="1:7">
      <c r="A98" t="s">
        <v>381</v>
      </c>
      <c r="B98" t="s">
        <v>253</v>
      </c>
      <c r="C98" t="s">
        <v>133</v>
      </c>
      <c r="D98" s="10">
        <v>25635</v>
      </c>
      <c r="E98" s="10">
        <v>45494</v>
      </c>
      <c r="F98">
        <v>54</v>
      </c>
      <c r="G98" t="s">
        <v>4296</v>
      </c>
    </row>
    <row r="99" spans="1:7">
      <c r="A99" t="s">
        <v>4116</v>
      </c>
      <c r="B99" t="s">
        <v>383</v>
      </c>
      <c r="C99" t="s">
        <v>133</v>
      </c>
      <c r="D99" s="10">
        <v>21394</v>
      </c>
      <c r="E99" s="10">
        <v>45788</v>
      </c>
      <c r="F99">
        <v>66</v>
      </c>
      <c r="G99" t="s">
        <v>4296</v>
      </c>
    </row>
    <row r="100" spans="1:7">
      <c r="A100" t="s">
        <v>384</v>
      </c>
      <c r="B100" t="s">
        <v>385</v>
      </c>
      <c r="C100" t="s">
        <v>40</v>
      </c>
      <c r="D100" s="10">
        <v>27688</v>
      </c>
      <c r="E100" s="10">
        <v>45062</v>
      </c>
      <c r="F100">
        <v>47</v>
      </c>
      <c r="G100" t="s">
        <v>4296</v>
      </c>
    </row>
    <row r="101" spans="1:7">
      <c r="A101" t="s">
        <v>387</v>
      </c>
      <c r="B101" t="s">
        <v>39</v>
      </c>
      <c r="C101" t="s">
        <v>133</v>
      </c>
      <c r="D101" s="10">
        <v>36171</v>
      </c>
      <c r="E101" s="10">
        <v>45806</v>
      </c>
      <c r="F101">
        <v>26</v>
      </c>
      <c r="G101" t="s">
        <v>4296</v>
      </c>
    </row>
    <row r="102" spans="1:7">
      <c r="A102" t="s">
        <v>389</v>
      </c>
      <c r="B102" t="s">
        <v>390</v>
      </c>
      <c r="C102" t="s">
        <v>40</v>
      </c>
      <c r="D102" s="10">
        <v>23536</v>
      </c>
      <c r="E102" s="10">
        <v>45779</v>
      </c>
      <c r="F102">
        <v>60</v>
      </c>
      <c r="G102" t="s">
        <v>4296</v>
      </c>
    </row>
    <row r="103" spans="1:7">
      <c r="A103" t="s">
        <v>391</v>
      </c>
      <c r="B103" t="s">
        <v>392</v>
      </c>
      <c r="C103" t="s">
        <v>133</v>
      </c>
      <c r="D103" s="10">
        <v>36274</v>
      </c>
      <c r="E103" s="10">
        <v>45429</v>
      </c>
      <c r="F103">
        <v>25</v>
      </c>
      <c r="G103" t="s">
        <v>4296</v>
      </c>
    </row>
    <row r="104" spans="1:7">
      <c r="A104" t="s">
        <v>393</v>
      </c>
      <c r="B104" t="s">
        <v>394</v>
      </c>
      <c r="C104" t="s">
        <v>133</v>
      </c>
      <c r="D104" s="10">
        <v>29192</v>
      </c>
      <c r="E104" s="10">
        <v>45122</v>
      </c>
      <c r="F104">
        <v>43</v>
      </c>
      <c r="G104" t="s">
        <v>4296</v>
      </c>
    </row>
    <row r="105" spans="1:7">
      <c r="A105" t="s">
        <v>395</v>
      </c>
      <c r="B105" t="s">
        <v>363</v>
      </c>
      <c r="C105" t="s">
        <v>133</v>
      </c>
      <c r="D105" s="10">
        <v>26404</v>
      </c>
      <c r="E105" s="10">
        <v>45558</v>
      </c>
      <c r="F105">
        <v>52</v>
      </c>
      <c r="G105" t="s">
        <v>4296</v>
      </c>
    </row>
    <row r="106" spans="1:7">
      <c r="A106" t="s">
        <v>398</v>
      </c>
      <c r="B106" t="s">
        <v>728</v>
      </c>
      <c r="C106" t="s">
        <v>40</v>
      </c>
      <c r="D106" s="10">
        <v>20822</v>
      </c>
      <c r="E106" s="10">
        <v>45382</v>
      </c>
      <c r="F106">
        <v>67</v>
      </c>
      <c r="G106" t="s">
        <v>4296</v>
      </c>
    </row>
    <row r="107" spans="1:7">
      <c r="A107" t="s">
        <v>402</v>
      </c>
      <c r="B107" t="s">
        <v>403</v>
      </c>
      <c r="C107" t="s">
        <v>40</v>
      </c>
      <c r="D107" s="10">
        <v>24607</v>
      </c>
      <c r="E107" s="10">
        <v>45231</v>
      </c>
      <c r="F107">
        <v>56</v>
      </c>
      <c r="G107" t="s">
        <v>4296</v>
      </c>
    </row>
    <row r="108" spans="1:7">
      <c r="A108" t="s">
        <v>405</v>
      </c>
      <c r="B108" t="s">
        <v>406</v>
      </c>
      <c r="C108" t="s">
        <v>133</v>
      </c>
      <c r="D108" s="10">
        <v>18750</v>
      </c>
      <c r="E108" s="10">
        <v>45893</v>
      </c>
      <c r="F108">
        <v>74</v>
      </c>
      <c r="G108" t="s">
        <v>4296</v>
      </c>
    </row>
    <row r="109" spans="1:7">
      <c r="A109" t="s">
        <v>410</v>
      </c>
      <c r="B109" t="s">
        <v>392</v>
      </c>
      <c r="C109" t="s">
        <v>133</v>
      </c>
      <c r="D109" s="10">
        <v>21830</v>
      </c>
      <c r="E109" s="10">
        <v>45935</v>
      </c>
      <c r="F109">
        <v>65</v>
      </c>
      <c r="G109" t="s">
        <v>4296</v>
      </c>
    </row>
    <row r="110" spans="1:7">
      <c r="A110" t="s">
        <v>413</v>
      </c>
      <c r="B110" t="s">
        <v>607</v>
      </c>
      <c r="C110" t="s">
        <v>133</v>
      </c>
      <c r="D110" s="10">
        <v>35016</v>
      </c>
      <c r="E110" s="10">
        <v>45133</v>
      </c>
      <c r="F110">
        <v>27</v>
      </c>
      <c r="G110" t="s">
        <v>4296</v>
      </c>
    </row>
    <row r="111" spans="1:7">
      <c r="A111" t="s">
        <v>416</v>
      </c>
      <c r="B111" t="s">
        <v>417</v>
      </c>
      <c r="C111" t="s">
        <v>40</v>
      </c>
      <c r="D111" s="10">
        <v>39729</v>
      </c>
      <c r="E111" s="10">
        <v>45140</v>
      </c>
      <c r="F111">
        <v>14</v>
      </c>
      <c r="G111" t="s">
        <v>4296</v>
      </c>
    </row>
    <row r="112" spans="1:7">
      <c r="A112" t="s">
        <v>418</v>
      </c>
      <c r="B112" t="s">
        <v>419</v>
      </c>
      <c r="C112" t="s">
        <v>133</v>
      </c>
      <c r="D112" s="10">
        <v>20693</v>
      </c>
      <c r="E112" s="10">
        <v>45388</v>
      </c>
      <c r="F112">
        <v>67</v>
      </c>
      <c r="G112" t="s">
        <v>4296</v>
      </c>
    </row>
    <row r="113" spans="1:7">
      <c r="A113" t="s">
        <v>421</v>
      </c>
      <c r="B113" t="s">
        <v>202</v>
      </c>
      <c r="C113" t="s">
        <v>40</v>
      </c>
      <c r="D113" s="10">
        <v>28112</v>
      </c>
      <c r="E113" s="10">
        <v>45470</v>
      </c>
      <c r="F113">
        <v>47</v>
      </c>
      <c r="G113" t="s">
        <v>4296</v>
      </c>
    </row>
    <row r="114" spans="1:7">
      <c r="A114" t="s">
        <v>422</v>
      </c>
      <c r="B114" t="s">
        <v>423</v>
      </c>
      <c r="C114" t="s">
        <v>133</v>
      </c>
      <c r="D114" s="10">
        <v>27100</v>
      </c>
      <c r="E114" s="10">
        <v>45708</v>
      </c>
      <c r="F114">
        <v>50</v>
      </c>
      <c r="G114" t="s">
        <v>4296</v>
      </c>
    </row>
    <row r="115" spans="1:7">
      <c r="A115" t="s">
        <v>424</v>
      </c>
      <c r="B115" t="s">
        <v>221</v>
      </c>
      <c r="C115" t="s">
        <v>133</v>
      </c>
      <c r="D115" s="10">
        <v>30241</v>
      </c>
      <c r="E115" s="10">
        <v>45228</v>
      </c>
      <c r="F115">
        <v>41</v>
      </c>
      <c r="G115" t="s">
        <v>4296</v>
      </c>
    </row>
    <row r="116" spans="1:7">
      <c r="A116" t="s">
        <v>426</v>
      </c>
      <c r="B116" t="s">
        <v>427</v>
      </c>
      <c r="C116" t="s">
        <v>133</v>
      </c>
      <c r="D116" s="10">
        <v>32046</v>
      </c>
      <c r="E116" s="10">
        <v>45786</v>
      </c>
      <c r="F116">
        <v>37</v>
      </c>
      <c r="G116" t="s">
        <v>4296</v>
      </c>
    </row>
    <row r="117" spans="1:7">
      <c r="A117" t="s">
        <v>428</v>
      </c>
      <c r="B117" t="s">
        <v>429</v>
      </c>
      <c r="C117" t="s">
        <v>133</v>
      </c>
      <c r="D117" s="10">
        <v>39580</v>
      </c>
      <c r="E117" s="10">
        <v>44968</v>
      </c>
      <c r="F117">
        <v>14</v>
      </c>
      <c r="G117" t="s">
        <v>4296</v>
      </c>
    </row>
    <row r="118" spans="1:7">
      <c r="A118" t="s">
        <v>430</v>
      </c>
      <c r="B118" t="s">
        <v>390</v>
      </c>
      <c r="C118" t="s">
        <v>133</v>
      </c>
      <c r="D118" s="10">
        <v>19867</v>
      </c>
      <c r="E118" s="10">
        <v>45964</v>
      </c>
      <c r="F118">
        <v>71</v>
      </c>
      <c r="G118" t="s">
        <v>4296</v>
      </c>
    </row>
    <row r="119" spans="1:7">
      <c r="A119" t="s">
        <v>432</v>
      </c>
      <c r="B119" t="s">
        <v>433</v>
      </c>
      <c r="C119" t="s">
        <v>40</v>
      </c>
      <c r="D119" s="10">
        <v>26456</v>
      </c>
      <c r="E119" s="10">
        <v>45456</v>
      </c>
      <c r="F119">
        <v>52</v>
      </c>
      <c r="G119" t="s">
        <v>4296</v>
      </c>
    </row>
    <row r="120" spans="1:7">
      <c r="A120" t="s">
        <v>435</v>
      </c>
      <c r="B120" t="s">
        <v>436</v>
      </c>
      <c r="C120" t="s">
        <v>133</v>
      </c>
      <c r="D120" s="10">
        <v>28334</v>
      </c>
      <c r="E120" s="10">
        <v>45641</v>
      </c>
      <c r="F120">
        <v>47</v>
      </c>
      <c r="G120" t="s">
        <v>4296</v>
      </c>
    </row>
    <row r="121" spans="1:7">
      <c r="A121" t="s">
        <v>437</v>
      </c>
      <c r="B121" t="s">
        <v>438</v>
      </c>
      <c r="C121" t="s">
        <v>40</v>
      </c>
      <c r="D121" s="10">
        <v>35887</v>
      </c>
      <c r="E121" s="10">
        <v>45754</v>
      </c>
      <c r="F121">
        <v>27</v>
      </c>
      <c r="G121" t="s">
        <v>4296</v>
      </c>
    </row>
    <row r="122" spans="1:7">
      <c r="A122" t="s">
        <v>439</v>
      </c>
      <c r="B122" t="s">
        <v>301</v>
      </c>
      <c r="C122" t="s">
        <v>40</v>
      </c>
      <c r="D122" s="10">
        <v>20672</v>
      </c>
      <c r="E122" s="10">
        <v>45482</v>
      </c>
      <c r="F122">
        <v>67</v>
      </c>
      <c r="G122" t="s">
        <v>4237</v>
      </c>
    </row>
    <row r="123" spans="1:7">
      <c r="A123" t="s">
        <v>441</v>
      </c>
      <c r="B123" t="s">
        <v>442</v>
      </c>
      <c r="C123" t="s">
        <v>40</v>
      </c>
      <c r="D123" s="10">
        <v>27787</v>
      </c>
      <c r="E123" s="10">
        <v>45235</v>
      </c>
      <c r="F123">
        <v>47</v>
      </c>
      <c r="G123" t="s">
        <v>4296</v>
      </c>
    </row>
    <row r="124" spans="1:7">
      <c r="A124" t="s">
        <v>443</v>
      </c>
      <c r="B124" t="s">
        <v>444</v>
      </c>
      <c r="C124" t="s">
        <v>40</v>
      </c>
      <c r="D124" s="10">
        <v>29403</v>
      </c>
      <c r="E124" s="10">
        <v>45004</v>
      </c>
      <c r="F124">
        <v>42</v>
      </c>
      <c r="G124" t="s">
        <v>4296</v>
      </c>
    </row>
    <row r="125" spans="1:7">
      <c r="A125" t="s">
        <v>447</v>
      </c>
      <c r="B125" t="s">
        <v>852</v>
      </c>
      <c r="C125" t="s">
        <v>133</v>
      </c>
      <c r="D125" s="10">
        <v>26157</v>
      </c>
      <c r="E125" s="10">
        <v>45312</v>
      </c>
      <c r="F125">
        <v>52</v>
      </c>
      <c r="G125" t="s">
        <v>4296</v>
      </c>
    </row>
    <row r="126" spans="1:7">
      <c r="A126" t="s">
        <v>450</v>
      </c>
      <c r="B126" t="s">
        <v>451</v>
      </c>
      <c r="C126" t="s">
        <v>40</v>
      </c>
      <c r="D126" s="10">
        <v>21072</v>
      </c>
      <c r="E126" s="10">
        <v>45898</v>
      </c>
      <c r="F126">
        <v>67</v>
      </c>
      <c r="G126" t="s">
        <v>4296</v>
      </c>
    </row>
    <row r="127" spans="1:7">
      <c r="A127" t="s">
        <v>452</v>
      </c>
      <c r="B127" t="s">
        <v>390</v>
      </c>
      <c r="C127" t="s">
        <v>133</v>
      </c>
      <c r="D127" s="10">
        <v>39561</v>
      </c>
      <c r="E127" s="10">
        <v>45911</v>
      </c>
      <c r="F127">
        <v>17</v>
      </c>
      <c r="G127" t="s">
        <v>4296</v>
      </c>
    </row>
    <row r="128" spans="1:7">
      <c r="A128" t="s">
        <v>454</v>
      </c>
      <c r="B128" t="s">
        <v>455</v>
      </c>
      <c r="C128" t="s">
        <v>133</v>
      </c>
      <c r="D128" s="10">
        <v>20455</v>
      </c>
      <c r="E128" s="10">
        <v>45210</v>
      </c>
      <c r="F128">
        <v>67</v>
      </c>
      <c r="G128" t="s">
        <v>4296</v>
      </c>
    </row>
    <row r="129" spans="1:7">
      <c r="A129" t="s">
        <v>457</v>
      </c>
      <c r="B129" t="s">
        <v>458</v>
      </c>
      <c r="C129" t="s">
        <v>40</v>
      </c>
      <c r="D129" s="10">
        <v>22567</v>
      </c>
      <c r="E129" s="10">
        <v>45661</v>
      </c>
      <c r="F129">
        <v>63</v>
      </c>
      <c r="G129" t="s">
        <v>4296</v>
      </c>
    </row>
    <row r="130" spans="1:7">
      <c r="A130" t="s">
        <v>461</v>
      </c>
      <c r="B130" t="s">
        <v>274</v>
      </c>
      <c r="C130" t="s">
        <v>133</v>
      </c>
      <c r="D130" s="10">
        <v>39357</v>
      </c>
      <c r="E130" s="10">
        <v>44950</v>
      </c>
      <c r="F130">
        <v>15</v>
      </c>
      <c r="G130" t="s">
        <v>4296</v>
      </c>
    </row>
    <row r="131" spans="1:7">
      <c r="A131" t="s">
        <v>462</v>
      </c>
      <c r="B131" t="s">
        <v>147</v>
      </c>
      <c r="C131" t="s">
        <v>133</v>
      </c>
      <c r="D131" s="10">
        <v>27777</v>
      </c>
      <c r="E131" s="10">
        <v>44927</v>
      </c>
      <c r="F131">
        <v>46</v>
      </c>
      <c r="G131" t="s">
        <v>4296</v>
      </c>
    </row>
    <row r="132" spans="1:7">
      <c r="A132" t="s">
        <v>463</v>
      </c>
      <c r="B132" t="s">
        <v>464</v>
      </c>
      <c r="C132" t="s">
        <v>133</v>
      </c>
      <c r="D132" s="10">
        <v>34367</v>
      </c>
      <c r="E132" s="10">
        <v>45263</v>
      </c>
      <c r="F132">
        <v>29</v>
      </c>
      <c r="G132" t="s">
        <v>4296</v>
      </c>
    </row>
    <row r="133" spans="1:7">
      <c r="A133" t="s">
        <v>469</v>
      </c>
      <c r="B133" t="s">
        <v>470</v>
      </c>
      <c r="C133" t="s">
        <v>133</v>
      </c>
      <c r="D133" s="10">
        <v>35448</v>
      </c>
      <c r="E133" s="10">
        <v>45813</v>
      </c>
      <c r="F133">
        <v>28</v>
      </c>
      <c r="G133" t="s">
        <v>4296</v>
      </c>
    </row>
    <row r="134" spans="1:7">
      <c r="A134" t="s">
        <v>471</v>
      </c>
      <c r="B134" t="s">
        <v>472</v>
      </c>
      <c r="C134" t="s">
        <v>133</v>
      </c>
      <c r="D134" s="10">
        <v>35051</v>
      </c>
      <c r="E134" s="10">
        <v>45372</v>
      </c>
      <c r="F134">
        <v>28</v>
      </c>
      <c r="G134" t="s">
        <v>4296</v>
      </c>
    </row>
    <row r="135" spans="1:7">
      <c r="A135" t="s">
        <v>474</v>
      </c>
      <c r="B135" t="s">
        <v>475</v>
      </c>
      <c r="C135" t="s">
        <v>40</v>
      </c>
      <c r="D135" s="10">
        <v>18814</v>
      </c>
      <c r="E135" s="10">
        <v>45035</v>
      </c>
      <c r="F135">
        <v>71</v>
      </c>
      <c r="G135" t="s">
        <v>4296</v>
      </c>
    </row>
    <row r="136" spans="1:7">
      <c r="A136" t="s">
        <v>476</v>
      </c>
      <c r="B136" t="s">
        <v>436</v>
      </c>
      <c r="C136" t="s">
        <v>40</v>
      </c>
      <c r="D136" s="10">
        <v>40007</v>
      </c>
      <c r="E136" s="10">
        <v>45721</v>
      </c>
      <c r="F136">
        <v>15</v>
      </c>
      <c r="G136" t="s">
        <v>4296</v>
      </c>
    </row>
    <row r="137" spans="1:7">
      <c r="A137" t="s">
        <v>479</v>
      </c>
      <c r="B137" t="s">
        <v>480</v>
      </c>
      <c r="C137" t="s">
        <v>40</v>
      </c>
      <c r="D137" s="10">
        <v>38108</v>
      </c>
      <c r="E137" s="10">
        <v>45603</v>
      </c>
      <c r="F137">
        <v>20</v>
      </c>
      <c r="G137" t="s">
        <v>4296</v>
      </c>
    </row>
    <row r="138" spans="1:7">
      <c r="A138" t="s">
        <v>484</v>
      </c>
      <c r="B138" t="s">
        <v>485</v>
      </c>
      <c r="C138" t="s">
        <v>133</v>
      </c>
      <c r="D138" s="10">
        <v>33766</v>
      </c>
      <c r="E138" s="10">
        <v>45665</v>
      </c>
      <c r="F138">
        <v>32</v>
      </c>
      <c r="G138" t="s">
        <v>4296</v>
      </c>
    </row>
    <row r="139" spans="1:7">
      <c r="A139" t="s">
        <v>487</v>
      </c>
      <c r="B139" t="s">
        <v>419</v>
      </c>
      <c r="C139" t="s">
        <v>40</v>
      </c>
      <c r="D139" s="10">
        <v>28704</v>
      </c>
      <c r="E139" s="10">
        <v>45534</v>
      </c>
      <c r="F139">
        <v>46</v>
      </c>
      <c r="G139" t="s">
        <v>4296</v>
      </c>
    </row>
    <row r="140" spans="1:7">
      <c r="A140" t="s">
        <v>489</v>
      </c>
      <c r="B140" t="s">
        <v>159</v>
      </c>
      <c r="C140" t="s">
        <v>133</v>
      </c>
      <c r="D140" s="10">
        <v>37355</v>
      </c>
      <c r="E140" s="10">
        <v>45761</v>
      </c>
      <c r="F140">
        <v>23</v>
      </c>
      <c r="G140" t="s">
        <v>4296</v>
      </c>
    </row>
    <row r="141" spans="1:7">
      <c r="A141" t="s">
        <v>4117</v>
      </c>
      <c r="B141" t="s">
        <v>492</v>
      </c>
      <c r="C141" t="s">
        <v>40</v>
      </c>
      <c r="D141" s="10">
        <v>23460</v>
      </c>
      <c r="E141" s="10">
        <v>45727</v>
      </c>
      <c r="F141">
        <v>60</v>
      </c>
      <c r="G141" t="s">
        <v>4296</v>
      </c>
    </row>
    <row r="142" spans="1:7">
      <c r="A142" t="s">
        <v>494</v>
      </c>
      <c r="B142" t="s">
        <v>495</v>
      </c>
      <c r="C142" t="s">
        <v>40</v>
      </c>
      <c r="D142" s="10">
        <v>29330</v>
      </c>
      <c r="E142" s="10">
        <v>45038</v>
      </c>
      <c r="F142">
        <v>43</v>
      </c>
      <c r="G142" t="s">
        <v>4237</v>
      </c>
    </row>
    <row r="143" spans="1:7">
      <c r="A143" t="s">
        <v>499</v>
      </c>
      <c r="B143" t="s">
        <v>689</v>
      </c>
      <c r="C143" t="s">
        <v>133</v>
      </c>
      <c r="D143" s="10">
        <v>18422</v>
      </c>
      <c r="E143" s="10">
        <v>45380</v>
      </c>
      <c r="F143">
        <v>73</v>
      </c>
      <c r="G143" t="s">
        <v>4296</v>
      </c>
    </row>
    <row r="144" spans="1:7">
      <c r="A144" t="s">
        <v>502</v>
      </c>
      <c r="B144" t="s">
        <v>503</v>
      </c>
      <c r="C144" t="s">
        <v>133</v>
      </c>
      <c r="D144" s="10">
        <v>31983</v>
      </c>
      <c r="E144" s="10">
        <v>45362</v>
      </c>
      <c r="F144">
        <v>36</v>
      </c>
      <c r="G144" t="s">
        <v>4296</v>
      </c>
    </row>
    <row r="145" spans="1:7">
      <c r="A145" t="s">
        <v>505</v>
      </c>
      <c r="B145" t="s">
        <v>132</v>
      </c>
      <c r="C145" t="s">
        <v>133</v>
      </c>
      <c r="D145" s="10">
        <v>35780</v>
      </c>
      <c r="E145" s="10">
        <v>45661</v>
      </c>
      <c r="F145">
        <v>27</v>
      </c>
      <c r="G145" t="s">
        <v>4296</v>
      </c>
    </row>
    <row r="146" spans="1:7">
      <c r="A146" t="s">
        <v>508</v>
      </c>
      <c r="B146" t="s">
        <v>253</v>
      </c>
      <c r="C146" t="s">
        <v>40</v>
      </c>
      <c r="D146" s="10">
        <v>33286</v>
      </c>
      <c r="E146" s="10">
        <v>45442</v>
      </c>
      <c r="F146">
        <v>33</v>
      </c>
      <c r="G146" t="s">
        <v>4296</v>
      </c>
    </row>
    <row r="147" spans="1:7">
      <c r="A147" t="s">
        <v>510</v>
      </c>
      <c r="B147" t="s">
        <v>511</v>
      </c>
      <c r="C147" t="s">
        <v>40</v>
      </c>
      <c r="D147" s="10">
        <v>29330</v>
      </c>
      <c r="E147" s="10">
        <v>45257</v>
      </c>
      <c r="F147">
        <v>43</v>
      </c>
      <c r="G147" t="s">
        <v>4237</v>
      </c>
    </row>
    <row r="148" spans="1:7">
      <c r="A148" t="s">
        <v>512</v>
      </c>
      <c r="B148" t="s">
        <v>513</v>
      </c>
      <c r="C148" t="s">
        <v>133</v>
      </c>
      <c r="D148" s="10">
        <v>36826</v>
      </c>
      <c r="E148" s="10">
        <v>45299</v>
      </c>
      <c r="F148">
        <v>23</v>
      </c>
      <c r="G148" t="s">
        <v>4296</v>
      </c>
    </row>
    <row r="149" spans="1:7">
      <c r="A149" t="s">
        <v>514</v>
      </c>
      <c r="B149" t="s">
        <v>515</v>
      </c>
      <c r="C149" t="s">
        <v>40</v>
      </c>
      <c r="D149" s="10">
        <v>39407</v>
      </c>
      <c r="E149" s="10">
        <v>45810</v>
      </c>
      <c r="F149">
        <v>17</v>
      </c>
      <c r="G149" t="s">
        <v>4296</v>
      </c>
    </row>
    <row r="150" spans="1:7">
      <c r="A150" t="s">
        <v>516</v>
      </c>
      <c r="B150" t="s">
        <v>517</v>
      </c>
      <c r="C150" t="s">
        <v>40</v>
      </c>
      <c r="D150" s="10">
        <v>21064</v>
      </c>
      <c r="E150" s="10">
        <v>45695</v>
      </c>
      <c r="F150">
        <v>67</v>
      </c>
      <c r="G150" t="s">
        <v>4296</v>
      </c>
    </row>
    <row r="151" spans="1:7">
      <c r="A151" t="s">
        <v>519</v>
      </c>
      <c r="B151" t="s">
        <v>249</v>
      </c>
      <c r="C151" t="s">
        <v>40</v>
      </c>
      <c r="D151" s="10">
        <v>38295</v>
      </c>
      <c r="E151" s="10">
        <v>45397</v>
      </c>
      <c r="F151">
        <v>19</v>
      </c>
      <c r="G151" t="s">
        <v>4296</v>
      </c>
    </row>
    <row r="152" spans="1:7">
      <c r="A152" t="s">
        <v>521</v>
      </c>
      <c r="B152" t="s">
        <v>522</v>
      </c>
      <c r="C152" t="s">
        <v>40</v>
      </c>
      <c r="D152" s="10">
        <v>25192</v>
      </c>
      <c r="E152" s="10">
        <v>45044</v>
      </c>
      <c r="F152">
        <v>54</v>
      </c>
      <c r="G152" t="s">
        <v>4296</v>
      </c>
    </row>
    <row r="153" spans="1:7">
      <c r="A153" t="s">
        <v>523</v>
      </c>
      <c r="B153" t="s">
        <v>524</v>
      </c>
      <c r="C153" t="s">
        <v>40</v>
      </c>
      <c r="D153" s="10">
        <v>31191</v>
      </c>
      <c r="E153" s="10">
        <v>45639</v>
      </c>
      <c r="F153">
        <v>39</v>
      </c>
      <c r="G153" t="s">
        <v>4296</v>
      </c>
    </row>
    <row r="154" spans="1:7">
      <c r="A154" t="s">
        <v>526</v>
      </c>
      <c r="B154" t="s">
        <v>527</v>
      </c>
      <c r="C154" t="s">
        <v>40</v>
      </c>
      <c r="D154" s="10">
        <v>36394</v>
      </c>
      <c r="E154" s="10">
        <v>45870</v>
      </c>
      <c r="F154">
        <v>25</v>
      </c>
      <c r="G154" t="s">
        <v>4296</v>
      </c>
    </row>
    <row r="155" spans="1:7">
      <c r="A155" t="s">
        <v>530</v>
      </c>
      <c r="B155" t="s">
        <v>531</v>
      </c>
      <c r="C155" t="s">
        <v>133</v>
      </c>
      <c r="D155" s="10">
        <v>29927</v>
      </c>
      <c r="E155" s="10">
        <v>45407</v>
      </c>
      <c r="F155">
        <v>42</v>
      </c>
      <c r="G155" t="s">
        <v>4296</v>
      </c>
    </row>
    <row r="156" spans="1:7">
      <c r="A156" t="s">
        <v>534</v>
      </c>
      <c r="B156" t="s">
        <v>492</v>
      </c>
      <c r="C156" t="s">
        <v>133</v>
      </c>
      <c r="D156" s="10">
        <v>24661</v>
      </c>
      <c r="E156" s="10">
        <v>45189</v>
      </c>
      <c r="F156">
        <v>56</v>
      </c>
      <c r="G156" t="s">
        <v>4296</v>
      </c>
    </row>
    <row r="157" spans="1:7">
      <c r="A157" t="s">
        <v>537</v>
      </c>
      <c r="B157" t="s">
        <v>168</v>
      </c>
      <c r="C157" t="s">
        <v>133</v>
      </c>
      <c r="D157" s="10">
        <v>29774</v>
      </c>
      <c r="E157" s="10">
        <v>45785</v>
      </c>
      <c r="F157">
        <v>43</v>
      </c>
      <c r="G157" t="s">
        <v>4296</v>
      </c>
    </row>
    <row r="158" spans="1:7">
      <c r="A158" t="s">
        <v>540</v>
      </c>
      <c r="B158" t="s">
        <v>541</v>
      </c>
      <c r="C158" t="s">
        <v>40</v>
      </c>
      <c r="D158" s="10">
        <v>36748</v>
      </c>
      <c r="E158" s="10">
        <v>45440</v>
      </c>
      <c r="F158">
        <v>23</v>
      </c>
      <c r="G158" t="s">
        <v>4296</v>
      </c>
    </row>
    <row r="159" spans="1:7">
      <c r="A159" t="s">
        <v>542</v>
      </c>
      <c r="B159" t="s">
        <v>301</v>
      </c>
      <c r="C159" t="s">
        <v>40</v>
      </c>
      <c r="D159" s="10">
        <v>26472</v>
      </c>
      <c r="E159" s="10">
        <v>45972</v>
      </c>
      <c r="F159">
        <v>53</v>
      </c>
      <c r="G159" t="s">
        <v>4296</v>
      </c>
    </row>
    <row r="160" spans="1:7">
      <c r="A160" t="s">
        <v>4108</v>
      </c>
      <c r="B160" t="s">
        <v>545</v>
      </c>
      <c r="C160" t="s">
        <v>133</v>
      </c>
      <c r="D160" s="10">
        <v>35720</v>
      </c>
      <c r="E160" s="10">
        <v>45849</v>
      </c>
      <c r="F160">
        <v>27</v>
      </c>
      <c r="G160" t="s">
        <v>4296</v>
      </c>
    </row>
    <row r="161" spans="1:7">
      <c r="A161" t="s">
        <v>547</v>
      </c>
      <c r="B161" t="s">
        <v>548</v>
      </c>
      <c r="C161" t="s">
        <v>40</v>
      </c>
      <c r="D161" s="10">
        <v>35565</v>
      </c>
      <c r="E161" s="10">
        <v>45185</v>
      </c>
      <c r="F161">
        <v>26</v>
      </c>
      <c r="G161" t="s">
        <v>4296</v>
      </c>
    </row>
    <row r="162" spans="1:7">
      <c r="A162" t="s">
        <v>549</v>
      </c>
      <c r="B162" t="s">
        <v>550</v>
      </c>
      <c r="C162" t="s">
        <v>40</v>
      </c>
      <c r="D162" s="10">
        <v>27885</v>
      </c>
      <c r="E162" s="10">
        <v>45548</v>
      </c>
      <c r="F162">
        <v>48</v>
      </c>
      <c r="G162" t="s">
        <v>4296</v>
      </c>
    </row>
    <row r="163" spans="1:7">
      <c r="A163" t="s">
        <v>552</v>
      </c>
      <c r="B163" t="s">
        <v>553</v>
      </c>
      <c r="C163" t="s">
        <v>133</v>
      </c>
      <c r="D163" s="10">
        <v>28437</v>
      </c>
      <c r="E163" s="10">
        <v>45985</v>
      </c>
      <c r="F163">
        <v>48</v>
      </c>
      <c r="G163" t="s">
        <v>4296</v>
      </c>
    </row>
    <row r="164" spans="1:7">
      <c r="A164" t="s">
        <v>555</v>
      </c>
      <c r="B164" t="s">
        <v>556</v>
      </c>
      <c r="C164" t="s">
        <v>133</v>
      </c>
      <c r="D164" s="10">
        <v>18482</v>
      </c>
      <c r="E164" s="10">
        <v>45627</v>
      </c>
      <c r="F164">
        <v>74</v>
      </c>
      <c r="G164" t="s">
        <v>4296</v>
      </c>
    </row>
    <row r="165" spans="1:7">
      <c r="A165" t="s">
        <v>557</v>
      </c>
      <c r="B165" t="s">
        <v>314</v>
      </c>
      <c r="C165" t="s">
        <v>40</v>
      </c>
      <c r="D165" s="10">
        <v>22882</v>
      </c>
      <c r="E165" s="10">
        <v>45119</v>
      </c>
      <c r="F165">
        <v>60</v>
      </c>
      <c r="G165" t="s">
        <v>4296</v>
      </c>
    </row>
    <row r="166" spans="1:7">
      <c r="A166" t="s">
        <v>559</v>
      </c>
      <c r="B166" t="s">
        <v>560</v>
      </c>
      <c r="C166" t="s">
        <v>40</v>
      </c>
      <c r="D166" s="10">
        <v>18282</v>
      </c>
      <c r="E166" s="10">
        <v>45900</v>
      </c>
      <c r="F166">
        <v>75</v>
      </c>
      <c r="G166" t="s">
        <v>4296</v>
      </c>
    </row>
    <row r="167" spans="1:7">
      <c r="A167" t="s">
        <v>562</v>
      </c>
      <c r="B167" t="s">
        <v>563</v>
      </c>
      <c r="C167" t="s">
        <v>40</v>
      </c>
      <c r="D167" s="10">
        <v>29935</v>
      </c>
      <c r="E167" s="10">
        <v>45530</v>
      </c>
      <c r="F167">
        <v>42</v>
      </c>
      <c r="G167" t="s">
        <v>4296</v>
      </c>
    </row>
    <row r="168" spans="1:7">
      <c r="A168" t="s">
        <v>564</v>
      </c>
      <c r="B168" t="s">
        <v>565</v>
      </c>
      <c r="C168" t="s">
        <v>40</v>
      </c>
      <c r="D168" s="10">
        <v>35117</v>
      </c>
      <c r="E168" s="10">
        <v>45720</v>
      </c>
      <c r="F168">
        <v>29</v>
      </c>
      <c r="G168" t="s">
        <v>4296</v>
      </c>
    </row>
    <row r="169" spans="1:7">
      <c r="A169" t="s">
        <v>567</v>
      </c>
      <c r="B169" t="s">
        <v>568</v>
      </c>
      <c r="C169" t="s">
        <v>133</v>
      </c>
      <c r="D169" s="10">
        <v>23673</v>
      </c>
      <c r="E169" s="10">
        <v>45072</v>
      </c>
      <c r="F169">
        <v>58</v>
      </c>
      <c r="G169" t="s">
        <v>4296</v>
      </c>
    </row>
    <row r="170" spans="1:7">
      <c r="A170" t="s">
        <v>570</v>
      </c>
      <c r="B170" t="s">
        <v>244</v>
      </c>
      <c r="C170" t="s">
        <v>40</v>
      </c>
      <c r="D170" s="10">
        <v>31399</v>
      </c>
      <c r="E170" s="10">
        <v>45777</v>
      </c>
      <c r="F170">
        <v>39</v>
      </c>
      <c r="G170" t="s">
        <v>4296</v>
      </c>
    </row>
    <row r="171" spans="1:7">
      <c r="A171" t="s">
        <v>571</v>
      </c>
      <c r="B171" t="s">
        <v>572</v>
      </c>
      <c r="C171" t="s">
        <v>133</v>
      </c>
      <c r="D171" s="10">
        <v>36427</v>
      </c>
      <c r="E171" s="10">
        <v>45447</v>
      </c>
      <c r="F171">
        <v>24</v>
      </c>
      <c r="G171" t="s">
        <v>4296</v>
      </c>
    </row>
    <row r="172" spans="1:7">
      <c r="A172" t="s">
        <v>575</v>
      </c>
      <c r="B172" t="s">
        <v>576</v>
      </c>
      <c r="C172" t="s">
        <v>133</v>
      </c>
      <c r="D172" s="10">
        <v>24277</v>
      </c>
      <c r="E172" s="10">
        <v>45438</v>
      </c>
      <c r="F172">
        <v>57</v>
      </c>
      <c r="G172" t="s">
        <v>4296</v>
      </c>
    </row>
    <row r="173" spans="1:7">
      <c r="A173" t="s">
        <v>578</v>
      </c>
      <c r="B173" t="s">
        <v>579</v>
      </c>
      <c r="C173" t="s">
        <v>40</v>
      </c>
      <c r="D173" s="10">
        <v>35762</v>
      </c>
      <c r="E173" s="10">
        <v>44950</v>
      </c>
      <c r="F173">
        <v>25</v>
      </c>
      <c r="G173" t="s">
        <v>4296</v>
      </c>
    </row>
    <row r="174" spans="1:7">
      <c r="A174" t="s">
        <v>581</v>
      </c>
      <c r="B174" t="s">
        <v>394</v>
      </c>
      <c r="C174" t="s">
        <v>40</v>
      </c>
      <c r="D174" s="10">
        <v>35870</v>
      </c>
      <c r="E174" s="10">
        <v>45332</v>
      </c>
      <c r="F174">
        <v>25</v>
      </c>
      <c r="G174" t="s">
        <v>4296</v>
      </c>
    </row>
    <row r="175" spans="1:7">
      <c r="A175" t="s">
        <v>583</v>
      </c>
      <c r="B175" t="s">
        <v>584</v>
      </c>
      <c r="C175" t="s">
        <v>133</v>
      </c>
      <c r="D175" s="10">
        <v>22962</v>
      </c>
      <c r="E175" s="10">
        <v>45246</v>
      </c>
      <c r="F175">
        <v>61</v>
      </c>
      <c r="G175" t="s">
        <v>4296</v>
      </c>
    </row>
    <row r="176" spans="1:7">
      <c r="A176" t="s">
        <v>586</v>
      </c>
      <c r="B176" t="s">
        <v>587</v>
      </c>
      <c r="C176" t="s">
        <v>133</v>
      </c>
      <c r="D176" s="10">
        <v>21925</v>
      </c>
      <c r="E176" s="10">
        <v>45338</v>
      </c>
      <c r="F176">
        <v>64</v>
      </c>
      <c r="G176" t="s">
        <v>4296</v>
      </c>
    </row>
    <row r="177" spans="1:7">
      <c r="A177" t="s">
        <v>590</v>
      </c>
      <c r="B177" t="s">
        <v>591</v>
      </c>
      <c r="C177" t="s">
        <v>133</v>
      </c>
      <c r="D177" s="10">
        <v>19101</v>
      </c>
      <c r="E177" s="10">
        <v>45551</v>
      </c>
      <c r="F177">
        <v>72</v>
      </c>
      <c r="G177" t="s">
        <v>4296</v>
      </c>
    </row>
    <row r="178" spans="1:7">
      <c r="A178" t="s">
        <v>592</v>
      </c>
      <c r="B178" t="s">
        <v>442</v>
      </c>
      <c r="C178" t="s">
        <v>40</v>
      </c>
      <c r="D178" s="10">
        <v>38678</v>
      </c>
      <c r="E178" s="10">
        <v>45392</v>
      </c>
      <c r="F178">
        <v>18</v>
      </c>
      <c r="G178" t="s">
        <v>4296</v>
      </c>
    </row>
    <row r="179" spans="1:7">
      <c r="A179" t="s">
        <v>595</v>
      </c>
      <c r="B179" t="s">
        <v>332</v>
      </c>
      <c r="C179" t="s">
        <v>40</v>
      </c>
      <c r="D179" s="10">
        <v>40516</v>
      </c>
      <c r="E179" s="10">
        <v>45304</v>
      </c>
      <c r="F179">
        <v>13</v>
      </c>
      <c r="G179" t="s">
        <v>4296</v>
      </c>
    </row>
    <row r="180" spans="1:7">
      <c r="A180" t="s">
        <v>597</v>
      </c>
      <c r="B180" t="s">
        <v>383</v>
      </c>
      <c r="C180" t="s">
        <v>40</v>
      </c>
      <c r="D180" s="10">
        <v>34551</v>
      </c>
      <c r="E180" s="10">
        <v>45955</v>
      </c>
      <c r="F180">
        <v>31</v>
      </c>
      <c r="G180" t="s">
        <v>4296</v>
      </c>
    </row>
    <row r="181" spans="1:7">
      <c r="A181" t="s">
        <v>600</v>
      </c>
      <c r="B181" t="s">
        <v>601</v>
      </c>
      <c r="C181" t="s">
        <v>40</v>
      </c>
      <c r="D181" s="10">
        <v>28331</v>
      </c>
      <c r="E181" s="10">
        <v>45012</v>
      </c>
      <c r="F181">
        <v>45</v>
      </c>
      <c r="G181" t="s">
        <v>4296</v>
      </c>
    </row>
    <row r="182" spans="1:7">
      <c r="A182" t="s">
        <v>603</v>
      </c>
      <c r="B182" t="s">
        <v>604</v>
      </c>
      <c r="C182" t="s">
        <v>40</v>
      </c>
      <c r="D182" s="10">
        <v>34582</v>
      </c>
      <c r="E182" s="10">
        <v>45876</v>
      </c>
      <c r="F182">
        <v>30</v>
      </c>
      <c r="G182" t="s">
        <v>4296</v>
      </c>
    </row>
    <row r="183" spans="1:7">
      <c r="A183" t="s">
        <v>606</v>
      </c>
      <c r="B183" t="s">
        <v>607</v>
      </c>
      <c r="C183" t="s">
        <v>40</v>
      </c>
      <c r="D183" s="10">
        <v>34904</v>
      </c>
      <c r="E183" s="10">
        <v>45974</v>
      </c>
      <c r="F183">
        <v>30</v>
      </c>
      <c r="G183" t="s">
        <v>4296</v>
      </c>
    </row>
    <row r="184" spans="1:7">
      <c r="A184" t="s">
        <v>610</v>
      </c>
      <c r="B184" t="s">
        <v>611</v>
      </c>
      <c r="C184" t="s">
        <v>133</v>
      </c>
      <c r="D184" s="10">
        <v>30701</v>
      </c>
      <c r="E184" s="10">
        <v>45937</v>
      </c>
      <c r="F184">
        <v>41</v>
      </c>
      <c r="G184" t="s">
        <v>4296</v>
      </c>
    </row>
    <row r="185" spans="1:7">
      <c r="A185" t="s">
        <v>612</v>
      </c>
      <c r="B185" t="s">
        <v>613</v>
      </c>
      <c r="C185" t="s">
        <v>133</v>
      </c>
      <c r="D185" s="10">
        <v>22230</v>
      </c>
      <c r="E185" s="10">
        <v>45290</v>
      </c>
      <c r="F185">
        <v>63</v>
      </c>
      <c r="G185" t="s">
        <v>4296</v>
      </c>
    </row>
    <row r="186" spans="1:7">
      <c r="A186" t="s">
        <v>615</v>
      </c>
      <c r="B186" t="s">
        <v>83</v>
      </c>
      <c r="C186" t="s">
        <v>40</v>
      </c>
      <c r="D186" s="10">
        <v>40157</v>
      </c>
      <c r="E186" s="10">
        <v>45801</v>
      </c>
      <c r="F186">
        <v>15</v>
      </c>
      <c r="G186" t="s">
        <v>4296</v>
      </c>
    </row>
    <row r="187" spans="1:7">
      <c r="A187" t="s">
        <v>617</v>
      </c>
      <c r="B187" t="s">
        <v>168</v>
      </c>
      <c r="C187" t="s">
        <v>40</v>
      </c>
      <c r="D187" s="10">
        <v>37202</v>
      </c>
      <c r="E187" s="10">
        <v>44950</v>
      </c>
      <c r="F187">
        <v>21</v>
      </c>
      <c r="G187" t="s">
        <v>4296</v>
      </c>
    </row>
    <row r="188" spans="1:7">
      <c r="A188" t="s">
        <v>620</v>
      </c>
      <c r="B188" t="s">
        <v>591</v>
      </c>
      <c r="C188" t="s">
        <v>133</v>
      </c>
      <c r="D188" s="10">
        <v>29060</v>
      </c>
      <c r="E188" s="10">
        <v>45041</v>
      </c>
      <c r="F188">
        <v>43</v>
      </c>
      <c r="G188" t="s">
        <v>4296</v>
      </c>
    </row>
    <row r="189" spans="1:7">
      <c r="A189" t="s">
        <v>621</v>
      </c>
      <c r="B189" t="s">
        <v>622</v>
      </c>
      <c r="C189" t="s">
        <v>133</v>
      </c>
      <c r="D189" s="10">
        <v>24656</v>
      </c>
      <c r="E189" s="10">
        <v>45944</v>
      </c>
      <c r="F189">
        <v>58</v>
      </c>
      <c r="G189" t="s">
        <v>4296</v>
      </c>
    </row>
    <row r="190" spans="1:7">
      <c r="A190" t="s">
        <v>623</v>
      </c>
      <c r="B190" t="s">
        <v>624</v>
      </c>
      <c r="C190" t="s">
        <v>133</v>
      </c>
      <c r="D190" s="10">
        <v>29059</v>
      </c>
      <c r="E190" s="10">
        <v>45996</v>
      </c>
      <c r="F190">
        <v>46</v>
      </c>
      <c r="G190" t="s">
        <v>4296</v>
      </c>
    </row>
    <row r="191" spans="1:7">
      <c r="A191" t="s">
        <v>625</v>
      </c>
      <c r="B191" t="s">
        <v>464</v>
      </c>
      <c r="C191" t="s">
        <v>40</v>
      </c>
      <c r="D191" s="10">
        <v>23266</v>
      </c>
      <c r="E191" s="10">
        <v>45579</v>
      </c>
      <c r="F191">
        <v>61</v>
      </c>
      <c r="G191" t="s">
        <v>4296</v>
      </c>
    </row>
    <row r="192" spans="1:7">
      <c r="A192" t="s">
        <v>628</v>
      </c>
      <c r="B192" t="s">
        <v>234</v>
      </c>
      <c r="C192" t="s">
        <v>133</v>
      </c>
      <c r="D192" s="10">
        <v>25381</v>
      </c>
      <c r="E192" s="10">
        <v>45332</v>
      </c>
      <c r="F192">
        <v>54</v>
      </c>
      <c r="G192" t="s">
        <v>4296</v>
      </c>
    </row>
    <row r="193" spans="1:7">
      <c r="A193" t="s">
        <v>629</v>
      </c>
      <c r="B193" t="s">
        <v>2093</v>
      </c>
      <c r="C193" t="s">
        <v>40</v>
      </c>
      <c r="D193" s="10">
        <v>18675</v>
      </c>
      <c r="E193" s="10">
        <v>45158</v>
      </c>
      <c r="F193">
        <v>72</v>
      </c>
      <c r="G193" t="s">
        <v>4296</v>
      </c>
    </row>
    <row r="194" spans="1:7">
      <c r="A194" t="s">
        <v>633</v>
      </c>
      <c r="B194" t="s">
        <v>513</v>
      </c>
      <c r="C194" t="s">
        <v>40</v>
      </c>
      <c r="D194" s="10">
        <v>31024</v>
      </c>
      <c r="E194" s="10">
        <v>45281</v>
      </c>
      <c r="F194">
        <v>39</v>
      </c>
      <c r="G194" t="s">
        <v>4296</v>
      </c>
    </row>
    <row r="195" spans="1:7">
      <c r="A195" t="s">
        <v>635</v>
      </c>
      <c r="B195" t="s">
        <v>427</v>
      </c>
      <c r="C195" t="s">
        <v>40</v>
      </c>
      <c r="D195" s="10">
        <v>33678</v>
      </c>
      <c r="E195" s="10">
        <v>46015</v>
      </c>
      <c r="F195">
        <v>33</v>
      </c>
      <c r="G195" t="s">
        <v>4296</v>
      </c>
    </row>
    <row r="196" spans="1:7">
      <c r="A196" t="s">
        <v>636</v>
      </c>
      <c r="B196" t="s">
        <v>607</v>
      </c>
      <c r="C196" t="s">
        <v>133</v>
      </c>
      <c r="D196" s="10">
        <v>38360</v>
      </c>
      <c r="E196" s="10">
        <v>45811</v>
      </c>
      <c r="F196">
        <v>20</v>
      </c>
      <c r="G196" t="s">
        <v>4296</v>
      </c>
    </row>
    <row r="197" spans="1:7">
      <c r="A197" t="s">
        <v>639</v>
      </c>
      <c r="B197" t="s">
        <v>640</v>
      </c>
      <c r="C197" t="s">
        <v>133</v>
      </c>
      <c r="D197" s="10">
        <v>33447</v>
      </c>
      <c r="E197" s="10">
        <v>45860</v>
      </c>
      <c r="F197">
        <v>33</v>
      </c>
      <c r="G197" t="s">
        <v>4296</v>
      </c>
    </row>
    <row r="198" spans="1:7">
      <c r="A198" t="s">
        <v>643</v>
      </c>
      <c r="B198" t="s">
        <v>334</v>
      </c>
      <c r="C198" t="s">
        <v>133</v>
      </c>
      <c r="D198" s="10">
        <v>38122</v>
      </c>
      <c r="E198" s="10">
        <v>45985</v>
      </c>
      <c r="F198">
        <v>21</v>
      </c>
      <c r="G198" t="s">
        <v>4296</v>
      </c>
    </row>
    <row r="199" spans="1:7">
      <c r="A199" t="s">
        <v>646</v>
      </c>
      <c r="B199" t="s">
        <v>647</v>
      </c>
      <c r="C199" t="s">
        <v>133</v>
      </c>
      <c r="D199" s="10">
        <v>35347</v>
      </c>
      <c r="E199" s="10">
        <v>45052</v>
      </c>
      <c r="F199">
        <v>26</v>
      </c>
      <c r="G199" t="s">
        <v>4296</v>
      </c>
    </row>
    <row r="200" spans="1:7">
      <c r="A200" t="s">
        <v>651</v>
      </c>
      <c r="B200" t="s">
        <v>652</v>
      </c>
      <c r="C200" t="s">
        <v>40</v>
      </c>
      <c r="D200" s="10">
        <v>37162</v>
      </c>
      <c r="E200" s="10">
        <v>44994</v>
      </c>
      <c r="F200">
        <v>21</v>
      </c>
      <c r="G200" t="s">
        <v>4296</v>
      </c>
    </row>
    <row r="201" spans="1:7">
      <c r="A201" t="s">
        <v>654</v>
      </c>
      <c r="B201" t="s">
        <v>655</v>
      </c>
      <c r="C201" t="s">
        <v>40</v>
      </c>
      <c r="D201" s="10">
        <v>29346</v>
      </c>
      <c r="E201" s="10">
        <v>46013</v>
      </c>
      <c r="F201">
        <v>45</v>
      </c>
      <c r="G201" t="s">
        <v>4296</v>
      </c>
    </row>
    <row r="202" spans="1:7">
      <c r="A202" t="s">
        <v>657</v>
      </c>
      <c r="B202" t="s">
        <v>658</v>
      </c>
      <c r="C202" t="s">
        <v>133</v>
      </c>
      <c r="D202" s="10">
        <v>25812</v>
      </c>
      <c r="E202" s="10">
        <v>44944</v>
      </c>
      <c r="F202">
        <v>52</v>
      </c>
      <c r="G202" t="s">
        <v>4296</v>
      </c>
    </row>
    <row r="203" spans="1:7">
      <c r="A203" t="s">
        <v>660</v>
      </c>
      <c r="B203" t="s">
        <v>661</v>
      </c>
      <c r="C203" t="s">
        <v>40</v>
      </c>
      <c r="D203" s="10">
        <v>29162</v>
      </c>
      <c r="E203" s="10">
        <v>45482</v>
      </c>
      <c r="F203">
        <v>44</v>
      </c>
      <c r="G203" t="s">
        <v>4237</v>
      </c>
    </row>
    <row r="204" spans="1:7">
      <c r="A204" t="s">
        <v>665</v>
      </c>
      <c r="B204" t="s">
        <v>666</v>
      </c>
      <c r="C204" t="s">
        <v>40</v>
      </c>
      <c r="D204" s="10">
        <v>39683</v>
      </c>
      <c r="E204" s="10">
        <v>45457</v>
      </c>
      <c r="F204">
        <v>15</v>
      </c>
      <c r="G204" t="s">
        <v>4296</v>
      </c>
    </row>
    <row r="205" spans="1:7">
      <c r="A205" t="s">
        <v>667</v>
      </c>
      <c r="B205" t="s">
        <v>572</v>
      </c>
      <c r="C205" t="s">
        <v>133</v>
      </c>
      <c r="D205" s="10">
        <v>27390</v>
      </c>
      <c r="E205" s="10">
        <v>45914</v>
      </c>
      <c r="F205">
        <v>50</v>
      </c>
      <c r="G205" t="s">
        <v>4296</v>
      </c>
    </row>
    <row r="206" spans="1:7">
      <c r="A206" t="s">
        <v>670</v>
      </c>
      <c r="B206" t="s">
        <v>247</v>
      </c>
      <c r="C206" t="s">
        <v>133</v>
      </c>
      <c r="D206" s="10">
        <v>21192</v>
      </c>
      <c r="E206" s="10">
        <v>44978</v>
      </c>
      <c r="F206">
        <v>65</v>
      </c>
      <c r="G206" t="s">
        <v>4296</v>
      </c>
    </row>
    <row r="207" spans="1:7">
      <c r="A207" t="s">
        <v>4118</v>
      </c>
      <c r="B207" t="s">
        <v>673</v>
      </c>
      <c r="C207" t="s">
        <v>133</v>
      </c>
      <c r="D207" s="10">
        <v>29891</v>
      </c>
      <c r="E207" s="10">
        <v>45892</v>
      </c>
      <c r="F207">
        <v>43</v>
      </c>
      <c r="G207" t="s">
        <v>4296</v>
      </c>
    </row>
    <row r="208" spans="1:7">
      <c r="A208" t="s">
        <v>675</v>
      </c>
      <c r="B208" t="s">
        <v>676</v>
      </c>
      <c r="C208" t="s">
        <v>133</v>
      </c>
      <c r="D208" s="10">
        <v>30752</v>
      </c>
      <c r="E208" s="10">
        <v>45363</v>
      </c>
      <c r="F208">
        <v>40</v>
      </c>
      <c r="G208" t="s">
        <v>4296</v>
      </c>
    </row>
    <row r="209" spans="1:7">
      <c r="A209" t="s">
        <v>678</v>
      </c>
      <c r="B209" t="s">
        <v>679</v>
      </c>
      <c r="C209" t="s">
        <v>40</v>
      </c>
      <c r="D209" s="10">
        <v>28120</v>
      </c>
      <c r="E209" s="10">
        <v>45901</v>
      </c>
      <c r="F209">
        <v>48</v>
      </c>
      <c r="G209" t="s">
        <v>4296</v>
      </c>
    </row>
    <row r="210" spans="1:7">
      <c r="A210" t="s">
        <v>681</v>
      </c>
      <c r="B210" t="s">
        <v>545</v>
      </c>
      <c r="C210" t="s">
        <v>40</v>
      </c>
      <c r="D210" s="10">
        <v>24479</v>
      </c>
      <c r="E210" s="10">
        <v>45157</v>
      </c>
      <c r="F210">
        <v>56</v>
      </c>
      <c r="G210" t="s">
        <v>4296</v>
      </c>
    </row>
    <row r="211" spans="1:7">
      <c r="A211" t="s">
        <v>683</v>
      </c>
      <c r="B211" t="s">
        <v>684</v>
      </c>
      <c r="C211" t="s">
        <v>40</v>
      </c>
      <c r="D211" s="10">
        <v>23002</v>
      </c>
      <c r="E211" s="10">
        <v>45594</v>
      </c>
      <c r="F211">
        <v>61</v>
      </c>
      <c r="G211" t="s">
        <v>4296</v>
      </c>
    </row>
    <row r="212" spans="1:7">
      <c r="A212" t="s">
        <v>687</v>
      </c>
      <c r="B212" t="s">
        <v>673</v>
      </c>
      <c r="C212" t="s">
        <v>133</v>
      </c>
      <c r="D212" s="10">
        <v>19484</v>
      </c>
      <c r="E212" s="10">
        <v>45154</v>
      </c>
      <c r="F212">
        <v>70</v>
      </c>
      <c r="G212" t="s">
        <v>4296</v>
      </c>
    </row>
    <row r="213" spans="1:7">
      <c r="A213" t="s">
        <v>688</v>
      </c>
      <c r="B213" t="s">
        <v>689</v>
      </c>
      <c r="C213" t="s">
        <v>40</v>
      </c>
      <c r="D213" s="10">
        <v>23655</v>
      </c>
      <c r="E213" s="10">
        <v>44937</v>
      </c>
      <c r="F213">
        <v>58</v>
      </c>
      <c r="G213" t="s">
        <v>4296</v>
      </c>
    </row>
    <row r="214" spans="1:7">
      <c r="A214" t="s">
        <v>692</v>
      </c>
      <c r="B214" t="s">
        <v>693</v>
      </c>
      <c r="C214" t="s">
        <v>133</v>
      </c>
      <c r="D214" s="10">
        <v>28942</v>
      </c>
      <c r="E214" s="10">
        <v>45934</v>
      </c>
      <c r="F214">
        <v>46</v>
      </c>
      <c r="G214" t="s">
        <v>4296</v>
      </c>
    </row>
    <row r="215" spans="1:7">
      <c r="A215" t="s">
        <v>696</v>
      </c>
      <c r="B215" t="s">
        <v>697</v>
      </c>
      <c r="C215" t="s">
        <v>133</v>
      </c>
      <c r="D215" s="10">
        <v>19157</v>
      </c>
      <c r="E215" s="10">
        <v>45285</v>
      </c>
      <c r="F215">
        <v>71</v>
      </c>
      <c r="G215" t="s">
        <v>4296</v>
      </c>
    </row>
    <row r="216" spans="1:7">
      <c r="A216" t="s">
        <v>699</v>
      </c>
      <c r="B216" t="s">
        <v>700</v>
      </c>
      <c r="C216" t="s">
        <v>40</v>
      </c>
      <c r="D216" s="10">
        <v>34222</v>
      </c>
      <c r="E216" s="10">
        <v>45852</v>
      </c>
      <c r="F216">
        <v>31</v>
      </c>
      <c r="G216" t="s">
        <v>4296</v>
      </c>
    </row>
    <row r="217" spans="1:7">
      <c r="A217" t="s">
        <v>703</v>
      </c>
      <c r="B217" t="s">
        <v>378</v>
      </c>
      <c r="C217" t="s">
        <v>133</v>
      </c>
      <c r="D217" s="10">
        <v>27996</v>
      </c>
      <c r="E217" s="10">
        <v>44970</v>
      </c>
      <c r="F217">
        <v>46</v>
      </c>
      <c r="G217" t="s">
        <v>4296</v>
      </c>
    </row>
    <row r="218" spans="1:7">
      <c r="A218" t="s">
        <v>705</v>
      </c>
      <c r="B218" t="s">
        <v>706</v>
      </c>
      <c r="C218" t="s">
        <v>133</v>
      </c>
      <c r="D218" s="10">
        <v>22195</v>
      </c>
      <c r="E218" s="10">
        <v>45511</v>
      </c>
      <c r="F218">
        <v>63</v>
      </c>
      <c r="G218" t="s">
        <v>4296</v>
      </c>
    </row>
    <row r="219" spans="1:7">
      <c r="A219" t="s">
        <v>707</v>
      </c>
      <c r="B219" t="s">
        <v>378</v>
      </c>
      <c r="C219" t="s">
        <v>133</v>
      </c>
      <c r="D219" s="10">
        <v>21574</v>
      </c>
      <c r="E219" s="10">
        <v>45788</v>
      </c>
      <c r="F219">
        <v>66</v>
      </c>
      <c r="G219" t="s">
        <v>4296</v>
      </c>
    </row>
    <row r="220" spans="1:7">
      <c r="A220" t="s">
        <v>710</v>
      </c>
      <c r="B220" t="s">
        <v>76</v>
      </c>
      <c r="C220" t="s">
        <v>40</v>
      </c>
      <c r="D220" s="10">
        <v>22649</v>
      </c>
      <c r="E220" s="10">
        <v>45839</v>
      </c>
      <c r="F220">
        <v>63</v>
      </c>
      <c r="G220" t="s">
        <v>4296</v>
      </c>
    </row>
    <row r="221" spans="1:7">
      <c r="A221" t="s">
        <v>714</v>
      </c>
      <c r="B221" t="s">
        <v>550</v>
      </c>
      <c r="C221" t="s">
        <v>40</v>
      </c>
      <c r="D221" s="10">
        <v>37239</v>
      </c>
      <c r="E221" s="10">
        <v>45775</v>
      </c>
      <c r="F221">
        <v>23</v>
      </c>
      <c r="G221" t="s">
        <v>4296</v>
      </c>
    </row>
    <row r="222" spans="1:7">
      <c r="A222" t="s">
        <v>716</v>
      </c>
      <c r="B222" t="s">
        <v>139</v>
      </c>
      <c r="C222" t="s">
        <v>133</v>
      </c>
      <c r="D222" s="10">
        <v>25433</v>
      </c>
      <c r="E222" s="10">
        <v>45876</v>
      </c>
      <c r="F222">
        <v>55</v>
      </c>
      <c r="G222" t="s">
        <v>4296</v>
      </c>
    </row>
    <row r="223" spans="1:7">
      <c r="A223" t="s">
        <v>717</v>
      </c>
      <c r="B223" t="s">
        <v>700</v>
      </c>
      <c r="C223" t="s">
        <v>133</v>
      </c>
      <c r="D223" s="10">
        <v>26931</v>
      </c>
      <c r="E223" s="10">
        <v>44962</v>
      </c>
      <c r="F223">
        <v>49</v>
      </c>
      <c r="G223" t="s">
        <v>4296</v>
      </c>
    </row>
    <row r="224" spans="1:7">
      <c r="A224" t="s">
        <v>719</v>
      </c>
      <c r="B224" t="s">
        <v>843</v>
      </c>
      <c r="C224" t="s">
        <v>133</v>
      </c>
      <c r="D224" s="10">
        <v>24799</v>
      </c>
      <c r="E224" s="10">
        <v>45669</v>
      </c>
      <c r="F224">
        <v>57</v>
      </c>
      <c r="G224" t="s">
        <v>4296</v>
      </c>
    </row>
    <row r="225" spans="1:7">
      <c r="A225" t="s">
        <v>722</v>
      </c>
      <c r="B225" t="s">
        <v>613</v>
      </c>
      <c r="C225" t="s">
        <v>133</v>
      </c>
      <c r="D225" s="10">
        <v>39482</v>
      </c>
      <c r="E225" s="10">
        <v>45195</v>
      </c>
      <c r="F225">
        <v>15</v>
      </c>
      <c r="G225" t="s">
        <v>4296</v>
      </c>
    </row>
    <row r="226" spans="1:7">
      <c r="A226" t="s">
        <v>724</v>
      </c>
      <c r="B226" t="s">
        <v>427</v>
      </c>
      <c r="C226" t="s">
        <v>133</v>
      </c>
      <c r="D226" s="10">
        <v>35978</v>
      </c>
      <c r="E226" s="10">
        <v>45329</v>
      </c>
      <c r="F226">
        <v>25</v>
      </c>
      <c r="G226" t="s">
        <v>4296</v>
      </c>
    </row>
    <row r="227" spans="1:7">
      <c r="A227" t="s">
        <v>725</v>
      </c>
      <c r="B227" t="s">
        <v>565</v>
      </c>
      <c r="C227" t="s">
        <v>40</v>
      </c>
      <c r="D227" s="10">
        <v>31447</v>
      </c>
      <c r="E227" s="10">
        <v>44955</v>
      </c>
      <c r="F227">
        <v>36</v>
      </c>
      <c r="G227" t="s">
        <v>4296</v>
      </c>
    </row>
    <row r="228" spans="1:7">
      <c r="A228" t="s">
        <v>727</v>
      </c>
      <c r="B228" t="s">
        <v>728</v>
      </c>
      <c r="C228" t="s">
        <v>40</v>
      </c>
      <c r="D228" s="10">
        <v>21422</v>
      </c>
      <c r="E228" s="10">
        <v>45666</v>
      </c>
      <c r="F228">
        <v>66</v>
      </c>
      <c r="G228" t="s">
        <v>4296</v>
      </c>
    </row>
    <row r="229" spans="1:7">
      <c r="A229" t="s">
        <v>731</v>
      </c>
      <c r="B229" t="s">
        <v>732</v>
      </c>
      <c r="C229" t="s">
        <v>133</v>
      </c>
      <c r="D229" s="10">
        <v>27623</v>
      </c>
      <c r="E229" s="10">
        <v>45101</v>
      </c>
      <c r="F229">
        <v>47</v>
      </c>
      <c r="G229" t="s">
        <v>4296</v>
      </c>
    </row>
    <row r="230" spans="1:7">
      <c r="A230" t="s">
        <v>733</v>
      </c>
      <c r="B230" t="s">
        <v>67</v>
      </c>
      <c r="C230" t="s">
        <v>133</v>
      </c>
      <c r="D230" s="10">
        <v>21648</v>
      </c>
      <c r="E230" s="10">
        <v>45177</v>
      </c>
      <c r="F230">
        <v>64</v>
      </c>
      <c r="G230" t="s">
        <v>4296</v>
      </c>
    </row>
    <row r="231" spans="1:7">
      <c r="A231" t="s">
        <v>736</v>
      </c>
      <c r="B231" t="s">
        <v>737</v>
      </c>
      <c r="C231" t="s">
        <v>133</v>
      </c>
      <c r="D231" s="10">
        <v>26194</v>
      </c>
      <c r="E231" s="10">
        <v>45079</v>
      </c>
      <c r="F231">
        <v>51</v>
      </c>
      <c r="G231" t="s">
        <v>4296</v>
      </c>
    </row>
    <row r="232" spans="1:7">
      <c r="A232" t="s">
        <v>739</v>
      </c>
      <c r="B232" t="s">
        <v>472</v>
      </c>
      <c r="C232" t="s">
        <v>133</v>
      </c>
      <c r="D232" s="10">
        <v>29964</v>
      </c>
      <c r="E232" s="10">
        <v>45466</v>
      </c>
      <c r="F232">
        <v>42</v>
      </c>
      <c r="G232" t="s">
        <v>4296</v>
      </c>
    </row>
    <row r="233" spans="1:7">
      <c r="A233" t="s">
        <v>743</v>
      </c>
      <c r="B233" t="s">
        <v>744</v>
      </c>
      <c r="C233" t="s">
        <v>40</v>
      </c>
      <c r="D233" s="10">
        <v>20977</v>
      </c>
      <c r="E233" s="10">
        <v>45201</v>
      </c>
      <c r="F233">
        <v>66</v>
      </c>
      <c r="G233" t="s">
        <v>4296</v>
      </c>
    </row>
    <row r="234" spans="1:7">
      <c r="A234" t="s">
        <v>747</v>
      </c>
      <c r="B234" t="s">
        <v>283</v>
      </c>
      <c r="C234" t="s">
        <v>40</v>
      </c>
      <c r="D234" s="10">
        <v>22879</v>
      </c>
      <c r="E234" s="10">
        <v>45081</v>
      </c>
      <c r="F234">
        <v>60</v>
      </c>
      <c r="G234" t="s">
        <v>4296</v>
      </c>
    </row>
    <row r="235" spans="1:7">
      <c r="A235" t="s">
        <v>748</v>
      </c>
      <c r="B235" t="s">
        <v>515</v>
      </c>
      <c r="C235" t="s">
        <v>133</v>
      </c>
      <c r="D235" s="10">
        <v>33853</v>
      </c>
      <c r="E235" s="10">
        <v>44965</v>
      </c>
      <c r="F235">
        <v>30</v>
      </c>
      <c r="G235" t="s">
        <v>4296</v>
      </c>
    </row>
    <row r="236" spans="1:7">
      <c r="A236" t="s">
        <v>749</v>
      </c>
      <c r="B236" t="s">
        <v>251</v>
      </c>
      <c r="C236" t="s">
        <v>133</v>
      </c>
      <c r="D236" s="10">
        <v>33306</v>
      </c>
      <c r="E236" s="10">
        <v>45410</v>
      </c>
      <c r="F236">
        <v>33</v>
      </c>
      <c r="G236" t="s">
        <v>4296</v>
      </c>
    </row>
    <row r="237" spans="1:7">
      <c r="A237" t="s">
        <v>751</v>
      </c>
      <c r="B237" t="s">
        <v>752</v>
      </c>
      <c r="C237" t="s">
        <v>133</v>
      </c>
      <c r="D237" s="10">
        <v>25851</v>
      </c>
      <c r="E237" s="10">
        <v>45057</v>
      </c>
      <c r="F237">
        <v>52</v>
      </c>
      <c r="G237" t="s">
        <v>4296</v>
      </c>
    </row>
    <row r="238" spans="1:7">
      <c r="A238" t="s">
        <v>755</v>
      </c>
      <c r="B238" t="s">
        <v>756</v>
      </c>
      <c r="C238" t="s">
        <v>40</v>
      </c>
      <c r="D238" s="10">
        <v>20521</v>
      </c>
      <c r="E238" s="10">
        <v>45489</v>
      </c>
      <c r="F238">
        <v>68</v>
      </c>
      <c r="G238" t="s">
        <v>4296</v>
      </c>
    </row>
    <row r="239" spans="1:7">
      <c r="A239" t="s">
        <v>758</v>
      </c>
      <c r="B239" t="s">
        <v>553</v>
      </c>
      <c r="C239" t="s">
        <v>40</v>
      </c>
      <c r="D239" s="10">
        <v>27170</v>
      </c>
      <c r="E239" s="10">
        <v>45670</v>
      </c>
      <c r="F239">
        <v>50</v>
      </c>
      <c r="G239" t="s">
        <v>4296</v>
      </c>
    </row>
    <row r="240" spans="1:7">
      <c r="A240" t="s">
        <v>759</v>
      </c>
      <c r="B240" t="s">
        <v>760</v>
      </c>
      <c r="C240" t="s">
        <v>40</v>
      </c>
      <c r="D240" s="10">
        <v>39987</v>
      </c>
      <c r="E240" s="10">
        <v>45792</v>
      </c>
      <c r="F240">
        <v>15</v>
      </c>
      <c r="G240" t="s">
        <v>4296</v>
      </c>
    </row>
    <row r="241" spans="1:7">
      <c r="A241" t="s">
        <v>761</v>
      </c>
      <c r="B241" t="s">
        <v>762</v>
      </c>
      <c r="C241" t="s">
        <v>40</v>
      </c>
      <c r="D241" s="10">
        <v>34176</v>
      </c>
      <c r="E241" s="10">
        <v>45581</v>
      </c>
      <c r="F241">
        <v>31</v>
      </c>
      <c r="G241" t="s">
        <v>4296</v>
      </c>
    </row>
    <row r="242" spans="1:7">
      <c r="A242" t="s">
        <v>764</v>
      </c>
      <c r="B242" t="s">
        <v>765</v>
      </c>
      <c r="C242" t="s">
        <v>133</v>
      </c>
      <c r="D242" s="10">
        <v>28407</v>
      </c>
      <c r="E242" s="10">
        <v>45232</v>
      </c>
      <c r="F242">
        <v>46</v>
      </c>
      <c r="G242" t="s">
        <v>4296</v>
      </c>
    </row>
    <row r="243" spans="1:7">
      <c r="A243" t="s">
        <v>767</v>
      </c>
      <c r="B243" t="s">
        <v>768</v>
      </c>
      <c r="C243" t="s">
        <v>40</v>
      </c>
      <c r="D243" s="10">
        <v>18757</v>
      </c>
      <c r="E243" s="10">
        <v>45409</v>
      </c>
      <c r="F243">
        <v>72</v>
      </c>
      <c r="G243" t="s">
        <v>4296</v>
      </c>
    </row>
    <row r="244" spans="1:7">
      <c r="A244" t="s">
        <v>770</v>
      </c>
      <c r="B244" t="s">
        <v>771</v>
      </c>
      <c r="C244" t="s">
        <v>40</v>
      </c>
      <c r="D244" s="10">
        <v>30237</v>
      </c>
      <c r="E244" s="10">
        <v>45546</v>
      </c>
      <c r="F244">
        <v>41</v>
      </c>
      <c r="G244" t="s">
        <v>4296</v>
      </c>
    </row>
    <row r="245" spans="1:7">
      <c r="A245" t="s">
        <v>772</v>
      </c>
      <c r="B245" t="s">
        <v>277</v>
      </c>
      <c r="C245" t="s">
        <v>133</v>
      </c>
      <c r="D245" s="10">
        <v>30481</v>
      </c>
      <c r="E245" s="10">
        <v>45264</v>
      </c>
      <c r="F245">
        <v>40</v>
      </c>
      <c r="G245" t="s">
        <v>4296</v>
      </c>
    </row>
    <row r="246" spans="1:7">
      <c r="A246" t="s">
        <v>773</v>
      </c>
      <c r="B246" t="s">
        <v>611</v>
      </c>
      <c r="C246" t="s">
        <v>40</v>
      </c>
      <c r="D246" s="10">
        <v>38349</v>
      </c>
      <c r="E246" s="10">
        <v>45230</v>
      </c>
      <c r="F246">
        <v>18</v>
      </c>
      <c r="G246" t="s">
        <v>4296</v>
      </c>
    </row>
    <row r="247" spans="1:7">
      <c r="A247" t="s">
        <v>775</v>
      </c>
      <c r="B247" t="s">
        <v>579</v>
      </c>
      <c r="C247" t="s">
        <v>40</v>
      </c>
      <c r="D247" s="10">
        <v>21553</v>
      </c>
      <c r="E247" s="10">
        <v>45869</v>
      </c>
      <c r="F247">
        <v>66</v>
      </c>
      <c r="G247" t="s">
        <v>4296</v>
      </c>
    </row>
    <row r="248" spans="1:7">
      <c r="A248" t="s">
        <v>777</v>
      </c>
      <c r="B248" t="s">
        <v>527</v>
      </c>
      <c r="C248" t="s">
        <v>133</v>
      </c>
      <c r="D248" s="10">
        <v>20117</v>
      </c>
      <c r="E248" s="10">
        <v>45353</v>
      </c>
      <c r="F248">
        <v>69</v>
      </c>
      <c r="G248" t="s">
        <v>4296</v>
      </c>
    </row>
    <row r="249" spans="1:7">
      <c r="A249" t="s">
        <v>779</v>
      </c>
      <c r="B249" t="s">
        <v>342</v>
      </c>
      <c r="C249" t="s">
        <v>40</v>
      </c>
      <c r="D249" s="10">
        <v>20106</v>
      </c>
      <c r="E249" s="10">
        <v>45626</v>
      </c>
      <c r="F249">
        <v>69</v>
      </c>
      <c r="G249" t="s">
        <v>4296</v>
      </c>
    </row>
    <row r="250" spans="1:7">
      <c r="A250" t="s">
        <v>780</v>
      </c>
      <c r="B250" t="s">
        <v>394</v>
      </c>
      <c r="C250" t="s">
        <v>40</v>
      </c>
      <c r="D250" s="10">
        <v>20689</v>
      </c>
      <c r="E250" s="10">
        <v>45445</v>
      </c>
      <c r="F250">
        <v>67</v>
      </c>
      <c r="G250" t="s">
        <v>4296</v>
      </c>
    </row>
    <row r="251" spans="1:7">
      <c r="A251" t="s">
        <v>781</v>
      </c>
      <c r="B251" t="s">
        <v>150</v>
      </c>
      <c r="C251" t="s">
        <v>40</v>
      </c>
      <c r="D251" s="10">
        <v>28369</v>
      </c>
      <c r="E251" s="10">
        <v>44938</v>
      </c>
      <c r="F251">
        <v>45</v>
      </c>
      <c r="G251" t="s">
        <v>4296</v>
      </c>
    </row>
    <row r="252" spans="1:7">
      <c r="A252" t="s">
        <v>784</v>
      </c>
      <c r="B252" t="s">
        <v>785</v>
      </c>
      <c r="C252" t="s">
        <v>40</v>
      </c>
      <c r="D252" s="10">
        <v>28457</v>
      </c>
      <c r="E252" s="10">
        <v>45482</v>
      </c>
      <c r="F252">
        <v>46</v>
      </c>
      <c r="G252" t="s">
        <v>4237</v>
      </c>
    </row>
    <row r="253" spans="1:7">
      <c r="A253" t="s">
        <v>4119</v>
      </c>
      <c r="B253" t="s">
        <v>132</v>
      </c>
      <c r="C253" t="s">
        <v>40</v>
      </c>
      <c r="D253" s="10">
        <v>24853</v>
      </c>
      <c r="E253" s="10">
        <v>45745</v>
      </c>
      <c r="F253">
        <v>57</v>
      </c>
      <c r="G253" t="s">
        <v>4296</v>
      </c>
    </row>
    <row r="254" spans="1:7">
      <c r="A254" t="s">
        <v>4120</v>
      </c>
      <c r="B254" t="s">
        <v>76</v>
      </c>
      <c r="C254" t="s">
        <v>40</v>
      </c>
      <c r="D254" s="10">
        <v>39763</v>
      </c>
      <c r="E254" s="10">
        <v>45886</v>
      </c>
      <c r="F254">
        <v>16</v>
      </c>
      <c r="G254" t="s">
        <v>4296</v>
      </c>
    </row>
    <row r="255" spans="1:7">
      <c r="A255" t="s">
        <v>792</v>
      </c>
      <c r="B255" t="s">
        <v>383</v>
      </c>
      <c r="C255" t="s">
        <v>40</v>
      </c>
      <c r="D255" s="10">
        <v>26609</v>
      </c>
      <c r="E255" s="10">
        <v>45284</v>
      </c>
      <c r="F255">
        <v>51</v>
      </c>
      <c r="G255" t="s">
        <v>4296</v>
      </c>
    </row>
    <row r="256" spans="1:7">
      <c r="A256" t="s">
        <v>795</v>
      </c>
      <c r="B256" t="s">
        <v>796</v>
      </c>
      <c r="C256" t="s">
        <v>133</v>
      </c>
      <c r="D256" s="10">
        <v>32566</v>
      </c>
      <c r="E256" s="10">
        <v>45012</v>
      </c>
      <c r="F256">
        <v>34</v>
      </c>
      <c r="G256" t="s">
        <v>4296</v>
      </c>
    </row>
    <row r="257" spans="1:7">
      <c r="A257" t="s">
        <v>798</v>
      </c>
      <c r="B257" t="s">
        <v>799</v>
      </c>
      <c r="C257" t="s">
        <v>40</v>
      </c>
      <c r="D257" s="10">
        <v>24646</v>
      </c>
      <c r="E257" s="10">
        <v>45776</v>
      </c>
      <c r="F257">
        <v>57</v>
      </c>
      <c r="G257" t="s">
        <v>4296</v>
      </c>
    </row>
    <row r="258" spans="1:7">
      <c r="A258" t="s">
        <v>800</v>
      </c>
      <c r="B258" t="s">
        <v>801</v>
      </c>
      <c r="C258" t="s">
        <v>133</v>
      </c>
      <c r="D258" s="10">
        <v>39357</v>
      </c>
      <c r="E258" s="10">
        <v>45482</v>
      </c>
      <c r="F258">
        <v>16</v>
      </c>
      <c r="G258" t="s">
        <v>4237</v>
      </c>
    </row>
    <row r="259" spans="1:7">
      <c r="A259" t="s">
        <v>805</v>
      </c>
      <c r="B259" t="s">
        <v>806</v>
      </c>
      <c r="C259" t="s">
        <v>40</v>
      </c>
      <c r="D259" s="10">
        <v>30846</v>
      </c>
      <c r="E259" s="10">
        <v>45185</v>
      </c>
      <c r="F259">
        <v>39</v>
      </c>
      <c r="G259" t="s">
        <v>4296</v>
      </c>
    </row>
    <row r="260" spans="1:7">
      <c r="A260" t="s">
        <v>807</v>
      </c>
      <c r="B260" t="s">
        <v>511</v>
      </c>
      <c r="C260" t="s">
        <v>40</v>
      </c>
      <c r="D260" s="10">
        <v>31747</v>
      </c>
      <c r="E260" s="10">
        <v>45855</v>
      </c>
      <c r="F260">
        <v>38</v>
      </c>
      <c r="G260" t="s">
        <v>4296</v>
      </c>
    </row>
    <row r="261" spans="1:7">
      <c r="A261" t="s">
        <v>808</v>
      </c>
      <c r="B261" t="s">
        <v>378</v>
      </c>
      <c r="C261" t="s">
        <v>133</v>
      </c>
      <c r="D261" s="10">
        <v>28533</v>
      </c>
      <c r="E261" s="10">
        <v>46004</v>
      </c>
      <c r="F261">
        <v>47</v>
      </c>
      <c r="G261" t="s">
        <v>4296</v>
      </c>
    </row>
    <row r="262" spans="1:7">
      <c r="A262" t="s">
        <v>809</v>
      </c>
      <c r="B262" t="s">
        <v>810</v>
      </c>
      <c r="C262" t="s">
        <v>40</v>
      </c>
      <c r="D262" s="10">
        <v>32328</v>
      </c>
      <c r="E262" s="10">
        <v>45174</v>
      </c>
      <c r="F262">
        <v>35</v>
      </c>
      <c r="G262" t="s">
        <v>4296</v>
      </c>
    </row>
    <row r="263" spans="1:7">
      <c r="A263" t="s">
        <v>811</v>
      </c>
      <c r="B263" t="s">
        <v>433</v>
      </c>
      <c r="C263" t="s">
        <v>133</v>
      </c>
      <c r="D263" s="10">
        <v>31635</v>
      </c>
      <c r="E263" s="10">
        <v>45699</v>
      </c>
      <c r="F263">
        <v>38</v>
      </c>
      <c r="G263" t="s">
        <v>4296</v>
      </c>
    </row>
    <row r="264" spans="1:7">
      <c r="A264" t="s">
        <v>815</v>
      </c>
      <c r="B264" t="s">
        <v>517</v>
      </c>
      <c r="C264" t="s">
        <v>133</v>
      </c>
      <c r="D264" s="10">
        <v>31355</v>
      </c>
      <c r="E264" s="10">
        <v>45101</v>
      </c>
      <c r="F264">
        <v>37</v>
      </c>
      <c r="G264" t="s">
        <v>4296</v>
      </c>
    </row>
    <row r="265" spans="1:7">
      <c r="A265" t="s">
        <v>817</v>
      </c>
      <c r="B265" t="s">
        <v>383</v>
      </c>
      <c r="C265" t="s">
        <v>133</v>
      </c>
      <c r="D265" s="10">
        <v>22463</v>
      </c>
      <c r="E265" s="10">
        <v>46008</v>
      </c>
      <c r="F265">
        <v>64</v>
      </c>
      <c r="G265" t="s">
        <v>4296</v>
      </c>
    </row>
    <row r="266" spans="1:7">
      <c r="A266" t="s">
        <v>819</v>
      </c>
      <c r="B266" t="s">
        <v>21</v>
      </c>
      <c r="C266" t="s">
        <v>40</v>
      </c>
      <c r="D266" s="10">
        <v>24034</v>
      </c>
      <c r="E266" s="10">
        <v>45411</v>
      </c>
      <c r="F266">
        <v>58</v>
      </c>
      <c r="G266" t="s">
        <v>4296</v>
      </c>
    </row>
    <row r="267" spans="1:7">
      <c r="A267" t="s">
        <v>820</v>
      </c>
      <c r="B267" t="s">
        <v>76</v>
      </c>
      <c r="C267" t="s">
        <v>133</v>
      </c>
      <c r="D267" s="10">
        <v>26913</v>
      </c>
      <c r="E267" s="10">
        <v>45429</v>
      </c>
      <c r="F267">
        <v>50</v>
      </c>
      <c r="G267" t="s">
        <v>4296</v>
      </c>
    </row>
    <row r="268" spans="1:7">
      <c r="A268" t="s">
        <v>822</v>
      </c>
      <c r="B268" t="s">
        <v>806</v>
      </c>
      <c r="C268" t="s">
        <v>133</v>
      </c>
      <c r="D268" s="10">
        <v>34392</v>
      </c>
      <c r="E268" s="10">
        <v>45213</v>
      </c>
      <c r="F268">
        <v>29</v>
      </c>
      <c r="G268" t="s">
        <v>4296</v>
      </c>
    </row>
    <row r="269" spans="1:7">
      <c r="A269" t="s">
        <v>824</v>
      </c>
      <c r="B269" t="s">
        <v>825</v>
      </c>
      <c r="C269" t="s">
        <v>133</v>
      </c>
      <c r="D269" s="10">
        <v>30738</v>
      </c>
      <c r="E269" s="10">
        <v>45085</v>
      </c>
      <c r="F269">
        <v>39</v>
      </c>
      <c r="G269" t="s">
        <v>4296</v>
      </c>
    </row>
    <row r="270" spans="1:7">
      <c r="A270" t="s">
        <v>826</v>
      </c>
      <c r="B270" t="s">
        <v>666</v>
      </c>
      <c r="C270" t="s">
        <v>133</v>
      </c>
      <c r="D270" s="10">
        <v>37233</v>
      </c>
      <c r="E270" s="10">
        <v>45406</v>
      </c>
      <c r="F270">
        <v>22</v>
      </c>
      <c r="G270" t="s">
        <v>4296</v>
      </c>
    </row>
    <row r="271" spans="1:7">
      <c r="A271" t="s">
        <v>828</v>
      </c>
      <c r="B271" t="s">
        <v>829</v>
      </c>
      <c r="C271" t="s">
        <v>40</v>
      </c>
      <c r="D271" s="10">
        <v>38984</v>
      </c>
      <c r="E271" s="10">
        <v>45488</v>
      </c>
      <c r="F271">
        <v>17</v>
      </c>
      <c r="G271" t="s">
        <v>4296</v>
      </c>
    </row>
    <row r="272" spans="1:7">
      <c r="A272" t="s">
        <v>832</v>
      </c>
      <c r="B272" t="s">
        <v>833</v>
      </c>
      <c r="C272" t="s">
        <v>40</v>
      </c>
      <c r="D272" s="10">
        <v>25983</v>
      </c>
      <c r="E272" s="10">
        <v>44978</v>
      </c>
      <c r="F272">
        <v>52</v>
      </c>
      <c r="G272" t="s">
        <v>4296</v>
      </c>
    </row>
    <row r="273" spans="1:7">
      <c r="A273" t="s">
        <v>834</v>
      </c>
      <c r="B273" t="s">
        <v>545</v>
      </c>
      <c r="C273" t="s">
        <v>40</v>
      </c>
      <c r="D273" s="10">
        <v>33104</v>
      </c>
      <c r="E273" s="10">
        <v>45182</v>
      </c>
      <c r="F273">
        <v>33</v>
      </c>
      <c r="G273" t="s">
        <v>4296</v>
      </c>
    </row>
    <row r="274" spans="1:7">
      <c r="A274" t="s">
        <v>836</v>
      </c>
      <c r="B274" t="s">
        <v>218</v>
      </c>
      <c r="C274" t="s">
        <v>133</v>
      </c>
      <c r="D274" s="10">
        <v>29056</v>
      </c>
      <c r="E274" s="10">
        <v>45134</v>
      </c>
      <c r="F274">
        <v>44</v>
      </c>
      <c r="G274" t="s">
        <v>4296</v>
      </c>
    </row>
    <row r="275" spans="1:7">
      <c r="A275" t="s">
        <v>840</v>
      </c>
      <c r="B275" t="s">
        <v>841</v>
      </c>
      <c r="C275" t="s">
        <v>40</v>
      </c>
      <c r="D275" s="10">
        <v>25494</v>
      </c>
      <c r="E275" s="10">
        <v>45225</v>
      </c>
      <c r="F275">
        <v>54</v>
      </c>
      <c r="G275" t="s">
        <v>4296</v>
      </c>
    </row>
    <row r="276" spans="1:7">
      <c r="A276" t="s">
        <v>842</v>
      </c>
      <c r="B276" t="s">
        <v>843</v>
      </c>
      <c r="C276" t="s">
        <v>40</v>
      </c>
      <c r="D276" s="10">
        <v>31583</v>
      </c>
      <c r="E276" s="10">
        <v>45540</v>
      </c>
      <c r="F276">
        <v>38</v>
      </c>
      <c r="G276" t="s">
        <v>4296</v>
      </c>
    </row>
    <row r="277" spans="1:7">
      <c r="A277" t="s">
        <v>844</v>
      </c>
      <c r="B277" t="s">
        <v>845</v>
      </c>
      <c r="C277" t="s">
        <v>40</v>
      </c>
      <c r="D277" s="10">
        <v>39601</v>
      </c>
      <c r="E277" s="10">
        <v>44960</v>
      </c>
      <c r="F277">
        <v>14</v>
      </c>
      <c r="G277" t="s">
        <v>4296</v>
      </c>
    </row>
    <row r="278" spans="1:7">
      <c r="A278" t="s">
        <v>848</v>
      </c>
      <c r="B278" t="s">
        <v>604</v>
      </c>
      <c r="C278" t="s">
        <v>133</v>
      </c>
      <c r="D278" s="10">
        <v>39054</v>
      </c>
      <c r="E278" s="10">
        <v>45169</v>
      </c>
      <c r="F278">
        <v>16</v>
      </c>
      <c r="G278" t="s">
        <v>4296</v>
      </c>
    </row>
    <row r="279" spans="1:7">
      <c r="A279" t="s">
        <v>849</v>
      </c>
      <c r="B279" t="s">
        <v>850</v>
      </c>
      <c r="C279" t="s">
        <v>40</v>
      </c>
      <c r="D279" s="10">
        <v>36850</v>
      </c>
      <c r="E279" s="10">
        <v>45059</v>
      </c>
      <c r="F279">
        <v>22</v>
      </c>
      <c r="G279" t="s">
        <v>4296</v>
      </c>
    </row>
    <row r="280" spans="1:7">
      <c r="A280" t="s">
        <v>851</v>
      </c>
      <c r="B280" t="s">
        <v>852</v>
      </c>
      <c r="C280" t="s">
        <v>133</v>
      </c>
      <c r="D280" s="10">
        <v>31498</v>
      </c>
      <c r="E280" s="10">
        <v>45693</v>
      </c>
      <c r="F280">
        <v>38</v>
      </c>
      <c r="G280" t="s">
        <v>4296</v>
      </c>
    </row>
    <row r="281" spans="1:7">
      <c r="A281" t="s">
        <v>854</v>
      </c>
      <c r="B281" t="s">
        <v>139</v>
      </c>
      <c r="C281" t="s">
        <v>133</v>
      </c>
      <c r="D281" s="10">
        <v>30215</v>
      </c>
      <c r="E281" s="10">
        <v>45087</v>
      </c>
      <c r="F281">
        <v>40</v>
      </c>
      <c r="G281" t="s">
        <v>4296</v>
      </c>
    </row>
    <row r="282" spans="1:7">
      <c r="A282" t="s">
        <v>856</v>
      </c>
      <c r="B282" t="s">
        <v>857</v>
      </c>
      <c r="C282" t="s">
        <v>40</v>
      </c>
      <c r="D282" s="10">
        <v>36100</v>
      </c>
      <c r="E282" s="10">
        <v>45893</v>
      </c>
      <c r="F282">
        <v>26</v>
      </c>
      <c r="G282" t="s">
        <v>4296</v>
      </c>
    </row>
    <row r="283" spans="1:7">
      <c r="A283" t="s">
        <v>859</v>
      </c>
      <c r="B283" t="s">
        <v>829</v>
      </c>
      <c r="C283" t="s">
        <v>133</v>
      </c>
      <c r="D283" s="10">
        <v>25538</v>
      </c>
      <c r="E283" s="10">
        <v>45950</v>
      </c>
      <c r="F283">
        <v>55</v>
      </c>
      <c r="G283" t="s">
        <v>4296</v>
      </c>
    </row>
    <row r="284" spans="1:7">
      <c r="A284" t="s">
        <v>860</v>
      </c>
      <c r="B284" t="s">
        <v>676</v>
      </c>
      <c r="C284" t="s">
        <v>133</v>
      </c>
      <c r="D284" s="10">
        <v>22308</v>
      </c>
      <c r="E284" s="10">
        <v>45927</v>
      </c>
      <c r="F284">
        <v>64</v>
      </c>
      <c r="G284" t="s">
        <v>4296</v>
      </c>
    </row>
    <row r="285" spans="1:7">
      <c r="A285" t="s">
        <v>863</v>
      </c>
      <c r="B285" t="s">
        <v>864</v>
      </c>
      <c r="C285" t="s">
        <v>40</v>
      </c>
      <c r="D285" s="10">
        <v>22208</v>
      </c>
      <c r="E285" s="10">
        <v>45562</v>
      </c>
      <c r="F285">
        <v>63</v>
      </c>
      <c r="G285" t="s">
        <v>4296</v>
      </c>
    </row>
    <row r="286" spans="1:7">
      <c r="A286" t="s">
        <v>866</v>
      </c>
      <c r="B286" t="s">
        <v>867</v>
      </c>
      <c r="C286" t="s">
        <v>133</v>
      </c>
      <c r="D286" s="10">
        <v>27856</v>
      </c>
      <c r="E286" s="10">
        <v>45811</v>
      </c>
      <c r="F286">
        <v>49</v>
      </c>
      <c r="G286" t="s">
        <v>4296</v>
      </c>
    </row>
    <row r="287" spans="1:7">
      <c r="A287" t="s">
        <v>4121</v>
      </c>
      <c r="B287" t="s">
        <v>689</v>
      </c>
      <c r="C287" t="s">
        <v>40</v>
      </c>
      <c r="D287" s="10">
        <v>22102</v>
      </c>
      <c r="E287" s="10">
        <v>45963</v>
      </c>
      <c r="F287">
        <v>65</v>
      </c>
      <c r="G287" t="s">
        <v>4296</v>
      </c>
    </row>
    <row r="288" spans="1:7">
      <c r="A288" t="s">
        <v>870</v>
      </c>
      <c r="B288" t="s">
        <v>871</v>
      </c>
      <c r="C288" t="s">
        <v>133</v>
      </c>
      <c r="D288" s="10">
        <v>32179</v>
      </c>
      <c r="E288" s="10">
        <v>45529</v>
      </c>
      <c r="F288">
        <v>36</v>
      </c>
      <c r="G288" t="s">
        <v>4296</v>
      </c>
    </row>
    <row r="289" spans="1:7">
      <c r="A289" t="s">
        <v>874</v>
      </c>
      <c r="B289" t="s">
        <v>875</v>
      </c>
      <c r="C289" t="s">
        <v>133</v>
      </c>
      <c r="D289" s="10">
        <v>36258</v>
      </c>
      <c r="E289" s="10">
        <v>45694</v>
      </c>
      <c r="F289">
        <v>25</v>
      </c>
      <c r="G289" t="s">
        <v>4296</v>
      </c>
    </row>
    <row r="290" spans="1:7">
      <c r="A290" t="s">
        <v>876</v>
      </c>
      <c r="B290" t="s">
        <v>877</v>
      </c>
      <c r="C290" t="s">
        <v>40</v>
      </c>
      <c r="D290" s="10">
        <v>26456</v>
      </c>
      <c r="E290" s="10">
        <v>44957</v>
      </c>
      <c r="F290">
        <v>50</v>
      </c>
      <c r="G290" t="s">
        <v>4296</v>
      </c>
    </row>
    <row r="291" spans="1:7">
      <c r="A291" t="s">
        <v>878</v>
      </c>
      <c r="B291" t="s">
        <v>879</v>
      </c>
      <c r="C291" t="s">
        <v>40</v>
      </c>
      <c r="D291" s="10">
        <v>34308</v>
      </c>
      <c r="E291" s="10">
        <v>45607</v>
      </c>
      <c r="F291">
        <v>30</v>
      </c>
      <c r="G291" t="s">
        <v>4296</v>
      </c>
    </row>
    <row r="292" spans="1:7">
      <c r="A292" t="s">
        <v>882</v>
      </c>
      <c r="B292" t="s">
        <v>438</v>
      </c>
      <c r="C292" t="s">
        <v>133</v>
      </c>
      <c r="D292" s="10">
        <v>23317</v>
      </c>
      <c r="E292" s="10">
        <v>45414</v>
      </c>
      <c r="F292">
        <v>60</v>
      </c>
      <c r="G292" t="s">
        <v>4296</v>
      </c>
    </row>
    <row r="293" spans="1:7">
      <c r="A293" t="s">
        <v>886</v>
      </c>
      <c r="B293" t="s">
        <v>887</v>
      </c>
      <c r="C293" t="s">
        <v>40</v>
      </c>
      <c r="D293" s="10">
        <v>32933</v>
      </c>
      <c r="E293" s="10">
        <v>45933</v>
      </c>
      <c r="F293">
        <v>35</v>
      </c>
      <c r="G293" t="s">
        <v>4296</v>
      </c>
    </row>
    <row r="294" spans="1:7">
      <c r="A294" t="s">
        <v>889</v>
      </c>
      <c r="B294" t="s">
        <v>171</v>
      </c>
      <c r="C294" t="s">
        <v>40</v>
      </c>
      <c r="D294" s="10">
        <v>27581</v>
      </c>
      <c r="E294" s="10">
        <v>45891</v>
      </c>
      <c r="F294">
        <v>50</v>
      </c>
      <c r="G294" t="s">
        <v>4296</v>
      </c>
    </row>
    <row r="295" spans="1:7">
      <c r="A295" t="s">
        <v>890</v>
      </c>
      <c r="B295" t="s">
        <v>891</v>
      </c>
      <c r="C295" t="s">
        <v>133</v>
      </c>
      <c r="D295" s="10">
        <v>38619</v>
      </c>
      <c r="E295" s="10">
        <v>45693</v>
      </c>
      <c r="F295">
        <v>19</v>
      </c>
      <c r="G295" t="s">
        <v>4296</v>
      </c>
    </row>
    <row r="296" spans="1:7">
      <c r="A296" t="s">
        <v>892</v>
      </c>
      <c r="B296" t="s">
        <v>129</v>
      </c>
      <c r="C296" t="s">
        <v>133</v>
      </c>
      <c r="D296" s="10">
        <v>35646</v>
      </c>
      <c r="E296" s="10">
        <v>45905</v>
      </c>
      <c r="F296">
        <v>28</v>
      </c>
      <c r="G296" t="s">
        <v>4296</v>
      </c>
    </row>
    <row r="297" spans="1:7">
      <c r="A297" t="s">
        <v>894</v>
      </c>
      <c r="B297" t="s">
        <v>895</v>
      </c>
      <c r="C297" t="s">
        <v>133</v>
      </c>
      <c r="D297" s="10">
        <v>24451</v>
      </c>
      <c r="E297" s="10">
        <v>45952</v>
      </c>
      <c r="F297">
        <v>58</v>
      </c>
      <c r="G297" t="s">
        <v>4296</v>
      </c>
    </row>
    <row r="298" spans="1:7">
      <c r="A298" t="s">
        <v>897</v>
      </c>
      <c r="B298" t="s">
        <v>898</v>
      </c>
      <c r="C298" t="s">
        <v>133</v>
      </c>
      <c r="D298" s="10">
        <v>34765</v>
      </c>
      <c r="E298" s="10">
        <v>45923</v>
      </c>
      <c r="F298">
        <v>30</v>
      </c>
      <c r="G298" t="s">
        <v>4296</v>
      </c>
    </row>
    <row r="299" spans="1:7">
      <c r="A299" t="s">
        <v>900</v>
      </c>
      <c r="B299" t="s">
        <v>21</v>
      </c>
      <c r="C299" t="s">
        <v>133</v>
      </c>
      <c r="D299" s="10">
        <v>24494</v>
      </c>
      <c r="E299" s="10">
        <v>45012</v>
      </c>
      <c r="F299">
        <v>56</v>
      </c>
      <c r="G299" t="s">
        <v>4296</v>
      </c>
    </row>
    <row r="300" spans="1:7">
      <c r="A300" t="s">
        <v>4122</v>
      </c>
      <c r="B300" t="s">
        <v>249</v>
      </c>
      <c r="C300" t="s">
        <v>133</v>
      </c>
      <c r="D300" s="10">
        <v>18905</v>
      </c>
      <c r="E300" s="10">
        <v>46013</v>
      </c>
      <c r="F300">
        <v>74</v>
      </c>
      <c r="G300" t="s">
        <v>4296</v>
      </c>
    </row>
    <row r="301" spans="1:7">
      <c r="A301" t="s">
        <v>908</v>
      </c>
      <c r="B301" t="s">
        <v>909</v>
      </c>
      <c r="C301" t="s">
        <v>40</v>
      </c>
      <c r="D301" s="10">
        <v>33942</v>
      </c>
      <c r="E301" s="10">
        <v>45715</v>
      </c>
      <c r="F301">
        <v>32</v>
      </c>
      <c r="G301" t="s">
        <v>4296</v>
      </c>
    </row>
    <row r="302" spans="1:7">
      <c r="A302" t="s">
        <v>910</v>
      </c>
      <c r="B302" t="s">
        <v>911</v>
      </c>
      <c r="C302" t="s">
        <v>133</v>
      </c>
      <c r="D302" s="10">
        <v>36288</v>
      </c>
      <c r="E302" s="10">
        <v>45454</v>
      </c>
      <c r="F302">
        <v>25</v>
      </c>
      <c r="G302" t="s">
        <v>4296</v>
      </c>
    </row>
    <row r="303" spans="1:7">
      <c r="A303" t="s">
        <v>912</v>
      </c>
      <c r="B303" t="s">
        <v>238</v>
      </c>
      <c r="C303" t="s">
        <v>40</v>
      </c>
      <c r="D303" s="10">
        <v>20862</v>
      </c>
      <c r="E303" s="10">
        <v>45482</v>
      </c>
      <c r="F303">
        <v>67</v>
      </c>
      <c r="G303" t="s">
        <v>4237</v>
      </c>
    </row>
    <row r="304" spans="1:7">
      <c r="A304" t="s">
        <v>914</v>
      </c>
      <c r="B304" t="s">
        <v>139</v>
      </c>
      <c r="C304" t="s">
        <v>40</v>
      </c>
      <c r="D304" s="10">
        <v>29905</v>
      </c>
      <c r="E304" s="10">
        <v>45228</v>
      </c>
      <c r="F304">
        <v>41</v>
      </c>
      <c r="G304" t="s">
        <v>4296</v>
      </c>
    </row>
    <row r="305" spans="1:7">
      <c r="A305" t="s">
        <v>916</v>
      </c>
      <c r="B305" t="s">
        <v>917</v>
      </c>
      <c r="C305" t="s">
        <v>133</v>
      </c>
      <c r="D305" s="10">
        <v>38223</v>
      </c>
      <c r="E305" s="10">
        <v>45729</v>
      </c>
      <c r="F305">
        <v>20</v>
      </c>
      <c r="G305" t="s">
        <v>4296</v>
      </c>
    </row>
    <row r="306" spans="1:7">
      <c r="A306" t="s">
        <v>918</v>
      </c>
      <c r="B306" t="s">
        <v>93</v>
      </c>
      <c r="C306" t="s">
        <v>133</v>
      </c>
      <c r="D306" s="10">
        <v>29330</v>
      </c>
      <c r="E306" s="10">
        <v>45915</v>
      </c>
      <c r="F306">
        <v>45</v>
      </c>
      <c r="G306" t="s">
        <v>4237</v>
      </c>
    </row>
    <row r="307" spans="1:7">
      <c r="A307" t="s">
        <v>921</v>
      </c>
      <c r="B307" t="s">
        <v>922</v>
      </c>
      <c r="C307" t="s">
        <v>133</v>
      </c>
      <c r="D307" s="10">
        <v>20923</v>
      </c>
      <c r="E307" s="10">
        <v>45927</v>
      </c>
      <c r="F307">
        <v>68</v>
      </c>
      <c r="G307" t="s">
        <v>4296</v>
      </c>
    </row>
    <row r="308" spans="1:7">
      <c r="A308" t="s">
        <v>924</v>
      </c>
      <c r="B308" t="s">
        <v>270</v>
      </c>
      <c r="C308" t="s">
        <v>40</v>
      </c>
      <c r="D308" s="10">
        <v>33586</v>
      </c>
      <c r="E308" s="10">
        <v>45538</v>
      </c>
      <c r="F308">
        <v>32</v>
      </c>
      <c r="G308" t="s">
        <v>4296</v>
      </c>
    </row>
    <row r="309" spans="1:7">
      <c r="A309" t="s">
        <v>925</v>
      </c>
      <c r="B309" t="s">
        <v>926</v>
      </c>
      <c r="C309" t="s">
        <v>133</v>
      </c>
      <c r="D309" s="10">
        <v>23321</v>
      </c>
      <c r="E309" s="10">
        <v>45106</v>
      </c>
      <c r="F309">
        <v>59</v>
      </c>
      <c r="G309" t="s">
        <v>4296</v>
      </c>
    </row>
    <row r="310" spans="1:7">
      <c r="A310" t="s">
        <v>929</v>
      </c>
      <c r="B310" t="s">
        <v>676</v>
      </c>
      <c r="C310" t="s">
        <v>133</v>
      </c>
      <c r="D310" s="10">
        <v>23749</v>
      </c>
      <c r="E310" s="10">
        <v>45217</v>
      </c>
      <c r="F310">
        <v>58</v>
      </c>
      <c r="G310" t="s">
        <v>4296</v>
      </c>
    </row>
    <row r="311" spans="1:7">
      <c r="A311" t="s">
        <v>931</v>
      </c>
      <c r="B311" t="s">
        <v>932</v>
      </c>
      <c r="C311" t="s">
        <v>40</v>
      </c>
      <c r="D311" s="10">
        <v>31737</v>
      </c>
      <c r="E311" s="10">
        <v>45974</v>
      </c>
      <c r="F311">
        <v>38</v>
      </c>
      <c r="G311" t="s">
        <v>4296</v>
      </c>
    </row>
    <row r="312" spans="1:7">
      <c r="A312" t="s">
        <v>935</v>
      </c>
      <c r="B312" t="s">
        <v>936</v>
      </c>
      <c r="C312" t="s">
        <v>40</v>
      </c>
      <c r="D312" s="10">
        <v>36562</v>
      </c>
      <c r="E312" s="10">
        <v>46005</v>
      </c>
      <c r="F312">
        <v>25</v>
      </c>
      <c r="G312" t="s">
        <v>4296</v>
      </c>
    </row>
    <row r="313" spans="1:7">
      <c r="A313" t="s">
        <v>937</v>
      </c>
      <c r="B313" t="s">
        <v>563</v>
      </c>
      <c r="C313" t="s">
        <v>133</v>
      </c>
      <c r="D313" s="10">
        <v>34235</v>
      </c>
      <c r="E313" s="10">
        <v>45245</v>
      </c>
      <c r="F313">
        <v>30</v>
      </c>
      <c r="G313" t="s">
        <v>4296</v>
      </c>
    </row>
    <row r="314" spans="1:7">
      <c r="A314" t="s">
        <v>939</v>
      </c>
      <c r="B314" t="s">
        <v>940</v>
      </c>
      <c r="C314" t="s">
        <v>133</v>
      </c>
      <c r="D314" s="10">
        <v>36339</v>
      </c>
      <c r="E314" s="10">
        <v>45111</v>
      </c>
      <c r="F314">
        <v>24</v>
      </c>
      <c r="G314" t="s">
        <v>4296</v>
      </c>
    </row>
    <row r="315" spans="1:7">
      <c r="A315" t="s">
        <v>942</v>
      </c>
      <c r="B315" t="s">
        <v>455</v>
      </c>
      <c r="C315" t="s">
        <v>133</v>
      </c>
      <c r="D315" s="10">
        <v>35589</v>
      </c>
      <c r="E315" s="10">
        <v>46008</v>
      </c>
      <c r="F315">
        <v>28</v>
      </c>
      <c r="G315" t="s">
        <v>4296</v>
      </c>
    </row>
    <row r="316" spans="1:7">
      <c r="A316" t="s">
        <v>945</v>
      </c>
      <c r="B316" t="s">
        <v>49</v>
      </c>
      <c r="C316" t="s">
        <v>40</v>
      </c>
      <c r="D316" s="10">
        <v>29330</v>
      </c>
      <c r="E316" s="10">
        <v>45482</v>
      </c>
      <c r="F316">
        <v>44</v>
      </c>
      <c r="G316" t="s">
        <v>4237</v>
      </c>
    </row>
    <row r="317" spans="1:7">
      <c r="A317" t="s">
        <v>948</v>
      </c>
      <c r="B317" t="s">
        <v>495</v>
      </c>
      <c r="C317" t="s">
        <v>40</v>
      </c>
      <c r="D317" s="10">
        <v>27555</v>
      </c>
      <c r="E317" s="10">
        <v>45673</v>
      </c>
      <c r="F317">
        <v>49</v>
      </c>
      <c r="G317" t="s">
        <v>4296</v>
      </c>
    </row>
    <row r="318" spans="1:7">
      <c r="A318" t="s">
        <v>950</v>
      </c>
      <c r="B318" t="s">
        <v>423</v>
      </c>
      <c r="C318" t="s">
        <v>133</v>
      </c>
      <c r="D318" s="10">
        <v>29845</v>
      </c>
      <c r="E318" s="10">
        <v>45187</v>
      </c>
      <c r="F318">
        <v>42</v>
      </c>
      <c r="G318" t="s">
        <v>4296</v>
      </c>
    </row>
    <row r="319" spans="1:7">
      <c r="A319" t="s">
        <v>951</v>
      </c>
      <c r="B319" t="s">
        <v>334</v>
      </c>
      <c r="C319" t="s">
        <v>40</v>
      </c>
      <c r="D319" s="10">
        <v>22380</v>
      </c>
      <c r="E319" s="10">
        <v>45162</v>
      </c>
      <c r="F319">
        <v>62</v>
      </c>
      <c r="G319" t="s">
        <v>4296</v>
      </c>
    </row>
    <row r="320" spans="1:7">
      <c r="A320" t="s">
        <v>954</v>
      </c>
      <c r="B320" t="s">
        <v>737</v>
      </c>
      <c r="C320" t="s">
        <v>40</v>
      </c>
      <c r="D320" s="10">
        <v>29330</v>
      </c>
      <c r="E320" s="10">
        <v>45908</v>
      </c>
      <c r="F320">
        <v>45</v>
      </c>
      <c r="G320" t="s">
        <v>4237</v>
      </c>
    </row>
    <row r="321" spans="1:7">
      <c r="A321" t="s">
        <v>956</v>
      </c>
      <c r="B321" t="s">
        <v>292</v>
      </c>
      <c r="C321" t="s">
        <v>40</v>
      </c>
      <c r="D321" s="10">
        <v>20760</v>
      </c>
      <c r="E321" s="10">
        <v>45193</v>
      </c>
      <c r="F321">
        <v>66</v>
      </c>
      <c r="G321" t="s">
        <v>4296</v>
      </c>
    </row>
    <row r="322" spans="1:7">
      <c r="A322" t="s">
        <v>957</v>
      </c>
      <c r="B322" t="s">
        <v>825</v>
      </c>
      <c r="C322" t="s">
        <v>40</v>
      </c>
      <c r="D322" s="10">
        <v>30814</v>
      </c>
      <c r="E322" s="10">
        <v>45016</v>
      </c>
      <c r="F322">
        <v>38</v>
      </c>
      <c r="G322" t="s">
        <v>4296</v>
      </c>
    </row>
    <row r="323" spans="1:7">
      <c r="A323" t="s">
        <v>4123</v>
      </c>
      <c r="B323" t="s">
        <v>472</v>
      </c>
      <c r="C323" t="s">
        <v>133</v>
      </c>
      <c r="D323" s="10">
        <v>19798</v>
      </c>
      <c r="E323" s="10">
        <v>45970</v>
      </c>
      <c r="F323">
        <v>71</v>
      </c>
      <c r="G323" t="s">
        <v>4296</v>
      </c>
    </row>
    <row r="324" spans="1:7">
      <c r="A324" t="s">
        <v>964</v>
      </c>
      <c r="B324" t="s">
        <v>965</v>
      </c>
      <c r="C324" t="s">
        <v>133</v>
      </c>
      <c r="D324" s="10">
        <v>24493</v>
      </c>
      <c r="E324" s="10">
        <v>45436</v>
      </c>
      <c r="F324">
        <v>57</v>
      </c>
      <c r="G324" t="s">
        <v>4296</v>
      </c>
    </row>
    <row r="325" spans="1:7">
      <c r="A325" t="s">
        <v>966</v>
      </c>
      <c r="B325" t="s">
        <v>967</v>
      </c>
      <c r="C325" t="s">
        <v>133</v>
      </c>
      <c r="D325" s="10">
        <v>40491</v>
      </c>
      <c r="E325" s="10">
        <v>45349</v>
      </c>
      <c r="F325">
        <v>13</v>
      </c>
      <c r="G325" t="s">
        <v>4296</v>
      </c>
    </row>
    <row r="326" spans="1:7">
      <c r="A326" t="s">
        <v>969</v>
      </c>
      <c r="B326" t="s">
        <v>565</v>
      </c>
      <c r="C326" t="s">
        <v>40</v>
      </c>
      <c r="D326" s="10">
        <v>21595</v>
      </c>
      <c r="E326" s="10">
        <v>45429</v>
      </c>
      <c r="F326">
        <v>65</v>
      </c>
      <c r="G326" t="s">
        <v>4296</v>
      </c>
    </row>
    <row r="327" spans="1:7">
      <c r="A327" t="s">
        <v>971</v>
      </c>
      <c r="B327" t="s">
        <v>972</v>
      </c>
      <c r="C327" t="s">
        <v>40</v>
      </c>
      <c r="D327" s="10">
        <v>29509</v>
      </c>
      <c r="E327" s="10">
        <v>45261</v>
      </c>
      <c r="F327">
        <v>43</v>
      </c>
      <c r="G327" t="s">
        <v>4296</v>
      </c>
    </row>
    <row r="328" spans="1:7">
      <c r="A328" t="s">
        <v>973</v>
      </c>
      <c r="B328" t="s">
        <v>511</v>
      </c>
      <c r="C328" t="s">
        <v>133</v>
      </c>
      <c r="D328" s="10">
        <v>20914</v>
      </c>
      <c r="E328" s="10">
        <v>45504</v>
      </c>
      <c r="F328">
        <v>67</v>
      </c>
      <c r="G328" t="s">
        <v>4296</v>
      </c>
    </row>
    <row r="329" spans="1:7">
      <c r="A329" t="s">
        <v>974</v>
      </c>
      <c r="B329" t="s">
        <v>850</v>
      </c>
      <c r="C329" t="s">
        <v>133</v>
      </c>
      <c r="D329" s="10">
        <v>38436</v>
      </c>
      <c r="E329" s="10">
        <v>45227</v>
      </c>
      <c r="F329">
        <v>18</v>
      </c>
      <c r="G329" t="s">
        <v>4296</v>
      </c>
    </row>
    <row r="330" spans="1:7">
      <c r="A330" t="s">
        <v>976</v>
      </c>
      <c r="B330" t="s">
        <v>857</v>
      </c>
      <c r="C330" t="s">
        <v>40</v>
      </c>
      <c r="D330" s="10">
        <v>29847</v>
      </c>
      <c r="E330" s="10">
        <v>45935</v>
      </c>
      <c r="F330">
        <v>44</v>
      </c>
      <c r="G330" t="s">
        <v>4296</v>
      </c>
    </row>
    <row r="331" spans="1:7">
      <c r="A331" t="s">
        <v>978</v>
      </c>
      <c r="B331" t="s">
        <v>563</v>
      </c>
      <c r="C331" t="s">
        <v>40</v>
      </c>
      <c r="D331" s="10">
        <v>21807</v>
      </c>
      <c r="E331" s="10">
        <v>45423</v>
      </c>
      <c r="F331">
        <v>64</v>
      </c>
      <c r="G331" t="s">
        <v>4296</v>
      </c>
    </row>
    <row r="332" spans="1:7">
      <c r="A332" t="s">
        <v>979</v>
      </c>
      <c r="B332" t="s">
        <v>980</v>
      </c>
      <c r="C332" t="s">
        <v>133</v>
      </c>
      <c r="D332" s="10">
        <v>29560</v>
      </c>
      <c r="E332" s="10">
        <v>46007</v>
      </c>
      <c r="F332">
        <v>45</v>
      </c>
      <c r="G332" t="s">
        <v>4296</v>
      </c>
    </row>
    <row r="333" spans="1:7">
      <c r="A333" t="s">
        <v>982</v>
      </c>
      <c r="B333" t="s">
        <v>661</v>
      </c>
      <c r="C333" t="s">
        <v>40</v>
      </c>
      <c r="D333" s="10">
        <v>30502</v>
      </c>
      <c r="E333" s="10">
        <v>45360</v>
      </c>
      <c r="F333">
        <v>40</v>
      </c>
      <c r="G333" t="s">
        <v>4296</v>
      </c>
    </row>
    <row r="334" spans="1:7">
      <c r="A334" t="s">
        <v>985</v>
      </c>
      <c r="B334" t="s">
        <v>986</v>
      </c>
      <c r="C334" t="s">
        <v>40</v>
      </c>
      <c r="D334" s="10">
        <v>19834</v>
      </c>
      <c r="E334" s="10">
        <v>44949</v>
      </c>
      <c r="F334">
        <v>68</v>
      </c>
      <c r="G334" t="s">
        <v>4296</v>
      </c>
    </row>
    <row r="335" spans="1:7">
      <c r="A335" t="s">
        <v>987</v>
      </c>
      <c r="B335" t="s">
        <v>689</v>
      </c>
      <c r="C335" t="s">
        <v>40</v>
      </c>
      <c r="D335" s="10">
        <v>20724</v>
      </c>
      <c r="E335" s="10">
        <v>45234</v>
      </c>
      <c r="F335">
        <v>67</v>
      </c>
      <c r="G335" t="s">
        <v>4296</v>
      </c>
    </row>
    <row r="336" spans="1:7">
      <c r="A336" t="s">
        <v>988</v>
      </c>
      <c r="B336" t="s">
        <v>867</v>
      </c>
      <c r="C336" t="s">
        <v>133</v>
      </c>
      <c r="D336" s="10">
        <v>19353</v>
      </c>
      <c r="E336" s="10">
        <v>45720</v>
      </c>
      <c r="F336">
        <v>72</v>
      </c>
      <c r="G336" t="s">
        <v>4296</v>
      </c>
    </row>
    <row r="337" spans="1:7">
      <c r="A337" t="s">
        <v>991</v>
      </c>
      <c r="B337" t="s">
        <v>992</v>
      </c>
      <c r="C337" t="s">
        <v>133</v>
      </c>
      <c r="D337" s="10">
        <v>36028</v>
      </c>
      <c r="E337" s="10">
        <v>45214</v>
      </c>
      <c r="F337">
        <v>25</v>
      </c>
      <c r="G337" t="s">
        <v>4296</v>
      </c>
    </row>
    <row r="338" spans="1:7">
      <c r="A338" t="s">
        <v>993</v>
      </c>
      <c r="B338" t="s">
        <v>88</v>
      </c>
      <c r="C338" t="s">
        <v>133</v>
      </c>
      <c r="D338" s="10">
        <v>38027</v>
      </c>
      <c r="E338" s="10">
        <v>45696</v>
      </c>
      <c r="F338">
        <v>20</v>
      </c>
      <c r="G338" t="s">
        <v>4296</v>
      </c>
    </row>
    <row r="339" spans="1:7">
      <c r="A339" t="s">
        <v>996</v>
      </c>
      <c r="B339" t="s">
        <v>932</v>
      </c>
      <c r="C339" t="s">
        <v>40</v>
      </c>
      <c r="D339" s="10">
        <v>20955</v>
      </c>
      <c r="E339" s="10">
        <v>45005</v>
      </c>
      <c r="F339">
        <v>65</v>
      </c>
      <c r="G339" t="s">
        <v>4296</v>
      </c>
    </row>
    <row r="340" spans="1:7">
      <c r="A340" t="s">
        <v>998</v>
      </c>
      <c r="B340" t="s">
        <v>999</v>
      </c>
      <c r="C340" t="s">
        <v>133</v>
      </c>
      <c r="D340" s="10">
        <v>30428</v>
      </c>
      <c r="E340" s="10">
        <v>45458</v>
      </c>
      <c r="F340">
        <v>41</v>
      </c>
      <c r="G340" t="s">
        <v>4296</v>
      </c>
    </row>
    <row r="341" spans="1:7">
      <c r="A341" t="s">
        <v>1000</v>
      </c>
      <c r="B341" t="s">
        <v>1001</v>
      </c>
      <c r="C341" t="s">
        <v>133</v>
      </c>
      <c r="D341" s="10">
        <v>39299</v>
      </c>
      <c r="E341" s="10">
        <v>45949</v>
      </c>
      <c r="F341">
        <v>18</v>
      </c>
      <c r="G341" t="s">
        <v>4296</v>
      </c>
    </row>
    <row r="342" spans="1:7">
      <c r="A342" t="s">
        <v>1002</v>
      </c>
      <c r="B342" t="s">
        <v>693</v>
      </c>
      <c r="C342" t="s">
        <v>40</v>
      </c>
      <c r="D342" s="10">
        <v>37408</v>
      </c>
      <c r="E342" s="10">
        <v>45545</v>
      </c>
      <c r="F342">
        <v>22</v>
      </c>
      <c r="G342" t="s">
        <v>4296</v>
      </c>
    </row>
    <row r="343" spans="1:7">
      <c r="A343" t="s">
        <v>1004</v>
      </c>
      <c r="B343" t="s">
        <v>604</v>
      </c>
      <c r="C343" t="s">
        <v>40</v>
      </c>
      <c r="D343" s="10">
        <v>20123</v>
      </c>
      <c r="E343" s="10">
        <v>44960</v>
      </c>
      <c r="F343">
        <v>68</v>
      </c>
      <c r="G343" t="s">
        <v>4296</v>
      </c>
    </row>
    <row r="344" spans="1:7">
      <c r="A344" t="s">
        <v>1006</v>
      </c>
      <c r="B344" t="s">
        <v>383</v>
      </c>
      <c r="C344" t="s">
        <v>40</v>
      </c>
      <c r="D344" s="10">
        <v>30080</v>
      </c>
      <c r="E344" s="10">
        <v>45468</v>
      </c>
      <c r="F344">
        <v>42</v>
      </c>
      <c r="G344" t="s">
        <v>4296</v>
      </c>
    </row>
    <row r="345" spans="1:7">
      <c r="A345" t="s">
        <v>1008</v>
      </c>
      <c r="B345" t="s">
        <v>980</v>
      </c>
      <c r="C345" t="s">
        <v>133</v>
      </c>
      <c r="D345" s="10">
        <v>35137</v>
      </c>
      <c r="E345" s="10">
        <v>45578</v>
      </c>
      <c r="F345">
        <v>28</v>
      </c>
      <c r="G345" t="s">
        <v>4296</v>
      </c>
    </row>
    <row r="346" spans="1:7">
      <c r="A346" t="s">
        <v>1009</v>
      </c>
      <c r="B346" t="s">
        <v>378</v>
      </c>
      <c r="C346" t="s">
        <v>40</v>
      </c>
      <c r="D346" s="10">
        <v>22392</v>
      </c>
      <c r="E346" s="10">
        <v>45381</v>
      </c>
      <c r="F346">
        <v>62</v>
      </c>
      <c r="G346" t="s">
        <v>4296</v>
      </c>
    </row>
    <row r="347" spans="1:7">
      <c r="A347" t="s">
        <v>1011</v>
      </c>
      <c r="B347" t="s">
        <v>511</v>
      </c>
      <c r="C347" t="s">
        <v>133</v>
      </c>
      <c r="D347" s="10">
        <v>27806</v>
      </c>
      <c r="E347" s="10">
        <v>45083</v>
      </c>
      <c r="F347">
        <v>47</v>
      </c>
      <c r="G347" t="s">
        <v>4296</v>
      </c>
    </row>
    <row r="348" spans="1:7">
      <c r="A348" t="s">
        <v>1013</v>
      </c>
      <c r="B348" t="s">
        <v>328</v>
      </c>
      <c r="C348" t="s">
        <v>40</v>
      </c>
      <c r="D348" s="10">
        <v>18784</v>
      </c>
      <c r="E348" s="10">
        <v>45482</v>
      </c>
      <c r="F348">
        <v>73</v>
      </c>
      <c r="G348" t="s">
        <v>4237</v>
      </c>
    </row>
    <row r="349" spans="1:7">
      <c r="A349" t="s">
        <v>1016</v>
      </c>
      <c r="B349" t="s">
        <v>1017</v>
      </c>
      <c r="C349" t="s">
        <v>40</v>
      </c>
      <c r="D349" s="10">
        <v>35291</v>
      </c>
      <c r="E349" s="10">
        <v>45840</v>
      </c>
      <c r="F349">
        <v>28</v>
      </c>
      <c r="G349" t="s">
        <v>4296</v>
      </c>
    </row>
    <row r="350" spans="1:7">
      <c r="A350" t="s">
        <v>4124</v>
      </c>
      <c r="B350" t="s">
        <v>368</v>
      </c>
      <c r="C350" t="s">
        <v>40</v>
      </c>
      <c r="D350" s="10">
        <v>28462</v>
      </c>
      <c r="E350" s="10">
        <v>45429</v>
      </c>
      <c r="F350">
        <v>46</v>
      </c>
      <c r="G350" t="s">
        <v>4296</v>
      </c>
    </row>
    <row r="351" spans="1:7">
      <c r="A351" t="s">
        <v>1022</v>
      </c>
      <c r="B351" t="s">
        <v>342</v>
      </c>
      <c r="C351" t="s">
        <v>133</v>
      </c>
      <c r="D351" s="10">
        <v>25726</v>
      </c>
      <c r="E351" s="10">
        <v>45330</v>
      </c>
      <c r="F351">
        <v>53</v>
      </c>
      <c r="G351" t="s">
        <v>4296</v>
      </c>
    </row>
    <row r="352" spans="1:7">
      <c r="A352" t="s">
        <v>1023</v>
      </c>
      <c r="B352" t="s">
        <v>579</v>
      </c>
      <c r="C352" t="s">
        <v>133</v>
      </c>
      <c r="D352" s="10">
        <v>35194</v>
      </c>
      <c r="E352" s="10">
        <v>45576</v>
      </c>
      <c r="F352">
        <v>28</v>
      </c>
      <c r="G352" t="s">
        <v>4296</v>
      </c>
    </row>
    <row r="353" spans="1:7">
      <c r="A353" t="s">
        <v>1025</v>
      </c>
      <c r="B353" t="s">
        <v>1026</v>
      </c>
      <c r="C353" t="s">
        <v>133</v>
      </c>
      <c r="D353" s="10">
        <v>18625</v>
      </c>
      <c r="E353" s="10">
        <v>45034</v>
      </c>
      <c r="F353">
        <v>72</v>
      </c>
      <c r="G353" t="s">
        <v>4296</v>
      </c>
    </row>
    <row r="354" spans="1:7">
      <c r="A354" t="s">
        <v>1030</v>
      </c>
      <c r="B354" t="s">
        <v>1031</v>
      </c>
      <c r="C354" t="s">
        <v>40</v>
      </c>
      <c r="D354" s="10">
        <v>29330</v>
      </c>
      <c r="E354" s="10">
        <v>45915</v>
      </c>
      <c r="F354">
        <v>45</v>
      </c>
      <c r="G354" t="s">
        <v>4237</v>
      </c>
    </row>
    <row r="355" spans="1:7">
      <c r="A355" t="s">
        <v>1034</v>
      </c>
      <c r="B355" t="s">
        <v>436</v>
      </c>
      <c r="C355" t="s">
        <v>40</v>
      </c>
      <c r="D355" s="10">
        <v>33325</v>
      </c>
      <c r="E355" s="10">
        <v>45960</v>
      </c>
      <c r="F355">
        <v>34</v>
      </c>
      <c r="G355" t="s">
        <v>4296</v>
      </c>
    </row>
    <row r="356" spans="1:7">
      <c r="A356" t="s">
        <v>1035</v>
      </c>
      <c r="B356" t="s">
        <v>423</v>
      </c>
      <c r="C356" t="s">
        <v>40</v>
      </c>
      <c r="D356" s="10">
        <v>20254</v>
      </c>
      <c r="E356" s="10">
        <v>45361</v>
      </c>
      <c r="F356">
        <v>68</v>
      </c>
      <c r="G356" t="s">
        <v>4296</v>
      </c>
    </row>
    <row r="357" spans="1:7">
      <c r="A357" t="s">
        <v>1037</v>
      </c>
      <c r="B357" t="s">
        <v>917</v>
      </c>
      <c r="C357" t="s">
        <v>133</v>
      </c>
      <c r="D357" s="10">
        <v>31540</v>
      </c>
      <c r="E357" s="10">
        <v>45061</v>
      </c>
      <c r="F357">
        <v>37</v>
      </c>
      <c r="G357" t="s">
        <v>4296</v>
      </c>
    </row>
    <row r="358" spans="1:7">
      <c r="A358" t="s">
        <v>1038</v>
      </c>
      <c r="B358" t="s">
        <v>898</v>
      </c>
      <c r="C358" t="s">
        <v>40</v>
      </c>
      <c r="D358" s="10">
        <v>21986</v>
      </c>
      <c r="E358" s="10">
        <v>45859</v>
      </c>
      <c r="F358">
        <v>65</v>
      </c>
      <c r="G358" t="s">
        <v>4296</v>
      </c>
    </row>
    <row r="359" spans="1:7">
      <c r="A359" t="s">
        <v>1040</v>
      </c>
      <c r="B359" t="s">
        <v>29</v>
      </c>
      <c r="C359" t="s">
        <v>133</v>
      </c>
      <c r="D359" s="10">
        <v>37236</v>
      </c>
      <c r="E359" s="10">
        <v>45482</v>
      </c>
      <c r="F359">
        <v>22</v>
      </c>
      <c r="G359" t="s">
        <v>4237</v>
      </c>
    </row>
    <row r="360" spans="1:7">
      <c r="A360" t="s">
        <v>1043</v>
      </c>
      <c r="B360" t="s">
        <v>1044</v>
      </c>
      <c r="C360" t="s">
        <v>133</v>
      </c>
      <c r="D360" s="10">
        <v>26778</v>
      </c>
      <c r="E360" s="10">
        <v>45109</v>
      </c>
      <c r="F360">
        <v>50</v>
      </c>
      <c r="G360" t="s">
        <v>4296</v>
      </c>
    </row>
    <row r="361" spans="1:7">
      <c r="A361" t="s">
        <v>1047</v>
      </c>
      <c r="B361" t="s">
        <v>234</v>
      </c>
      <c r="C361" t="s">
        <v>40</v>
      </c>
      <c r="D361" s="10">
        <v>24869</v>
      </c>
      <c r="E361" s="10">
        <v>45948</v>
      </c>
      <c r="F361">
        <v>57</v>
      </c>
      <c r="G361" t="s">
        <v>4296</v>
      </c>
    </row>
    <row r="362" spans="1:7">
      <c r="A362" t="s">
        <v>1049</v>
      </c>
      <c r="B362" t="s">
        <v>1050</v>
      </c>
      <c r="C362" t="s">
        <v>40</v>
      </c>
      <c r="D362" s="10">
        <v>29330</v>
      </c>
      <c r="E362" s="10">
        <v>45481</v>
      </c>
      <c r="F362">
        <v>44</v>
      </c>
      <c r="G362" t="s">
        <v>4237</v>
      </c>
    </row>
    <row r="363" spans="1:7">
      <c r="A363" t="s">
        <v>1053</v>
      </c>
      <c r="B363" t="s">
        <v>1054</v>
      </c>
      <c r="C363" t="s">
        <v>133</v>
      </c>
      <c r="D363" s="10">
        <v>20228</v>
      </c>
      <c r="E363" s="10">
        <v>45871</v>
      </c>
      <c r="F363">
        <v>70</v>
      </c>
      <c r="G363" t="s">
        <v>4296</v>
      </c>
    </row>
    <row r="364" spans="1:7">
      <c r="A364" t="s">
        <v>1055</v>
      </c>
      <c r="B364" t="s">
        <v>576</v>
      </c>
      <c r="C364" t="s">
        <v>133</v>
      </c>
      <c r="D364" s="10">
        <v>30965</v>
      </c>
      <c r="E364" s="10">
        <v>45036</v>
      </c>
      <c r="F364">
        <v>38</v>
      </c>
      <c r="G364" t="s">
        <v>4296</v>
      </c>
    </row>
    <row r="365" spans="1:7">
      <c r="A365" t="s">
        <v>1057</v>
      </c>
      <c r="B365" t="s">
        <v>624</v>
      </c>
      <c r="C365" t="s">
        <v>133</v>
      </c>
      <c r="D365" s="10">
        <v>25517</v>
      </c>
      <c r="E365" s="10">
        <v>44940</v>
      </c>
      <c r="F365">
        <v>53</v>
      </c>
      <c r="G365" t="s">
        <v>4296</v>
      </c>
    </row>
    <row r="366" spans="1:7">
      <c r="A366" t="s">
        <v>1060</v>
      </c>
      <c r="B366" t="s">
        <v>1061</v>
      </c>
      <c r="C366" t="s">
        <v>133</v>
      </c>
      <c r="D366" s="10">
        <v>21855</v>
      </c>
      <c r="E366" s="10">
        <v>45482</v>
      </c>
      <c r="F366">
        <v>64</v>
      </c>
      <c r="G366" t="s">
        <v>4237</v>
      </c>
    </row>
    <row r="367" spans="1:7">
      <c r="A367" t="s">
        <v>1062</v>
      </c>
      <c r="B367" t="s">
        <v>517</v>
      </c>
      <c r="C367" t="s">
        <v>133</v>
      </c>
      <c r="D367" s="10">
        <v>19319</v>
      </c>
      <c r="E367" s="10">
        <v>45837</v>
      </c>
      <c r="F367">
        <v>72</v>
      </c>
      <c r="G367" t="s">
        <v>4296</v>
      </c>
    </row>
    <row r="368" spans="1:7">
      <c r="A368" t="s">
        <v>1064</v>
      </c>
      <c r="B368" t="s">
        <v>1065</v>
      </c>
      <c r="C368" t="s">
        <v>40</v>
      </c>
      <c r="D368" s="10">
        <v>27261</v>
      </c>
      <c r="E368" s="10">
        <v>45296</v>
      </c>
      <c r="F368">
        <v>49</v>
      </c>
      <c r="G368" t="s">
        <v>4296</v>
      </c>
    </row>
    <row r="369" spans="1:7">
      <c r="A369" t="s">
        <v>1066</v>
      </c>
      <c r="B369" t="s">
        <v>531</v>
      </c>
      <c r="C369" t="s">
        <v>133</v>
      </c>
      <c r="D369" s="10">
        <v>35979</v>
      </c>
      <c r="E369" s="10">
        <v>45053</v>
      </c>
      <c r="F369">
        <v>24</v>
      </c>
      <c r="G369" t="s">
        <v>4296</v>
      </c>
    </row>
    <row r="370" spans="1:7">
      <c r="A370" t="s">
        <v>1067</v>
      </c>
      <c r="B370" t="s">
        <v>1068</v>
      </c>
      <c r="C370" t="s">
        <v>40</v>
      </c>
      <c r="D370" s="10">
        <v>18954</v>
      </c>
      <c r="E370" s="10">
        <v>45124</v>
      </c>
      <c r="F370">
        <v>71</v>
      </c>
      <c r="G370" t="s">
        <v>4296</v>
      </c>
    </row>
    <row r="371" spans="1:7">
      <c r="A371" t="s">
        <v>1069</v>
      </c>
      <c r="B371" t="s">
        <v>737</v>
      </c>
      <c r="C371" t="s">
        <v>40</v>
      </c>
      <c r="D371" s="10">
        <v>21040</v>
      </c>
      <c r="E371" s="10">
        <v>45032</v>
      </c>
      <c r="F371">
        <v>65</v>
      </c>
      <c r="G371" t="s">
        <v>4296</v>
      </c>
    </row>
    <row r="372" spans="1:7">
      <c r="A372" t="s">
        <v>1071</v>
      </c>
      <c r="B372" t="s">
        <v>495</v>
      </c>
      <c r="C372" t="s">
        <v>40</v>
      </c>
      <c r="D372" s="10">
        <v>38722</v>
      </c>
      <c r="E372" s="10">
        <v>45345</v>
      </c>
      <c r="F372">
        <v>18</v>
      </c>
      <c r="G372" t="s">
        <v>4296</v>
      </c>
    </row>
    <row r="373" spans="1:7">
      <c r="A373" t="s">
        <v>1073</v>
      </c>
      <c r="B373" t="s">
        <v>429</v>
      </c>
      <c r="C373" t="s">
        <v>133</v>
      </c>
      <c r="D373" s="10">
        <v>18736</v>
      </c>
      <c r="E373" s="10">
        <v>45703</v>
      </c>
      <c r="F373">
        <v>73</v>
      </c>
      <c r="G373" t="s">
        <v>4296</v>
      </c>
    </row>
    <row r="374" spans="1:7">
      <c r="A374" t="s">
        <v>1076</v>
      </c>
      <c r="B374" t="s">
        <v>321</v>
      </c>
      <c r="C374" t="s">
        <v>133</v>
      </c>
      <c r="D374" s="10">
        <v>38694</v>
      </c>
      <c r="E374" s="10">
        <v>45043</v>
      </c>
      <c r="F374">
        <v>17</v>
      </c>
      <c r="G374" t="s">
        <v>4296</v>
      </c>
    </row>
    <row r="375" spans="1:7">
      <c r="A375" t="s">
        <v>1078</v>
      </c>
      <c r="B375" t="s">
        <v>1079</v>
      </c>
      <c r="C375" t="s">
        <v>133</v>
      </c>
      <c r="D375" s="10">
        <v>25150</v>
      </c>
      <c r="E375" s="10">
        <v>46005</v>
      </c>
      <c r="F375">
        <v>57</v>
      </c>
      <c r="G375" t="s">
        <v>4296</v>
      </c>
    </row>
    <row r="376" spans="1:7">
      <c r="A376" t="s">
        <v>1082</v>
      </c>
      <c r="B376" t="s">
        <v>21</v>
      </c>
      <c r="C376" t="s">
        <v>40</v>
      </c>
      <c r="D376" s="10">
        <v>37865</v>
      </c>
      <c r="E376" s="10">
        <v>45496</v>
      </c>
      <c r="F376">
        <v>20</v>
      </c>
      <c r="G376" t="s">
        <v>4296</v>
      </c>
    </row>
    <row r="377" spans="1:7">
      <c r="A377" t="s">
        <v>1085</v>
      </c>
      <c r="B377" t="s">
        <v>173</v>
      </c>
      <c r="C377" t="s">
        <v>40</v>
      </c>
      <c r="D377" s="10">
        <v>23022</v>
      </c>
      <c r="E377" s="10">
        <v>45815</v>
      </c>
      <c r="F377">
        <v>62</v>
      </c>
      <c r="G377" t="s">
        <v>4296</v>
      </c>
    </row>
    <row r="378" spans="1:7">
      <c r="A378" t="s">
        <v>1087</v>
      </c>
      <c r="B378" t="s">
        <v>1088</v>
      </c>
      <c r="C378" t="s">
        <v>133</v>
      </c>
      <c r="D378" s="10">
        <v>31595</v>
      </c>
      <c r="E378" s="10">
        <v>45488</v>
      </c>
      <c r="F378">
        <v>38</v>
      </c>
      <c r="G378" t="s">
        <v>4296</v>
      </c>
    </row>
    <row r="379" spans="1:7">
      <c r="A379" t="s">
        <v>1091</v>
      </c>
      <c r="B379" t="s">
        <v>83</v>
      </c>
      <c r="C379" t="s">
        <v>133</v>
      </c>
      <c r="D379" s="10">
        <v>24236</v>
      </c>
      <c r="E379" s="10">
        <v>45940</v>
      </c>
      <c r="F379">
        <v>59</v>
      </c>
      <c r="G379" t="s">
        <v>4296</v>
      </c>
    </row>
    <row r="380" spans="1:7">
      <c r="A380" t="s">
        <v>1092</v>
      </c>
      <c r="B380" t="s">
        <v>29</v>
      </c>
      <c r="C380" t="s">
        <v>133</v>
      </c>
      <c r="D380" s="10">
        <v>28538</v>
      </c>
      <c r="E380" s="10">
        <v>45085</v>
      </c>
      <c r="F380">
        <v>45</v>
      </c>
      <c r="G380" t="s">
        <v>4296</v>
      </c>
    </row>
    <row r="381" spans="1:7">
      <c r="A381" t="s">
        <v>1093</v>
      </c>
      <c r="B381" t="s">
        <v>1094</v>
      </c>
      <c r="C381" t="s">
        <v>40</v>
      </c>
      <c r="D381" s="10">
        <v>36822</v>
      </c>
      <c r="E381" s="10">
        <v>45631</v>
      </c>
      <c r="F381">
        <v>24</v>
      </c>
      <c r="G381" t="s">
        <v>4296</v>
      </c>
    </row>
    <row r="382" spans="1:7">
      <c r="A382" t="s">
        <v>1096</v>
      </c>
      <c r="B382" t="s">
        <v>1097</v>
      </c>
      <c r="C382" t="s">
        <v>40</v>
      </c>
      <c r="D382" s="10">
        <v>37050</v>
      </c>
      <c r="E382" s="10">
        <v>45860</v>
      </c>
      <c r="F382">
        <v>24</v>
      </c>
      <c r="G382" t="s">
        <v>4296</v>
      </c>
    </row>
    <row r="383" spans="1:7">
      <c r="A383" t="s">
        <v>1098</v>
      </c>
      <c r="B383" t="s">
        <v>1099</v>
      </c>
      <c r="C383" t="s">
        <v>133</v>
      </c>
      <c r="D383" s="10">
        <v>36657</v>
      </c>
      <c r="E383" s="10">
        <v>45569</v>
      </c>
      <c r="F383">
        <v>24</v>
      </c>
      <c r="G383" t="s">
        <v>4296</v>
      </c>
    </row>
    <row r="384" spans="1:7">
      <c r="A384" t="s">
        <v>4125</v>
      </c>
      <c r="B384" t="s">
        <v>1101</v>
      </c>
      <c r="C384" t="s">
        <v>133</v>
      </c>
      <c r="D384" s="10">
        <v>27746</v>
      </c>
      <c r="E384" s="10">
        <v>45421</v>
      </c>
      <c r="F384">
        <v>48</v>
      </c>
      <c r="G384" t="s">
        <v>4296</v>
      </c>
    </row>
    <row r="385" spans="1:7">
      <c r="A385" t="s">
        <v>1103</v>
      </c>
      <c r="B385" t="s">
        <v>1104</v>
      </c>
      <c r="C385" t="s">
        <v>40</v>
      </c>
      <c r="D385" s="10">
        <v>28566</v>
      </c>
      <c r="E385" s="10">
        <v>45499</v>
      </c>
      <c r="F385">
        <v>46</v>
      </c>
      <c r="G385" t="s">
        <v>4296</v>
      </c>
    </row>
    <row r="386" spans="1:7">
      <c r="A386" t="s">
        <v>1105</v>
      </c>
      <c r="B386" t="s">
        <v>1106</v>
      </c>
      <c r="C386" t="s">
        <v>133</v>
      </c>
      <c r="D386" s="10">
        <v>24699</v>
      </c>
      <c r="E386" s="10">
        <v>45385</v>
      </c>
      <c r="F386">
        <v>56</v>
      </c>
      <c r="G386" t="s">
        <v>4296</v>
      </c>
    </row>
    <row r="387" spans="1:7">
      <c r="A387" t="s">
        <v>1107</v>
      </c>
      <c r="B387" t="s">
        <v>1108</v>
      </c>
      <c r="C387" t="s">
        <v>40</v>
      </c>
      <c r="D387" s="10">
        <v>35061</v>
      </c>
      <c r="E387" s="10">
        <v>45172</v>
      </c>
      <c r="F387">
        <v>27</v>
      </c>
      <c r="G387" t="s">
        <v>4296</v>
      </c>
    </row>
    <row r="388" spans="1:7">
      <c r="A388" t="s">
        <v>1109</v>
      </c>
      <c r="B388" t="s">
        <v>328</v>
      </c>
      <c r="C388" t="s">
        <v>133</v>
      </c>
      <c r="D388" s="10">
        <v>25685</v>
      </c>
      <c r="E388" s="10">
        <v>44999</v>
      </c>
      <c r="F388">
        <v>52</v>
      </c>
      <c r="G388" t="s">
        <v>4296</v>
      </c>
    </row>
    <row r="389" spans="1:7">
      <c r="A389" t="s">
        <v>1111</v>
      </c>
      <c r="B389" t="s">
        <v>697</v>
      </c>
      <c r="C389" t="s">
        <v>133</v>
      </c>
      <c r="D389" s="10">
        <v>33673</v>
      </c>
      <c r="E389" s="10">
        <v>45401</v>
      </c>
      <c r="F389">
        <v>32</v>
      </c>
      <c r="G389" t="s">
        <v>4296</v>
      </c>
    </row>
    <row r="390" spans="1:7">
      <c r="A390" t="s">
        <v>1112</v>
      </c>
      <c r="B390" t="s">
        <v>433</v>
      </c>
      <c r="C390" t="s">
        <v>133</v>
      </c>
      <c r="D390" s="10">
        <v>34060</v>
      </c>
      <c r="E390" s="10">
        <v>45522</v>
      </c>
      <c r="F390">
        <v>31</v>
      </c>
      <c r="G390" t="s">
        <v>4296</v>
      </c>
    </row>
    <row r="391" spans="1:7">
      <c r="A391" t="s">
        <v>1113</v>
      </c>
      <c r="B391" t="s">
        <v>295</v>
      </c>
      <c r="C391" t="s">
        <v>40</v>
      </c>
      <c r="D391" s="10">
        <v>40471</v>
      </c>
      <c r="E391" s="10">
        <v>45602</v>
      </c>
      <c r="F391">
        <v>14</v>
      </c>
      <c r="G391" t="s">
        <v>4296</v>
      </c>
    </row>
    <row r="392" spans="1:7">
      <c r="A392" t="s">
        <v>1116</v>
      </c>
      <c r="B392" t="s">
        <v>541</v>
      </c>
      <c r="C392" t="s">
        <v>40</v>
      </c>
      <c r="D392" s="10">
        <v>40210</v>
      </c>
      <c r="E392" s="10">
        <v>44968</v>
      </c>
      <c r="F392">
        <v>13</v>
      </c>
      <c r="G392" t="s">
        <v>4296</v>
      </c>
    </row>
    <row r="393" spans="1:7">
      <c r="A393" t="s">
        <v>4126</v>
      </c>
      <c r="B393" t="s">
        <v>1119</v>
      </c>
      <c r="C393" t="s">
        <v>133</v>
      </c>
      <c r="D393" s="10">
        <v>20808</v>
      </c>
      <c r="E393" s="10">
        <v>45728</v>
      </c>
      <c r="F393">
        <v>68</v>
      </c>
      <c r="G393" t="s">
        <v>4296</v>
      </c>
    </row>
    <row r="394" spans="1:7">
      <c r="A394" t="s">
        <v>1121</v>
      </c>
      <c r="B394" t="s">
        <v>700</v>
      </c>
      <c r="C394" t="s">
        <v>133</v>
      </c>
      <c r="D394" s="10">
        <v>40354</v>
      </c>
      <c r="E394" s="10">
        <v>45148</v>
      </c>
      <c r="F394">
        <v>13</v>
      </c>
      <c r="G394" t="s">
        <v>4296</v>
      </c>
    </row>
    <row r="395" spans="1:7">
      <c r="A395" t="s">
        <v>1122</v>
      </c>
      <c r="B395" t="s">
        <v>321</v>
      </c>
      <c r="C395" t="s">
        <v>40</v>
      </c>
      <c r="D395" s="10">
        <v>24387</v>
      </c>
      <c r="E395" s="10">
        <v>45618</v>
      </c>
      <c r="F395">
        <v>58</v>
      </c>
      <c r="G395" t="s">
        <v>4296</v>
      </c>
    </row>
    <row r="396" spans="1:7">
      <c r="A396" t="s">
        <v>1124</v>
      </c>
      <c r="B396" t="s">
        <v>1125</v>
      </c>
      <c r="C396" t="s">
        <v>133</v>
      </c>
      <c r="D396" s="10">
        <v>35467</v>
      </c>
      <c r="E396" s="10">
        <v>45537</v>
      </c>
      <c r="F396">
        <v>27</v>
      </c>
      <c r="G396" t="s">
        <v>4296</v>
      </c>
    </row>
    <row r="397" spans="1:7">
      <c r="A397" t="s">
        <v>1128</v>
      </c>
      <c r="B397" t="s">
        <v>295</v>
      </c>
      <c r="C397" t="s">
        <v>40</v>
      </c>
      <c r="D397" s="10">
        <v>40524</v>
      </c>
      <c r="E397" s="10">
        <v>45990</v>
      </c>
      <c r="F397">
        <v>14</v>
      </c>
      <c r="G397" t="s">
        <v>4296</v>
      </c>
    </row>
    <row r="398" spans="1:7">
      <c r="A398" t="s">
        <v>1130</v>
      </c>
      <c r="B398" t="s">
        <v>1131</v>
      </c>
      <c r="C398" t="s">
        <v>133</v>
      </c>
      <c r="D398" s="10">
        <v>39912</v>
      </c>
      <c r="E398" s="10">
        <v>45509</v>
      </c>
      <c r="F398">
        <v>15</v>
      </c>
      <c r="G398" t="s">
        <v>4296</v>
      </c>
    </row>
    <row r="399" spans="1:7">
      <c r="A399" t="s">
        <v>1132</v>
      </c>
      <c r="B399" t="s">
        <v>666</v>
      </c>
      <c r="C399" t="s">
        <v>40</v>
      </c>
      <c r="D399" s="10">
        <v>23071</v>
      </c>
      <c r="E399" s="10">
        <v>45401</v>
      </c>
      <c r="F399">
        <v>61</v>
      </c>
      <c r="G399" t="s">
        <v>4296</v>
      </c>
    </row>
    <row r="400" spans="1:7">
      <c r="A400" t="s">
        <v>4127</v>
      </c>
      <c r="B400" t="s">
        <v>1135</v>
      </c>
      <c r="C400" t="s">
        <v>40</v>
      </c>
      <c r="D400" s="10">
        <v>37717</v>
      </c>
      <c r="E400" s="10">
        <v>45495</v>
      </c>
      <c r="F400">
        <v>21</v>
      </c>
      <c r="G400" t="s">
        <v>4296</v>
      </c>
    </row>
    <row r="401" spans="1:7">
      <c r="A401" t="s">
        <v>1137</v>
      </c>
      <c r="B401" t="s">
        <v>108</v>
      </c>
      <c r="C401" t="s">
        <v>40</v>
      </c>
      <c r="D401" s="10">
        <v>22665</v>
      </c>
      <c r="E401" s="10">
        <v>45562</v>
      </c>
      <c r="F401">
        <v>62</v>
      </c>
      <c r="G401" t="s">
        <v>4296</v>
      </c>
    </row>
    <row r="402" spans="1:7">
      <c r="A402" t="s">
        <v>1139</v>
      </c>
      <c r="B402" t="s">
        <v>1140</v>
      </c>
      <c r="C402" t="s">
        <v>40</v>
      </c>
      <c r="D402" s="10">
        <v>19146</v>
      </c>
      <c r="E402" s="10">
        <v>45240</v>
      </c>
      <c r="F402">
        <v>71</v>
      </c>
      <c r="G402" t="s">
        <v>4296</v>
      </c>
    </row>
    <row r="403" spans="1:7">
      <c r="A403" t="s">
        <v>1144</v>
      </c>
      <c r="B403" t="s">
        <v>857</v>
      </c>
      <c r="C403" t="s">
        <v>133</v>
      </c>
      <c r="D403" s="10">
        <v>19841</v>
      </c>
      <c r="E403" s="10">
        <v>45954</v>
      </c>
      <c r="F403">
        <v>71</v>
      </c>
      <c r="G403" t="s">
        <v>4296</v>
      </c>
    </row>
    <row r="404" spans="1:7">
      <c r="A404" t="s">
        <v>1145</v>
      </c>
      <c r="B404" t="s">
        <v>1146</v>
      </c>
      <c r="C404" t="s">
        <v>40</v>
      </c>
      <c r="D404" s="10">
        <v>32082</v>
      </c>
      <c r="E404" s="10">
        <v>45273</v>
      </c>
      <c r="F404">
        <v>36</v>
      </c>
      <c r="G404" t="s">
        <v>4296</v>
      </c>
    </row>
    <row r="405" spans="1:7">
      <c r="A405" t="s">
        <v>1147</v>
      </c>
      <c r="B405" t="s">
        <v>39</v>
      </c>
      <c r="C405" t="s">
        <v>40</v>
      </c>
      <c r="D405" s="10">
        <v>24154</v>
      </c>
      <c r="E405" s="10">
        <v>45654</v>
      </c>
      <c r="F405">
        <v>58</v>
      </c>
      <c r="G405" t="s">
        <v>4296</v>
      </c>
    </row>
    <row r="406" spans="1:7">
      <c r="A406" t="s">
        <v>1148</v>
      </c>
      <c r="B406" t="s">
        <v>324</v>
      </c>
      <c r="C406" t="s">
        <v>133</v>
      </c>
      <c r="D406" s="10">
        <v>29330</v>
      </c>
      <c r="E406" s="10">
        <v>45588</v>
      </c>
      <c r="F406">
        <v>44</v>
      </c>
      <c r="G406" t="s">
        <v>4237</v>
      </c>
    </row>
    <row r="407" spans="1:7">
      <c r="A407" t="s">
        <v>1152</v>
      </c>
      <c r="B407" t="s">
        <v>1153</v>
      </c>
      <c r="C407" t="s">
        <v>40</v>
      </c>
      <c r="D407" s="10">
        <v>24453</v>
      </c>
      <c r="E407" s="10">
        <v>45618</v>
      </c>
      <c r="F407">
        <v>57</v>
      </c>
      <c r="G407" t="s">
        <v>4296</v>
      </c>
    </row>
    <row r="408" spans="1:7">
      <c r="A408" t="s">
        <v>1156</v>
      </c>
      <c r="B408" t="s">
        <v>940</v>
      </c>
      <c r="C408" t="s">
        <v>40</v>
      </c>
      <c r="D408" s="10">
        <v>37057</v>
      </c>
      <c r="E408" s="10">
        <v>45737</v>
      </c>
      <c r="F408">
        <v>23</v>
      </c>
      <c r="G408" t="s">
        <v>4296</v>
      </c>
    </row>
    <row r="409" spans="1:7">
      <c r="A409" t="s">
        <v>1158</v>
      </c>
      <c r="B409" t="s">
        <v>527</v>
      </c>
      <c r="C409" t="s">
        <v>40</v>
      </c>
      <c r="D409" s="10">
        <v>27099</v>
      </c>
      <c r="E409" s="10">
        <v>45200</v>
      </c>
      <c r="F409">
        <v>49</v>
      </c>
      <c r="G409" t="s">
        <v>4296</v>
      </c>
    </row>
    <row r="410" spans="1:7">
      <c r="A410" t="s">
        <v>1162</v>
      </c>
      <c r="B410" t="s">
        <v>864</v>
      </c>
      <c r="C410" t="s">
        <v>40</v>
      </c>
      <c r="D410" s="10">
        <v>26135</v>
      </c>
      <c r="E410" s="10">
        <v>45295</v>
      </c>
      <c r="F410">
        <v>52</v>
      </c>
      <c r="G410" t="s">
        <v>4296</v>
      </c>
    </row>
    <row r="411" spans="1:7">
      <c r="A411" t="s">
        <v>1163</v>
      </c>
      <c r="B411" t="s">
        <v>857</v>
      </c>
      <c r="C411" t="s">
        <v>40</v>
      </c>
      <c r="D411" s="10">
        <v>25393</v>
      </c>
      <c r="E411" s="10">
        <v>45164</v>
      </c>
      <c r="F411">
        <v>54</v>
      </c>
      <c r="G411" t="s">
        <v>4296</v>
      </c>
    </row>
    <row r="412" spans="1:7">
      <c r="A412" t="s">
        <v>1166</v>
      </c>
      <c r="B412" t="s">
        <v>1167</v>
      </c>
      <c r="C412" t="s">
        <v>40</v>
      </c>
      <c r="D412" s="10">
        <v>28892</v>
      </c>
      <c r="E412" s="10">
        <v>45683</v>
      </c>
      <c r="F412">
        <v>45</v>
      </c>
      <c r="G412" t="s">
        <v>4296</v>
      </c>
    </row>
    <row r="413" spans="1:7">
      <c r="A413" t="s">
        <v>1169</v>
      </c>
      <c r="B413" t="s">
        <v>697</v>
      </c>
      <c r="C413" t="s">
        <v>133</v>
      </c>
      <c r="D413" s="10">
        <v>24103</v>
      </c>
      <c r="E413" s="10">
        <v>45999</v>
      </c>
      <c r="F413">
        <v>59</v>
      </c>
      <c r="G413" t="s">
        <v>4296</v>
      </c>
    </row>
    <row r="414" spans="1:7">
      <c r="A414" t="s">
        <v>1171</v>
      </c>
      <c r="B414" t="s">
        <v>363</v>
      </c>
      <c r="C414" t="s">
        <v>40</v>
      </c>
      <c r="D414" s="10">
        <v>31542</v>
      </c>
      <c r="E414" s="10">
        <v>45979</v>
      </c>
      <c r="F414">
        <v>39</v>
      </c>
      <c r="G414" t="s">
        <v>4296</v>
      </c>
    </row>
    <row r="415" spans="1:7">
      <c r="A415" t="s">
        <v>1174</v>
      </c>
      <c r="B415" t="s">
        <v>1175</v>
      </c>
      <c r="C415" t="s">
        <v>40</v>
      </c>
      <c r="D415" s="10">
        <v>20553</v>
      </c>
      <c r="E415" s="10">
        <v>44964</v>
      </c>
      <c r="F415">
        <v>66</v>
      </c>
      <c r="G415" t="s">
        <v>4296</v>
      </c>
    </row>
    <row r="416" spans="1:7">
      <c r="A416" t="s">
        <v>1177</v>
      </c>
      <c r="B416" t="s">
        <v>967</v>
      </c>
      <c r="C416" t="s">
        <v>40</v>
      </c>
      <c r="D416" s="10">
        <v>31201</v>
      </c>
      <c r="E416" s="10">
        <v>45352</v>
      </c>
      <c r="F416">
        <v>38</v>
      </c>
      <c r="G416" t="s">
        <v>4296</v>
      </c>
    </row>
    <row r="417" spans="1:7">
      <c r="A417" t="s">
        <v>1179</v>
      </c>
      <c r="B417" t="s">
        <v>922</v>
      </c>
      <c r="C417" t="s">
        <v>40</v>
      </c>
      <c r="D417" s="10">
        <v>21103</v>
      </c>
      <c r="E417" s="10">
        <v>45292</v>
      </c>
      <c r="F417">
        <v>66</v>
      </c>
      <c r="G417" t="s">
        <v>4296</v>
      </c>
    </row>
    <row r="418" spans="1:7">
      <c r="A418" t="s">
        <v>1181</v>
      </c>
      <c r="B418" t="s">
        <v>1182</v>
      </c>
      <c r="C418" t="s">
        <v>40</v>
      </c>
      <c r="D418" s="10">
        <v>33319</v>
      </c>
      <c r="E418" s="10">
        <v>45128</v>
      </c>
      <c r="F418">
        <v>32</v>
      </c>
      <c r="G418" t="s">
        <v>4296</v>
      </c>
    </row>
    <row r="419" spans="1:7">
      <c r="A419" t="s">
        <v>1183</v>
      </c>
      <c r="B419" t="s">
        <v>464</v>
      </c>
      <c r="C419" t="s">
        <v>40</v>
      </c>
      <c r="D419" s="10">
        <v>38061</v>
      </c>
      <c r="E419" s="10">
        <v>45682</v>
      </c>
      <c r="F419">
        <v>20</v>
      </c>
      <c r="G419" t="s">
        <v>4296</v>
      </c>
    </row>
    <row r="420" spans="1:7">
      <c r="A420" t="s">
        <v>1185</v>
      </c>
      <c r="B420" t="s">
        <v>1186</v>
      </c>
      <c r="C420" t="s">
        <v>133</v>
      </c>
      <c r="D420" s="10">
        <v>34287</v>
      </c>
      <c r="E420" s="10">
        <v>45991</v>
      </c>
      <c r="F420">
        <v>32</v>
      </c>
      <c r="G420" t="s">
        <v>4296</v>
      </c>
    </row>
    <row r="421" spans="1:7">
      <c r="A421" t="s">
        <v>1187</v>
      </c>
      <c r="B421" t="s">
        <v>368</v>
      </c>
      <c r="C421" t="s">
        <v>133</v>
      </c>
      <c r="D421" s="10">
        <v>29330</v>
      </c>
      <c r="E421" s="10">
        <v>45482</v>
      </c>
      <c r="F421">
        <v>44</v>
      </c>
      <c r="G421" t="s">
        <v>4237</v>
      </c>
    </row>
    <row r="422" spans="1:7">
      <c r="A422" t="s">
        <v>1190</v>
      </c>
      <c r="B422" t="s">
        <v>304</v>
      </c>
      <c r="C422" t="s">
        <v>133</v>
      </c>
      <c r="D422" s="10">
        <v>31586</v>
      </c>
      <c r="E422" s="10">
        <v>45523</v>
      </c>
      <c r="F422">
        <v>38</v>
      </c>
      <c r="G422" t="s">
        <v>4296</v>
      </c>
    </row>
    <row r="423" spans="1:7">
      <c r="A423" t="s">
        <v>1192</v>
      </c>
      <c r="B423" t="s">
        <v>604</v>
      </c>
      <c r="C423" t="s">
        <v>133</v>
      </c>
      <c r="D423" s="10">
        <v>26608</v>
      </c>
      <c r="E423" s="10">
        <v>45953</v>
      </c>
      <c r="F423">
        <v>52</v>
      </c>
      <c r="G423" t="s">
        <v>4296</v>
      </c>
    </row>
    <row r="424" spans="1:7">
      <c r="A424" t="s">
        <v>1194</v>
      </c>
      <c r="B424" t="s">
        <v>503</v>
      </c>
      <c r="C424" t="s">
        <v>133</v>
      </c>
      <c r="D424" s="10">
        <v>39196</v>
      </c>
      <c r="E424" s="10">
        <v>45341</v>
      </c>
      <c r="F424">
        <v>16</v>
      </c>
      <c r="G424" t="s">
        <v>4296</v>
      </c>
    </row>
    <row r="425" spans="1:7">
      <c r="A425" t="s">
        <v>1196</v>
      </c>
      <c r="B425" t="s">
        <v>59</v>
      </c>
      <c r="C425" t="s">
        <v>133</v>
      </c>
      <c r="D425" s="10">
        <v>20282</v>
      </c>
      <c r="E425" s="10">
        <v>45057</v>
      </c>
      <c r="F425">
        <v>67</v>
      </c>
      <c r="G425" t="s">
        <v>4296</v>
      </c>
    </row>
    <row r="426" spans="1:7">
      <c r="A426" t="s">
        <v>1199</v>
      </c>
      <c r="B426" t="s">
        <v>1200</v>
      </c>
      <c r="C426" t="s">
        <v>40</v>
      </c>
      <c r="D426" s="10">
        <v>36471</v>
      </c>
      <c r="E426" s="10">
        <v>45861</v>
      </c>
      <c r="F426">
        <v>25</v>
      </c>
      <c r="G426" t="s">
        <v>4296</v>
      </c>
    </row>
    <row r="427" spans="1:7">
      <c r="A427" t="s">
        <v>1201</v>
      </c>
      <c r="B427" t="s">
        <v>760</v>
      </c>
      <c r="C427" t="s">
        <v>133</v>
      </c>
      <c r="D427" s="10">
        <v>29330</v>
      </c>
      <c r="E427" s="10">
        <v>45811</v>
      </c>
      <c r="F427">
        <v>45</v>
      </c>
      <c r="G427" t="s">
        <v>4237</v>
      </c>
    </row>
    <row r="428" spans="1:7">
      <c r="A428" t="s">
        <v>1204</v>
      </c>
      <c r="B428" t="s">
        <v>666</v>
      </c>
      <c r="C428" t="s">
        <v>133</v>
      </c>
      <c r="D428" s="10">
        <v>25827</v>
      </c>
      <c r="E428" s="10">
        <v>45780</v>
      </c>
      <c r="F428">
        <v>54</v>
      </c>
      <c r="G428" t="s">
        <v>4296</v>
      </c>
    </row>
    <row r="429" spans="1:7">
      <c r="A429" t="s">
        <v>1205</v>
      </c>
      <c r="B429" t="s">
        <v>1206</v>
      </c>
      <c r="C429" t="s">
        <v>133</v>
      </c>
      <c r="D429" s="10">
        <v>24990</v>
      </c>
      <c r="E429" s="10">
        <v>45586</v>
      </c>
      <c r="F429">
        <v>56</v>
      </c>
      <c r="G429" t="s">
        <v>4296</v>
      </c>
    </row>
    <row r="430" spans="1:7">
      <c r="A430" t="s">
        <v>1207</v>
      </c>
      <c r="B430" t="s">
        <v>1167</v>
      </c>
      <c r="C430" t="s">
        <v>133</v>
      </c>
      <c r="D430" s="10">
        <v>33033</v>
      </c>
      <c r="E430" s="10">
        <v>45683</v>
      </c>
      <c r="F430">
        <v>34</v>
      </c>
      <c r="G430" t="s">
        <v>4296</v>
      </c>
    </row>
    <row r="431" spans="1:7">
      <c r="A431" t="s">
        <v>1209</v>
      </c>
      <c r="B431" t="s">
        <v>843</v>
      </c>
      <c r="C431" t="s">
        <v>40</v>
      </c>
      <c r="D431" s="10">
        <v>39318</v>
      </c>
      <c r="E431" s="10">
        <v>45366</v>
      </c>
      <c r="F431">
        <v>16</v>
      </c>
      <c r="G431" t="s">
        <v>4296</v>
      </c>
    </row>
    <row r="432" spans="1:7">
      <c r="A432" t="s">
        <v>1211</v>
      </c>
      <c r="B432" t="s">
        <v>1182</v>
      </c>
      <c r="C432" t="s">
        <v>40</v>
      </c>
      <c r="D432" s="10">
        <v>29725</v>
      </c>
      <c r="E432" s="10">
        <v>45610</v>
      </c>
      <c r="F432">
        <v>43</v>
      </c>
      <c r="G432" t="s">
        <v>4296</v>
      </c>
    </row>
    <row r="433" spans="1:7">
      <c r="A433" t="s">
        <v>1213</v>
      </c>
      <c r="B433" t="s">
        <v>852</v>
      </c>
      <c r="C433" t="s">
        <v>133</v>
      </c>
      <c r="D433" s="10">
        <v>27677</v>
      </c>
      <c r="E433" s="10">
        <v>44940</v>
      </c>
      <c r="F433">
        <v>47</v>
      </c>
      <c r="G433" t="s">
        <v>4296</v>
      </c>
    </row>
    <row r="434" spans="1:7">
      <c r="A434" t="s">
        <v>1214</v>
      </c>
      <c r="B434" t="s">
        <v>321</v>
      </c>
      <c r="C434" t="s">
        <v>133</v>
      </c>
      <c r="D434" s="10">
        <v>30836</v>
      </c>
      <c r="E434" s="10">
        <v>45597</v>
      </c>
      <c r="F434">
        <v>40</v>
      </c>
      <c r="G434" t="s">
        <v>4296</v>
      </c>
    </row>
    <row r="435" spans="1:7">
      <c r="A435" t="s">
        <v>1216</v>
      </c>
      <c r="B435" t="s">
        <v>522</v>
      </c>
      <c r="C435" t="s">
        <v>40</v>
      </c>
      <c r="D435" s="10">
        <v>20165</v>
      </c>
      <c r="E435" s="10">
        <v>45984</v>
      </c>
      <c r="F435">
        <v>70</v>
      </c>
      <c r="G435" t="s">
        <v>4296</v>
      </c>
    </row>
    <row r="436" spans="1:7">
      <c r="A436" t="s">
        <v>1220</v>
      </c>
      <c r="B436" t="s">
        <v>548</v>
      </c>
      <c r="C436" t="s">
        <v>40</v>
      </c>
      <c r="D436" s="10">
        <v>33568</v>
      </c>
      <c r="E436" s="10">
        <v>45725</v>
      </c>
      <c r="F436">
        <v>33</v>
      </c>
      <c r="G436" t="s">
        <v>4296</v>
      </c>
    </row>
    <row r="437" spans="1:7">
      <c r="A437" t="s">
        <v>1221</v>
      </c>
      <c r="B437" t="s">
        <v>334</v>
      </c>
      <c r="C437" t="s">
        <v>133</v>
      </c>
      <c r="D437" s="10">
        <v>26721</v>
      </c>
      <c r="E437" s="10">
        <v>45259</v>
      </c>
      <c r="F437">
        <v>50</v>
      </c>
      <c r="G437" t="s">
        <v>4296</v>
      </c>
    </row>
    <row r="438" spans="1:7">
      <c r="A438" t="s">
        <v>1223</v>
      </c>
      <c r="B438" t="s">
        <v>760</v>
      </c>
      <c r="C438" t="s">
        <v>133</v>
      </c>
      <c r="D438" s="10">
        <v>38245</v>
      </c>
      <c r="E438" s="10">
        <v>45202</v>
      </c>
      <c r="F438">
        <v>19</v>
      </c>
      <c r="G438" t="s">
        <v>4296</v>
      </c>
    </row>
    <row r="439" spans="1:7">
      <c r="A439" t="s">
        <v>1226</v>
      </c>
      <c r="B439" t="s">
        <v>553</v>
      </c>
      <c r="C439" t="s">
        <v>133</v>
      </c>
      <c r="D439" s="10">
        <v>35379</v>
      </c>
      <c r="E439" s="10">
        <v>45393</v>
      </c>
      <c r="F439">
        <v>27</v>
      </c>
      <c r="G439" t="s">
        <v>4296</v>
      </c>
    </row>
    <row r="440" spans="1:7">
      <c r="A440" t="s">
        <v>1229</v>
      </c>
      <c r="B440" t="s">
        <v>1230</v>
      </c>
      <c r="C440" t="s">
        <v>40</v>
      </c>
      <c r="D440" s="10">
        <v>27613</v>
      </c>
      <c r="E440" s="10">
        <v>45855</v>
      </c>
      <c r="F440">
        <v>49</v>
      </c>
      <c r="G440" t="s">
        <v>4296</v>
      </c>
    </row>
    <row r="441" spans="1:7">
      <c r="A441" t="s">
        <v>1231</v>
      </c>
      <c r="B441" t="s">
        <v>999</v>
      </c>
      <c r="C441" t="s">
        <v>40</v>
      </c>
      <c r="D441" s="10">
        <v>21086</v>
      </c>
      <c r="E441" s="10">
        <v>45532</v>
      </c>
      <c r="F441">
        <v>66</v>
      </c>
      <c r="G441" t="s">
        <v>4296</v>
      </c>
    </row>
    <row r="442" spans="1:7">
      <c r="A442" t="s">
        <v>1234</v>
      </c>
      <c r="B442" t="s">
        <v>810</v>
      </c>
      <c r="C442" t="s">
        <v>133</v>
      </c>
      <c r="D442" s="10">
        <v>23728</v>
      </c>
      <c r="E442" s="10">
        <v>45268</v>
      </c>
      <c r="F442">
        <v>58</v>
      </c>
      <c r="G442" t="s">
        <v>4296</v>
      </c>
    </row>
    <row r="443" spans="1:7">
      <c r="A443" t="s">
        <v>1236</v>
      </c>
      <c r="B443" t="s">
        <v>548</v>
      </c>
      <c r="C443" t="s">
        <v>133</v>
      </c>
      <c r="D443" s="10">
        <v>32175</v>
      </c>
      <c r="E443" s="10">
        <v>45482</v>
      </c>
      <c r="F443">
        <v>36</v>
      </c>
      <c r="G443" t="s">
        <v>4237</v>
      </c>
    </row>
    <row r="444" spans="1:7">
      <c r="A444" t="s">
        <v>1238</v>
      </c>
      <c r="B444" t="s">
        <v>324</v>
      </c>
      <c r="C444" t="s">
        <v>133</v>
      </c>
      <c r="D444" s="10">
        <v>30372</v>
      </c>
      <c r="E444" s="10">
        <v>45891</v>
      </c>
      <c r="F444">
        <v>42</v>
      </c>
      <c r="G444" t="s">
        <v>4296</v>
      </c>
    </row>
    <row r="445" spans="1:7">
      <c r="A445" t="s">
        <v>1242</v>
      </c>
      <c r="B445" t="s">
        <v>356</v>
      </c>
      <c r="C445" t="s">
        <v>40</v>
      </c>
      <c r="D445" s="10">
        <v>24062</v>
      </c>
      <c r="E445" s="10">
        <v>45812</v>
      </c>
      <c r="F445">
        <v>59</v>
      </c>
      <c r="G445" t="s">
        <v>4296</v>
      </c>
    </row>
    <row r="446" spans="1:7">
      <c r="A446" t="s">
        <v>1244</v>
      </c>
      <c r="B446" t="s">
        <v>515</v>
      </c>
      <c r="C446" t="s">
        <v>133</v>
      </c>
      <c r="D446" s="10">
        <v>19271</v>
      </c>
      <c r="E446" s="10">
        <v>45128</v>
      </c>
      <c r="F446">
        <v>70</v>
      </c>
      <c r="G446" t="s">
        <v>4296</v>
      </c>
    </row>
    <row r="447" spans="1:7">
      <c r="A447" t="s">
        <v>1249</v>
      </c>
      <c r="B447" t="s">
        <v>238</v>
      </c>
      <c r="C447" t="s">
        <v>133</v>
      </c>
      <c r="D447" s="10">
        <v>36915</v>
      </c>
      <c r="E447" s="10">
        <v>45862</v>
      </c>
      <c r="F447">
        <v>24</v>
      </c>
      <c r="G447" t="s">
        <v>4296</v>
      </c>
    </row>
    <row r="448" spans="1:7">
      <c r="A448" t="s">
        <v>1250</v>
      </c>
      <c r="B448" t="s">
        <v>843</v>
      </c>
      <c r="C448" t="s">
        <v>133</v>
      </c>
      <c r="D448" s="10">
        <v>20792</v>
      </c>
      <c r="E448" s="10">
        <v>45758</v>
      </c>
      <c r="F448">
        <v>68</v>
      </c>
      <c r="G448" t="s">
        <v>4296</v>
      </c>
    </row>
    <row r="449" spans="1:7">
      <c r="A449" t="s">
        <v>1252</v>
      </c>
      <c r="B449" t="s">
        <v>1068</v>
      </c>
      <c r="C449" t="s">
        <v>40</v>
      </c>
      <c r="D449" s="10">
        <v>34994</v>
      </c>
      <c r="E449" s="10">
        <v>45755</v>
      </c>
      <c r="F449">
        <v>29</v>
      </c>
      <c r="G449" t="s">
        <v>4296</v>
      </c>
    </row>
    <row r="450" spans="1:7">
      <c r="A450" t="s">
        <v>1253</v>
      </c>
      <c r="B450" t="s">
        <v>652</v>
      </c>
      <c r="C450" t="s">
        <v>40</v>
      </c>
      <c r="D450" s="10">
        <v>21824</v>
      </c>
      <c r="E450" s="10">
        <v>45426</v>
      </c>
      <c r="F450">
        <v>64</v>
      </c>
      <c r="G450" t="s">
        <v>4296</v>
      </c>
    </row>
    <row r="451" spans="1:7">
      <c r="A451" t="s">
        <v>1255</v>
      </c>
      <c r="B451" t="s">
        <v>1256</v>
      </c>
      <c r="C451" t="s">
        <v>40</v>
      </c>
      <c r="D451" s="10">
        <v>36788</v>
      </c>
      <c r="E451" s="10">
        <v>45190</v>
      </c>
      <c r="F451">
        <v>23</v>
      </c>
      <c r="G451" t="s">
        <v>4296</v>
      </c>
    </row>
    <row r="452" spans="1:7">
      <c r="A452" t="s">
        <v>1258</v>
      </c>
      <c r="B452" t="s">
        <v>640</v>
      </c>
      <c r="C452" t="s">
        <v>40</v>
      </c>
      <c r="D452" s="10">
        <v>20067</v>
      </c>
      <c r="E452" s="10">
        <v>45443</v>
      </c>
      <c r="F452">
        <v>69</v>
      </c>
      <c r="G452" t="s">
        <v>4296</v>
      </c>
    </row>
    <row r="453" spans="1:7">
      <c r="A453" t="s">
        <v>1261</v>
      </c>
      <c r="B453" t="s">
        <v>155</v>
      </c>
      <c r="C453" t="s">
        <v>40</v>
      </c>
      <c r="D453" s="10">
        <v>30521</v>
      </c>
      <c r="E453" s="10">
        <v>45257</v>
      </c>
      <c r="F453">
        <v>40</v>
      </c>
      <c r="G453" t="s">
        <v>4296</v>
      </c>
    </row>
    <row r="454" spans="1:7">
      <c r="A454" t="s">
        <v>1262</v>
      </c>
      <c r="B454" t="s">
        <v>1263</v>
      </c>
      <c r="C454" t="s">
        <v>40</v>
      </c>
      <c r="D454" s="10">
        <v>23549</v>
      </c>
      <c r="E454" s="10">
        <v>45094</v>
      </c>
      <c r="F454">
        <v>58</v>
      </c>
      <c r="G454" t="s">
        <v>4296</v>
      </c>
    </row>
    <row r="455" spans="1:7">
      <c r="A455" t="s">
        <v>1264</v>
      </c>
      <c r="B455" t="s">
        <v>572</v>
      </c>
      <c r="C455" t="s">
        <v>40</v>
      </c>
      <c r="D455" s="10">
        <v>20764</v>
      </c>
      <c r="E455" s="10">
        <v>45693</v>
      </c>
      <c r="F455">
        <v>68</v>
      </c>
      <c r="G455" t="s">
        <v>4296</v>
      </c>
    </row>
    <row r="456" spans="1:7">
      <c r="A456" t="s">
        <v>1265</v>
      </c>
      <c r="B456" t="s">
        <v>472</v>
      </c>
      <c r="C456" t="s">
        <v>133</v>
      </c>
      <c r="D456" s="10">
        <v>36742</v>
      </c>
      <c r="E456" s="10">
        <v>45061</v>
      </c>
      <c r="F456">
        <v>22</v>
      </c>
      <c r="G456" t="s">
        <v>4296</v>
      </c>
    </row>
    <row r="457" spans="1:7">
      <c r="A457" t="s">
        <v>4128</v>
      </c>
      <c r="B457" t="s">
        <v>545</v>
      </c>
      <c r="C457" t="s">
        <v>40</v>
      </c>
      <c r="D457" s="10">
        <v>25156</v>
      </c>
      <c r="E457" s="10">
        <v>45754</v>
      </c>
      <c r="F457">
        <v>56</v>
      </c>
      <c r="G457" t="s">
        <v>4296</v>
      </c>
    </row>
    <row r="458" spans="1:7">
      <c r="A458" t="s">
        <v>1269</v>
      </c>
      <c r="B458" t="s">
        <v>864</v>
      </c>
      <c r="C458" t="s">
        <v>40</v>
      </c>
      <c r="D458" s="10">
        <v>26544</v>
      </c>
      <c r="E458" s="10">
        <v>45815</v>
      </c>
      <c r="F458">
        <v>52</v>
      </c>
      <c r="G458" t="s">
        <v>4296</v>
      </c>
    </row>
    <row r="459" spans="1:7">
      <c r="A459" t="s">
        <v>1272</v>
      </c>
      <c r="B459" t="s">
        <v>887</v>
      </c>
      <c r="C459" t="s">
        <v>133</v>
      </c>
      <c r="D459" s="10">
        <v>37358</v>
      </c>
      <c r="E459" s="10">
        <v>45750</v>
      </c>
      <c r="F459">
        <v>22</v>
      </c>
      <c r="G459" t="s">
        <v>4296</v>
      </c>
    </row>
    <row r="460" spans="1:7">
      <c r="A460" t="s">
        <v>1275</v>
      </c>
      <c r="B460" t="s">
        <v>1276</v>
      </c>
      <c r="C460" t="s">
        <v>40</v>
      </c>
      <c r="D460" s="10">
        <v>21512</v>
      </c>
      <c r="E460" s="10">
        <v>45383</v>
      </c>
      <c r="F460">
        <v>65</v>
      </c>
      <c r="G460" t="s">
        <v>4296</v>
      </c>
    </row>
    <row r="461" spans="1:7">
      <c r="A461" t="s">
        <v>1278</v>
      </c>
      <c r="B461" t="s">
        <v>280</v>
      </c>
      <c r="C461" t="s">
        <v>133</v>
      </c>
      <c r="D461" s="10">
        <v>30332</v>
      </c>
      <c r="E461" s="10">
        <v>45907</v>
      </c>
      <c r="F461">
        <v>42</v>
      </c>
      <c r="G461" t="s">
        <v>4296</v>
      </c>
    </row>
    <row r="462" spans="1:7">
      <c r="A462" t="s">
        <v>1280</v>
      </c>
      <c r="B462" t="s">
        <v>843</v>
      </c>
      <c r="C462" t="s">
        <v>133</v>
      </c>
      <c r="D462" s="10">
        <v>39519</v>
      </c>
      <c r="E462" s="10">
        <v>45873</v>
      </c>
      <c r="F462">
        <v>17</v>
      </c>
      <c r="G462" t="s">
        <v>4296</v>
      </c>
    </row>
    <row r="463" spans="1:7">
      <c r="A463" t="s">
        <v>1284</v>
      </c>
      <c r="B463" t="s">
        <v>88</v>
      </c>
      <c r="C463" t="s">
        <v>133</v>
      </c>
      <c r="D463" s="10">
        <v>35148</v>
      </c>
      <c r="E463" s="10">
        <v>45585</v>
      </c>
      <c r="F463">
        <v>28</v>
      </c>
      <c r="G463" t="s">
        <v>4296</v>
      </c>
    </row>
    <row r="464" spans="1:7">
      <c r="A464" t="s">
        <v>1286</v>
      </c>
      <c r="B464" t="s">
        <v>150</v>
      </c>
      <c r="C464" t="s">
        <v>40</v>
      </c>
      <c r="D464" s="10">
        <v>33101</v>
      </c>
      <c r="E464" s="10">
        <v>45240</v>
      </c>
      <c r="F464">
        <v>33</v>
      </c>
      <c r="G464" t="s">
        <v>4296</v>
      </c>
    </row>
    <row r="465" spans="1:7">
      <c r="A465" t="s">
        <v>1288</v>
      </c>
      <c r="B465" t="s">
        <v>852</v>
      </c>
      <c r="C465" t="s">
        <v>133</v>
      </c>
      <c r="D465" s="10">
        <v>29204</v>
      </c>
      <c r="E465" s="10">
        <v>45836</v>
      </c>
      <c r="F465">
        <v>45</v>
      </c>
      <c r="G465" t="s">
        <v>4296</v>
      </c>
    </row>
    <row r="466" spans="1:7">
      <c r="A466" t="s">
        <v>4129</v>
      </c>
      <c r="B466" t="s">
        <v>1293</v>
      </c>
      <c r="C466" t="s">
        <v>133</v>
      </c>
      <c r="D466" s="10">
        <v>22747</v>
      </c>
      <c r="E466" s="10">
        <v>45247</v>
      </c>
      <c r="F466">
        <v>61</v>
      </c>
      <c r="G466" t="s">
        <v>4296</v>
      </c>
    </row>
    <row r="467" spans="1:7">
      <c r="A467" t="s">
        <v>1295</v>
      </c>
      <c r="B467" t="s">
        <v>801</v>
      </c>
      <c r="C467" t="s">
        <v>40</v>
      </c>
      <c r="D467" s="10">
        <v>36559</v>
      </c>
      <c r="E467" s="10">
        <v>44970</v>
      </c>
      <c r="F467">
        <v>23</v>
      </c>
      <c r="G467" t="s">
        <v>4296</v>
      </c>
    </row>
    <row r="468" spans="1:7">
      <c r="A468" t="s">
        <v>4130</v>
      </c>
      <c r="B468" t="s">
        <v>1293</v>
      </c>
      <c r="C468" t="s">
        <v>133</v>
      </c>
      <c r="D468" s="10">
        <v>31311</v>
      </c>
      <c r="E468" s="10">
        <v>45888</v>
      </c>
      <c r="F468">
        <v>39</v>
      </c>
      <c r="G468" t="s">
        <v>4296</v>
      </c>
    </row>
    <row r="469" spans="1:7">
      <c r="A469" t="s">
        <v>1300</v>
      </c>
      <c r="B469" t="s">
        <v>1146</v>
      </c>
      <c r="C469" t="s">
        <v>133</v>
      </c>
      <c r="D469" s="10">
        <v>32650</v>
      </c>
      <c r="E469" s="10">
        <v>45733</v>
      </c>
      <c r="F469">
        <v>35</v>
      </c>
      <c r="G469" t="s">
        <v>4296</v>
      </c>
    </row>
    <row r="470" spans="1:7">
      <c r="A470" t="s">
        <v>1301</v>
      </c>
      <c r="B470" t="s">
        <v>1302</v>
      </c>
      <c r="C470" t="s">
        <v>133</v>
      </c>
      <c r="D470" s="10">
        <v>28278</v>
      </c>
      <c r="E470" s="10">
        <v>45485</v>
      </c>
      <c r="F470">
        <v>47</v>
      </c>
      <c r="G470" t="s">
        <v>4296</v>
      </c>
    </row>
    <row r="471" spans="1:7">
      <c r="A471" t="s">
        <v>1304</v>
      </c>
      <c r="B471" t="s">
        <v>1305</v>
      </c>
      <c r="C471" t="s">
        <v>133</v>
      </c>
      <c r="D471" s="10">
        <v>31153</v>
      </c>
      <c r="E471" s="10">
        <v>45503</v>
      </c>
      <c r="F471">
        <v>39</v>
      </c>
      <c r="G471" t="s">
        <v>4296</v>
      </c>
    </row>
    <row r="472" spans="1:7">
      <c r="A472" t="s">
        <v>1308</v>
      </c>
      <c r="B472" t="s">
        <v>458</v>
      </c>
      <c r="C472" t="s">
        <v>40</v>
      </c>
      <c r="D472" s="10">
        <v>33050</v>
      </c>
      <c r="E472" s="10">
        <v>45143</v>
      </c>
      <c r="F472">
        <v>33</v>
      </c>
      <c r="G472" t="s">
        <v>4296</v>
      </c>
    </row>
    <row r="473" spans="1:7">
      <c r="A473" t="s">
        <v>1309</v>
      </c>
      <c r="B473" t="s">
        <v>229</v>
      </c>
      <c r="C473" t="s">
        <v>133</v>
      </c>
      <c r="D473" s="10">
        <v>29954</v>
      </c>
      <c r="E473" s="10">
        <v>45287</v>
      </c>
      <c r="F473">
        <v>41</v>
      </c>
      <c r="G473" t="s">
        <v>4296</v>
      </c>
    </row>
    <row r="474" spans="1:7">
      <c r="A474" t="s">
        <v>1312</v>
      </c>
      <c r="B474" t="s">
        <v>1313</v>
      </c>
      <c r="C474" t="s">
        <v>133</v>
      </c>
      <c r="D474" s="10">
        <v>19727</v>
      </c>
      <c r="E474" s="10">
        <v>45938</v>
      </c>
      <c r="F474">
        <v>71</v>
      </c>
      <c r="G474" t="s">
        <v>4296</v>
      </c>
    </row>
    <row r="475" spans="1:7">
      <c r="A475" t="s">
        <v>1314</v>
      </c>
      <c r="B475" t="s">
        <v>244</v>
      </c>
      <c r="C475" t="s">
        <v>133</v>
      </c>
      <c r="D475" s="10">
        <v>19340</v>
      </c>
      <c r="E475" s="10">
        <v>45766</v>
      </c>
      <c r="F475">
        <v>72</v>
      </c>
      <c r="G475" t="s">
        <v>4296</v>
      </c>
    </row>
    <row r="476" spans="1:7">
      <c r="A476" t="s">
        <v>1315</v>
      </c>
      <c r="B476" t="s">
        <v>21</v>
      </c>
      <c r="C476" t="s">
        <v>133</v>
      </c>
      <c r="D476" s="10">
        <v>29289</v>
      </c>
      <c r="E476" s="10">
        <v>45617</v>
      </c>
      <c r="F476">
        <v>44</v>
      </c>
      <c r="G476" t="s">
        <v>4296</v>
      </c>
    </row>
    <row r="477" spans="1:7">
      <c r="A477" t="s">
        <v>1318</v>
      </c>
      <c r="B477" t="s">
        <v>470</v>
      </c>
      <c r="C477" t="s">
        <v>133</v>
      </c>
      <c r="D477" s="10">
        <v>32943</v>
      </c>
      <c r="E477" s="10">
        <v>45563</v>
      </c>
      <c r="F477">
        <v>34</v>
      </c>
      <c r="G477" t="s">
        <v>4296</v>
      </c>
    </row>
    <row r="478" spans="1:7">
      <c r="A478" t="s">
        <v>1321</v>
      </c>
      <c r="B478" t="s">
        <v>224</v>
      </c>
      <c r="C478" t="s">
        <v>40</v>
      </c>
      <c r="D478" s="10">
        <v>34429</v>
      </c>
      <c r="E478" s="10">
        <v>45586</v>
      </c>
      <c r="F478">
        <v>30</v>
      </c>
      <c r="G478" t="s">
        <v>4296</v>
      </c>
    </row>
    <row r="479" spans="1:7">
      <c r="A479" t="s">
        <v>1324</v>
      </c>
      <c r="B479" t="s">
        <v>1256</v>
      </c>
      <c r="C479" t="s">
        <v>133</v>
      </c>
      <c r="D479" s="10">
        <v>29319</v>
      </c>
      <c r="E479" s="10">
        <v>44933</v>
      </c>
      <c r="F479">
        <v>42</v>
      </c>
      <c r="G479" t="s">
        <v>4296</v>
      </c>
    </row>
    <row r="480" spans="1:7">
      <c r="A480" t="s">
        <v>1325</v>
      </c>
      <c r="B480" t="s">
        <v>1302</v>
      </c>
      <c r="C480" t="s">
        <v>40</v>
      </c>
      <c r="D480" s="10">
        <v>21671</v>
      </c>
      <c r="E480" s="10">
        <v>44986</v>
      </c>
      <c r="F480">
        <v>63</v>
      </c>
      <c r="G480" t="s">
        <v>4296</v>
      </c>
    </row>
    <row r="481" spans="1:7">
      <c r="A481" t="s">
        <v>1326</v>
      </c>
      <c r="B481" t="s">
        <v>843</v>
      </c>
      <c r="C481" t="s">
        <v>133</v>
      </c>
      <c r="D481" s="10">
        <v>31068</v>
      </c>
      <c r="E481" s="10">
        <v>45816</v>
      </c>
      <c r="F481">
        <v>40</v>
      </c>
      <c r="G481" t="s">
        <v>4296</v>
      </c>
    </row>
    <row r="482" spans="1:7">
      <c r="A482" t="s">
        <v>1328</v>
      </c>
      <c r="B482" t="s">
        <v>1182</v>
      </c>
      <c r="C482" t="s">
        <v>40</v>
      </c>
      <c r="D482" s="10">
        <v>29785</v>
      </c>
      <c r="E482" s="10">
        <v>45054</v>
      </c>
      <c r="F482">
        <v>41</v>
      </c>
      <c r="G482" t="s">
        <v>4296</v>
      </c>
    </row>
    <row r="483" spans="1:7">
      <c r="A483" t="s">
        <v>1330</v>
      </c>
      <c r="B483" t="s">
        <v>560</v>
      </c>
      <c r="C483" t="s">
        <v>133</v>
      </c>
      <c r="D483" s="10">
        <v>18896</v>
      </c>
      <c r="E483" s="10">
        <v>45520</v>
      </c>
      <c r="F483">
        <v>72</v>
      </c>
      <c r="G483" t="s">
        <v>4296</v>
      </c>
    </row>
    <row r="484" spans="1:7">
      <c r="A484" t="s">
        <v>1334</v>
      </c>
      <c r="B484" t="s">
        <v>274</v>
      </c>
      <c r="C484" t="s">
        <v>40</v>
      </c>
      <c r="D484" s="10">
        <v>36077</v>
      </c>
      <c r="E484" s="10">
        <v>45612</v>
      </c>
      <c r="F484">
        <v>26</v>
      </c>
      <c r="G484" t="s">
        <v>4296</v>
      </c>
    </row>
    <row r="485" spans="1:7">
      <c r="A485" t="s">
        <v>1336</v>
      </c>
      <c r="B485" t="s">
        <v>829</v>
      </c>
      <c r="C485" t="s">
        <v>133</v>
      </c>
      <c r="D485" s="10">
        <v>26878</v>
      </c>
      <c r="E485" s="10">
        <v>45397</v>
      </c>
      <c r="F485">
        <v>50</v>
      </c>
      <c r="G485" t="s">
        <v>4296</v>
      </c>
    </row>
    <row r="486" spans="1:7">
      <c r="A486" t="s">
        <v>1338</v>
      </c>
      <c r="B486" t="s">
        <v>752</v>
      </c>
      <c r="C486" t="s">
        <v>133</v>
      </c>
      <c r="D486" s="10">
        <v>40299</v>
      </c>
      <c r="E486" s="10">
        <v>45548</v>
      </c>
      <c r="F486">
        <v>14</v>
      </c>
      <c r="G486" t="s">
        <v>4296</v>
      </c>
    </row>
    <row r="487" spans="1:7">
      <c r="A487" t="s">
        <v>1341</v>
      </c>
      <c r="B487" t="s">
        <v>1342</v>
      </c>
      <c r="C487" t="s">
        <v>133</v>
      </c>
      <c r="D487" s="10">
        <v>22285</v>
      </c>
      <c r="E487" s="10">
        <v>45103</v>
      </c>
      <c r="F487">
        <v>62</v>
      </c>
      <c r="G487" t="s">
        <v>4296</v>
      </c>
    </row>
    <row r="488" spans="1:7">
      <c r="A488" t="s">
        <v>1343</v>
      </c>
      <c r="B488" t="s">
        <v>436</v>
      </c>
      <c r="C488" t="s">
        <v>40</v>
      </c>
      <c r="D488" s="10">
        <v>22767</v>
      </c>
      <c r="E488" s="10">
        <v>45483</v>
      </c>
      <c r="F488">
        <v>62</v>
      </c>
      <c r="G488" t="s">
        <v>4296</v>
      </c>
    </row>
    <row r="489" spans="1:7">
      <c r="A489" t="s">
        <v>1344</v>
      </c>
      <c r="B489" t="s">
        <v>909</v>
      </c>
      <c r="C489" t="s">
        <v>133</v>
      </c>
      <c r="D489" s="10">
        <v>31970</v>
      </c>
      <c r="E489" s="10">
        <v>45884</v>
      </c>
      <c r="F489">
        <v>38</v>
      </c>
      <c r="G489" t="s">
        <v>4296</v>
      </c>
    </row>
    <row r="490" spans="1:7">
      <c r="A490" t="s">
        <v>1346</v>
      </c>
      <c r="B490" t="s">
        <v>895</v>
      </c>
      <c r="C490" t="s">
        <v>133</v>
      </c>
      <c r="D490" s="10">
        <v>21302</v>
      </c>
      <c r="E490" s="10">
        <v>45738</v>
      </c>
      <c r="F490">
        <v>66</v>
      </c>
      <c r="G490" t="s">
        <v>4296</v>
      </c>
    </row>
    <row r="491" spans="1:7">
      <c r="A491" t="s">
        <v>1349</v>
      </c>
      <c r="B491" t="s">
        <v>1350</v>
      </c>
      <c r="C491" t="s">
        <v>133</v>
      </c>
      <c r="D491" s="10">
        <v>21909</v>
      </c>
      <c r="E491" s="10">
        <v>45312</v>
      </c>
      <c r="F491">
        <v>64</v>
      </c>
      <c r="G491" t="s">
        <v>4296</v>
      </c>
    </row>
    <row r="492" spans="1:7">
      <c r="A492" t="s">
        <v>1351</v>
      </c>
      <c r="B492" t="s">
        <v>1131</v>
      </c>
      <c r="C492" t="s">
        <v>133</v>
      </c>
      <c r="D492" s="10">
        <v>18617</v>
      </c>
      <c r="E492" s="10">
        <v>45541</v>
      </c>
      <c r="F492">
        <v>73</v>
      </c>
      <c r="G492" t="s">
        <v>4296</v>
      </c>
    </row>
    <row r="493" spans="1:7">
      <c r="A493" t="s">
        <v>1352</v>
      </c>
      <c r="B493" t="s">
        <v>470</v>
      </c>
      <c r="C493" t="s">
        <v>133</v>
      </c>
      <c r="D493" s="10">
        <v>19231</v>
      </c>
      <c r="E493" s="10">
        <v>45104</v>
      </c>
      <c r="F493">
        <v>70</v>
      </c>
      <c r="G493" t="s">
        <v>4296</v>
      </c>
    </row>
    <row r="494" spans="1:7">
      <c r="A494" t="s">
        <v>1353</v>
      </c>
      <c r="B494" t="s">
        <v>39</v>
      </c>
      <c r="C494" t="s">
        <v>40</v>
      </c>
      <c r="D494" s="10">
        <v>27293</v>
      </c>
      <c r="E494" s="10">
        <v>45026</v>
      </c>
      <c r="F494">
        <v>48</v>
      </c>
      <c r="G494" t="s">
        <v>4296</v>
      </c>
    </row>
    <row r="495" spans="1:7">
      <c r="A495" t="s">
        <v>1355</v>
      </c>
      <c r="B495" t="s">
        <v>843</v>
      </c>
      <c r="C495" t="s">
        <v>40</v>
      </c>
      <c r="D495" s="10">
        <v>38207</v>
      </c>
      <c r="E495" s="10">
        <v>45482</v>
      </c>
      <c r="F495">
        <v>19</v>
      </c>
      <c r="G495" t="s">
        <v>4237</v>
      </c>
    </row>
    <row r="496" spans="1:7">
      <c r="A496" t="s">
        <v>1358</v>
      </c>
      <c r="B496" t="s">
        <v>485</v>
      </c>
      <c r="C496" t="s">
        <v>133</v>
      </c>
      <c r="D496" s="10">
        <v>20826</v>
      </c>
      <c r="E496" s="10">
        <v>45103</v>
      </c>
      <c r="F496">
        <v>66</v>
      </c>
      <c r="G496" t="s">
        <v>4296</v>
      </c>
    </row>
    <row r="497" spans="1:7">
      <c r="A497" t="s">
        <v>1360</v>
      </c>
      <c r="B497" t="s">
        <v>587</v>
      </c>
      <c r="C497" t="s">
        <v>133</v>
      </c>
      <c r="D497" s="10">
        <v>38787</v>
      </c>
      <c r="E497" s="10">
        <v>45426</v>
      </c>
      <c r="F497">
        <v>18</v>
      </c>
      <c r="G497" t="s">
        <v>4296</v>
      </c>
    </row>
    <row r="498" spans="1:7">
      <c r="A498" t="s">
        <v>1361</v>
      </c>
      <c r="B498" t="s">
        <v>1362</v>
      </c>
      <c r="C498" t="s">
        <v>133</v>
      </c>
      <c r="D498" s="10">
        <v>19170</v>
      </c>
      <c r="E498" s="10">
        <v>45735</v>
      </c>
      <c r="F498">
        <v>72</v>
      </c>
      <c r="G498" t="s">
        <v>4296</v>
      </c>
    </row>
    <row r="499" spans="1:7">
      <c r="A499" t="s">
        <v>1363</v>
      </c>
      <c r="B499" t="s">
        <v>1364</v>
      </c>
      <c r="C499" t="s">
        <v>133</v>
      </c>
      <c r="D499" s="10">
        <v>27529</v>
      </c>
      <c r="E499" s="10">
        <v>45626</v>
      </c>
      <c r="F499">
        <v>49</v>
      </c>
      <c r="G499" t="s">
        <v>4296</v>
      </c>
    </row>
    <row r="500" spans="1:7">
      <c r="A500" t="s">
        <v>1366</v>
      </c>
      <c r="B500" t="s">
        <v>515</v>
      </c>
      <c r="C500" t="s">
        <v>40</v>
      </c>
      <c r="D500" s="10">
        <v>25727</v>
      </c>
      <c r="E500" s="10">
        <v>45318</v>
      </c>
      <c r="F500">
        <v>53</v>
      </c>
      <c r="G500" t="s">
        <v>4296</v>
      </c>
    </row>
    <row r="501" spans="1:7">
      <c r="A501" t="s">
        <v>1371</v>
      </c>
      <c r="B501" t="s">
        <v>877</v>
      </c>
      <c r="C501" t="s">
        <v>40</v>
      </c>
      <c r="D501" s="10">
        <v>36857</v>
      </c>
      <c r="E501" s="10">
        <v>45617</v>
      </c>
      <c r="F501">
        <v>23</v>
      </c>
      <c r="G501" t="s">
        <v>4296</v>
      </c>
    </row>
    <row r="502" spans="1:7">
      <c r="A502" t="s">
        <v>1374</v>
      </c>
      <c r="B502" t="s">
        <v>1119</v>
      </c>
      <c r="C502" t="s">
        <v>133</v>
      </c>
      <c r="D502" s="10">
        <v>30238</v>
      </c>
      <c r="E502" s="10">
        <v>45334</v>
      </c>
      <c r="F502">
        <v>41</v>
      </c>
      <c r="G502" t="s">
        <v>4296</v>
      </c>
    </row>
    <row r="503" spans="1:7">
      <c r="A503" t="s">
        <v>1376</v>
      </c>
      <c r="B503" t="s">
        <v>147</v>
      </c>
      <c r="C503" t="s">
        <v>40</v>
      </c>
      <c r="D503" s="10">
        <v>32851</v>
      </c>
      <c r="E503" s="10">
        <v>45509</v>
      </c>
      <c r="F503">
        <v>34</v>
      </c>
      <c r="G503" t="s">
        <v>4296</v>
      </c>
    </row>
    <row r="504" spans="1:7">
      <c r="A504" t="s">
        <v>1378</v>
      </c>
      <c r="B504" t="s">
        <v>234</v>
      </c>
      <c r="C504" t="s">
        <v>133</v>
      </c>
      <c r="D504" s="10">
        <v>39149</v>
      </c>
      <c r="E504" s="10">
        <v>45499</v>
      </c>
      <c r="F504">
        <v>17</v>
      </c>
      <c r="G504" t="s">
        <v>4296</v>
      </c>
    </row>
    <row r="505" spans="1:7">
      <c r="A505" t="s">
        <v>1379</v>
      </c>
      <c r="B505" t="s">
        <v>658</v>
      </c>
      <c r="C505" t="s">
        <v>40</v>
      </c>
      <c r="D505" s="10">
        <v>18857</v>
      </c>
      <c r="E505" s="10">
        <v>45721</v>
      </c>
      <c r="F505">
        <v>73</v>
      </c>
      <c r="G505" t="s">
        <v>4296</v>
      </c>
    </row>
    <row r="506" spans="1:7">
      <c r="A506" t="s">
        <v>1380</v>
      </c>
      <c r="B506" t="s">
        <v>247</v>
      </c>
      <c r="C506" t="s">
        <v>133</v>
      </c>
      <c r="D506" s="10">
        <v>27314</v>
      </c>
      <c r="E506" s="10">
        <v>45663</v>
      </c>
      <c r="F506">
        <v>50</v>
      </c>
      <c r="G506" t="s">
        <v>4296</v>
      </c>
    </row>
    <row r="507" spans="1:7">
      <c r="A507" t="s">
        <v>1382</v>
      </c>
      <c r="B507" t="s">
        <v>332</v>
      </c>
      <c r="C507" t="s">
        <v>133</v>
      </c>
      <c r="D507" s="10">
        <v>28559</v>
      </c>
      <c r="E507" s="10">
        <v>45217</v>
      </c>
      <c r="F507">
        <v>45</v>
      </c>
      <c r="G507" t="s">
        <v>4296</v>
      </c>
    </row>
    <row r="508" spans="1:7">
      <c r="A508" t="s">
        <v>1386</v>
      </c>
      <c r="B508" t="s">
        <v>986</v>
      </c>
      <c r="C508" t="s">
        <v>40</v>
      </c>
      <c r="D508" s="10">
        <v>36390</v>
      </c>
      <c r="E508" s="10">
        <v>45682</v>
      </c>
      <c r="F508">
        <v>25</v>
      </c>
      <c r="G508" t="s">
        <v>4296</v>
      </c>
    </row>
    <row r="509" spans="1:7">
      <c r="A509" t="s">
        <v>1388</v>
      </c>
      <c r="B509" t="s">
        <v>1200</v>
      </c>
      <c r="C509" t="s">
        <v>40</v>
      </c>
      <c r="D509" s="10">
        <v>22240</v>
      </c>
      <c r="E509" s="10">
        <v>45482</v>
      </c>
      <c r="F509">
        <v>63</v>
      </c>
      <c r="G509" t="s">
        <v>4237</v>
      </c>
    </row>
    <row r="510" spans="1:7">
      <c r="A510" t="s">
        <v>1390</v>
      </c>
      <c r="B510" t="s">
        <v>1391</v>
      </c>
      <c r="C510" t="s">
        <v>40</v>
      </c>
      <c r="D510" s="10">
        <v>32321</v>
      </c>
      <c r="E510" s="10">
        <v>45538</v>
      </c>
      <c r="F510">
        <v>36</v>
      </c>
      <c r="G510" t="s">
        <v>4296</v>
      </c>
    </row>
    <row r="511" spans="1:7">
      <c r="A511" t="s">
        <v>1392</v>
      </c>
      <c r="B511" t="s">
        <v>1393</v>
      </c>
      <c r="C511" t="s">
        <v>40</v>
      </c>
      <c r="D511" s="10">
        <v>34923</v>
      </c>
      <c r="E511" s="10">
        <v>45346</v>
      </c>
      <c r="F511">
        <v>28</v>
      </c>
      <c r="G511" t="s">
        <v>4296</v>
      </c>
    </row>
    <row r="512" spans="1:7">
      <c r="A512" t="s">
        <v>1395</v>
      </c>
      <c r="B512" t="s">
        <v>147</v>
      </c>
      <c r="C512" t="s">
        <v>133</v>
      </c>
      <c r="D512" s="10">
        <v>35782</v>
      </c>
      <c r="E512" s="10">
        <v>45479</v>
      </c>
      <c r="F512">
        <v>26</v>
      </c>
      <c r="G512" t="s">
        <v>4296</v>
      </c>
    </row>
    <row r="513" spans="1:7">
      <c r="A513" t="s">
        <v>1396</v>
      </c>
      <c r="B513" t="s">
        <v>199</v>
      </c>
      <c r="C513" t="s">
        <v>133</v>
      </c>
      <c r="D513" s="10">
        <v>26260</v>
      </c>
      <c r="E513" s="10">
        <v>45827</v>
      </c>
      <c r="F513">
        <v>53</v>
      </c>
      <c r="G513" t="s">
        <v>4296</v>
      </c>
    </row>
    <row r="514" spans="1:7">
      <c r="A514" t="s">
        <v>1397</v>
      </c>
      <c r="B514" t="s">
        <v>39</v>
      </c>
      <c r="C514" t="s">
        <v>40</v>
      </c>
      <c r="D514" s="10">
        <v>36564</v>
      </c>
      <c r="E514" s="10">
        <v>45886</v>
      </c>
      <c r="F514">
        <v>25</v>
      </c>
      <c r="G514" t="s">
        <v>4296</v>
      </c>
    </row>
    <row r="515" spans="1:7">
      <c r="A515" t="s">
        <v>1402</v>
      </c>
      <c r="B515" t="s">
        <v>451</v>
      </c>
      <c r="C515" t="s">
        <v>133</v>
      </c>
      <c r="D515" s="10">
        <v>26186</v>
      </c>
      <c r="E515" s="10">
        <v>45948</v>
      </c>
      <c r="F515">
        <v>54</v>
      </c>
      <c r="G515" t="s">
        <v>4296</v>
      </c>
    </row>
    <row r="516" spans="1:7">
      <c r="A516" t="s">
        <v>1404</v>
      </c>
      <c r="B516" t="s">
        <v>765</v>
      </c>
      <c r="C516" t="s">
        <v>133</v>
      </c>
      <c r="D516" s="10">
        <v>37383</v>
      </c>
      <c r="E516" s="10">
        <v>45775</v>
      </c>
      <c r="F516">
        <v>22</v>
      </c>
      <c r="G516" t="s">
        <v>4296</v>
      </c>
    </row>
    <row r="517" spans="1:7">
      <c r="A517" t="s">
        <v>1407</v>
      </c>
      <c r="B517" t="s">
        <v>1408</v>
      </c>
      <c r="C517" t="s">
        <v>40</v>
      </c>
      <c r="D517" s="10">
        <v>39139</v>
      </c>
      <c r="E517" s="10">
        <v>45238</v>
      </c>
      <c r="F517">
        <v>16</v>
      </c>
      <c r="G517" t="s">
        <v>4296</v>
      </c>
    </row>
    <row r="518" spans="1:7">
      <c r="A518" t="s">
        <v>1409</v>
      </c>
      <c r="B518" t="s">
        <v>171</v>
      </c>
      <c r="C518" t="s">
        <v>133</v>
      </c>
      <c r="D518" s="10">
        <v>31917</v>
      </c>
      <c r="E518" s="10">
        <v>46004</v>
      </c>
      <c r="F518">
        <v>38</v>
      </c>
      <c r="G518" t="s">
        <v>4296</v>
      </c>
    </row>
    <row r="519" spans="1:7">
      <c r="A519" t="s">
        <v>1410</v>
      </c>
      <c r="B519" t="s">
        <v>768</v>
      </c>
      <c r="C519" t="s">
        <v>40</v>
      </c>
      <c r="D519" s="10">
        <v>36668</v>
      </c>
      <c r="E519" s="10">
        <v>45595</v>
      </c>
      <c r="F519">
        <v>24</v>
      </c>
      <c r="G519" t="s">
        <v>4296</v>
      </c>
    </row>
    <row r="520" spans="1:7">
      <c r="A520" t="s">
        <v>1411</v>
      </c>
      <c r="B520" t="s">
        <v>116</v>
      </c>
      <c r="C520" t="s">
        <v>40</v>
      </c>
      <c r="D520" s="10">
        <v>29330</v>
      </c>
      <c r="E520" s="10">
        <v>44996</v>
      </c>
      <c r="F520">
        <v>42</v>
      </c>
      <c r="G520" t="s">
        <v>4237</v>
      </c>
    </row>
    <row r="521" spans="1:7">
      <c r="A521" t="s">
        <v>1413</v>
      </c>
      <c r="B521" t="s">
        <v>661</v>
      </c>
      <c r="C521" t="s">
        <v>133</v>
      </c>
      <c r="D521" s="10">
        <v>20312</v>
      </c>
      <c r="E521" s="10">
        <v>45230</v>
      </c>
      <c r="F521">
        <v>68</v>
      </c>
      <c r="G521" t="s">
        <v>4296</v>
      </c>
    </row>
    <row r="522" spans="1:7">
      <c r="A522" t="s">
        <v>1414</v>
      </c>
      <c r="B522" t="s">
        <v>394</v>
      </c>
      <c r="C522" t="s">
        <v>40</v>
      </c>
      <c r="D522" s="10">
        <v>32070</v>
      </c>
      <c r="E522" s="10">
        <v>45329</v>
      </c>
      <c r="F522">
        <v>36</v>
      </c>
      <c r="G522" t="s">
        <v>4296</v>
      </c>
    </row>
    <row r="523" spans="1:7">
      <c r="A523" t="s">
        <v>1417</v>
      </c>
      <c r="B523" t="s">
        <v>1108</v>
      </c>
      <c r="C523" t="s">
        <v>133</v>
      </c>
      <c r="D523" s="10">
        <v>37368</v>
      </c>
      <c r="E523" s="10">
        <v>45447</v>
      </c>
      <c r="F523">
        <v>22</v>
      </c>
      <c r="G523" t="s">
        <v>4296</v>
      </c>
    </row>
    <row r="524" spans="1:7">
      <c r="A524" t="s">
        <v>1419</v>
      </c>
      <c r="B524" t="s">
        <v>1088</v>
      </c>
      <c r="C524" t="s">
        <v>40</v>
      </c>
      <c r="D524" s="10">
        <v>38090</v>
      </c>
      <c r="E524" s="10">
        <v>45599</v>
      </c>
      <c r="F524">
        <v>20</v>
      </c>
      <c r="G524" t="s">
        <v>4296</v>
      </c>
    </row>
    <row r="525" spans="1:7">
      <c r="A525" t="s">
        <v>1420</v>
      </c>
      <c r="B525" t="s">
        <v>541</v>
      </c>
      <c r="C525" t="s">
        <v>133</v>
      </c>
      <c r="D525" s="10">
        <v>32907</v>
      </c>
      <c r="E525" s="10">
        <v>45245</v>
      </c>
      <c r="F525">
        <v>33</v>
      </c>
      <c r="G525" t="s">
        <v>4296</v>
      </c>
    </row>
    <row r="526" spans="1:7">
      <c r="A526" t="s">
        <v>1421</v>
      </c>
      <c r="B526" t="s">
        <v>1342</v>
      </c>
      <c r="C526" t="s">
        <v>133</v>
      </c>
      <c r="D526" s="10">
        <v>36925</v>
      </c>
      <c r="E526" s="10">
        <v>45259</v>
      </c>
      <c r="F526">
        <v>22</v>
      </c>
      <c r="G526" t="s">
        <v>4296</v>
      </c>
    </row>
    <row r="527" spans="1:7">
      <c r="A527" t="s">
        <v>1423</v>
      </c>
      <c r="B527" t="s">
        <v>67</v>
      </c>
      <c r="C527" t="s">
        <v>40</v>
      </c>
      <c r="D527" s="10">
        <v>27201</v>
      </c>
      <c r="E527" s="10">
        <v>45682</v>
      </c>
      <c r="F527">
        <v>50</v>
      </c>
      <c r="G527" t="s">
        <v>4296</v>
      </c>
    </row>
    <row r="528" spans="1:7">
      <c r="A528" t="s">
        <v>1425</v>
      </c>
      <c r="B528" t="s">
        <v>1426</v>
      </c>
      <c r="C528" t="s">
        <v>40</v>
      </c>
      <c r="D528" s="10">
        <v>36917</v>
      </c>
      <c r="E528" s="10">
        <v>45576</v>
      </c>
      <c r="F528">
        <v>23</v>
      </c>
      <c r="G528" t="s">
        <v>4296</v>
      </c>
    </row>
    <row r="529" spans="1:7">
      <c r="A529" t="s">
        <v>1427</v>
      </c>
      <c r="B529" t="s">
        <v>887</v>
      </c>
      <c r="C529" t="s">
        <v>40</v>
      </c>
      <c r="D529" s="10">
        <v>38428</v>
      </c>
      <c r="E529" s="10">
        <v>45132</v>
      </c>
      <c r="F529">
        <v>18</v>
      </c>
      <c r="G529" t="s">
        <v>4296</v>
      </c>
    </row>
    <row r="530" spans="1:7">
      <c r="A530" t="s">
        <v>4131</v>
      </c>
      <c r="B530" t="s">
        <v>926</v>
      </c>
      <c r="C530" t="s">
        <v>40</v>
      </c>
      <c r="D530" s="10">
        <v>20729</v>
      </c>
      <c r="E530" s="10">
        <v>45145</v>
      </c>
      <c r="F530">
        <v>66</v>
      </c>
      <c r="G530" t="s">
        <v>4296</v>
      </c>
    </row>
    <row r="531" spans="1:7">
      <c r="A531" t="s">
        <v>1429</v>
      </c>
      <c r="B531" t="s">
        <v>277</v>
      </c>
      <c r="C531" t="s">
        <v>40</v>
      </c>
      <c r="D531" s="10">
        <v>29837</v>
      </c>
      <c r="E531" s="10">
        <v>45048</v>
      </c>
      <c r="F531">
        <v>41</v>
      </c>
      <c r="G531" t="s">
        <v>4296</v>
      </c>
    </row>
    <row r="532" spans="1:7">
      <c r="A532" t="s">
        <v>1430</v>
      </c>
      <c r="B532" t="s">
        <v>967</v>
      </c>
      <c r="C532" t="s">
        <v>40</v>
      </c>
      <c r="D532" s="10">
        <v>21521</v>
      </c>
      <c r="E532" s="10">
        <v>45399</v>
      </c>
      <c r="F532">
        <v>65</v>
      </c>
      <c r="G532" t="s">
        <v>4296</v>
      </c>
    </row>
    <row r="533" spans="1:7">
      <c r="A533" t="s">
        <v>4132</v>
      </c>
      <c r="B533" t="s">
        <v>992</v>
      </c>
      <c r="C533" t="s">
        <v>40</v>
      </c>
      <c r="D533" s="10">
        <v>38118</v>
      </c>
      <c r="E533" s="10">
        <v>45350</v>
      </c>
      <c r="F533">
        <v>19</v>
      </c>
      <c r="G533" t="s">
        <v>4296</v>
      </c>
    </row>
    <row r="534" spans="1:7">
      <c r="A534" t="s">
        <v>1436</v>
      </c>
      <c r="B534" t="s">
        <v>155</v>
      </c>
      <c r="C534" t="s">
        <v>40</v>
      </c>
      <c r="D534" s="10">
        <v>26440</v>
      </c>
      <c r="E534" s="10">
        <v>45386</v>
      </c>
      <c r="F534">
        <v>51</v>
      </c>
      <c r="G534" t="s">
        <v>4296</v>
      </c>
    </row>
    <row r="535" spans="1:7">
      <c r="A535" t="s">
        <v>1437</v>
      </c>
      <c r="B535" t="s">
        <v>1438</v>
      </c>
      <c r="C535" t="s">
        <v>133</v>
      </c>
      <c r="D535" s="10">
        <v>35612</v>
      </c>
      <c r="E535" s="10">
        <v>45174</v>
      </c>
      <c r="F535">
        <v>26</v>
      </c>
      <c r="G535" t="s">
        <v>4296</v>
      </c>
    </row>
    <row r="536" spans="1:7">
      <c r="A536" t="s">
        <v>1440</v>
      </c>
      <c r="B536" t="s">
        <v>251</v>
      </c>
      <c r="C536" t="s">
        <v>133</v>
      </c>
      <c r="D536" s="10">
        <v>31888</v>
      </c>
      <c r="E536" s="10">
        <v>45750</v>
      </c>
      <c r="F536">
        <v>37</v>
      </c>
      <c r="G536" t="s">
        <v>4296</v>
      </c>
    </row>
    <row r="537" spans="1:7">
      <c r="A537" t="s">
        <v>1443</v>
      </c>
      <c r="B537" t="s">
        <v>298</v>
      </c>
      <c r="C537" t="s">
        <v>133</v>
      </c>
      <c r="D537" s="10">
        <v>23718</v>
      </c>
      <c r="E537" s="10">
        <v>45374</v>
      </c>
      <c r="F537">
        <v>59</v>
      </c>
      <c r="G537" t="s">
        <v>4296</v>
      </c>
    </row>
    <row r="538" spans="1:7">
      <c r="A538" t="s">
        <v>1444</v>
      </c>
      <c r="B538" t="s">
        <v>1342</v>
      </c>
      <c r="C538" t="s">
        <v>40</v>
      </c>
      <c r="D538" s="10">
        <v>37372</v>
      </c>
      <c r="E538" s="10">
        <v>45770</v>
      </c>
      <c r="F538">
        <v>22</v>
      </c>
      <c r="G538" t="s">
        <v>4296</v>
      </c>
    </row>
    <row r="539" spans="1:7">
      <c r="A539" t="s">
        <v>1445</v>
      </c>
      <c r="B539" t="s">
        <v>801</v>
      </c>
      <c r="C539" t="s">
        <v>40</v>
      </c>
      <c r="D539" s="10">
        <v>23655</v>
      </c>
      <c r="E539" s="10">
        <v>44991</v>
      </c>
      <c r="F539">
        <v>58</v>
      </c>
      <c r="G539" t="s">
        <v>4296</v>
      </c>
    </row>
    <row r="540" spans="1:7">
      <c r="A540" t="s">
        <v>1447</v>
      </c>
      <c r="B540" t="s">
        <v>661</v>
      </c>
      <c r="C540" t="s">
        <v>133</v>
      </c>
      <c r="D540" s="10">
        <v>34964</v>
      </c>
      <c r="E540" s="10">
        <v>46014</v>
      </c>
      <c r="F540">
        <v>30</v>
      </c>
      <c r="G540" t="s">
        <v>4296</v>
      </c>
    </row>
    <row r="541" spans="1:7">
      <c r="A541" t="s">
        <v>1448</v>
      </c>
      <c r="B541" t="s">
        <v>472</v>
      </c>
      <c r="C541" t="s">
        <v>40</v>
      </c>
      <c r="D541" s="10">
        <v>31272</v>
      </c>
      <c r="E541" s="10">
        <v>45203</v>
      </c>
      <c r="F541">
        <v>38</v>
      </c>
      <c r="G541" t="s">
        <v>4296</v>
      </c>
    </row>
    <row r="542" spans="1:7">
      <c r="A542" t="s">
        <v>1450</v>
      </c>
      <c r="B542" t="s">
        <v>332</v>
      </c>
      <c r="C542" t="s">
        <v>133</v>
      </c>
      <c r="D542" s="10">
        <v>32723</v>
      </c>
      <c r="E542" s="10">
        <v>45791</v>
      </c>
      <c r="F542">
        <v>35</v>
      </c>
      <c r="G542" t="s">
        <v>4296</v>
      </c>
    </row>
    <row r="543" spans="1:7">
      <c r="A543" t="s">
        <v>1451</v>
      </c>
      <c r="B543" t="s">
        <v>1452</v>
      </c>
      <c r="C543" t="s">
        <v>40</v>
      </c>
      <c r="D543" s="10">
        <v>19687</v>
      </c>
      <c r="E543" s="10">
        <v>44979</v>
      </c>
      <c r="F543">
        <v>69</v>
      </c>
      <c r="G543" t="s">
        <v>4296</v>
      </c>
    </row>
    <row r="544" spans="1:7">
      <c r="A544" t="s">
        <v>1453</v>
      </c>
      <c r="B544" t="s">
        <v>394</v>
      </c>
      <c r="C544" t="s">
        <v>40</v>
      </c>
      <c r="D544" s="10">
        <v>18648</v>
      </c>
      <c r="E544" s="10">
        <v>45027</v>
      </c>
      <c r="F544">
        <v>72</v>
      </c>
      <c r="G544" t="s">
        <v>4296</v>
      </c>
    </row>
    <row r="545" spans="1:7">
      <c r="A545" t="s">
        <v>1455</v>
      </c>
      <c r="B545" t="s">
        <v>390</v>
      </c>
      <c r="C545" t="s">
        <v>133</v>
      </c>
      <c r="D545" s="10">
        <v>33087</v>
      </c>
      <c r="E545" s="10">
        <v>45759</v>
      </c>
      <c r="F545">
        <v>34</v>
      </c>
      <c r="G545" t="s">
        <v>4296</v>
      </c>
    </row>
    <row r="546" spans="1:7">
      <c r="A546" t="s">
        <v>1457</v>
      </c>
      <c r="B546" t="s">
        <v>986</v>
      </c>
      <c r="C546" t="s">
        <v>40</v>
      </c>
      <c r="D546" s="10">
        <v>29693</v>
      </c>
      <c r="E546" s="10">
        <v>45324</v>
      </c>
      <c r="F546">
        <v>42</v>
      </c>
      <c r="G546" t="s">
        <v>4296</v>
      </c>
    </row>
    <row r="547" spans="1:7">
      <c r="A547" t="s">
        <v>1459</v>
      </c>
      <c r="B547" t="s">
        <v>1460</v>
      </c>
      <c r="C547" t="s">
        <v>133</v>
      </c>
      <c r="D547" s="10">
        <v>29330</v>
      </c>
      <c r="E547" s="10">
        <v>45010</v>
      </c>
      <c r="F547">
        <v>42</v>
      </c>
      <c r="G547" t="s">
        <v>4237</v>
      </c>
    </row>
    <row r="548" spans="1:7">
      <c r="A548" t="s">
        <v>1463</v>
      </c>
      <c r="B548" t="s">
        <v>1464</v>
      </c>
      <c r="C548" t="s">
        <v>133</v>
      </c>
      <c r="D548" s="10">
        <v>37516</v>
      </c>
      <c r="E548" s="10">
        <v>44973</v>
      </c>
      <c r="F548">
        <v>20</v>
      </c>
      <c r="G548" t="s">
        <v>4296</v>
      </c>
    </row>
    <row r="549" spans="1:7">
      <c r="A549" t="s">
        <v>1465</v>
      </c>
      <c r="B549" t="s">
        <v>613</v>
      </c>
      <c r="C549" t="s">
        <v>40</v>
      </c>
      <c r="D549" s="10">
        <v>36976</v>
      </c>
      <c r="E549" s="10">
        <v>45136</v>
      </c>
      <c r="F549">
        <v>22</v>
      </c>
      <c r="G549" t="s">
        <v>4296</v>
      </c>
    </row>
    <row r="550" spans="1:7">
      <c r="A550" t="s">
        <v>1467</v>
      </c>
      <c r="B550" t="s">
        <v>288</v>
      </c>
      <c r="C550" t="s">
        <v>40</v>
      </c>
      <c r="D550" s="10">
        <v>27075</v>
      </c>
      <c r="E550" s="10">
        <v>45952</v>
      </c>
      <c r="F550">
        <v>51</v>
      </c>
      <c r="G550" t="s">
        <v>4296</v>
      </c>
    </row>
    <row r="551" spans="1:7">
      <c r="A551" t="s">
        <v>1469</v>
      </c>
      <c r="B551" t="s">
        <v>1061</v>
      </c>
      <c r="C551" t="s">
        <v>133</v>
      </c>
      <c r="D551" s="10">
        <v>39467</v>
      </c>
      <c r="E551" s="10">
        <v>45364</v>
      </c>
      <c r="F551">
        <v>16</v>
      </c>
      <c r="G551" t="s">
        <v>4296</v>
      </c>
    </row>
    <row r="552" spans="1:7">
      <c r="A552" t="s">
        <v>1470</v>
      </c>
      <c r="B552" t="s">
        <v>1471</v>
      </c>
      <c r="C552" t="s">
        <v>40</v>
      </c>
      <c r="D552" s="10">
        <v>30013</v>
      </c>
      <c r="E552" s="10">
        <v>45418</v>
      </c>
      <c r="F552">
        <v>42</v>
      </c>
      <c r="G552" t="s">
        <v>4296</v>
      </c>
    </row>
    <row r="553" spans="1:7">
      <c r="A553" t="s">
        <v>1472</v>
      </c>
      <c r="B553" t="s">
        <v>1200</v>
      </c>
      <c r="C553" t="s">
        <v>133</v>
      </c>
      <c r="D553" s="10">
        <v>28127</v>
      </c>
      <c r="E553" s="10">
        <v>45322</v>
      </c>
      <c r="F553">
        <v>47</v>
      </c>
      <c r="G553" t="s">
        <v>4296</v>
      </c>
    </row>
    <row r="554" spans="1:7">
      <c r="A554" t="s">
        <v>1473</v>
      </c>
      <c r="B554" t="s">
        <v>513</v>
      </c>
      <c r="C554" t="s">
        <v>40</v>
      </c>
      <c r="D554" s="10">
        <v>29918</v>
      </c>
      <c r="E554" s="10">
        <v>45920</v>
      </c>
      <c r="F554">
        <v>43</v>
      </c>
      <c r="G554" t="s">
        <v>4296</v>
      </c>
    </row>
    <row r="555" spans="1:7">
      <c r="A555" t="s">
        <v>1474</v>
      </c>
      <c r="B555" t="s">
        <v>392</v>
      </c>
      <c r="C555" t="s">
        <v>40</v>
      </c>
      <c r="D555" s="10">
        <v>19412</v>
      </c>
      <c r="E555" s="10">
        <v>45685</v>
      </c>
      <c r="F555">
        <v>71</v>
      </c>
      <c r="G555" t="s">
        <v>4296</v>
      </c>
    </row>
    <row r="556" spans="1:7">
      <c r="A556" t="s">
        <v>1477</v>
      </c>
      <c r="B556" t="s">
        <v>139</v>
      </c>
      <c r="C556" t="s">
        <v>133</v>
      </c>
      <c r="D556" s="10">
        <v>33536</v>
      </c>
      <c r="E556" s="10">
        <v>45482</v>
      </c>
      <c r="F556">
        <v>32</v>
      </c>
      <c r="G556" t="s">
        <v>4237</v>
      </c>
    </row>
    <row r="557" spans="1:7">
      <c r="A557" t="s">
        <v>1479</v>
      </c>
      <c r="B557" t="s">
        <v>1480</v>
      </c>
      <c r="C557" t="s">
        <v>133</v>
      </c>
      <c r="D557" s="10">
        <v>28056</v>
      </c>
      <c r="E557" s="10">
        <v>44974</v>
      </c>
      <c r="F557">
        <v>46</v>
      </c>
      <c r="G557" t="s">
        <v>4296</v>
      </c>
    </row>
    <row r="558" spans="1:7">
      <c r="A558" t="s">
        <v>1482</v>
      </c>
      <c r="B558" t="s">
        <v>139</v>
      </c>
      <c r="C558" t="s">
        <v>133</v>
      </c>
      <c r="D558" s="10">
        <v>39247</v>
      </c>
      <c r="E558" s="10">
        <v>45482</v>
      </c>
      <c r="F558">
        <v>17</v>
      </c>
      <c r="G558" t="s">
        <v>4237</v>
      </c>
    </row>
    <row r="559" spans="1:7">
      <c r="A559" t="s">
        <v>1486</v>
      </c>
      <c r="B559" t="s">
        <v>241</v>
      </c>
      <c r="C559" t="s">
        <v>40</v>
      </c>
      <c r="D559" s="10">
        <v>37145</v>
      </c>
      <c r="E559" s="10">
        <v>45616</v>
      </c>
      <c r="F559">
        <v>23</v>
      </c>
      <c r="G559" t="s">
        <v>4296</v>
      </c>
    </row>
    <row r="560" spans="1:7">
      <c r="A560" t="s">
        <v>1488</v>
      </c>
      <c r="B560" t="s">
        <v>442</v>
      </c>
      <c r="C560" t="s">
        <v>40</v>
      </c>
      <c r="D560" s="10">
        <v>19777</v>
      </c>
      <c r="E560" s="10">
        <v>45322</v>
      </c>
      <c r="F560">
        <v>69</v>
      </c>
      <c r="G560" t="s">
        <v>4296</v>
      </c>
    </row>
    <row r="561" spans="1:7">
      <c r="A561" t="s">
        <v>1489</v>
      </c>
      <c r="B561" t="s">
        <v>403</v>
      </c>
      <c r="C561" t="s">
        <v>133</v>
      </c>
      <c r="D561" s="10">
        <v>24488</v>
      </c>
      <c r="E561" s="10">
        <v>45829</v>
      </c>
      <c r="F561">
        <v>58</v>
      </c>
      <c r="G561" t="s">
        <v>4296</v>
      </c>
    </row>
    <row r="562" spans="1:7">
      <c r="A562" t="s">
        <v>1491</v>
      </c>
      <c r="B562" t="s">
        <v>1061</v>
      </c>
      <c r="C562" t="s">
        <v>133</v>
      </c>
      <c r="D562" s="10">
        <v>18826</v>
      </c>
      <c r="E562" s="10">
        <v>46019</v>
      </c>
      <c r="F562">
        <v>74</v>
      </c>
      <c r="G562" t="s">
        <v>4296</v>
      </c>
    </row>
    <row r="563" spans="1:7">
      <c r="A563" t="s">
        <v>1493</v>
      </c>
      <c r="B563" t="s">
        <v>833</v>
      </c>
      <c r="C563" t="s">
        <v>40</v>
      </c>
      <c r="D563" s="10">
        <v>23566</v>
      </c>
      <c r="E563" s="10">
        <v>45978</v>
      </c>
      <c r="F563">
        <v>61</v>
      </c>
      <c r="G563" t="s">
        <v>4296</v>
      </c>
    </row>
    <row r="564" spans="1:7">
      <c r="A564" t="s">
        <v>1496</v>
      </c>
      <c r="B564" t="s">
        <v>652</v>
      </c>
      <c r="C564" t="s">
        <v>40</v>
      </c>
      <c r="D564" s="10">
        <v>34116</v>
      </c>
      <c r="E564" s="10">
        <v>45135</v>
      </c>
      <c r="F564">
        <v>30</v>
      </c>
      <c r="G564" t="s">
        <v>4296</v>
      </c>
    </row>
    <row r="565" spans="1:7">
      <c r="A565" t="s">
        <v>1498</v>
      </c>
      <c r="B565" t="s">
        <v>845</v>
      </c>
      <c r="C565" t="s">
        <v>133</v>
      </c>
      <c r="D565" s="10">
        <v>38470</v>
      </c>
      <c r="E565" s="10">
        <v>45424</v>
      </c>
      <c r="F565">
        <v>19</v>
      </c>
      <c r="G565" t="s">
        <v>4296</v>
      </c>
    </row>
    <row r="566" spans="1:7">
      <c r="A566" t="s">
        <v>1501</v>
      </c>
      <c r="B566" t="s">
        <v>762</v>
      </c>
      <c r="C566" t="s">
        <v>133</v>
      </c>
      <c r="D566" s="10">
        <v>26677</v>
      </c>
      <c r="E566" s="10">
        <v>45221</v>
      </c>
      <c r="F566">
        <v>50</v>
      </c>
      <c r="G566" t="s">
        <v>4296</v>
      </c>
    </row>
    <row r="567" spans="1:7">
      <c r="A567" t="s">
        <v>1503</v>
      </c>
      <c r="B567" t="s">
        <v>1153</v>
      </c>
      <c r="C567" t="s">
        <v>40</v>
      </c>
      <c r="D567" s="10">
        <v>19256</v>
      </c>
      <c r="E567" s="10">
        <v>46021</v>
      </c>
      <c r="F567">
        <v>73</v>
      </c>
      <c r="G567" t="s">
        <v>4296</v>
      </c>
    </row>
    <row r="568" spans="1:7">
      <c r="A568" t="s">
        <v>1504</v>
      </c>
      <c r="B568" t="s">
        <v>1505</v>
      </c>
      <c r="C568" t="s">
        <v>40</v>
      </c>
      <c r="D568" s="10">
        <v>33279</v>
      </c>
      <c r="E568" s="10">
        <v>45637</v>
      </c>
      <c r="F568">
        <v>33</v>
      </c>
      <c r="G568" t="s">
        <v>4296</v>
      </c>
    </row>
    <row r="569" spans="1:7">
      <c r="A569" t="s">
        <v>1506</v>
      </c>
      <c r="B569" t="s">
        <v>1393</v>
      </c>
      <c r="C569" t="s">
        <v>133</v>
      </c>
      <c r="D569" s="10">
        <v>21842</v>
      </c>
      <c r="E569" s="10">
        <v>45820</v>
      </c>
      <c r="F569">
        <v>65</v>
      </c>
      <c r="G569" t="s">
        <v>4296</v>
      </c>
    </row>
    <row r="570" spans="1:7">
      <c r="A570" t="s">
        <v>1507</v>
      </c>
      <c r="B570" t="s">
        <v>857</v>
      </c>
      <c r="C570" t="s">
        <v>40</v>
      </c>
      <c r="D570" s="10">
        <v>26252</v>
      </c>
      <c r="E570" s="10">
        <v>45005</v>
      </c>
      <c r="F570">
        <v>51</v>
      </c>
      <c r="G570" t="s">
        <v>4296</v>
      </c>
    </row>
    <row r="571" spans="1:7">
      <c r="A571" t="s">
        <v>1508</v>
      </c>
      <c r="B571" t="s">
        <v>1509</v>
      </c>
      <c r="C571" t="s">
        <v>40</v>
      </c>
      <c r="D571" s="10">
        <v>30959</v>
      </c>
      <c r="E571" s="10">
        <v>45623</v>
      </c>
      <c r="F571">
        <v>40</v>
      </c>
      <c r="G571" t="s">
        <v>4296</v>
      </c>
    </row>
    <row r="572" spans="1:7">
      <c r="A572" t="s">
        <v>1511</v>
      </c>
      <c r="B572" t="s">
        <v>324</v>
      </c>
      <c r="C572" t="s">
        <v>133</v>
      </c>
      <c r="D572" s="10">
        <v>26816</v>
      </c>
      <c r="E572" s="10">
        <v>45482</v>
      </c>
      <c r="F572">
        <v>51</v>
      </c>
      <c r="G572" t="s">
        <v>4237</v>
      </c>
    </row>
    <row r="573" spans="1:7">
      <c r="A573" t="s">
        <v>1514</v>
      </c>
      <c r="B573" t="s">
        <v>1167</v>
      </c>
      <c r="C573" t="s">
        <v>40</v>
      </c>
      <c r="D573" s="10">
        <v>23202</v>
      </c>
      <c r="E573" s="10">
        <v>45107</v>
      </c>
      <c r="F573">
        <v>59</v>
      </c>
      <c r="G573" t="s">
        <v>4296</v>
      </c>
    </row>
    <row r="574" spans="1:7">
      <c r="A574" t="s">
        <v>1517</v>
      </c>
      <c r="B574" t="s">
        <v>1460</v>
      </c>
      <c r="C574" t="s">
        <v>40</v>
      </c>
      <c r="D574" s="10">
        <v>19151</v>
      </c>
      <c r="E574" s="10">
        <v>45862</v>
      </c>
      <c r="F574">
        <v>73</v>
      </c>
      <c r="G574" t="s">
        <v>4296</v>
      </c>
    </row>
    <row r="575" spans="1:7">
      <c r="A575" t="s">
        <v>4133</v>
      </c>
      <c r="B575" t="s">
        <v>1480</v>
      </c>
      <c r="C575" t="s">
        <v>133</v>
      </c>
      <c r="D575" s="10">
        <v>36756</v>
      </c>
      <c r="E575" s="10">
        <v>45832</v>
      </c>
      <c r="F575">
        <v>24</v>
      </c>
      <c r="G575" t="s">
        <v>4296</v>
      </c>
    </row>
    <row r="576" spans="1:7">
      <c r="A576" t="s">
        <v>1521</v>
      </c>
      <c r="B576" t="s">
        <v>1101</v>
      </c>
      <c r="C576" t="s">
        <v>133</v>
      </c>
      <c r="D576" s="10">
        <v>21187</v>
      </c>
      <c r="E576" s="10">
        <v>45014</v>
      </c>
      <c r="F576">
        <v>65</v>
      </c>
      <c r="G576" t="s">
        <v>4296</v>
      </c>
    </row>
    <row r="577" spans="1:7">
      <c r="A577" t="s">
        <v>1522</v>
      </c>
      <c r="B577" t="s">
        <v>1302</v>
      </c>
      <c r="C577" t="s">
        <v>133</v>
      </c>
      <c r="D577" s="10">
        <v>30602</v>
      </c>
      <c r="E577" s="10">
        <v>45717</v>
      </c>
      <c r="F577">
        <v>41</v>
      </c>
      <c r="G577" t="s">
        <v>4296</v>
      </c>
    </row>
    <row r="578" spans="1:7">
      <c r="A578" t="s">
        <v>1524</v>
      </c>
      <c r="B578" t="s">
        <v>531</v>
      </c>
      <c r="C578" t="s">
        <v>133</v>
      </c>
      <c r="D578" s="10">
        <v>36946</v>
      </c>
      <c r="E578" s="10">
        <v>45200</v>
      </c>
      <c r="F578">
        <v>22</v>
      </c>
      <c r="G578" t="s">
        <v>4296</v>
      </c>
    </row>
    <row r="579" spans="1:7">
      <c r="A579" t="s">
        <v>1525</v>
      </c>
      <c r="B579" t="s">
        <v>1526</v>
      </c>
      <c r="C579" t="s">
        <v>40</v>
      </c>
      <c r="D579" s="10">
        <v>29444</v>
      </c>
      <c r="E579" s="10">
        <v>45460</v>
      </c>
      <c r="F579">
        <v>43</v>
      </c>
      <c r="G579" t="s">
        <v>4296</v>
      </c>
    </row>
    <row r="580" spans="1:7">
      <c r="A580" t="s">
        <v>1528</v>
      </c>
      <c r="B580" t="s">
        <v>83</v>
      </c>
      <c r="C580" t="s">
        <v>40</v>
      </c>
      <c r="D580" s="10">
        <v>22884</v>
      </c>
      <c r="E580" s="10">
        <v>45371</v>
      </c>
      <c r="F580">
        <v>61</v>
      </c>
      <c r="G580" t="s">
        <v>4296</v>
      </c>
    </row>
    <row r="581" spans="1:7">
      <c r="A581" t="s">
        <v>1529</v>
      </c>
      <c r="B581" t="s">
        <v>527</v>
      </c>
      <c r="C581" t="s">
        <v>40</v>
      </c>
      <c r="D581" s="10">
        <v>38237</v>
      </c>
      <c r="E581" s="10">
        <v>45582</v>
      </c>
      <c r="F581">
        <v>20</v>
      </c>
      <c r="G581" t="s">
        <v>4296</v>
      </c>
    </row>
    <row r="582" spans="1:7">
      <c r="A582" t="s">
        <v>1530</v>
      </c>
      <c r="B582" t="s">
        <v>234</v>
      </c>
      <c r="C582" t="s">
        <v>40</v>
      </c>
      <c r="D582" s="10">
        <v>28496</v>
      </c>
      <c r="E582" s="10">
        <v>45284</v>
      </c>
      <c r="F582">
        <v>45</v>
      </c>
      <c r="G582" t="s">
        <v>4296</v>
      </c>
    </row>
    <row r="583" spans="1:7">
      <c r="A583" t="s">
        <v>1532</v>
      </c>
      <c r="B583" t="s">
        <v>438</v>
      </c>
      <c r="C583" t="s">
        <v>133</v>
      </c>
      <c r="D583" s="10">
        <v>38726</v>
      </c>
      <c r="E583" s="10">
        <v>45928</v>
      </c>
      <c r="F583">
        <v>19</v>
      </c>
      <c r="G583" t="s">
        <v>4296</v>
      </c>
    </row>
    <row r="584" spans="1:7">
      <c r="A584" t="s">
        <v>1533</v>
      </c>
      <c r="B584" t="s">
        <v>655</v>
      </c>
      <c r="C584" t="s">
        <v>40</v>
      </c>
      <c r="D584" s="10">
        <v>37557</v>
      </c>
      <c r="E584" s="10">
        <v>45583</v>
      </c>
      <c r="F584">
        <v>21</v>
      </c>
      <c r="G584" t="s">
        <v>4296</v>
      </c>
    </row>
    <row r="585" spans="1:7">
      <c r="A585" t="s">
        <v>1535</v>
      </c>
      <c r="B585" t="s">
        <v>49</v>
      </c>
      <c r="C585" t="s">
        <v>40</v>
      </c>
      <c r="D585" s="10">
        <v>20201</v>
      </c>
      <c r="E585" s="10">
        <v>45950</v>
      </c>
      <c r="F585">
        <v>70</v>
      </c>
      <c r="G585" t="s">
        <v>4296</v>
      </c>
    </row>
    <row r="586" spans="1:7">
      <c r="A586" t="s">
        <v>1536</v>
      </c>
      <c r="B586" t="s">
        <v>1537</v>
      </c>
      <c r="C586" t="s">
        <v>40</v>
      </c>
      <c r="D586" s="10">
        <v>32844</v>
      </c>
      <c r="E586" s="10">
        <v>45841</v>
      </c>
      <c r="F586">
        <v>35</v>
      </c>
      <c r="G586" t="s">
        <v>4296</v>
      </c>
    </row>
    <row r="587" spans="1:7">
      <c r="A587" t="s">
        <v>1540</v>
      </c>
      <c r="B587" t="s">
        <v>1106</v>
      </c>
      <c r="C587" t="s">
        <v>40</v>
      </c>
      <c r="D587" s="10">
        <v>24863</v>
      </c>
      <c r="E587" s="10">
        <v>45735</v>
      </c>
      <c r="F587">
        <v>57</v>
      </c>
      <c r="G587" t="s">
        <v>4296</v>
      </c>
    </row>
    <row r="588" spans="1:7">
      <c r="A588" t="s">
        <v>1542</v>
      </c>
      <c r="B588" t="s">
        <v>132</v>
      </c>
      <c r="C588" t="s">
        <v>40</v>
      </c>
      <c r="D588" s="10">
        <v>21538</v>
      </c>
      <c r="E588" s="10">
        <v>45943</v>
      </c>
      <c r="F588">
        <v>66</v>
      </c>
      <c r="G588" t="s">
        <v>4296</v>
      </c>
    </row>
    <row r="589" spans="1:7">
      <c r="A589" t="s">
        <v>1544</v>
      </c>
      <c r="B589" t="s">
        <v>338</v>
      </c>
      <c r="C589" t="s">
        <v>40</v>
      </c>
      <c r="D589" s="10">
        <v>23636</v>
      </c>
      <c r="E589" s="10">
        <v>45496</v>
      </c>
      <c r="F589">
        <v>59</v>
      </c>
      <c r="G589" t="s">
        <v>4296</v>
      </c>
    </row>
    <row r="590" spans="1:7">
      <c r="A590" t="s">
        <v>4134</v>
      </c>
      <c r="B590" t="s">
        <v>1167</v>
      </c>
      <c r="C590" t="s">
        <v>133</v>
      </c>
      <c r="D590" s="10">
        <v>32672</v>
      </c>
      <c r="E590" s="10">
        <v>45943</v>
      </c>
      <c r="F590">
        <v>36</v>
      </c>
      <c r="G590" t="s">
        <v>4296</v>
      </c>
    </row>
    <row r="591" spans="1:7">
      <c r="A591" t="s">
        <v>1547</v>
      </c>
      <c r="B591" t="s">
        <v>1135</v>
      </c>
      <c r="C591" t="s">
        <v>133</v>
      </c>
      <c r="D591" s="10">
        <v>23037</v>
      </c>
      <c r="E591" s="10">
        <v>45771</v>
      </c>
      <c r="F591">
        <v>62</v>
      </c>
      <c r="G591" t="s">
        <v>4296</v>
      </c>
    </row>
    <row r="592" spans="1:7">
      <c r="A592" t="s">
        <v>1550</v>
      </c>
      <c r="B592" t="s">
        <v>1350</v>
      </c>
      <c r="C592" t="s">
        <v>133</v>
      </c>
      <c r="D592" s="10">
        <v>29197</v>
      </c>
      <c r="E592" s="10">
        <v>45607</v>
      </c>
      <c r="F592">
        <v>44</v>
      </c>
      <c r="G592" t="s">
        <v>4296</v>
      </c>
    </row>
    <row r="593" spans="1:7">
      <c r="A593" t="s">
        <v>1553</v>
      </c>
      <c r="B593" t="s">
        <v>324</v>
      </c>
      <c r="C593" t="s">
        <v>133</v>
      </c>
      <c r="D593" s="10">
        <v>26045</v>
      </c>
      <c r="E593" s="10">
        <v>45337</v>
      </c>
      <c r="F593">
        <v>52</v>
      </c>
      <c r="G593" t="s">
        <v>4296</v>
      </c>
    </row>
    <row r="594" spans="1:7">
      <c r="A594" t="s">
        <v>1555</v>
      </c>
      <c r="B594" t="s">
        <v>21</v>
      </c>
      <c r="C594" t="s">
        <v>40</v>
      </c>
      <c r="D594" s="10">
        <v>29330</v>
      </c>
      <c r="E594" s="10">
        <v>45884</v>
      </c>
      <c r="F594">
        <v>45</v>
      </c>
      <c r="G594" t="s">
        <v>4237</v>
      </c>
    </row>
    <row r="595" spans="1:7">
      <c r="A595" t="s">
        <v>1558</v>
      </c>
      <c r="B595" t="s">
        <v>560</v>
      </c>
      <c r="C595" t="s">
        <v>40</v>
      </c>
      <c r="D595" s="10">
        <v>30549</v>
      </c>
      <c r="E595" s="10">
        <v>45385</v>
      </c>
      <c r="F595">
        <v>40</v>
      </c>
      <c r="G595" t="s">
        <v>4296</v>
      </c>
    </row>
    <row r="596" spans="1:7">
      <c r="A596" t="s">
        <v>1559</v>
      </c>
      <c r="B596" t="s">
        <v>1050</v>
      </c>
      <c r="C596" t="s">
        <v>40</v>
      </c>
      <c r="D596" s="10">
        <v>32282</v>
      </c>
      <c r="E596" s="10">
        <v>45160</v>
      </c>
      <c r="F596">
        <v>35</v>
      </c>
      <c r="G596" t="s">
        <v>4296</v>
      </c>
    </row>
    <row r="597" spans="1:7">
      <c r="A597" t="s">
        <v>1561</v>
      </c>
      <c r="B597" t="s">
        <v>1140</v>
      </c>
      <c r="C597" t="s">
        <v>40</v>
      </c>
      <c r="D597" s="10">
        <v>23915</v>
      </c>
      <c r="E597" s="10">
        <v>45977</v>
      </c>
      <c r="F597">
        <v>60</v>
      </c>
      <c r="G597" t="s">
        <v>4296</v>
      </c>
    </row>
    <row r="598" spans="1:7">
      <c r="A598" t="s">
        <v>1562</v>
      </c>
      <c r="B598" t="s">
        <v>1563</v>
      </c>
      <c r="C598" t="s">
        <v>40</v>
      </c>
      <c r="D598" s="10">
        <v>31641</v>
      </c>
      <c r="E598" s="10">
        <v>45692</v>
      </c>
      <c r="F598">
        <v>38</v>
      </c>
      <c r="G598" t="s">
        <v>4296</v>
      </c>
    </row>
    <row r="599" spans="1:7">
      <c r="A599" t="s">
        <v>1566</v>
      </c>
      <c r="B599" t="s">
        <v>173</v>
      </c>
      <c r="C599" t="s">
        <v>133</v>
      </c>
      <c r="D599" s="10">
        <v>32461</v>
      </c>
      <c r="E599" s="10">
        <v>45960</v>
      </c>
      <c r="F599">
        <v>36</v>
      </c>
      <c r="G599" t="s">
        <v>4296</v>
      </c>
    </row>
    <row r="600" spans="1:7">
      <c r="A600" t="s">
        <v>1568</v>
      </c>
      <c r="B600" t="s">
        <v>622</v>
      </c>
      <c r="C600" t="s">
        <v>133</v>
      </c>
      <c r="D600" s="10">
        <v>29330</v>
      </c>
      <c r="E600" s="10">
        <v>45869</v>
      </c>
      <c r="F600">
        <v>45</v>
      </c>
      <c r="G600" t="s">
        <v>4237</v>
      </c>
    </row>
    <row r="601" spans="1:7">
      <c r="A601" t="s">
        <v>1570</v>
      </c>
      <c r="B601" t="s">
        <v>251</v>
      </c>
      <c r="C601" t="s">
        <v>133</v>
      </c>
      <c r="D601" s="10">
        <v>30742</v>
      </c>
      <c r="E601" s="10">
        <v>45956</v>
      </c>
      <c r="F601">
        <v>41</v>
      </c>
      <c r="G601" t="s">
        <v>4296</v>
      </c>
    </row>
    <row r="602" spans="1:7">
      <c r="A602" t="s">
        <v>1571</v>
      </c>
      <c r="B602" t="s">
        <v>1131</v>
      </c>
      <c r="C602" t="s">
        <v>133</v>
      </c>
      <c r="D602" s="10">
        <v>32959</v>
      </c>
      <c r="E602" s="10">
        <v>45345</v>
      </c>
      <c r="F602">
        <v>33</v>
      </c>
      <c r="G602" t="s">
        <v>4296</v>
      </c>
    </row>
    <row r="603" spans="1:7">
      <c r="A603" t="s">
        <v>4135</v>
      </c>
      <c r="B603" t="s">
        <v>932</v>
      </c>
      <c r="C603" t="s">
        <v>133</v>
      </c>
      <c r="D603" s="10">
        <v>24498</v>
      </c>
      <c r="E603" s="10">
        <v>45779</v>
      </c>
      <c r="F603">
        <v>58</v>
      </c>
      <c r="G603" t="s">
        <v>4296</v>
      </c>
    </row>
    <row r="604" spans="1:7">
      <c r="A604" t="s">
        <v>1578</v>
      </c>
      <c r="B604" t="s">
        <v>406</v>
      </c>
      <c r="C604" t="s">
        <v>133</v>
      </c>
      <c r="D604" s="10">
        <v>39650</v>
      </c>
      <c r="E604" s="10">
        <v>45698</v>
      </c>
      <c r="F604">
        <v>16</v>
      </c>
      <c r="G604" t="s">
        <v>4296</v>
      </c>
    </row>
    <row r="605" spans="1:7">
      <c r="A605" t="s">
        <v>1579</v>
      </c>
      <c r="B605" t="s">
        <v>1580</v>
      </c>
      <c r="C605" t="s">
        <v>40</v>
      </c>
      <c r="D605" s="10">
        <v>34538</v>
      </c>
      <c r="E605" s="10">
        <v>45018</v>
      </c>
      <c r="F605">
        <v>28</v>
      </c>
      <c r="G605" t="s">
        <v>4296</v>
      </c>
    </row>
    <row r="606" spans="1:7">
      <c r="A606" t="s">
        <v>1581</v>
      </c>
      <c r="B606" t="s">
        <v>116</v>
      </c>
      <c r="C606" t="s">
        <v>133</v>
      </c>
      <c r="D606" s="10">
        <v>25465</v>
      </c>
      <c r="E606" s="10">
        <v>45439</v>
      </c>
      <c r="F606">
        <v>54</v>
      </c>
      <c r="G606" t="s">
        <v>4296</v>
      </c>
    </row>
    <row r="607" spans="1:7">
      <c r="A607" t="s">
        <v>1582</v>
      </c>
      <c r="B607" t="s">
        <v>877</v>
      </c>
      <c r="C607" t="s">
        <v>40</v>
      </c>
      <c r="D607" s="10">
        <v>37165</v>
      </c>
      <c r="E607" s="10">
        <v>45797</v>
      </c>
      <c r="F607">
        <v>23</v>
      </c>
      <c r="G607" t="s">
        <v>4296</v>
      </c>
    </row>
    <row r="608" spans="1:7">
      <c r="A608" t="s">
        <v>1583</v>
      </c>
      <c r="B608" t="s">
        <v>563</v>
      </c>
      <c r="C608" t="s">
        <v>133</v>
      </c>
      <c r="D608" s="10">
        <v>36021</v>
      </c>
      <c r="E608" s="10">
        <v>45906</v>
      </c>
      <c r="F608">
        <v>27</v>
      </c>
      <c r="G608" t="s">
        <v>4296</v>
      </c>
    </row>
    <row r="609" spans="1:7">
      <c r="A609" t="s">
        <v>1584</v>
      </c>
      <c r="B609" t="s">
        <v>1153</v>
      </c>
      <c r="C609" t="s">
        <v>40</v>
      </c>
      <c r="D609" s="10">
        <v>31113</v>
      </c>
      <c r="E609" s="10">
        <v>45089</v>
      </c>
      <c r="F609">
        <v>38</v>
      </c>
      <c r="G609" t="s">
        <v>4296</v>
      </c>
    </row>
    <row r="610" spans="1:7">
      <c r="A610" t="s">
        <v>1586</v>
      </c>
      <c r="B610" t="s">
        <v>1587</v>
      </c>
      <c r="C610" t="s">
        <v>40</v>
      </c>
      <c r="D610" s="10">
        <v>19589</v>
      </c>
      <c r="E610" s="10">
        <v>45644</v>
      </c>
      <c r="F610">
        <v>71</v>
      </c>
      <c r="G610" t="s">
        <v>4296</v>
      </c>
    </row>
    <row r="611" spans="1:7">
      <c r="A611" t="s">
        <v>1589</v>
      </c>
      <c r="B611" t="s">
        <v>1590</v>
      </c>
      <c r="C611" t="s">
        <v>133</v>
      </c>
      <c r="D611" s="10">
        <v>40273</v>
      </c>
      <c r="E611" s="10">
        <v>45843</v>
      </c>
      <c r="F611">
        <v>15</v>
      </c>
      <c r="G611" t="s">
        <v>4296</v>
      </c>
    </row>
    <row r="612" spans="1:7">
      <c r="A612" t="s">
        <v>1591</v>
      </c>
      <c r="B612" t="s">
        <v>88</v>
      </c>
      <c r="C612" t="s">
        <v>40</v>
      </c>
      <c r="D612" s="10">
        <v>32332</v>
      </c>
      <c r="E612" s="10">
        <v>45012</v>
      </c>
      <c r="F612">
        <v>34</v>
      </c>
      <c r="G612" t="s">
        <v>4296</v>
      </c>
    </row>
    <row r="613" spans="1:7">
      <c r="A613" t="s">
        <v>1594</v>
      </c>
      <c r="B613" t="s">
        <v>67</v>
      </c>
      <c r="C613" t="s">
        <v>133</v>
      </c>
      <c r="D613" s="10">
        <v>30009</v>
      </c>
      <c r="E613" s="10">
        <v>45797</v>
      </c>
      <c r="F613">
        <v>43</v>
      </c>
      <c r="G613" t="s">
        <v>4296</v>
      </c>
    </row>
    <row r="614" spans="1:7">
      <c r="A614" t="s">
        <v>1597</v>
      </c>
      <c r="B614" t="s">
        <v>1598</v>
      </c>
      <c r="C614" t="s">
        <v>40</v>
      </c>
      <c r="D614" s="10">
        <v>20897</v>
      </c>
      <c r="E614" s="10">
        <v>45861</v>
      </c>
      <c r="F614">
        <v>68</v>
      </c>
      <c r="G614" t="s">
        <v>4296</v>
      </c>
    </row>
    <row r="615" spans="1:7">
      <c r="A615" t="s">
        <v>4136</v>
      </c>
      <c r="B615" t="s">
        <v>321</v>
      </c>
      <c r="C615" t="s">
        <v>40</v>
      </c>
      <c r="D615" s="10">
        <v>38706</v>
      </c>
      <c r="E615" s="10">
        <v>45707</v>
      </c>
      <c r="F615">
        <v>19</v>
      </c>
      <c r="G615" t="s">
        <v>4296</v>
      </c>
    </row>
    <row r="616" spans="1:7">
      <c r="A616" t="s">
        <v>1600</v>
      </c>
      <c r="B616" t="s">
        <v>438</v>
      </c>
      <c r="C616" t="s">
        <v>133</v>
      </c>
      <c r="D616" s="10">
        <v>20847</v>
      </c>
      <c r="E616" s="10">
        <v>45166</v>
      </c>
      <c r="F616">
        <v>66</v>
      </c>
      <c r="G616" t="s">
        <v>4296</v>
      </c>
    </row>
    <row r="617" spans="1:7">
      <c r="A617" t="s">
        <v>1601</v>
      </c>
      <c r="B617" t="s">
        <v>1108</v>
      </c>
      <c r="C617" t="s">
        <v>133</v>
      </c>
      <c r="D617" s="10">
        <v>33349</v>
      </c>
      <c r="E617" s="10">
        <v>45101</v>
      </c>
      <c r="F617">
        <v>32</v>
      </c>
      <c r="G617" t="s">
        <v>4296</v>
      </c>
    </row>
    <row r="618" spans="1:7">
      <c r="A618" t="s">
        <v>1603</v>
      </c>
      <c r="B618" t="s">
        <v>622</v>
      </c>
      <c r="C618" t="s">
        <v>40</v>
      </c>
      <c r="D618" s="10">
        <v>27268</v>
      </c>
      <c r="E618" s="10">
        <v>45079</v>
      </c>
      <c r="F618">
        <v>48</v>
      </c>
      <c r="G618" t="s">
        <v>4296</v>
      </c>
    </row>
    <row r="619" spans="1:7">
      <c r="A619" t="s">
        <v>1605</v>
      </c>
      <c r="B619" t="s">
        <v>613</v>
      </c>
      <c r="C619" t="s">
        <v>133</v>
      </c>
      <c r="D619" s="10">
        <v>37509</v>
      </c>
      <c r="E619" s="10">
        <v>45888</v>
      </c>
      <c r="F619">
        <v>22</v>
      </c>
      <c r="G619" t="s">
        <v>4296</v>
      </c>
    </row>
    <row r="620" spans="1:7">
      <c r="A620" t="s">
        <v>1607</v>
      </c>
      <c r="B620" t="s">
        <v>825</v>
      </c>
      <c r="C620" t="s">
        <v>133</v>
      </c>
      <c r="D620" s="10">
        <v>19876</v>
      </c>
      <c r="E620" s="10">
        <v>45686</v>
      </c>
      <c r="F620">
        <v>70</v>
      </c>
      <c r="G620" t="s">
        <v>4296</v>
      </c>
    </row>
    <row r="621" spans="1:7">
      <c r="A621" t="s">
        <v>1610</v>
      </c>
      <c r="B621" t="s">
        <v>332</v>
      </c>
      <c r="C621" t="s">
        <v>133</v>
      </c>
      <c r="D621" s="10">
        <v>36080</v>
      </c>
      <c r="E621" s="10">
        <v>45482</v>
      </c>
      <c r="F621">
        <v>25</v>
      </c>
      <c r="G621" t="s">
        <v>4237</v>
      </c>
    </row>
    <row r="622" spans="1:7">
      <c r="A622" t="s">
        <v>1612</v>
      </c>
      <c r="B622" t="s">
        <v>871</v>
      </c>
      <c r="C622" t="s">
        <v>133</v>
      </c>
      <c r="D622" s="10">
        <v>32366</v>
      </c>
      <c r="E622" s="10">
        <v>45976</v>
      </c>
      <c r="F622">
        <v>37</v>
      </c>
      <c r="G622" t="s">
        <v>4296</v>
      </c>
    </row>
    <row r="623" spans="1:7">
      <c r="A623" t="s">
        <v>1615</v>
      </c>
      <c r="B623" t="s">
        <v>1167</v>
      </c>
      <c r="C623" t="s">
        <v>133</v>
      </c>
      <c r="D623" s="10">
        <v>23722</v>
      </c>
      <c r="E623" s="10">
        <v>45766</v>
      </c>
      <c r="F623">
        <v>60</v>
      </c>
      <c r="G623" t="s">
        <v>4296</v>
      </c>
    </row>
    <row r="624" spans="1:7">
      <c r="A624" t="s">
        <v>1616</v>
      </c>
      <c r="B624" t="s">
        <v>363</v>
      </c>
      <c r="C624" t="s">
        <v>133</v>
      </c>
      <c r="D624" s="10">
        <v>40447</v>
      </c>
      <c r="E624" s="10">
        <v>45691</v>
      </c>
      <c r="F624">
        <v>14</v>
      </c>
      <c r="G624" t="s">
        <v>4296</v>
      </c>
    </row>
    <row r="625" spans="1:7">
      <c r="A625" t="s">
        <v>1618</v>
      </c>
      <c r="B625" t="s">
        <v>624</v>
      </c>
      <c r="C625" t="s">
        <v>133</v>
      </c>
      <c r="D625" s="10">
        <v>19209</v>
      </c>
      <c r="E625" s="10">
        <v>45808</v>
      </c>
      <c r="F625">
        <v>72</v>
      </c>
      <c r="G625" t="s">
        <v>4296</v>
      </c>
    </row>
    <row r="626" spans="1:7">
      <c r="A626" t="s">
        <v>1620</v>
      </c>
      <c r="B626" t="s">
        <v>155</v>
      </c>
      <c r="C626" t="s">
        <v>40</v>
      </c>
      <c r="D626" s="10">
        <v>39888</v>
      </c>
      <c r="E626" s="10">
        <v>45341</v>
      </c>
      <c r="F626">
        <v>14</v>
      </c>
      <c r="G626" t="s">
        <v>4296</v>
      </c>
    </row>
    <row r="627" spans="1:7">
      <c r="A627" t="s">
        <v>1621</v>
      </c>
      <c r="B627" t="s">
        <v>1622</v>
      </c>
      <c r="C627" t="s">
        <v>40</v>
      </c>
      <c r="D627" s="10">
        <v>19568</v>
      </c>
      <c r="E627" s="10">
        <v>45486</v>
      </c>
      <c r="F627">
        <v>70</v>
      </c>
      <c r="G627" t="s">
        <v>4296</v>
      </c>
    </row>
    <row r="628" spans="1:7">
      <c r="A628" t="s">
        <v>1625</v>
      </c>
      <c r="B628" t="s">
        <v>1001</v>
      </c>
      <c r="C628" t="s">
        <v>40</v>
      </c>
      <c r="D628" s="10">
        <v>37477</v>
      </c>
      <c r="E628" s="10">
        <v>45029</v>
      </c>
      <c r="F628">
        <v>20</v>
      </c>
      <c r="G628" t="s">
        <v>4296</v>
      </c>
    </row>
    <row r="629" spans="1:7">
      <c r="A629" t="s">
        <v>1626</v>
      </c>
      <c r="B629" t="s">
        <v>1590</v>
      </c>
      <c r="C629" t="s">
        <v>40</v>
      </c>
      <c r="D629" s="10">
        <v>36416</v>
      </c>
      <c r="E629" s="10">
        <v>45121</v>
      </c>
      <c r="F629">
        <v>23</v>
      </c>
      <c r="G629" t="s">
        <v>4296</v>
      </c>
    </row>
    <row r="630" spans="1:7">
      <c r="A630" t="s">
        <v>1628</v>
      </c>
      <c r="B630" t="s">
        <v>1182</v>
      </c>
      <c r="C630" t="s">
        <v>40</v>
      </c>
      <c r="D630" s="10">
        <v>26299</v>
      </c>
      <c r="E630" s="10">
        <v>45250</v>
      </c>
      <c r="F630">
        <v>51</v>
      </c>
      <c r="G630" t="s">
        <v>4296</v>
      </c>
    </row>
    <row r="631" spans="1:7">
      <c r="A631" t="s">
        <v>1631</v>
      </c>
      <c r="B631" t="s">
        <v>234</v>
      </c>
      <c r="C631" t="s">
        <v>40</v>
      </c>
      <c r="D631" s="10">
        <v>19533</v>
      </c>
      <c r="E631" s="10">
        <v>45676</v>
      </c>
      <c r="F631">
        <v>71</v>
      </c>
      <c r="G631" t="s">
        <v>4296</v>
      </c>
    </row>
    <row r="632" spans="1:7">
      <c r="A632" t="s">
        <v>1632</v>
      </c>
      <c r="B632" t="s">
        <v>1088</v>
      </c>
      <c r="C632" t="s">
        <v>133</v>
      </c>
      <c r="D632" s="10">
        <v>39486</v>
      </c>
      <c r="E632" s="10">
        <v>45616</v>
      </c>
      <c r="F632">
        <v>16</v>
      </c>
      <c r="G632" t="s">
        <v>4296</v>
      </c>
    </row>
    <row r="633" spans="1:7">
      <c r="A633" t="s">
        <v>4137</v>
      </c>
      <c r="B633" t="s">
        <v>321</v>
      </c>
      <c r="C633" t="s">
        <v>40</v>
      </c>
      <c r="D633" s="10">
        <v>29473</v>
      </c>
      <c r="E633" s="10">
        <v>45183</v>
      </c>
      <c r="F633">
        <v>43</v>
      </c>
      <c r="G633" t="s">
        <v>4296</v>
      </c>
    </row>
    <row r="634" spans="1:7">
      <c r="A634" t="s">
        <v>1637</v>
      </c>
      <c r="B634" t="s">
        <v>661</v>
      </c>
      <c r="C634" t="s">
        <v>40</v>
      </c>
      <c r="D634" s="10">
        <v>29107</v>
      </c>
      <c r="E634" s="10">
        <v>45303</v>
      </c>
      <c r="F634">
        <v>44</v>
      </c>
      <c r="G634" t="s">
        <v>4296</v>
      </c>
    </row>
    <row r="635" spans="1:7">
      <c r="A635" t="s">
        <v>4138</v>
      </c>
      <c r="B635" t="s">
        <v>29</v>
      </c>
      <c r="C635" t="s">
        <v>133</v>
      </c>
      <c r="D635" s="10">
        <v>27614</v>
      </c>
      <c r="E635" s="10">
        <v>45205</v>
      </c>
      <c r="F635">
        <v>48</v>
      </c>
      <c r="G635" t="s">
        <v>4296</v>
      </c>
    </row>
    <row r="636" spans="1:7">
      <c r="A636" t="s">
        <v>1641</v>
      </c>
      <c r="B636" t="s">
        <v>1342</v>
      </c>
      <c r="C636" t="s">
        <v>133</v>
      </c>
      <c r="D636" s="10">
        <v>29018</v>
      </c>
      <c r="E636" s="10">
        <v>45700</v>
      </c>
      <c r="F636">
        <v>45</v>
      </c>
      <c r="G636" t="s">
        <v>4296</v>
      </c>
    </row>
    <row r="637" spans="1:7">
      <c r="A637" t="s">
        <v>1645</v>
      </c>
      <c r="B637" t="s">
        <v>324</v>
      </c>
      <c r="C637" t="s">
        <v>133</v>
      </c>
      <c r="D637" s="10">
        <v>39684</v>
      </c>
      <c r="E637" s="10">
        <v>45170</v>
      </c>
      <c r="F637">
        <v>15</v>
      </c>
      <c r="G637" t="s">
        <v>4296</v>
      </c>
    </row>
    <row r="638" spans="1:7">
      <c r="A638" t="s">
        <v>1648</v>
      </c>
      <c r="B638" t="s">
        <v>867</v>
      </c>
      <c r="C638" t="s">
        <v>133</v>
      </c>
      <c r="D638" s="10">
        <v>29330</v>
      </c>
      <c r="E638" s="10">
        <v>45243</v>
      </c>
      <c r="F638">
        <v>43</v>
      </c>
      <c r="G638" t="s">
        <v>4237</v>
      </c>
    </row>
    <row r="639" spans="1:7">
      <c r="A639" t="s">
        <v>1650</v>
      </c>
      <c r="B639" t="s">
        <v>104</v>
      </c>
      <c r="C639" t="s">
        <v>133</v>
      </c>
      <c r="D639" s="10">
        <v>24608</v>
      </c>
      <c r="E639" s="10">
        <v>45497</v>
      </c>
      <c r="F639">
        <v>57</v>
      </c>
      <c r="G639" t="s">
        <v>4296</v>
      </c>
    </row>
    <row r="640" spans="1:7">
      <c r="A640" t="s">
        <v>1651</v>
      </c>
      <c r="B640" t="s">
        <v>334</v>
      </c>
      <c r="C640" t="s">
        <v>40</v>
      </c>
      <c r="D640" s="10">
        <v>23916</v>
      </c>
      <c r="E640" s="10">
        <v>45324</v>
      </c>
      <c r="F640">
        <v>58</v>
      </c>
      <c r="G640" t="s">
        <v>4296</v>
      </c>
    </row>
    <row r="641" spans="1:7">
      <c r="A641" t="s">
        <v>1653</v>
      </c>
      <c r="B641" t="s">
        <v>417</v>
      </c>
      <c r="C641" t="s">
        <v>40</v>
      </c>
      <c r="D641" s="10">
        <v>28091</v>
      </c>
      <c r="E641" s="10">
        <v>45078</v>
      </c>
      <c r="F641">
        <v>46</v>
      </c>
      <c r="G641" t="s">
        <v>4296</v>
      </c>
    </row>
    <row r="642" spans="1:7">
      <c r="A642" t="s">
        <v>1655</v>
      </c>
      <c r="B642" t="s">
        <v>442</v>
      </c>
      <c r="C642" t="s">
        <v>40</v>
      </c>
      <c r="D642" s="10">
        <v>37829</v>
      </c>
      <c r="E642" s="10">
        <v>45732</v>
      </c>
      <c r="F642">
        <v>21</v>
      </c>
      <c r="G642" t="s">
        <v>4296</v>
      </c>
    </row>
    <row r="643" spans="1:7">
      <c r="A643" t="s">
        <v>1657</v>
      </c>
      <c r="B643" t="s">
        <v>1658</v>
      </c>
      <c r="C643" t="s">
        <v>133</v>
      </c>
      <c r="D643" s="10">
        <v>33524</v>
      </c>
      <c r="E643" s="10">
        <v>45269</v>
      </c>
      <c r="F643">
        <v>32</v>
      </c>
      <c r="G643" t="s">
        <v>4296</v>
      </c>
    </row>
    <row r="644" spans="1:7">
      <c r="A644" t="s">
        <v>1660</v>
      </c>
      <c r="B644" t="s">
        <v>433</v>
      </c>
      <c r="C644" t="s">
        <v>133</v>
      </c>
      <c r="D644" s="10">
        <v>20809</v>
      </c>
      <c r="E644" s="10">
        <v>45761</v>
      </c>
      <c r="F644">
        <v>68</v>
      </c>
      <c r="G644" t="s">
        <v>4296</v>
      </c>
    </row>
    <row r="645" spans="1:7">
      <c r="A645" t="s">
        <v>1662</v>
      </c>
      <c r="B645" t="s">
        <v>556</v>
      </c>
      <c r="C645" t="s">
        <v>40</v>
      </c>
      <c r="D645" s="10">
        <v>34878</v>
      </c>
      <c r="E645" s="10">
        <v>46010</v>
      </c>
      <c r="F645">
        <v>30</v>
      </c>
      <c r="G645" t="s">
        <v>4296</v>
      </c>
    </row>
    <row r="646" spans="1:7">
      <c r="A646" t="s">
        <v>1663</v>
      </c>
      <c r="B646" t="s">
        <v>1263</v>
      </c>
      <c r="C646" t="s">
        <v>133</v>
      </c>
      <c r="D646" s="10">
        <v>40167</v>
      </c>
      <c r="E646" s="10">
        <v>45956</v>
      </c>
      <c r="F646">
        <v>15</v>
      </c>
      <c r="G646" t="s">
        <v>4296</v>
      </c>
    </row>
    <row r="647" spans="1:7">
      <c r="A647" t="s">
        <v>1666</v>
      </c>
      <c r="B647" t="s">
        <v>1667</v>
      </c>
      <c r="C647" t="s">
        <v>40</v>
      </c>
      <c r="D647" s="10">
        <v>38078</v>
      </c>
      <c r="E647" s="10">
        <v>45855</v>
      </c>
      <c r="F647">
        <v>21</v>
      </c>
      <c r="G647" t="s">
        <v>4296</v>
      </c>
    </row>
    <row r="648" spans="1:7">
      <c r="A648" t="s">
        <v>1668</v>
      </c>
      <c r="B648" t="s">
        <v>756</v>
      </c>
      <c r="C648" t="s">
        <v>40</v>
      </c>
      <c r="D648" s="10">
        <v>23429</v>
      </c>
      <c r="E648" s="10">
        <v>44964</v>
      </c>
      <c r="F648">
        <v>58</v>
      </c>
      <c r="G648" t="s">
        <v>4296</v>
      </c>
    </row>
    <row r="649" spans="1:7">
      <c r="A649" t="s">
        <v>1669</v>
      </c>
      <c r="B649" t="s">
        <v>1438</v>
      </c>
      <c r="C649" t="s">
        <v>40</v>
      </c>
      <c r="D649" s="10">
        <v>24255</v>
      </c>
      <c r="E649" s="10">
        <v>45947</v>
      </c>
      <c r="F649">
        <v>59</v>
      </c>
      <c r="G649" t="s">
        <v>4296</v>
      </c>
    </row>
    <row r="650" spans="1:7">
      <c r="A650" t="s">
        <v>1670</v>
      </c>
      <c r="B650" t="s">
        <v>1026</v>
      </c>
      <c r="C650" t="s">
        <v>133</v>
      </c>
      <c r="D650" s="10">
        <v>37486</v>
      </c>
      <c r="E650" s="10">
        <v>45055</v>
      </c>
      <c r="F650">
        <v>20</v>
      </c>
      <c r="G650" t="s">
        <v>4296</v>
      </c>
    </row>
    <row r="651" spans="1:7">
      <c r="A651" t="s">
        <v>1672</v>
      </c>
      <c r="B651" t="s">
        <v>295</v>
      </c>
      <c r="C651" t="s">
        <v>133</v>
      </c>
      <c r="D651" s="10">
        <v>30643</v>
      </c>
      <c r="E651" s="10">
        <v>45104</v>
      </c>
      <c r="F651">
        <v>39</v>
      </c>
      <c r="G651" t="s">
        <v>4296</v>
      </c>
    </row>
    <row r="652" spans="1:7">
      <c r="A652" t="s">
        <v>1674</v>
      </c>
      <c r="B652" t="s">
        <v>2029</v>
      </c>
      <c r="C652" t="s">
        <v>40</v>
      </c>
      <c r="D652" s="10">
        <v>21614</v>
      </c>
      <c r="E652" s="10">
        <v>45833</v>
      </c>
      <c r="F652">
        <v>66</v>
      </c>
      <c r="G652" t="s">
        <v>4296</v>
      </c>
    </row>
    <row r="653" spans="1:7">
      <c r="A653" t="s">
        <v>1677</v>
      </c>
      <c r="B653" t="s">
        <v>1678</v>
      </c>
      <c r="C653" t="s">
        <v>40</v>
      </c>
      <c r="D653" s="10">
        <v>36064</v>
      </c>
      <c r="E653" s="10">
        <v>45251</v>
      </c>
      <c r="F653">
        <v>25</v>
      </c>
      <c r="G653" t="s">
        <v>4296</v>
      </c>
    </row>
    <row r="654" spans="1:7">
      <c r="A654" t="s">
        <v>1680</v>
      </c>
      <c r="B654" t="s">
        <v>311</v>
      </c>
      <c r="C654" t="s">
        <v>40</v>
      </c>
      <c r="D654" s="10">
        <v>35920</v>
      </c>
      <c r="E654" s="10">
        <v>45224</v>
      </c>
      <c r="F654">
        <v>25</v>
      </c>
      <c r="G654" t="s">
        <v>4296</v>
      </c>
    </row>
    <row r="655" spans="1:7">
      <c r="A655" t="s">
        <v>1681</v>
      </c>
      <c r="B655" t="s">
        <v>909</v>
      </c>
      <c r="C655" t="s">
        <v>133</v>
      </c>
      <c r="D655" s="10">
        <v>27115</v>
      </c>
      <c r="E655" s="10">
        <v>45618</v>
      </c>
      <c r="F655">
        <v>50</v>
      </c>
      <c r="G655" t="s">
        <v>4296</v>
      </c>
    </row>
    <row r="656" spans="1:7">
      <c r="A656" t="s">
        <v>1683</v>
      </c>
      <c r="B656" t="s">
        <v>1342</v>
      </c>
      <c r="C656" t="s">
        <v>40</v>
      </c>
      <c r="D656" s="10">
        <v>23564</v>
      </c>
      <c r="E656" s="10">
        <v>45748</v>
      </c>
      <c r="F656">
        <v>60</v>
      </c>
      <c r="G656" t="s">
        <v>4296</v>
      </c>
    </row>
    <row r="657" spans="1:7">
      <c r="A657" t="s">
        <v>1685</v>
      </c>
      <c r="B657" t="s">
        <v>155</v>
      </c>
      <c r="C657" t="s">
        <v>40</v>
      </c>
      <c r="D657" s="10">
        <v>26123</v>
      </c>
      <c r="E657" s="10">
        <v>44961</v>
      </c>
      <c r="F657">
        <v>51</v>
      </c>
      <c r="G657" t="s">
        <v>4296</v>
      </c>
    </row>
    <row r="658" spans="1:7">
      <c r="A658" t="s">
        <v>1688</v>
      </c>
      <c r="B658" t="s">
        <v>806</v>
      </c>
      <c r="C658" t="s">
        <v>40</v>
      </c>
      <c r="D658" s="10">
        <v>31527</v>
      </c>
      <c r="E658" s="10">
        <v>45807</v>
      </c>
      <c r="F658">
        <v>39</v>
      </c>
      <c r="G658" t="s">
        <v>4296</v>
      </c>
    </row>
    <row r="659" spans="1:7">
      <c r="A659" t="s">
        <v>1690</v>
      </c>
      <c r="B659" t="s">
        <v>1505</v>
      </c>
      <c r="C659" t="s">
        <v>40</v>
      </c>
      <c r="D659" s="10">
        <v>29543</v>
      </c>
      <c r="E659" s="10">
        <v>45787</v>
      </c>
      <c r="F659">
        <v>44</v>
      </c>
      <c r="G659" t="s">
        <v>4296</v>
      </c>
    </row>
    <row r="660" spans="1:7">
      <c r="A660" t="s">
        <v>1692</v>
      </c>
      <c r="B660" t="s">
        <v>99</v>
      </c>
      <c r="C660" t="s">
        <v>40</v>
      </c>
      <c r="D660" s="10">
        <v>37027</v>
      </c>
      <c r="E660" s="10">
        <v>44941</v>
      </c>
      <c r="F660">
        <v>21</v>
      </c>
      <c r="G660" t="s">
        <v>4296</v>
      </c>
    </row>
    <row r="661" spans="1:7">
      <c r="A661" t="s">
        <v>1693</v>
      </c>
      <c r="B661" t="s">
        <v>756</v>
      </c>
      <c r="C661" t="s">
        <v>40</v>
      </c>
      <c r="D661" s="10">
        <v>25910</v>
      </c>
      <c r="E661" s="10">
        <v>45890</v>
      </c>
      <c r="F661">
        <v>54</v>
      </c>
      <c r="G661" t="s">
        <v>4296</v>
      </c>
    </row>
    <row r="662" spans="1:7">
      <c r="A662" t="s">
        <v>4139</v>
      </c>
      <c r="B662" t="s">
        <v>799</v>
      </c>
      <c r="C662" t="s">
        <v>40</v>
      </c>
      <c r="D662" s="10">
        <v>28071</v>
      </c>
      <c r="E662" s="10">
        <v>45800</v>
      </c>
      <c r="F662">
        <v>48</v>
      </c>
      <c r="G662" t="s">
        <v>4296</v>
      </c>
    </row>
    <row r="663" spans="1:7">
      <c r="A663" t="s">
        <v>1696</v>
      </c>
      <c r="B663" t="s">
        <v>99</v>
      </c>
      <c r="C663" t="s">
        <v>40</v>
      </c>
      <c r="D663" s="10">
        <v>27687</v>
      </c>
      <c r="E663" s="10">
        <v>45427</v>
      </c>
      <c r="F663">
        <v>48</v>
      </c>
      <c r="G663" t="s">
        <v>4296</v>
      </c>
    </row>
    <row r="664" spans="1:7">
      <c r="A664" t="s">
        <v>1699</v>
      </c>
      <c r="B664" t="s">
        <v>1700</v>
      </c>
      <c r="C664" t="s">
        <v>133</v>
      </c>
      <c r="D664" s="10">
        <v>20551</v>
      </c>
      <c r="E664" s="10">
        <v>45139</v>
      </c>
      <c r="F664">
        <v>67</v>
      </c>
      <c r="G664" t="s">
        <v>4296</v>
      </c>
    </row>
    <row r="665" spans="1:7">
      <c r="A665" t="s">
        <v>1704</v>
      </c>
      <c r="B665" t="s">
        <v>1302</v>
      </c>
      <c r="C665" t="s">
        <v>133</v>
      </c>
      <c r="D665" s="10">
        <v>28258</v>
      </c>
      <c r="E665" s="10">
        <v>45058</v>
      </c>
      <c r="F665">
        <v>45</v>
      </c>
      <c r="G665" t="s">
        <v>4296</v>
      </c>
    </row>
    <row r="666" spans="1:7">
      <c r="A666" t="s">
        <v>1705</v>
      </c>
      <c r="B666" t="s">
        <v>1408</v>
      </c>
      <c r="C666" t="s">
        <v>40</v>
      </c>
      <c r="D666" s="10">
        <v>40106</v>
      </c>
      <c r="E666" s="10">
        <v>45374</v>
      </c>
      <c r="F666">
        <v>14</v>
      </c>
      <c r="G666" t="s">
        <v>4296</v>
      </c>
    </row>
    <row r="667" spans="1:7">
      <c r="A667" t="s">
        <v>1707</v>
      </c>
      <c r="B667" t="s">
        <v>550</v>
      </c>
      <c r="C667" t="s">
        <v>133</v>
      </c>
      <c r="D667" s="10">
        <v>24295</v>
      </c>
      <c r="E667" s="10">
        <v>45147</v>
      </c>
      <c r="F667">
        <v>57</v>
      </c>
      <c r="G667" t="s">
        <v>4296</v>
      </c>
    </row>
    <row r="668" spans="1:7">
      <c r="A668" t="s">
        <v>1709</v>
      </c>
      <c r="B668" t="s">
        <v>806</v>
      </c>
      <c r="C668" t="s">
        <v>40</v>
      </c>
      <c r="D668" s="10">
        <v>24199</v>
      </c>
      <c r="E668" s="10">
        <v>45545</v>
      </c>
      <c r="F668">
        <v>58</v>
      </c>
      <c r="G668" t="s">
        <v>4296</v>
      </c>
    </row>
    <row r="669" spans="1:7">
      <c r="A669" t="s">
        <v>1711</v>
      </c>
      <c r="B669" t="s">
        <v>429</v>
      </c>
      <c r="C669" t="s">
        <v>133</v>
      </c>
      <c r="D669" s="10">
        <v>18698</v>
      </c>
      <c r="E669" s="10">
        <v>45748</v>
      </c>
      <c r="F669">
        <v>74</v>
      </c>
      <c r="G669" t="s">
        <v>4296</v>
      </c>
    </row>
    <row r="670" spans="1:7">
      <c r="A670" t="s">
        <v>4140</v>
      </c>
      <c r="B670" t="s">
        <v>403</v>
      </c>
      <c r="C670" t="s">
        <v>133</v>
      </c>
      <c r="D670" s="10">
        <v>20156</v>
      </c>
      <c r="E670" s="10">
        <v>45456</v>
      </c>
      <c r="F670">
        <v>69</v>
      </c>
      <c r="G670" t="s">
        <v>4296</v>
      </c>
    </row>
    <row r="671" spans="1:7">
      <c r="A671" t="s">
        <v>1714</v>
      </c>
      <c r="B671" t="s">
        <v>579</v>
      </c>
      <c r="C671" t="s">
        <v>40</v>
      </c>
      <c r="D671" s="10">
        <v>33565</v>
      </c>
      <c r="E671" s="10">
        <v>45941</v>
      </c>
      <c r="F671">
        <v>33</v>
      </c>
      <c r="G671" t="s">
        <v>4296</v>
      </c>
    </row>
    <row r="672" spans="1:7">
      <c r="A672" t="s">
        <v>1715</v>
      </c>
      <c r="B672" t="s">
        <v>1088</v>
      </c>
      <c r="C672" t="s">
        <v>133</v>
      </c>
      <c r="D672" s="10">
        <v>39715</v>
      </c>
      <c r="E672" s="10">
        <v>45482</v>
      </c>
      <c r="F672">
        <v>15</v>
      </c>
      <c r="G672" t="s">
        <v>4237</v>
      </c>
    </row>
    <row r="673" spans="1:7">
      <c r="A673" t="s">
        <v>1719</v>
      </c>
      <c r="B673" t="s">
        <v>83</v>
      </c>
      <c r="C673" t="s">
        <v>133</v>
      </c>
      <c r="D673" s="10">
        <v>38574</v>
      </c>
      <c r="E673" s="10">
        <v>45000</v>
      </c>
      <c r="F673">
        <v>17</v>
      </c>
      <c r="G673" t="s">
        <v>4296</v>
      </c>
    </row>
    <row r="674" spans="1:7">
      <c r="A674" t="s">
        <v>1720</v>
      </c>
      <c r="B674" t="s">
        <v>270</v>
      </c>
      <c r="C674" t="s">
        <v>40</v>
      </c>
      <c r="D674" s="10">
        <v>34108</v>
      </c>
      <c r="E674" s="10">
        <v>45710</v>
      </c>
      <c r="F674">
        <v>31</v>
      </c>
      <c r="G674" t="s">
        <v>4296</v>
      </c>
    </row>
    <row r="675" spans="1:7">
      <c r="A675" t="s">
        <v>4141</v>
      </c>
      <c r="B675" t="s">
        <v>1050</v>
      </c>
      <c r="C675" t="s">
        <v>40</v>
      </c>
      <c r="D675" s="10">
        <v>20022</v>
      </c>
      <c r="E675" s="10">
        <v>45568</v>
      </c>
      <c r="F675">
        <v>69</v>
      </c>
      <c r="G675" t="s">
        <v>4296</v>
      </c>
    </row>
    <row r="676" spans="1:7">
      <c r="A676" t="s">
        <v>1724</v>
      </c>
      <c r="B676" t="s">
        <v>253</v>
      </c>
      <c r="C676" t="s">
        <v>40</v>
      </c>
      <c r="D676" s="10">
        <v>20174</v>
      </c>
      <c r="E676" s="10">
        <v>45201</v>
      </c>
      <c r="F676">
        <v>68</v>
      </c>
      <c r="G676" t="s">
        <v>4296</v>
      </c>
    </row>
    <row r="677" spans="1:7">
      <c r="A677" t="s">
        <v>1726</v>
      </c>
      <c r="B677" t="s">
        <v>1727</v>
      </c>
      <c r="C677" t="s">
        <v>133</v>
      </c>
      <c r="D677" s="10">
        <v>19188</v>
      </c>
      <c r="E677" s="10">
        <v>45082</v>
      </c>
      <c r="F677">
        <v>70</v>
      </c>
      <c r="G677" t="s">
        <v>4296</v>
      </c>
    </row>
    <row r="678" spans="1:7">
      <c r="A678" t="s">
        <v>1730</v>
      </c>
      <c r="B678" t="s">
        <v>1017</v>
      </c>
      <c r="C678" t="s">
        <v>40</v>
      </c>
      <c r="D678" s="10">
        <v>26949</v>
      </c>
      <c r="E678" s="10">
        <v>45974</v>
      </c>
      <c r="F678">
        <v>52</v>
      </c>
      <c r="G678" t="s">
        <v>4296</v>
      </c>
    </row>
    <row r="679" spans="1:7">
      <c r="A679" t="s">
        <v>1733</v>
      </c>
      <c r="B679" t="s">
        <v>1734</v>
      </c>
      <c r="C679" t="s">
        <v>40</v>
      </c>
      <c r="D679" s="10">
        <v>28811</v>
      </c>
      <c r="E679" s="10">
        <v>45910</v>
      </c>
      <c r="F679">
        <v>46</v>
      </c>
      <c r="G679" t="s">
        <v>4296</v>
      </c>
    </row>
    <row r="680" spans="1:7">
      <c r="A680" t="s">
        <v>1735</v>
      </c>
      <c r="B680" t="s">
        <v>104</v>
      </c>
      <c r="C680" t="s">
        <v>133</v>
      </c>
      <c r="D680" s="10">
        <v>32646</v>
      </c>
      <c r="E680" s="10">
        <v>45371</v>
      </c>
      <c r="F680">
        <v>34</v>
      </c>
      <c r="G680" t="s">
        <v>4296</v>
      </c>
    </row>
    <row r="681" spans="1:7">
      <c r="A681" t="s">
        <v>1738</v>
      </c>
      <c r="B681" t="s">
        <v>531</v>
      </c>
      <c r="C681" t="s">
        <v>133</v>
      </c>
      <c r="D681" s="10">
        <v>19371</v>
      </c>
      <c r="E681" s="10">
        <v>45329</v>
      </c>
      <c r="F681">
        <v>71</v>
      </c>
      <c r="G681" t="s">
        <v>4296</v>
      </c>
    </row>
    <row r="682" spans="1:7">
      <c r="A682" t="s">
        <v>4142</v>
      </c>
      <c r="B682" t="s">
        <v>1104</v>
      </c>
      <c r="C682" t="s">
        <v>40</v>
      </c>
      <c r="D682" s="10">
        <v>34521</v>
      </c>
      <c r="E682" s="10">
        <v>45863</v>
      </c>
      <c r="F682">
        <v>31</v>
      </c>
      <c r="G682" t="s">
        <v>4296</v>
      </c>
    </row>
    <row r="683" spans="1:7">
      <c r="A683" t="s">
        <v>1741</v>
      </c>
      <c r="B683" t="s">
        <v>270</v>
      </c>
      <c r="C683" t="s">
        <v>40</v>
      </c>
      <c r="D683" s="10">
        <v>20559</v>
      </c>
      <c r="E683" s="10">
        <v>45551</v>
      </c>
      <c r="F683">
        <v>68</v>
      </c>
      <c r="G683" t="s">
        <v>4296</v>
      </c>
    </row>
    <row r="684" spans="1:7">
      <c r="A684" t="s">
        <v>1743</v>
      </c>
      <c r="B684" t="s">
        <v>129</v>
      </c>
      <c r="C684" t="s">
        <v>40</v>
      </c>
      <c r="D684" s="10">
        <v>29771</v>
      </c>
      <c r="E684" s="10">
        <v>45015</v>
      </c>
      <c r="F684">
        <v>41</v>
      </c>
      <c r="G684" t="s">
        <v>4296</v>
      </c>
    </row>
    <row r="685" spans="1:7">
      <c r="A685" t="s">
        <v>1747</v>
      </c>
      <c r="B685" t="s">
        <v>1748</v>
      </c>
      <c r="C685" t="s">
        <v>133</v>
      </c>
      <c r="D685" s="10">
        <v>26619</v>
      </c>
      <c r="E685" s="10">
        <v>45291</v>
      </c>
      <c r="F685">
        <v>51</v>
      </c>
      <c r="G685" t="s">
        <v>4296</v>
      </c>
    </row>
    <row r="686" spans="1:7">
      <c r="A686" t="s">
        <v>1749</v>
      </c>
      <c r="B686" t="s">
        <v>342</v>
      </c>
      <c r="C686" t="s">
        <v>133</v>
      </c>
      <c r="D686" s="10">
        <v>36031</v>
      </c>
      <c r="E686" s="10">
        <v>45537</v>
      </c>
      <c r="F686">
        <v>26</v>
      </c>
      <c r="G686" t="s">
        <v>4296</v>
      </c>
    </row>
    <row r="687" spans="1:7">
      <c r="A687" t="s">
        <v>1751</v>
      </c>
      <c r="B687" t="s">
        <v>867</v>
      </c>
      <c r="C687" t="s">
        <v>133</v>
      </c>
      <c r="D687" s="10">
        <v>25028</v>
      </c>
      <c r="E687" s="10">
        <v>45081</v>
      </c>
      <c r="F687">
        <v>54</v>
      </c>
      <c r="G687" t="s">
        <v>4296</v>
      </c>
    </row>
    <row r="688" spans="1:7">
      <c r="A688" t="s">
        <v>1752</v>
      </c>
      <c r="B688" t="s">
        <v>383</v>
      </c>
      <c r="C688" t="s">
        <v>133</v>
      </c>
      <c r="D688" s="10">
        <v>20826</v>
      </c>
      <c r="E688" s="10">
        <v>45743</v>
      </c>
      <c r="F688">
        <v>68</v>
      </c>
      <c r="G688" t="s">
        <v>4296</v>
      </c>
    </row>
    <row r="689" spans="1:7">
      <c r="A689" t="s">
        <v>1753</v>
      </c>
      <c r="B689" t="s">
        <v>464</v>
      </c>
      <c r="C689" t="s">
        <v>40</v>
      </c>
      <c r="D689" s="10">
        <v>32805</v>
      </c>
      <c r="E689" s="10">
        <v>45482</v>
      </c>
      <c r="F689">
        <v>34</v>
      </c>
      <c r="G689" t="s">
        <v>4237</v>
      </c>
    </row>
    <row r="690" spans="1:7">
      <c r="A690" t="s">
        <v>1756</v>
      </c>
      <c r="B690" t="s">
        <v>909</v>
      </c>
      <c r="C690" t="s">
        <v>133</v>
      </c>
      <c r="D690" s="10">
        <v>20707</v>
      </c>
      <c r="E690" s="10">
        <v>45319</v>
      </c>
      <c r="F690">
        <v>67</v>
      </c>
      <c r="G690" t="s">
        <v>4296</v>
      </c>
    </row>
    <row r="691" spans="1:7">
      <c r="A691" t="s">
        <v>1759</v>
      </c>
      <c r="B691" t="s">
        <v>1302</v>
      </c>
      <c r="C691" t="s">
        <v>133</v>
      </c>
      <c r="D691" s="10">
        <v>21478</v>
      </c>
      <c r="E691" s="10">
        <v>45015</v>
      </c>
      <c r="F691">
        <v>64</v>
      </c>
      <c r="G691" t="s">
        <v>4296</v>
      </c>
    </row>
    <row r="692" spans="1:7">
      <c r="A692" t="s">
        <v>1760</v>
      </c>
      <c r="B692" t="s">
        <v>1106</v>
      </c>
      <c r="C692" t="s">
        <v>133</v>
      </c>
      <c r="D692" s="10">
        <v>18422</v>
      </c>
      <c r="E692" s="10">
        <v>45368</v>
      </c>
      <c r="F692">
        <v>73</v>
      </c>
      <c r="G692" t="s">
        <v>4296</v>
      </c>
    </row>
    <row r="693" spans="1:7">
      <c r="A693" t="s">
        <v>1762</v>
      </c>
      <c r="B693" t="s">
        <v>403</v>
      </c>
      <c r="C693" t="s">
        <v>40</v>
      </c>
      <c r="D693" s="10">
        <v>22277</v>
      </c>
      <c r="E693" s="10">
        <v>45482</v>
      </c>
      <c r="F693">
        <v>63</v>
      </c>
      <c r="G693" t="s">
        <v>4237</v>
      </c>
    </row>
    <row r="694" spans="1:7">
      <c r="A694" t="s">
        <v>1764</v>
      </c>
      <c r="B694" t="s">
        <v>887</v>
      </c>
      <c r="C694" t="s">
        <v>133</v>
      </c>
      <c r="D694" s="10">
        <v>32091</v>
      </c>
      <c r="E694" s="10">
        <v>45275</v>
      </c>
      <c r="F694">
        <v>36</v>
      </c>
      <c r="G694" t="s">
        <v>4296</v>
      </c>
    </row>
    <row r="695" spans="1:7">
      <c r="A695" t="s">
        <v>1766</v>
      </c>
      <c r="B695" t="s">
        <v>93</v>
      </c>
      <c r="C695" t="s">
        <v>133</v>
      </c>
      <c r="D695" s="10">
        <v>35427</v>
      </c>
      <c r="E695" s="10">
        <v>45532</v>
      </c>
      <c r="F695">
        <v>27</v>
      </c>
      <c r="G695" t="s">
        <v>4296</v>
      </c>
    </row>
    <row r="696" spans="1:7">
      <c r="A696" t="s">
        <v>1768</v>
      </c>
      <c r="B696" t="s">
        <v>1509</v>
      </c>
      <c r="C696" t="s">
        <v>40</v>
      </c>
      <c r="D696" s="10">
        <v>39727</v>
      </c>
      <c r="E696" s="10">
        <v>45801</v>
      </c>
      <c r="F696">
        <v>16</v>
      </c>
      <c r="G696" t="s">
        <v>4296</v>
      </c>
    </row>
    <row r="697" spans="1:7">
      <c r="A697" t="s">
        <v>1770</v>
      </c>
      <c r="B697" t="s">
        <v>825</v>
      </c>
      <c r="C697" t="s">
        <v>133</v>
      </c>
      <c r="D697" s="10">
        <v>29330</v>
      </c>
      <c r="E697" s="10">
        <v>45146</v>
      </c>
      <c r="F697">
        <v>43</v>
      </c>
      <c r="G697" t="s">
        <v>4237</v>
      </c>
    </row>
    <row r="698" spans="1:7">
      <c r="A698" t="s">
        <v>1773</v>
      </c>
      <c r="B698" t="s">
        <v>1001</v>
      </c>
      <c r="C698" t="s">
        <v>40</v>
      </c>
      <c r="D698" s="10">
        <v>32069</v>
      </c>
      <c r="E698" s="10">
        <v>44986</v>
      </c>
      <c r="F698">
        <v>35</v>
      </c>
      <c r="G698" t="s">
        <v>4296</v>
      </c>
    </row>
    <row r="699" spans="1:7">
      <c r="A699" t="s">
        <v>1774</v>
      </c>
      <c r="B699" t="s">
        <v>647</v>
      </c>
      <c r="C699" t="s">
        <v>40</v>
      </c>
      <c r="D699" s="10">
        <v>31943</v>
      </c>
      <c r="E699" s="10">
        <v>45276</v>
      </c>
      <c r="F699">
        <v>36</v>
      </c>
      <c r="G699" t="s">
        <v>4296</v>
      </c>
    </row>
    <row r="700" spans="1:7">
      <c r="A700" t="s">
        <v>1775</v>
      </c>
      <c r="B700" t="s">
        <v>1464</v>
      </c>
      <c r="C700" t="s">
        <v>133</v>
      </c>
      <c r="D700" s="10">
        <v>22970</v>
      </c>
      <c r="E700" s="10">
        <v>45852</v>
      </c>
      <c r="F700">
        <v>62</v>
      </c>
      <c r="G700" t="s">
        <v>4296</v>
      </c>
    </row>
    <row r="701" spans="1:7">
      <c r="A701" t="s">
        <v>1776</v>
      </c>
      <c r="B701" t="s">
        <v>244</v>
      </c>
      <c r="C701" t="s">
        <v>40</v>
      </c>
      <c r="D701" s="10">
        <v>37867</v>
      </c>
      <c r="E701" s="10">
        <v>45490</v>
      </c>
      <c r="F701">
        <v>20</v>
      </c>
      <c r="G701" t="s">
        <v>4296</v>
      </c>
    </row>
    <row r="702" spans="1:7">
      <c r="A702" t="s">
        <v>1778</v>
      </c>
      <c r="B702" t="s">
        <v>427</v>
      </c>
      <c r="C702" t="s">
        <v>40</v>
      </c>
      <c r="D702" s="10">
        <v>22727</v>
      </c>
      <c r="E702" s="10">
        <v>45735</v>
      </c>
      <c r="F702">
        <v>62</v>
      </c>
      <c r="G702" t="s">
        <v>4296</v>
      </c>
    </row>
    <row r="703" spans="1:7">
      <c r="A703" t="s">
        <v>1779</v>
      </c>
      <c r="B703" t="s">
        <v>21</v>
      </c>
      <c r="C703" t="s">
        <v>133</v>
      </c>
      <c r="D703" s="10">
        <v>25573</v>
      </c>
      <c r="E703" s="10">
        <v>45540</v>
      </c>
      <c r="F703">
        <v>54</v>
      </c>
      <c r="G703" t="s">
        <v>4296</v>
      </c>
    </row>
    <row r="704" spans="1:7">
      <c r="A704" t="s">
        <v>1781</v>
      </c>
      <c r="B704" t="s">
        <v>363</v>
      </c>
      <c r="C704" t="s">
        <v>40</v>
      </c>
      <c r="D704" s="10">
        <v>33008</v>
      </c>
      <c r="E704" s="10">
        <v>45431</v>
      </c>
      <c r="F704">
        <v>34</v>
      </c>
      <c r="G704" t="s">
        <v>4296</v>
      </c>
    </row>
    <row r="705" spans="1:7">
      <c r="A705" t="s">
        <v>1784</v>
      </c>
      <c r="B705" t="s">
        <v>857</v>
      </c>
      <c r="C705" t="s">
        <v>133</v>
      </c>
      <c r="D705" s="10">
        <v>26033</v>
      </c>
      <c r="E705" s="10">
        <v>45289</v>
      </c>
      <c r="F705">
        <v>52</v>
      </c>
      <c r="G705" t="s">
        <v>4296</v>
      </c>
    </row>
    <row r="706" spans="1:7">
      <c r="A706" t="s">
        <v>1786</v>
      </c>
      <c r="B706" t="s">
        <v>464</v>
      </c>
      <c r="C706" t="s">
        <v>133</v>
      </c>
      <c r="D706" s="10">
        <v>21404</v>
      </c>
      <c r="E706" s="10">
        <v>44943</v>
      </c>
      <c r="F706">
        <v>64</v>
      </c>
      <c r="G706" t="s">
        <v>4296</v>
      </c>
    </row>
    <row r="707" spans="1:7">
      <c r="A707" t="s">
        <v>1789</v>
      </c>
      <c r="B707" t="s">
        <v>666</v>
      </c>
      <c r="C707" t="s">
        <v>133</v>
      </c>
      <c r="D707" s="10">
        <v>31477</v>
      </c>
      <c r="E707" s="10">
        <v>45962</v>
      </c>
      <c r="F707">
        <v>39</v>
      </c>
      <c r="G707" t="s">
        <v>4296</v>
      </c>
    </row>
    <row r="708" spans="1:7">
      <c r="A708" t="s">
        <v>1791</v>
      </c>
      <c r="B708" t="s">
        <v>796</v>
      </c>
      <c r="C708" t="s">
        <v>133</v>
      </c>
      <c r="D708" s="10">
        <v>37766</v>
      </c>
      <c r="E708" s="10">
        <v>44998</v>
      </c>
      <c r="F708">
        <v>19</v>
      </c>
      <c r="G708" t="s">
        <v>4296</v>
      </c>
    </row>
    <row r="709" spans="1:7">
      <c r="A709" t="s">
        <v>1792</v>
      </c>
      <c r="B709" t="s">
        <v>403</v>
      </c>
      <c r="C709" t="s">
        <v>133</v>
      </c>
      <c r="D709" s="10">
        <v>37588</v>
      </c>
      <c r="E709" s="10">
        <v>45785</v>
      </c>
      <c r="F709">
        <v>22</v>
      </c>
      <c r="G709" t="s">
        <v>4296</v>
      </c>
    </row>
    <row r="710" spans="1:7">
      <c r="A710" t="s">
        <v>1794</v>
      </c>
      <c r="B710" t="s">
        <v>423</v>
      </c>
      <c r="C710" t="s">
        <v>40</v>
      </c>
      <c r="D710" s="10">
        <v>23079</v>
      </c>
      <c r="E710" s="10">
        <v>45687</v>
      </c>
      <c r="F710">
        <v>61</v>
      </c>
      <c r="G710" t="s">
        <v>4296</v>
      </c>
    </row>
    <row r="711" spans="1:7">
      <c r="A711" t="s">
        <v>1796</v>
      </c>
      <c r="B711" t="s">
        <v>83</v>
      </c>
      <c r="C711" t="s">
        <v>133</v>
      </c>
      <c r="D711" s="10">
        <v>36591</v>
      </c>
      <c r="E711" s="10">
        <v>45520</v>
      </c>
      <c r="F711">
        <v>24</v>
      </c>
      <c r="G711" t="s">
        <v>4296</v>
      </c>
    </row>
    <row r="712" spans="1:7">
      <c r="A712" t="s">
        <v>1799</v>
      </c>
      <c r="B712" t="s">
        <v>771</v>
      </c>
      <c r="C712" t="s">
        <v>133</v>
      </c>
      <c r="D712" s="10">
        <v>26036</v>
      </c>
      <c r="E712" s="10">
        <v>45775</v>
      </c>
      <c r="F712">
        <v>54</v>
      </c>
      <c r="G712" t="s">
        <v>4296</v>
      </c>
    </row>
    <row r="713" spans="1:7">
      <c r="A713" t="s">
        <v>1800</v>
      </c>
      <c r="B713" t="s">
        <v>1667</v>
      </c>
      <c r="C713" t="s">
        <v>133</v>
      </c>
      <c r="D713" s="10">
        <v>20127</v>
      </c>
      <c r="E713" s="10">
        <v>45706</v>
      </c>
      <c r="F713">
        <v>70</v>
      </c>
      <c r="G713" t="s">
        <v>4296</v>
      </c>
    </row>
    <row r="714" spans="1:7">
      <c r="A714" t="s">
        <v>1801</v>
      </c>
      <c r="B714" t="s">
        <v>936</v>
      </c>
      <c r="C714" t="s">
        <v>133</v>
      </c>
      <c r="D714" s="10">
        <v>21665</v>
      </c>
      <c r="E714" s="10">
        <v>45544</v>
      </c>
      <c r="F714">
        <v>65</v>
      </c>
      <c r="G714" t="s">
        <v>4296</v>
      </c>
    </row>
    <row r="715" spans="1:7">
      <c r="A715" t="s">
        <v>1802</v>
      </c>
      <c r="B715" t="s">
        <v>522</v>
      </c>
      <c r="C715" t="s">
        <v>133</v>
      </c>
      <c r="D715" s="10">
        <v>23321</v>
      </c>
      <c r="E715" s="10">
        <v>45788</v>
      </c>
      <c r="F715">
        <v>61</v>
      </c>
      <c r="G715" t="s">
        <v>4296</v>
      </c>
    </row>
    <row r="716" spans="1:7">
      <c r="A716" t="s">
        <v>1804</v>
      </c>
      <c r="B716" t="s">
        <v>1119</v>
      </c>
      <c r="C716" t="s">
        <v>40</v>
      </c>
      <c r="D716" s="10">
        <v>22115</v>
      </c>
      <c r="E716" s="10">
        <v>45755</v>
      </c>
      <c r="F716">
        <v>64</v>
      </c>
      <c r="G716" t="s">
        <v>4296</v>
      </c>
    </row>
    <row r="717" spans="1:7">
      <c r="A717" t="s">
        <v>1805</v>
      </c>
      <c r="B717" t="s">
        <v>155</v>
      </c>
      <c r="C717" t="s">
        <v>40</v>
      </c>
      <c r="D717" s="10">
        <v>31428</v>
      </c>
      <c r="E717" s="10">
        <v>45524</v>
      </c>
      <c r="F717">
        <v>38</v>
      </c>
      <c r="G717" t="s">
        <v>4296</v>
      </c>
    </row>
    <row r="718" spans="1:7">
      <c r="A718" t="s">
        <v>1808</v>
      </c>
      <c r="B718" t="s">
        <v>1480</v>
      </c>
      <c r="C718" t="s">
        <v>133</v>
      </c>
      <c r="D718" s="10">
        <v>25702</v>
      </c>
      <c r="E718" s="10">
        <v>45310</v>
      </c>
      <c r="F718">
        <v>53</v>
      </c>
      <c r="G718" t="s">
        <v>4296</v>
      </c>
    </row>
    <row r="719" spans="1:7">
      <c r="A719" t="s">
        <v>1810</v>
      </c>
      <c r="B719" t="s">
        <v>967</v>
      </c>
      <c r="C719" t="s">
        <v>40</v>
      </c>
      <c r="D719" s="10">
        <v>18280</v>
      </c>
      <c r="E719" s="10">
        <v>45994</v>
      </c>
      <c r="F719">
        <v>75</v>
      </c>
      <c r="G719" t="s">
        <v>4296</v>
      </c>
    </row>
    <row r="720" spans="1:7">
      <c r="A720" t="s">
        <v>1812</v>
      </c>
      <c r="B720" t="s">
        <v>292</v>
      </c>
      <c r="C720" t="s">
        <v>40</v>
      </c>
      <c r="D720" s="10">
        <v>37680</v>
      </c>
      <c r="E720" s="10">
        <v>45797</v>
      </c>
      <c r="F720">
        <v>22</v>
      </c>
      <c r="G720" t="s">
        <v>4296</v>
      </c>
    </row>
    <row r="721" spans="1:7">
      <c r="A721" t="s">
        <v>1814</v>
      </c>
      <c r="B721" t="s">
        <v>1305</v>
      </c>
      <c r="C721" t="s">
        <v>133</v>
      </c>
      <c r="D721" s="10">
        <v>26181</v>
      </c>
      <c r="E721" s="10">
        <v>45559</v>
      </c>
      <c r="F721">
        <v>53</v>
      </c>
      <c r="G721" t="s">
        <v>4296</v>
      </c>
    </row>
    <row r="722" spans="1:7">
      <c r="A722" t="s">
        <v>1816</v>
      </c>
      <c r="B722" t="s">
        <v>390</v>
      </c>
      <c r="C722" t="s">
        <v>133</v>
      </c>
      <c r="D722" s="10">
        <v>24800</v>
      </c>
      <c r="E722" s="10">
        <v>44959</v>
      </c>
      <c r="F722">
        <v>55</v>
      </c>
      <c r="G722" t="s">
        <v>4296</v>
      </c>
    </row>
    <row r="723" spans="1:7">
      <c r="A723" t="s">
        <v>1817</v>
      </c>
      <c r="B723" t="s">
        <v>1818</v>
      </c>
      <c r="C723" t="s">
        <v>133</v>
      </c>
      <c r="D723" s="10">
        <v>22018</v>
      </c>
      <c r="E723" s="10">
        <v>45857</v>
      </c>
      <c r="F723">
        <v>65</v>
      </c>
      <c r="G723" t="s">
        <v>4296</v>
      </c>
    </row>
    <row r="724" spans="1:7">
      <c r="A724" t="s">
        <v>1819</v>
      </c>
      <c r="B724" t="s">
        <v>444</v>
      </c>
      <c r="C724" t="s">
        <v>133</v>
      </c>
      <c r="D724" s="10">
        <v>19395</v>
      </c>
      <c r="E724" s="10">
        <v>45423</v>
      </c>
      <c r="F724">
        <v>71</v>
      </c>
      <c r="G724" t="s">
        <v>4296</v>
      </c>
    </row>
    <row r="725" spans="1:7">
      <c r="A725" t="s">
        <v>4143</v>
      </c>
      <c r="B725" t="s">
        <v>1313</v>
      </c>
      <c r="C725" t="s">
        <v>133</v>
      </c>
      <c r="D725" s="10">
        <v>35074</v>
      </c>
      <c r="E725" s="10">
        <v>45290</v>
      </c>
      <c r="F725">
        <v>27</v>
      </c>
      <c r="G725" t="s">
        <v>4296</v>
      </c>
    </row>
    <row r="726" spans="1:7">
      <c r="A726" t="s">
        <v>1824</v>
      </c>
      <c r="B726" t="s">
        <v>1200</v>
      </c>
      <c r="C726" t="s">
        <v>133</v>
      </c>
      <c r="D726" s="10">
        <v>37490</v>
      </c>
      <c r="E726" s="10">
        <v>45302</v>
      </c>
      <c r="F726">
        <v>21</v>
      </c>
      <c r="G726" t="s">
        <v>4296</v>
      </c>
    </row>
    <row r="727" spans="1:7">
      <c r="A727" t="s">
        <v>1825</v>
      </c>
      <c r="B727" t="s">
        <v>417</v>
      </c>
      <c r="C727" t="s">
        <v>133</v>
      </c>
      <c r="D727" s="10">
        <v>32975</v>
      </c>
      <c r="E727" s="10">
        <v>44957</v>
      </c>
      <c r="F727">
        <v>32</v>
      </c>
      <c r="G727" t="s">
        <v>4296</v>
      </c>
    </row>
    <row r="728" spans="1:7">
      <c r="A728" t="s">
        <v>1826</v>
      </c>
      <c r="B728" t="s">
        <v>277</v>
      </c>
      <c r="C728" t="s">
        <v>40</v>
      </c>
      <c r="D728" s="10">
        <v>22076</v>
      </c>
      <c r="E728" s="10">
        <v>45279</v>
      </c>
      <c r="F728">
        <v>63</v>
      </c>
      <c r="G728" t="s">
        <v>4296</v>
      </c>
    </row>
    <row r="729" spans="1:7">
      <c r="A729" t="s">
        <v>1827</v>
      </c>
      <c r="B729" t="s">
        <v>531</v>
      </c>
      <c r="C729" t="s">
        <v>40</v>
      </c>
      <c r="D729" s="10">
        <v>30568</v>
      </c>
      <c r="E729" s="10">
        <v>45786</v>
      </c>
      <c r="F729">
        <v>41</v>
      </c>
      <c r="G729" t="s">
        <v>4296</v>
      </c>
    </row>
    <row r="730" spans="1:7">
      <c r="A730" t="s">
        <v>1828</v>
      </c>
      <c r="B730" t="s">
        <v>394</v>
      </c>
      <c r="C730" t="s">
        <v>133</v>
      </c>
      <c r="D730" s="10">
        <v>37362</v>
      </c>
      <c r="E730" s="10">
        <v>45218</v>
      </c>
      <c r="F730">
        <v>21</v>
      </c>
      <c r="G730" t="s">
        <v>4296</v>
      </c>
    </row>
    <row r="731" spans="1:7">
      <c r="A731" t="s">
        <v>1829</v>
      </c>
      <c r="B731" t="s">
        <v>1830</v>
      </c>
      <c r="C731" t="s">
        <v>40</v>
      </c>
      <c r="D731" s="10">
        <v>36117</v>
      </c>
      <c r="E731" s="10">
        <v>45776</v>
      </c>
      <c r="F731">
        <v>26</v>
      </c>
      <c r="G731" t="s">
        <v>4296</v>
      </c>
    </row>
    <row r="732" spans="1:7">
      <c r="A732" t="s">
        <v>1832</v>
      </c>
      <c r="B732" t="s">
        <v>21</v>
      </c>
      <c r="C732" t="s">
        <v>40</v>
      </c>
      <c r="D732" s="10">
        <v>39890</v>
      </c>
      <c r="E732" s="10">
        <v>46009</v>
      </c>
      <c r="F732">
        <v>16</v>
      </c>
      <c r="G732" t="s">
        <v>4296</v>
      </c>
    </row>
    <row r="733" spans="1:7">
      <c r="A733" t="s">
        <v>1835</v>
      </c>
      <c r="B733" t="s">
        <v>324</v>
      </c>
      <c r="C733" t="s">
        <v>40</v>
      </c>
      <c r="D733" s="10">
        <v>29764</v>
      </c>
      <c r="E733" s="10">
        <v>45391</v>
      </c>
      <c r="F733">
        <v>42</v>
      </c>
      <c r="G733" t="s">
        <v>4296</v>
      </c>
    </row>
    <row r="734" spans="1:7">
      <c r="A734" t="s">
        <v>1836</v>
      </c>
      <c r="B734" t="s">
        <v>613</v>
      </c>
      <c r="C734" t="s">
        <v>133</v>
      </c>
      <c r="D734" s="10">
        <v>19195</v>
      </c>
      <c r="E734" s="10">
        <v>45710</v>
      </c>
      <c r="F734">
        <v>72</v>
      </c>
      <c r="G734" t="s">
        <v>4296</v>
      </c>
    </row>
    <row r="735" spans="1:7">
      <c r="A735" t="s">
        <v>1838</v>
      </c>
      <c r="B735" t="s">
        <v>1839</v>
      </c>
      <c r="C735" t="s">
        <v>40</v>
      </c>
      <c r="D735" s="10">
        <v>39820</v>
      </c>
      <c r="E735" s="10">
        <v>45331</v>
      </c>
      <c r="F735">
        <v>15</v>
      </c>
      <c r="G735" t="s">
        <v>4296</v>
      </c>
    </row>
    <row r="736" spans="1:7">
      <c r="A736" t="s">
        <v>1840</v>
      </c>
      <c r="B736" t="s">
        <v>383</v>
      </c>
      <c r="C736" t="s">
        <v>40</v>
      </c>
      <c r="D736" s="10">
        <v>19057</v>
      </c>
      <c r="E736" s="10">
        <v>45681</v>
      </c>
      <c r="F736">
        <v>72</v>
      </c>
      <c r="G736" t="s">
        <v>4296</v>
      </c>
    </row>
    <row r="737" spans="1:7">
      <c r="A737" t="s">
        <v>1842</v>
      </c>
      <c r="B737" t="s">
        <v>224</v>
      </c>
      <c r="C737" t="s">
        <v>133</v>
      </c>
      <c r="D737" s="10">
        <v>38028</v>
      </c>
      <c r="E737" s="10">
        <v>45894</v>
      </c>
      <c r="F737">
        <v>21</v>
      </c>
      <c r="G737" t="s">
        <v>4296</v>
      </c>
    </row>
    <row r="738" spans="1:7">
      <c r="A738" t="s">
        <v>1844</v>
      </c>
      <c r="B738" t="s">
        <v>1667</v>
      </c>
      <c r="C738" t="s">
        <v>40</v>
      </c>
      <c r="D738" s="10">
        <v>35247</v>
      </c>
      <c r="E738" s="10">
        <v>45241</v>
      </c>
      <c r="F738">
        <v>27</v>
      </c>
      <c r="G738" t="s">
        <v>4296</v>
      </c>
    </row>
    <row r="739" spans="1:7">
      <c r="A739" t="s">
        <v>1846</v>
      </c>
      <c r="B739" t="s">
        <v>1391</v>
      </c>
      <c r="C739" t="s">
        <v>40</v>
      </c>
      <c r="D739" s="10">
        <v>29747</v>
      </c>
      <c r="E739" s="10">
        <v>45394</v>
      </c>
      <c r="F739">
        <v>42</v>
      </c>
      <c r="G739" t="s">
        <v>4296</v>
      </c>
    </row>
    <row r="740" spans="1:7">
      <c r="A740" t="s">
        <v>1848</v>
      </c>
      <c r="B740" t="s">
        <v>229</v>
      </c>
      <c r="C740" t="s">
        <v>133</v>
      </c>
      <c r="D740" s="10">
        <v>28250</v>
      </c>
      <c r="E740" s="10">
        <v>44948</v>
      </c>
      <c r="F740">
        <v>45</v>
      </c>
      <c r="G740" t="s">
        <v>4296</v>
      </c>
    </row>
    <row r="741" spans="1:7">
      <c r="A741" t="s">
        <v>1850</v>
      </c>
      <c r="B741" t="s">
        <v>427</v>
      </c>
      <c r="C741" t="s">
        <v>133</v>
      </c>
      <c r="D741" s="10">
        <v>30572</v>
      </c>
      <c r="E741" s="10">
        <v>45405</v>
      </c>
      <c r="F741">
        <v>40</v>
      </c>
      <c r="G741" t="s">
        <v>4296</v>
      </c>
    </row>
    <row r="742" spans="1:7">
      <c r="A742" t="s">
        <v>1852</v>
      </c>
      <c r="B742" t="s">
        <v>689</v>
      </c>
      <c r="C742" t="s">
        <v>40</v>
      </c>
      <c r="D742" s="10">
        <v>19709</v>
      </c>
      <c r="E742" s="10">
        <v>45482</v>
      </c>
      <c r="F742">
        <v>70</v>
      </c>
      <c r="G742" t="s">
        <v>4237</v>
      </c>
    </row>
    <row r="743" spans="1:7">
      <c r="A743" t="s">
        <v>1854</v>
      </c>
      <c r="B743" t="s">
        <v>378</v>
      </c>
      <c r="C743" t="s">
        <v>40</v>
      </c>
      <c r="D743" s="10">
        <v>20512</v>
      </c>
      <c r="E743" s="10">
        <v>45878</v>
      </c>
      <c r="F743">
        <v>69</v>
      </c>
      <c r="G743" t="s">
        <v>4296</v>
      </c>
    </row>
    <row r="744" spans="1:7">
      <c r="A744" t="s">
        <v>1856</v>
      </c>
      <c r="B744" t="s">
        <v>829</v>
      </c>
      <c r="C744" t="s">
        <v>133</v>
      </c>
      <c r="D744" s="10">
        <v>22287</v>
      </c>
      <c r="E744" s="10">
        <v>45773</v>
      </c>
      <c r="F744">
        <v>64</v>
      </c>
      <c r="G744" t="s">
        <v>4296</v>
      </c>
    </row>
    <row r="745" spans="1:7">
      <c r="A745" t="s">
        <v>1858</v>
      </c>
      <c r="B745" t="s">
        <v>126</v>
      </c>
      <c r="C745" t="s">
        <v>40</v>
      </c>
      <c r="D745" s="10">
        <v>22410</v>
      </c>
      <c r="E745" s="10">
        <v>45698</v>
      </c>
      <c r="F745">
        <v>63</v>
      </c>
      <c r="G745" t="s">
        <v>4296</v>
      </c>
    </row>
    <row r="746" spans="1:7">
      <c r="A746" t="s">
        <v>1860</v>
      </c>
      <c r="B746" t="s">
        <v>314</v>
      </c>
      <c r="C746" t="s">
        <v>40</v>
      </c>
      <c r="D746" s="10">
        <v>23451</v>
      </c>
      <c r="E746" s="10">
        <v>45250</v>
      </c>
      <c r="F746">
        <v>59</v>
      </c>
      <c r="G746" t="s">
        <v>4296</v>
      </c>
    </row>
    <row r="747" spans="1:7">
      <c r="A747" t="s">
        <v>1862</v>
      </c>
      <c r="B747" t="s">
        <v>1471</v>
      </c>
      <c r="C747" t="s">
        <v>40</v>
      </c>
      <c r="D747" s="10">
        <v>24404</v>
      </c>
      <c r="E747" s="10">
        <v>45692</v>
      </c>
      <c r="F747">
        <v>58</v>
      </c>
      <c r="G747" t="s">
        <v>4296</v>
      </c>
    </row>
    <row r="748" spans="1:7">
      <c r="A748" t="s">
        <v>1864</v>
      </c>
      <c r="B748" t="s">
        <v>244</v>
      </c>
      <c r="C748" t="s">
        <v>133</v>
      </c>
      <c r="D748" s="10">
        <v>29330</v>
      </c>
      <c r="E748" s="10">
        <v>44997</v>
      </c>
      <c r="F748">
        <v>42</v>
      </c>
      <c r="G748" t="s">
        <v>4237</v>
      </c>
    </row>
    <row r="749" spans="1:7">
      <c r="A749" t="s">
        <v>4144</v>
      </c>
      <c r="B749" t="s">
        <v>522</v>
      </c>
      <c r="C749" t="s">
        <v>40</v>
      </c>
      <c r="D749" s="10">
        <v>37525</v>
      </c>
      <c r="E749" s="10">
        <v>45510</v>
      </c>
      <c r="F749">
        <v>21</v>
      </c>
      <c r="G749" t="s">
        <v>4296</v>
      </c>
    </row>
    <row r="750" spans="1:7">
      <c r="A750" t="s">
        <v>1868</v>
      </c>
      <c r="B750" t="s">
        <v>693</v>
      </c>
      <c r="C750" t="s">
        <v>40</v>
      </c>
      <c r="D750" s="10">
        <v>36336</v>
      </c>
      <c r="E750" s="10">
        <v>45731</v>
      </c>
      <c r="F750">
        <v>25</v>
      </c>
      <c r="G750" t="s">
        <v>4296</v>
      </c>
    </row>
    <row r="751" spans="1:7">
      <c r="A751" t="s">
        <v>1872</v>
      </c>
      <c r="B751" t="s">
        <v>1830</v>
      </c>
      <c r="C751" t="s">
        <v>133</v>
      </c>
      <c r="D751" s="10">
        <v>22477</v>
      </c>
      <c r="E751" s="10">
        <v>45082</v>
      </c>
      <c r="F751">
        <v>61</v>
      </c>
      <c r="G751" t="s">
        <v>4296</v>
      </c>
    </row>
    <row r="752" spans="1:7">
      <c r="A752" t="s">
        <v>1873</v>
      </c>
      <c r="B752" t="s">
        <v>591</v>
      </c>
      <c r="C752" t="s">
        <v>133</v>
      </c>
      <c r="D752" s="10">
        <v>25636</v>
      </c>
      <c r="E752" s="10">
        <v>45052</v>
      </c>
      <c r="F752">
        <v>53</v>
      </c>
      <c r="G752" t="s">
        <v>4296</v>
      </c>
    </row>
    <row r="753" spans="1:7">
      <c r="A753" t="s">
        <v>1877</v>
      </c>
      <c r="B753" t="s">
        <v>1256</v>
      </c>
      <c r="C753" t="s">
        <v>133</v>
      </c>
      <c r="D753" s="10">
        <v>38416</v>
      </c>
      <c r="E753" s="10">
        <v>45118</v>
      </c>
      <c r="F753">
        <v>18</v>
      </c>
      <c r="G753" t="s">
        <v>4296</v>
      </c>
    </row>
    <row r="754" spans="1:7">
      <c r="A754" t="s">
        <v>1880</v>
      </c>
      <c r="B754" t="s">
        <v>1408</v>
      </c>
      <c r="C754" t="s">
        <v>40</v>
      </c>
      <c r="D754" s="10">
        <v>20634</v>
      </c>
      <c r="E754" s="10">
        <v>45044</v>
      </c>
      <c r="F754">
        <v>66</v>
      </c>
      <c r="G754" t="s">
        <v>4296</v>
      </c>
    </row>
    <row r="755" spans="1:7">
      <c r="A755" t="s">
        <v>1881</v>
      </c>
      <c r="B755" t="s">
        <v>898</v>
      </c>
      <c r="C755" t="s">
        <v>133</v>
      </c>
      <c r="D755" s="10">
        <v>39931</v>
      </c>
      <c r="E755" s="10">
        <v>45580</v>
      </c>
      <c r="F755">
        <v>15</v>
      </c>
      <c r="G755" t="s">
        <v>4296</v>
      </c>
    </row>
    <row r="756" spans="1:7">
      <c r="A756" t="s">
        <v>1882</v>
      </c>
      <c r="B756" t="s">
        <v>1017</v>
      </c>
      <c r="C756" t="s">
        <v>133</v>
      </c>
      <c r="D756" s="10">
        <v>23865</v>
      </c>
      <c r="E756" s="10">
        <v>45515</v>
      </c>
      <c r="F756">
        <v>59</v>
      </c>
      <c r="G756" t="s">
        <v>4296</v>
      </c>
    </row>
    <row r="757" spans="1:7">
      <c r="A757" t="s">
        <v>1884</v>
      </c>
      <c r="B757" t="s">
        <v>112</v>
      </c>
      <c r="C757" t="s">
        <v>40</v>
      </c>
      <c r="D757" s="10">
        <v>26772</v>
      </c>
      <c r="E757" s="10">
        <v>45290</v>
      </c>
      <c r="F757">
        <v>50</v>
      </c>
      <c r="G757" t="s">
        <v>4296</v>
      </c>
    </row>
    <row r="758" spans="1:7">
      <c r="A758" t="s">
        <v>1885</v>
      </c>
      <c r="B758" t="s">
        <v>1622</v>
      </c>
      <c r="C758" t="s">
        <v>133</v>
      </c>
      <c r="D758" s="10">
        <v>23362</v>
      </c>
      <c r="E758" s="10">
        <v>45651</v>
      </c>
      <c r="F758">
        <v>61</v>
      </c>
      <c r="G758" t="s">
        <v>4296</v>
      </c>
    </row>
    <row r="759" spans="1:7">
      <c r="A759" t="s">
        <v>1887</v>
      </c>
      <c r="B759" t="s">
        <v>1888</v>
      </c>
      <c r="C759" t="s">
        <v>40</v>
      </c>
      <c r="D759" s="10">
        <v>34743</v>
      </c>
      <c r="E759" s="10">
        <v>45641</v>
      </c>
      <c r="F759">
        <v>29</v>
      </c>
      <c r="G759" t="s">
        <v>4296</v>
      </c>
    </row>
    <row r="760" spans="1:7">
      <c r="A760" t="s">
        <v>1891</v>
      </c>
      <c r="B760" t="s">
        <v>843</v>
      </c>
      <c r="C760" t="s">
        <v>40</v>
      </c>
      <c r="D760" s="10">
        <v>20716</v>
      </c>
      <c r="E760" s="10">
        <v>45830</v>
      </c>
      <c r="F760">
        <v>68</v>
      </c>
      <c r="G760" t="s">
        <v>4296</v>
      </c>
    </row>
    <row r="761" spans="1:7">
      <c r="A761" t="s">
        <v>1894</v>
      </c>
      <c r="B761" t="s">
        <v>522</v>
      </c>
      <c r="C761" t="s">
        <v>133</v>
      </c>
      <c r="D761" s="10">
        <v>28788</v>
      </c>
      <c r="E761" s="10">
        <v>44949</v>
      </c>
      <c r="F761">
        <v>44</v>
      </c>
      <c r="G761" t="s">
        <v>4296</v>
      </c>
    </row>
    <row r="762" spans="1:7">
      <c r="A762" t="s">
        <v>1895</v>
      </c>
      <c r="B762" t="s">
        <v>700</v>
      </c>
      <c r="C762" t="s">
        <v>133</v>
      </c>
      <c r="D762" s="10">
        <v>22325</v>
      </c>
      <c r="E762" s="10">
        <v>45497</v>
      </c>
      <c r="F762">
        <v>63</v>
      </c>
      <c r="G762" t="s">
        <v>4296</v>
      </c>
    </row>
    <row r="763" spans="1:7">
      <c r="A763" t="s">
        <v>1896</v>
      </c>
      <c r="B763" t="s">
        <v>1140</v>
      </c>
      <c r="C763" t="s">
        <v>40</v>
      </c>
      <c r="D763" s="10">
        <v>37953</v>
      </c>
      <c r="E763" s="10">
        <v>45646</v>
      </c>
      <c r="F763">
        <v>21</v>
      </c>
      <c r="G763" t="s">
        <v>4296</v>
      </c>
    </row>
    <row r="764" spans="1:7">
      <c r="A764" t="s">
        <v>1898</v>
      </c>
      <c r="B764" t="s">
        <v>21</v>
      </c>
      <c r="C764" t="s">
        <v>133</v>
      </c>
      <c r="D764" s="10">
        <v>25356</v>
      </c>
      <c r="E764" s="10">
        <v>45857</v>
      </c>
      <c r="F764">
        <v>56</v>
      </c>
      <c r="G764" t="s">
        <v>4296</v>
      </c>
    </row>
    <row r="765" spans="1:7">
      <c r="A765" t="s">
        <v>1900</v>
      </c>
      <c r="B765" t="s">
        <v>324</v>
      </c>
      <c r="C765" t="s">
        <v>133</v>
      </c>
      <c r="D765" s="10">
        <v>22621</v>
      </c>
      <c r="E765" s="10">
        <v>45966</v>
      </c>
      <c r="F765">
        <v>63</v>
      </c>
      <c r="G765" t="s">
        <v>4296</v>
      </c>
    </row>
    <row r="766" spans="1:7">
      <c r="A766" t="s">
        <v>1902</v>
      </c>
      <c r="B766" t="s">
        <v>1393</v>
      </c>
      <c r="C766" t="s">
        <v>133</v>
      </c>
      <c r="D766" s="10">
        <v>35607</v>
      </c>
      <c r="E766" s="10">
        <v>45587</v>
      </c>
      <c r="F766">
        <v>27</v>
      </c>
      <c r="G766" t="s">
        <v>4296</v>
      </c>
    </row>
    <row r="767" spans="1:7">
      <c r="A767" t="s">
        <v>1903</v>
      </c>
      <c r="B767" t="s">
        <v>218</v>
      </c>
      <c r="C767" t="s">
        <v>40</v>
      </c>
      <c r="D767" s="10">
        <v>40470</v>
      </c>
      <c r="E767" s="10">
        <v>45290</v>
      </c>
      <c r="F767">
        <v>13</v>
      </c>
      <c r="G767" t="s">
        <v>4296</v>
      </c>
    </row>
    <row r="768" spans="1:7">
      <c r="A768" t="s">
        <v>1905</v>
      </c>
      <c r="B768" t="s">
        <v>1480</v>
      </c>
      <c r="C768" t="s">
        <v>40</v>
      </c>
      <c r="D768" s="10">
        <v>38770</v>
      </c>
      <c r="E768" s="10">
        <v>45413</v>
      </c>
      <c r="F768">
        <v>18</v>
      </c>
      <c r="G768" t="s">
        <v>4296</v>
      </c>
    </row>
    <row r="769" spans="1:7">
      <c r="A769" t="s">
        <v>1908</v>
      </c>
      <c r="B769" t="s">
        <v>1563</v>
      </c>
      <c r="C769" t="s">
        <v>133</v>
      </c>
      <c r="D769" s="10">
        <v>33720</v>
      </c>
      <c r="E769" s="10">
        <v>45038</v>
      </c>
      <c r="F769">
        <v>30</v>
      </c>
      <c r="G769" t="s">
        <v>4296</v>
      </c>
    </row>
    <row r="770" spans="1:7">
      <c r="A770" t="s">
        <v>1910</v>
      </c>
      <c r="B770" t="s">
        <v>679</v>
      </c>
      <c r="C770" t="s">
        <v>133</v>
      </c>
      <c r="D770" s="10">
        <v>39403</v>
      </c>
      <c r="E770" s="10">
        <v>45117</v>
      </c>
      <c r="F770">
        <v>15</v>
      </c>
      <c r="G770" t="s">
        <v>4296</v>
      </c>
    </row>
    <row r="771" spans="1:7">
      <c r="A771" t="s">
        <v>1911</v>
      </c>
      <c r="B771" t="s">
        <v>841</v>
      </c>
      <c r="C771" t="s">
        <v>133</v>
      </c>
      <c r="D771" s="10">
        <v>33385</v>
      </c>
      <c r="E771" s="10">
        <v>45539</v>
      </c>
      <c r="F771">
        <v>33</v>
      </c>
      <c r="G771" t="s">
        <v>4296</v>
      </c>
    </row>
    <row r="772" spans="1:7">
      <c r="A772" t="s">
        <v>1912</v>
      </c>
      <c r="B772" t="s">
        <v>1393</v>
      </c>
      <c r="C772" t="s">
        <v>133</v>
      </c>
      <c r="D772" s="10">
        <v>21203</v>
      </c>
      <c r="E772" s="10">
        <v>45172</v>
      </c>
      <c r="F772">
        <v>65</v>
      </c>
      <c r="G772" t="s">
        <v>4296</v>
      </c>
    </row>
    <row r="773" spans="1:7">
      <c r="A773" t="s">
        <v>1915</v>
      </c>
      <c r="B773" t="s">
        <v>147</v>
      </c>
      <c r="C773" t="s">
        <v>133</v>
      </c>
      <c r="D773" s="10">
        <v>18621</v>
      </c>
      <c r="E773" s="10">
        <v>45531</v>
      </c>
      <c r="F773">
        <v>73</v>
      </c>
      <c r="G773" t="s">
        <v>4296</v>
      </c>
    </row>
    <row r="774" spans="1:7">
      <c r="A774" t="s">
        <v>1917</v>
      </c>
      <c r="B774" t="s">
        <v>548</v>
      </c>
      <c r="C774" t="s">
        <v>133</v>
      </c>
      <c r="D774" s="10">
        <v>25655</v>
      </c>
      <c r="E774" s="10">
        <v>45558</v>
      </c>
      <c r="F774">
        <v>54</v>
      </c>
      <c r="G774" t="s">
        <v>4296</v>
      </c>
    </row>
    <row r="775" spans="1:7">
      <c r="A775" t="s">
        <v>1920</v>
      </c>
      <c r="B775" t="s">
        <v>280</v>
      </c>
      <c r="C775" t="s">
        <v>133</v>
      </c>
      <c r="D775" s="10">
        <v>29330</v>
      </c>
      <c r="E775" s="10">
        <v>45746</v>
      </c>
      <c r="F775">
        <v>44</v>
      </c>
      <c r="G775" t="s">
        <v>4237</v>
      </c>
    </row>
    <row r="776" spans="1:7">
      <c r="A776" t="s">
        <v>1924</v>
      </c>
      <c r="B776" t="s">
        <v>515</v>
      </c>
      <c r="C776" t="s">
        <v>133</v>
      </c>
      <c r="D776" s="10">
        <v>22354</v>
      </c>
      <c r="E776" s="10">
        <v>45190</v>
      </c>
      <c r="F776">
        <v>62</v>
      </c>
      <c r="G776" t="s">
        <v>4296</v>
      </c>
    </row>
    <row r="777" spans="1:7">
      <c r="A777" t="s">
        <v>1926</v>
      </c>
      <c r="B777" t="s">
        <v>1362</v>
      </c>
      <c r="C777" t="s">
        <v>133</v>
      </c>
      <c r="D777" s="10">
        <v>20919</v>
      </c>
      <c r="E777" s="10">
        <v>46002</v>
      </c>
      <c r="F777">
        <v>68</v>
      </c>
      <c r="G777" t="s">
        <v>4296</v>
      </c>
    </row>
    <row r="778" spans="1:7">
      <c r="A778" t="s">
        <v>1927</v>
      </c>
      <c r="B778" t="s">
        <v>762</v>
      </c>
      <c r="C778" t="s">
        <v>40</v>
      </c>
      <c r="D778" s="10">
        <v>35402</v>
      </c>
      <c r="E778" s="10">
        <v>45551</v>
      </c>
      <c r="F778">
        <v>27</v>
      </c>
      <c r="G778" t="s">
        <v>4296</v>
      </c>
    </row>
    <row r="779" spans="1:7">
      <c r="A779" t="s">
        <v>1928</v>
      </c>
      <c r="B779" t="s">
        <v>1108</v>
      </c>
      <c r="C779" t="s">
        <v>133</v>
      </c>
      <c r="D779" s="10">
        <v>29330</v>
      </c>
      <c r="E779" s="10">
        <v>45236</v>
      </c>
      <c r="F779">
        <v>43</v>
      </c>
      <c r="G779" t="s">
        <v>4237</v>
      </c>
    </row>
    <row r="780" spans="1:7">
      <c r="A780" t="s">
        <v>1932</v>
      </c>
      <c r="B780" t="s">
        <v>301</v>
      </c>
      <c r="C780" t="s">
        <v>133</v>
      </c>
      <c r="D780" s="10">
        <v>20323</v>
      </c>
      <c r="E780" s="10">
        <v>45673</v>
      </c>
      <c r="F780">
        <v>69</v>
      </c>
      <c r="G780" t="s">
        <v>4296</v>
      </c>
    </row>
    <row r="781" spans="1:7">
      <c r="A781" t="s">
        <v>4145</v>
      </c>
      <c r="B781" t="s">
        <v>1935</v>
      </c>
      <c r="C781" t="s">
        <v>133</v>
      </c>
      <c r="D781" s="10">
        <v>20456</v>
      </c>
      <c r="E781" s="10">
        <v>45943</v>
      </c>
      <c r="F781">
        <v>69</v>
      </c>
      <c r="G781" t="s">
        <v>4296</v>
      </c>
    </row>
    <row r="782" spans="1:7">
      <c r="A782" t="s">
        <v>1936</v>
      </c>
      <c r="B782" t="s">
        <v>1391</v>
      </c>
      <c r="C782" t="s">
        <v>133</v>
      </c>
      <c r="D782" s="10">
        <v>35150</v>
      </c>
      <c r="E782" s="10">
        <v>45528</v>
      </c>
      <c r="F782">
        <v>28</v>
      </c>
      <c r="G782" t="s">
        <v>4296</v>
      </c>
    </row>
    <row r="783" spans="1:7">
      <c r="A783" t="s">
        <v>1937</v>
      </c>
      <c r="B783" t="s">
        <v>607</v>
      </c>
      <c r="C783" t="s">
        <v>40</v>
      </c>
      <c r="D783" s="10">
        <v>34446</v>
      </c>
      <c r="E783" s="10">
        <v>45267</v>
      </c>
      <c r="F783">
        <v>29</v>
      </c>
      <c r="G783" t="s">
        <v>4296</v>
      </c>
    </row>
    <row r="784" spans="1:7">
      <c r="A784" t="s">
        <v>1940</v>
      </c>
      <c r="B784" t="s">
        <v>403</v>
      </c>
      <c r="C784" t="s">
        <v>133</v>
      </c>
      <c r="D784" s="10">
        <v>33647</v>
      </c>
      <c r="E784" s="10">
        <v>45111</v>
      </c>
      <c r="F784">
        <v>31</v>
      </c>
      <c r="G784" t="s">
        <v>4296</v>
      </c>
    </row>
    <row r="785" spans="1:7">
      <c r="A785" t="s">
        <v>1943</v>
      </c>
      <c r="B785" t="s">
        <v>658</v>
      </c>
      <c r="C785" t="s">
        <v>40</v>
      </c>
      <c r="D785" s="10">
        <v>31250</v>
      </c>
      <c r="E785" s="10">
        <v>45497</v>
      </c>
      <c r="F785">
        <v>39</v>
      </c>
      <c r="G785" t="s">
        <v>4296</v>
      </c>
    </row>
    <row r="786" spans="1:7">
      <c r="A786" t="s">
        <v>1944</v>
      </c>
      <c r="B786" t="s">
        <v>1734</v>
      </c>
      <c r="C786" t="s">
        <v>133</v>
      </c>
      <c r="D786" s="10">
        <v>35992</v>
      </c>
      <c r="E786" s="10">
        <v>45014</v>
      </c>
      <c r="F786">
        <v>24</v>
      </c>
      <c r="G786" t="s">
        <v>4296</v>
      </c>
    </row>
    <row r="787" spans="1:7">
      <c r="A787" t="s">
        <v>1945</v>
      </c>
      <c r="B787" t="s">
        <v>1364</v>
      </c>
      <c r="C787" t="s">
        <v>133</v>
      </c>
      <c r="D787" s="10">
        <v>37080</v>
      </c>
      <c r="E787" s="10">
        <v>45308</v>
      </c>
      <c r="F787">
        <v>22</v>
      </c>
      <c r="G787" t="s">
        <v>4296</v>
      </c>
    </row>
    <row r="788" spans="1:7">
      <c r="A788" t="s">
        <v>1946</v>
      </c>
      <c r="B788" t="s">
        <v>199</v>
      </c>
      <c r="C788" t="s">
        <v>40</v>
      </c>
      <c r="D788" s="10">
        <v>20326</v>
      </c>
      <c r="E788" s="10">
        <v>45057</v>
      </c>
      <c r="F788">
        <v>67</v>
      </c>
      <c r="G788" t="s">
        <v>4296</v>
      </c>
    </row>
    <row r="789" spans="1:7">
      <c r="A789" t="s">
        <v>1947</v>
      </c>
      <c r="B789" t="s">
        <v>1125</v>
      </c>
      <c r="C789" t="s">
        <v>40</v>
      </c>
      <c r="D789" s="10">
        <v>29844</v>
      </c>
      <c r="E789" s="10">
        <v>44939</v>
      </c>
      <c r="F789">
        <v>41</v>
      </c>
      <c r="G789" t="s">
        <v>4296</v>
      </c>
    </row>
    <row r="790" spans="1:7">
      <c r="A790" t="s">
        <v>1950</v>
      </c>
      <c r="B790" t="s">
        <v>1471</v>
      </c>
      <c r="C790" t="s">
        <v>133</v>
      </c>
      <c r="D790" s="10">
        <v>31814</v>
      </c>
      <c r="E790" s="10">
        <v>45047</v>
      </c>
      <c r="F790">
        <v>36</v>
      </c>
      <c r="G790" t="s">
        <v>4296</v>
      </c>
    </row>
    <row r="791" spans="1:7">
      <c r="A791" t="s">
        <v>1952</v>
      </c>
      <c r="B791" t="s">
        <v>108</v>
      </c>
      <c r="C791" t="s">
        <v>40</v>
      </c>
      <c r="D791" s="10">
        <v>39955</v>
      </c>
      <c r="E791" s="10">
        <v>45585</v>
      </c>
      <c r="F791">
        <v>15</v>
      </c>
      <c r="G791" t="s">
        <v>4296</v>
      </c>
    </row>
    <row r="792" spans="1:7">
      <c r="A792" t="s">
        <v>1954</v>
      </c>
      <c r="B792" t="s">
        <v>1460</v>
      </c>
      <c r="C792" t="s">
        <v>133</v>
      </c>
      <c r="D792" s="10">
        <v>27581</v>
      </c>
      <c r="E792" s="10">
        <v>45270</v>
      </c>
      <c r="F792">
        <v>48</v>
      </c>
      <c r="G792" t="s">
        <v>4296</v>
      </c>
    </row>
    <row r="793" spans="1:7">
      <c r="A793" t="s">
        <v>1955</v>
      </c>
      <c r="B793" t="s">
        <v>1956</v>
      </c>
      <c r="C793" t="s">
        <v>40</v>
      </c>
      <c r="D793" s="10">
        <v>26667</v>
      </c>
      <c r="E793" s="10">
        <v>45693</v>
      </c>
      <c r="F793">
        <v>52</v>
      </c>
      <c r="G793" t="s">
        <v>4296</v>
      </c>
    </row>
    <row r="794" spans="1:7">
      <c r="A794" t="s">
        <v>1957</v>
      </c>
      <c r="B794" t="s">
        <v>403</v>
      </c>
      <c r="C794" t="s">
        <v>40</v>
      </c>
      <c r="D794" s="10">
        <v>34143</v>
      </c>
      <c r="E794" s="10">
        <v>45884</v>
      </c>
      <c r="F794">
        <v>32</v>
      </c>
      <c r="G794" t="s">
        <v>4296</v>
      </c>
    </row>
    <row r="795" spans="1:7">
      <c r="A795" t="s">
        <v>1959</v>
      </c>
      <c r="B795" t="s">
        <v>383</v>
      </c>
      <c r="C795" t="s">
        <v>40</v>
      </c>
      <c r="D795" s="10">
        <v>19426</v>
      </c>
      <c r="E795" s="10">
        <v>45906</v>
      </c>
      <c r="F795">
        <v>72</v>
      </c>
      <c r="G795" t="s">
        <v>4296</v>
      </c>
    </row>
    <row r="796" spans="1:7">
      <c r="A796" t="s">
        <v>1962</v>
      </c>
      <c r="B796" t="s">
        <v>164</v>
      </c>
      <c r="C796" t="s">
        <v>133</v>
      </c>
      <c r="D796" s="10">
        <v>19081</v>
      </c>
      <c r="E796" s="10">
        <v>45200</v>
      </c>
      <c r="F796">
        <v>71</v>
      </c>
      <c r="G796" t="s">
        <v>4296</v>
      </c>
    </row>
    <row r="797" spans="1:7">
      <c r="A797" t="s">
        <v>1964</v>
      </c>
      <c r="B797" t="s">
        <v>221</v>
      </c>
      <c r="C797" t="s">
        <v>40</v>
      </c>
      <c r="D797" s="10">
        <v>22761</v>
      </c>
      <c r="E797" s="10">
        <v>45285</v>
      </c>
      <c r="F797">
        <v>61</v>
      </c>
      <c r="G797" t="s">
        <v>4296</v>
      </c>
    </row>
    <row r="798" spans="1:7">
      <c r="A798" t="s">
        <v>1966</v>
      </c>
      <c r="B798" t="s">
        <v>350</v>
      </c>
      <c r="C798" t="s">
        <v>40</v>
      </c>
      <c r="D798" s="10">
        <v>20821</v>
      </c>
      <c r="E798" s="10">
        <v>45732</v>
      </c>
      <c r="F798">
        <v>68</v>
      </c>
      <c r="G798" t="s">
        <v>4296</v>
      </c>
    </row>
    <row r="799" spans="1:7">
      <c r="A799" t="s">
        <v>1969</v>
      </c>
      <c r="B799" t="s">
        <v>584</v>
      </c>
      <c r="C799" t="s">
        <v>40</v>
      </c>
      <c r="D799" s="10">
        <v>31200</v>
      </c>
      <c r="E799" s="10">
        <v>45414</v>
      </c>
      <c r="F799">
        <v>38</v>
      </c>
      <c r="G799" t="s">
        <v>4296</v>
      </c>
    </row>
    <row r="800" spans="1:7">
      <c r="A800" t="s">
        <v>1972</v>
      </c>
      <c r="B800" t="s">
        <v>1104</v>
      </c>
      <c r="C800" t="s">
        <v>133</v>
      </c>
      <c r="D800" s="10">
        <v>26938</v>
      </c>
      <c r="E800" s="10">
        <v>45807</v>
      </c>
      <c r="F800">
        <v>51</v>
      </c>
      <c r="G800" t="s">
        <v>4296</v>
      </c>
    </row>
    <row r="801" spans="1:7">
      <c r="A801" t="s">
        <v>1973</v>
      </c>
      <c r="B801" t="s">
        <v>700</v>
      </c>
      <c r="C801" t="s">
        <v>133</v>
      </c>
      <c r="D801" s="10">
        <v>37887</v>
      </c>
      <c r="E801" s="10">
        <v>45495</v>
      </c>
      <c r="F801">
        <v>20</v>
      </c>
      <c r="G801" t="s">
        <v>4296</v>
      </c>
    </row>
    <row r="802" spans="1:7">
      <c r="A802" t="s">
        <v>1976</v>
      </c>
      <c r="B802" t="s">
        <v>368</v>
      </c>
      <c r="C802" t="s">
        <v>133</v>
      </c>
      <c r="D802" s="10">
        <v>32129</v>
      </c>
      <c r="E802" s="10">
        <v>45079</v>
      </c>
      <c r="F802">
        <v>35</v>
      </c>
      <c r="G802" t="s">
        <v>4296</v>
      </c>
    </row>
    <row r="803" spans="1:7">
      <c r="A803" t="s">
        <v>1978</v>
      </c>
      <c r="B803" t="s">
        <v>247</v>
      </c>
      <c r="C803" t="s">
        <v>40</v>
      </c>
      <c r="D803" s="10">
        <v>34549</v>
      </c>
      <c r="E803" s="10">
        <v>45978</v>
      </c>
      <c r="F803">
        <v>31</v>
      </c>
      <c r="G803" t="s">
        <v>4296</v>
      </c>
    </row>
    <row r="804" spans="1:7">
      <c r="A804" t="s">
        <v>1979</v>
      </c>
      <c r="B804" t="s">
        <v>472</v>
      </c>
      <c r="C804" t="s">
        <v>133</v>
      </c>
      <c r="D804" s="10">
        <v>27419</v>
      </c>
      <c r="E804" s="10">
        <v>45591</v>
      </c>
      <c r="F804">
        <v>49</v>
      </c>
      <c r="G804" t="s">
        <v>4296</v>
      </c>
    </row>
    <row r="805" spans="1:7">
      <c r="A805" t="s">
        <v>1983</v>
      </c>
      <c r="B805" t="s">
        <v>1101</v>
      </c>
      <c r="C805" t="s">
        <v>40</v>
      </c>
      <c r="D805" s="10">
        <v>39257</v>
      </c>
      <c r="E805" s="10">
        <v>45847</v>
      </c>
      <c r="F805">
        <v>18</v>
      </c>
      <c r="G805" t="s">
        <v>4296</v>
      </c>
    </row>
    <row r="806" spans="1:7">
      <c r="A806" t="s">
        <v>1985</v>
      </c>
      <c r="B806" t="s">
        <v>1364</v>
      </c>
      <c r="C806" t="s">
        <v>40</v>
      </c>
      <c r="D806" s="10">
        <v>27953</v>
      </c>
      <c r="E806" s="10">
        <v>45449</v>
      </c>
      <c r="F806">
        <v>47</v>
      </c>
      <c r="G806" t="s">
        <v>4296</v>
      </c>
    </row>
    <row r="807" spans="1:7">
      <c r="A807" t="s">
        <v>1988</v>
      </c>
      <c r="B807" t="s">
        <v>936</v>
      </c>
      <c r="C807" t="s">
        <v>40</v>
      </c>
      <c r="D807" s="10">
        <v>19277</v>
      </c>
      <c r="E807" s="10">
        <v>45475</v>
      </c>
      <c r="F807">
        <v>71</v>
      </c>
      <c r="G807" t="s">
        <v>4296</v>
      </c>
    </row>
    <row r="808" spans="1:7">
      <c r="A808" t="s">
        <v>1991</v>
      </c>
      <c r="B808" t="s">
        <v>679</v>
      </c>
      <c r="C808" t="s">
        <v>40</v>
      </c>
      <c r="D808" s="10">
        <v>21494</v>
      </c>
      <c r="E808" s="10">
        <v>45240</v>
      </c>
      <c r="F808">
        <v>65</v>
      </c>
      <c r="G808" t="s">
        <v>4296</v>
      </c>
    </row>
    <row r="809" spans="1:7">
      <c r="A809" t="s">
        <v>1993</v>
      </c>
      <c r="B809" t="s">
        <v>829</v>
      </c>
      <c r="C809" t="s">
        <v>40</v>
      </c>
      <c r="D809" s="10">
        <v>19075</v>
      </c>
      <c r="E809" s="10">
        <v>45812</v>
      </c>
      <c r="F809">
        <v>73</v>
      </c>
      <c r="G809" t="s">
        <v>4296</v>
      </c>
    </row>
    <row r="810" spans="1:7">
      <c r="A810" t="s">
        <v>1994</v>
      </c>
      <c r="B810" t="s">
        <v>1464</v>
      </c>
      <c r="C810" t="s">
        <v>133</v>
      </c>
      <c r="D810" s="10">
        <v>29026</v>
      </c>
      <c r="E810" s="10">
        <v>45675</v>
      </c>
      <c r="F810">
        <v>45</v>
      </c>
      <c r="G810" t="s">
        <v>4296</v>
      </c>
    </row>
    <row r="811" spans="1:7">
      <c r="A811" t="s">
        <v>1996</v>
      </c>
      <c r="B811" t="s">
        <v>1526</v>
      </c>
      <c r="C811" t="s">
        <v>133</v>
      </c>
      <c r="D811" s="10">
        <v>18983</v>
      </c>
      <c r="E811" s="10">
        <v>45665</v>
      </c>
      <c r="F811">
        <v>73</v>
      </c>
      <c r="G811" t="s">
        <v>4296</v>
      </c>
    </row>
    <row r="812" spans="1:7">
      <c r="A812" t="s">
        <v>1999</v>
      </c>
      <c r="B812" t="s">
        <v>83</v>
      </c>
      <c r="C812" t="s">
        <v>40</v>
      </c>
      <c r="D812" s="10">
        <v>30020</v>
      </c>
      <c r="E812" s="10">
        <v>45227</v>
      </c>
      <c r="F812">
        <v>41</v>
      </c>
      <c r="G812" t="s">
        <v>4296</v>
      </c>
    </row>
    <row r="813" spans="1:7">
      <c r="A813" t="s">
        <v>2000</v>
      </c>
      <c r="B813" t="s">
        <v>771</v>
      </c>
      <c r="C813" t="s">
        <v>133</v>
      </c>
      <c r="D813" s="10">
        <v>25716</v>
      </c>
      <c r="E813" s="10">
        <v>45844</v>
      </c>
      <c r="F813">
        <v>55</v>
      </c>
      <c r="G813" t="s">
        <v>4296</v>
      </c>
    </row>
    <row r="814" spans="1:7">
      <c r="A814" t="s">
        <v>2002</v>
      </c>
      <c r="B814" t="s">
        <v>1956</v>
      </c>
      <c r="C814" t="s">
        <v>40</v>
      </c>
      <c r="D814" s="10">
        <v>32160</v>
      </c>
      <c r="E814" s="10">
        <v>45546</v>
      </c>
      <c r="F814">
        <v>36</v>
      </c>
      <c r="G814" t="s">
        <v>4296</v>
      </c>
    </row>
    <row r="815" spans="1:7">
      <c r="A815" t="s">
        <v>4146</v>
      </c>
      <c r="B815" t="s">
        <v>345</v>
      </c>
      <c r="C815" t="s">
        <v>40</v>
      </c>
      <c r="D815" s="10">
        <v>35479</v>
      </c>
      <c r="E815" s="10">
        <v>45131</v>
      </c>
      <c r="F815">
        <v>26</v>
      </c>
      <c r="G815" t="s">
        <v>4296</v>
      </c>
    </row>
    <row r="816" spans="1:7">
      <c r="A816" t="s">
        <v>2005</v>
      </c>
      <c r="B816" t="s">
        <v>1050</v>
      </c>
      <c r="C816" t="s">
        <v>133</v>
      </c>
      <c r="D816" s="10">
        <v>33744</v>
      </c>
      <c r="E816" s="10">
        <v>45857</v>
      </c>
      <c r="F816">
        <v>33</v>
      </c>
      <c r="G816" t="s">
        <v>4296</v>
      </c>
    </row>
    <row r="817" spans="1:7">
      <c r="A817" t="s">
        <v>2007</v>
      </c>
      <c r="B817" t="s">
        <v>2008</v>
      </c>
      <c r="C817" t="s">
        <v>40</v>
      </c>
      <c r="D817" s="10">
        <v>26239</v>
      </c>
      <c r="E817" s="10">
        <v>45578</v>
      </c>
      <c r="F817">
        <v>52</v>
      </c>
      <c r="G817" t="s">
        <v>4296</v>
      </c>
    </row>
    <row r="818" spans="1:7">
      <c r="A818" t="s">
        <v>2011</v>
      </c>
      <c r="B818" t="s">
        <v>796</v>
      </c>
      <c r="C818" t="s">
        <v>133</v>
      </c>
      <c r="D818" s="10">
        <v>39924</v>
      </c>
      <c r="E818" s="10">
        <v>45587</v>
      </c>
      <c r="F818">
        <v>15</v>
      </c>
      <c r="G818" t="s">
        <v>4296</v>
      </c>
    </row>
    <row r="819" spans="1:7">
      <c r="A819" t="s">
        <v>4147</v>
      </c>
      <c r="B819" t="s">
        <v>1302</v>
      </c>
      <c r="C819" t="s">
        <v>133</v>
      </c>
      <c r="D819" s="10">
        <v>29520</v>
      </c>
      <c r="E819" s="10">
        <v>45482</v>
      </c>
      <c r="F819">
        <v>43</v>
      </c>
      <c r="G819" t="s">
        <v>4237</v>
      </c>
    </row>
    <row r="820" spans="1:7">
      <c r="A820" t="s">
        <v>2017</v>
      </c>
      <c r="B820" t="s">
        <v>556</v>
      </c>
      <c r="C820" t="s">
        <v>40</v>
      </c>
      <c r="D820" s="10">
        <v>27662</v>
      </c>
      <c r="E820" s="10">
        <v>45353</v>
      </c>
      <c r="F820">
        <v>48</v>
      </c>
      <c r="G820" t="s">
        <v>4296</v>
      </c>
    </row>
    <row r="821" spans="1:7">
      <c r="A821" t="s">
        <v>2018</v>
      </c>
      <c r="B821" t="s">
        <v>601</v>
      </c>
      <c r="C821" t="s">
        <v>40</v>
      </c>
      <c r="D821" s="10">
        <v>25349</v>
      </c>
      <c r="E821" s="10">
        <v>45714</v>
      </c>
      <c r="F821">
        <v>55</v>
      </c>
      <c r="G821" t="s">
        <v>4296</v>
      </c>
    </row>
    <row r="822" spans="1:7">
      <c r="A822" t="s">
        <v>2020</v>
      </c>
      <c r="B822" t="s">
        <v>1108</v>
      </c>
      <c r="C822" t="s">
        <v>40</v>
      </c>
      <c r="D822" s="10">
        <v>23524</v>
      </c>
      <c r="E822" s="10">
        <v>45487</v>
      </c>
      <c r="F822">
        <v>60</v>
      </c>
      <c r="G822" t="s">
        <v>4296</v>
      </c>
    </row>
    <row r="823" spans="1:7">
      <c r="A823" t="s">
        <v>2023</v>
      </c>
      <c r="B823" t="s">
        <v>517</v>
      </c>
      <c r="C823" t="s">
        <v>133</v>
      </c>
      <c r="D823" s="10">
        <v>27390</v>
      </c>
      <c r="E823" s="10">
        <v>45310</v>
      </c>
      <c r="F823">
        <v>49</v>
      </c>
      <c r="G823" t="s">
        <v>4296</v>
      </c>
    </row>
    <row r="824" spans="1:7">
      <c r="A824" t="s">
        <v>2025</v>
      </c>
      <c r="B824" t="s">
        <v>553</v>
      </c>
      <c r="C824" t="s">
        <v>40</v>
      </c>
      <c r="D824" s="10">
        <v>32022</v>
      </c>
      <c r="E824" s="10">
        <v>45075</v>
      </c>
      <c r="F824">
        <v>35</v>
      </c>
      <c r="G824" t="s">
        <v>4296</v>
      </c>
    </row>
    <row r="825" spans="1:7">
      <c r="A825" t="s">
        <v>4148</v>
      </c>
      <c r="B825" t="s">
        <v>129</v>
      </c>
      <c r="C825" t="s">
        <v>40</v>
      </c>
      <c r="D825" s="10">
        <v>28250</v>
      </c>
      <c r="E825" s="10">
        <v>45698</v>
      </c>
      <c r="F825">
        <v>47</v>
      </c>
      <c r="G825" t="s">
        <v>4296</v>
      </c>
    </row>
    <row r="826" spans="1:7">
      <c r="A826" t="s">
        <v>2028</v>
      </c>
      <c r="B826" t="s">
        <v>2029</v>
      </c>
      <c r="C826" t="s">
        <v>40</v>
      </c>
      <c r="D826" s="10">
        <v>25574</v>
      </c>
      <c r="E826" s="10">
        <v>45612</v>
      </c>
      <c r="F826">
        <v>54</v>
      </c>
      <c r="G826" t="s">
        <v>4296</v>
      </c>
    </row>
    <row r="827" spans="1:7">
      <c r="A827" t="s">
        <v>2032</v>
      </c>
      <c r="B827" t="s">
        <v>2033</v>
      </c>
      <c r="C827" t="s">
        <v>133</v>
      </c>
      <c r="D827" s="10">
        <v>37745</v>
      </c>
      <c r="E827" s="10">
        <v>45659</v>
      </c>
      <c r="F827">
        <v>21</v>
      </c>
      <c r="G827" t="s">
        <v>4296</v>
      </c>
    </row>
    <row r="828" spans="1:7">
      <c r="A828" t="s">
        <v>2037</v>
      </c>
      <c r="B828" t="s">
        <v>771</v>
      </c>
      <c r="C828" t="s">
        <v>40</v>
      </c>
      <c r="D828" s="10">
        <v>35417</v>
      </c>
      <c r="E828" s="10">
        <v>45910</v>
      </c>
      <c r="F828">
        <v>28</v>
      </c>
      <c r="G828" t="s">
        <v>4296</v>
      </c>
    </row>
    <row r="829" spans="1:7">
      <c r="A829" t="s">
        <v>2039</v>
      </c>
      <c r="B829" t="s">
        <v>999</v>
      </c>
      <c r="C829" t="s">
        <v>133</v>
      </c>
      <c r="D829" s="10">
        <v>28082</v>
      </c>
      <c r="E829" s="10">
        <v>44931</v>
      </c>
      <c r="F829">
        <v>46</v>
      </c>
      <c r="G829" t="s">
        <v>4296</v>
      </c>
    </row>
    <row r="830" spans="1:7">
      <c r="A830" t="s">
        <v>2041</v>
      </c>
      <c r="B830" t="s">
        <v>911</v>
      </c>
      <c r="C830" t="s">
        <v>133</v>
      </c>
      <c r="D830" s="10">
        <v>22060</v>
      </c>
      <c r="E830" s="10">
        <v>45122</v>
      </c>
      <c r="F830">
        <v>63</v>
      </c>
      <c r="G830" t="s">
        <v>4296</v>
      </c>
    </row>
    <row r="831" spans="1:7">
      <c r="A831" t="s">
        <v>2042</v>
      </c>
      <c r="B831" t="s">
        <v>202</v>
      </c>
      <c r="C831" t="s">
        <v>40</v>
      </c>
      <c r="D831" s="10">
        <v>21266</v>
      </c>
      <c r="E831" s="10">
        <v>45287</v>
      </c>
      <c r="F831">
        <v>65</v>
      </c>
      <c r="G831" t="s">
        <v>4296</v>
      </c>
    </row>
    <row r="832" spans="1:7">
      <c r="A832" t="s">
        <v>2044</v>
      </c>
      <c r="B832" t="s">
        <v>150</v>
      </c>
      <c r="C832" t="s">
        <v>40</v>
      </c>
      <c r="D832" s="10">
        <v>37824</v>
      </c>
      <c r="E832" s="10">
        <v>45507</v>
      </c>
      <c r="F832">
        <v>21</v>
      </c>
      <c r="G832" t="s">
        <v>4296</v>
      </c>
    </row>
    <row r="833" spans="1:7">
      <c r="A833" t="s">
        <v>4149</v>
      </c>
      <c r="B833" t="s">
        <v>553</v>
      </c>
      <c r="C833" t="s">
        <v>40</v>
      </c>
      <c r="D833" s="10">
        <v>31372</v>
      </c>
      <c r="E833" s="10">
        <v>45665</v>
      </c>
      <c r="F833">
        <v>39</v>
      </c>
      <c r="G833" t="s">
        <v>4296</v>
      </c>
    </row>
    <row r="834" spans="1:7">
      <c r="A834" t="s">
        <v>2046</v>
      </c>
      <c r="B834" t="s">
        <v>238</v>
      </c>
      <c r="C834" t="s">
        <v>40</v>
      </c>
      <c r="D834" s="10">
        <v>36685</v>
      </c>
      <c r="E834" s="10">
        <v>45437</v>
      </c>
      <c r="F834">
        <v>23</v>
      </c>
      <c r="G834" t="s">
        <v>4296</v>
      </c>
    </row>
    <row r="835" spans="1:7">
      <c r="A835" t="s">
        <v>2048</v>
      </c>
      <c r="B835" t="s">
        <v>563</v>
      </c>
      <c r="C835" t="s">
        <v>40</v>
      </c>
      <c r="D835" s="10">
        <v>39076</v>
      </c>
      <c r="E835" s="10">
        <v>45722</v>
      </c>
      <c r="F835">
        <v>18</v>
      </c>
      <c r="G835" t="s">
        <v>4296</v>
      </c>
    </row>
    <row r="836" spans="1:7">
      <c r="A836" t="s">
        <v>2050</v>
      </c>
      <c r="B836" t="s">
        <v>249</v>
      </c>
      <c r="C836" t="s">
        <v>40</v>
      </c>
      <c r="D836" s="10">
        <v>21689</v>
      </c>
      <c r="E836" s="10">
        <v>45890</v>
      </c>
      <c r="F836">
        <v>66</v>
      </c>
      <c r="G836" t="s">
        <v>4296</v>
      </c>
    </row>
    <row r="837" spans="1:7">
      <c r="A837" t="s">
        <v>2051</v>
      </c>
      <c r="B837" t="s">
        <v>238</v>
      </c>
      <c r="C837" t="s">
        <v>133</v>
      </c>
      <c r="D837" s="10">
        <v>32716</v>
      </c>
      <c r="E837" s="10">
        <v>45914</v>
      </c>
      <c r="F837">
        <v>36</v>
      </c>
      <c r="G837" t="s">
        <v>4296</v>
      </c>
    </row>
    <row r="838" spans="1:7">
      <c r="A838" t="s">
        <v>2052</v>
      </c>
      <c r="B838" t="s">
        <v>922</v>
      </c>
      <c r="C838" t="s">
        <v>40</v>
      </c>
      <c r="D838" s="10">
        <v>32188</v>
      </c>
      <c r="E838" s="10">
        <v>45211</v>
      </c>
      <c r="F838">
        <v>35</v>
      </c>
      <c r="G838" t="s">
        <v>4296</v>
      </c>
    </row>
    <row r="839" spans="1:7">
      <c r="A839" t="s">
        <v>2053</v>
      </c>
      <c r="B839" t="s">
        <v>613</v>
      </c>
      <c r="C839" t="s">
        <v>40</v>
      </c>
      <c r="D839" s="10">
        <v>22093</v>
      </c>
      <c r="E839" s="10">
        <v>44983</v>
      </c>
      <c r="F839">
        <v>62</v>
      </c>
      <c r="G839" t="s">
        <v>4296</v>
      </c>
    </row>
    <row r="840" spans="1:7">
      <c r="A840" t="s">
        <v>2054</v>
      </c>
      <c r="B840" t="s">
        <v>1167</v>
      </c>
      <c r="C840" t="s">
        <v>133</v>
      </c>
      <c r="D840" s="10">
        <v>29866</v>
      </c>
      <c r="E840" s="10">
        <v>45004</v>
      </c>
      <c r="F840">
        <v>41</v>
      </c>
      <c r="G840" t="s">
        <v>4296</v>
      </c>
    </row>
    <row r="841" spans="1:7">
      <c r="A841" t="s">
        <v>2056</v>
      </c>
      <c r="B841" t="s">
        <v>356</v>
      </c>
      <c r="C841" t="s">
        <v>133</v>
      </c>
      <c r="D841" s="10">
        <v>23867</v>
      </c>
      <c r="E841" s="10">
        <v>45176</v>
      </c>
      <c r="F841">
        <v>58</v>
      </c>
      <c r="G841" t="s">
        <v>4296</v>
      </c>
    </row>
    <row r="842" spans="1:7">
      <c r="A842" t="s">
        <v>2057</v>
      </c>
      <c r="B842" t="s">
        <v>850</v>
      </c>
      <c r="C842" t="s">
        <v>40</v>
      </c>
      <c r="D842" s="10">
        <v>20915</v>
      </c>
      <c r="E842" s="10">
        <v>45127</v>
      </c>
      <c r="F842">
        <v>66</v>
      </c>
      <c r="G842" t="s">
        <v>4296</v>
      </c>
    </row>
    <row r="843" spans="1:7">
      <c r="A843" t="s">
        <v>2059</v>
      </c>
      <c r="B843" t="s">
        <v>1818</v>
      </c>
      <c r="C843" t="s">
        <v>40</v>
      </c>
      <c r="D843" s="10">
        <v>38242</v>
      </c>
      <c r="E843" s="10">
        <v>45932</v>
      </c>
      <c r="F843">
        <v>21</v>
      </c>
      <c r="G843" t="s">
        <v>4296</v>
      </c>
    </row>
    <row r="844" spans="1:7">
      <c r="A844" t="s">
        <v>2061</v>
      </c>
      <c r="B844" t="s">
        <v>202</v>
      </c>
      <c r="C844" t="s">
        <v>40</v>
      </c>
      <c r="D844" s="10">
        <v>19560</v>
      </c>
      <c r="E844" s="10">
        <v>45814</v>
      </c>
      <c r="F844">
        <v>71</v>
      </c>
      <c r="G844" t="s">
        <v>4296</v>
      </c>
    </row>
    <row r="845" spans="1:7">
      <c r="A845" t="s">
        <v>2064</v>
      </c>
      <c r="B845" t="s">
        <v>909</v>
      </c>
      <c r="C845" t="s">
        <v>133</v>
      </c>
      <c r="D845" s="10">
        <v>32280</v>
      </c>
      <c r="E845" s="10">
        <v>45379</v>
      </c>
      <c r="F845">
        <v>35</v>
      </c>
      <c r="G845" t="s">
        <v>4296</v>
      </c>
    </row>
    <row r="846" spans="1:7">
      <c r="A846" t="s">
        <v>2065</v>
      </c>
      <c r="B846" t="s">
        <v>218</v>
      </c>
      <c r="C846" t="s">
        <v>133</v>
      </c>
      <c r="D846" s="10">
        <v>33606</v>
      </c>
      <c r="E846" s="10">
        <v>45529</v>
      </c>
      <c r="F846">
        <v>32</v>
      </c>
      <c r="G846" t="s">
        <v>4296</v>
      </c>
    </row>
    <row r="847" spans="1:7">
      <c r="A847" t="s">
        <v>2066</v>
      </c>
      <c r="B847" t="s">
        <v>385</v>
      </c>
      <c r="C847" t="s">
        <v>133</v>
      </c>
      <c r="D847" s="10">
        <v>18489</v>
      </c>
      <c r="E847" s="10">
        <v>45272</v>
      </c>
      <c r="F847">
        <v>73</v>
      </c>
      <c r="G847" t="s">
        <v>4296</v>
      </c>
    </row>
    <row r="848" spans="1:7">
      <c r="A848" t="s">
        <v>2069</v>
      </c>
      <c r="B848" t="s">
        <v>1088</v>
      </c>
      <c r="C848" t="s">
        <v>40</v>
      </c>
      <c r="D848" s="10">
        <v>32181</v>
      </c>
      <c r="E848" s="10">
        <v>45690</v>
      </c>
      <c r="F848">
        <v>36</v>
      </c>
      <c r="G848" t="s">
        <v>4296</v>
      </c>
    </row>
    <row r="849" spans="1:7">
      <c r="A849" t="s">
        <v>2071</v>
      </c>
      <c r="B849" t="s">
        <v>88</v>
      </c>
      <c r="C849" t="s">
        <v>40</v>
      </c>
      <c r="D849" s="10">
        <v>18752</v>
      </c>
      <c r="E849" s="10">
        <v>45516</v>
      </c>
      <c r="F849">
        <v>73</v>
      </c>
      <c r="G849" t="s">
        <v>4296</v>
      </c>
    </row>
    <row r="850" spans="1:7">
      <c r="A850" t="s">
        <v>2072</v>
      </c>
      <c r="B850" t="s">
        <v>697</v>
      </c>
      <c r="C850" t="s">
        <v>133</v>
      </c>
      <c r="D850" s="10">
        <v>33573</v>
      </c>
      <c r="E850" s="10">
        <v>45392</v>
      </c>
      <c r="F850">
        <v>32</v>
      </c>
      <c r="G850" t="s">
        <v>4296</v>
      </c>
    </row>
    <row r="851" spans="1:7">
      <c r="A851" t="s">
        <v>4150</v>
      </c>
      <c r="B851" t="s">
        <v>2075</v>
      </c>
      <c r="C851" t="s">
        <v>40</v>
      </c>
      <c r="D851" s="10">
        <v>39417</v>
      </c>
      <c r="E851" s="10">
        <v>45785</v>
      </c>
      <c r="F851">
        <v>17</v>
      </c>
      <c r="G851" t="s">
        <v>4296</v>
      </c>
    </row>
    <row r="852" spans="1:7">
      <c r="A852" t="s">
        <v>2076</v>
      </c>
      <c r="B852" t="s">
        <v>524</v>
      </c>
      <c r="C852" t="s">
        <v>40</v>
      </c>
      <c r="D852" s="10">
        <v>28082</v>
      </c>
      <c r="E852" s="10">
        <v>45068</v>
      </c>
      <c r="F852">
        <v>46</v>
      </c>
      <c r="G852" t="s">
        <v>4296</v>
      </c>
    </row>
    <row r="853" spans="1:7">
      <c r="A853" t="s">
        <v>2078</v>
      </c>
      <c r="B853" t="s">
        <v>194</v>
      </c>
      <c r="C853" t="s">
        <v>133</v>
      </c>
      <c r="D853" s="10">
        <v>39208</v>
      </c>
      <c r="E853" s="10">
        <v>45362</v>
      </c>
      <c r="F853">
        <v>16</v>
      </c>
      <c r="G853" t="s">
        <v>4296</v>
      </c>
    </row>
    <row r="854" spans="1:7">
      <c r="A854" t="s">
        <v>2080</v>
      </c>
      <c r="B854" t="s">
        <v>661</v>
      </c>
      <c r="C854" t="s">
        <v>133</v>
      </c>
      <c r="D854" s="10">
        <v>26878</v>
      </c>
      <c r="E854" s="10">
        <v>45416</v>
      </c>
      <c r="F854">
        <v>50</v>
      </c>
      <c r="G854" t="s">
        <v>4296</v>
      </c>
    </row>
    <row r="855" spans="1:7">
      <c r="A855" t="s">
        <v>2081</v>
      </c>
      <c r="B855" t="s">
        <v>511</v>
      </c>
      <c r="C855" t="s">
        <v>133</v>
      </c>
      <c r="D855" s="10">
        <v>40257</v>
      </c>
      <c r="E855" s="10">
        <v>45211</v>
      </c>
      <c r="F855">
        <v>13</v>
      </c>
      <c r="G855" t="s">
        <v>4296</v>
      </c>
    </row>
    <row r="856" spans="1:7">
      <c r="A856" t="s">
        <v>2082</v>
      </c>
      <c r="B856" t="s">
        <v>185</v>
      </c>
      <c r="C856" t="s">
        <v>40</v>
      </c>
      <c r="D856" s="10">
        <v>19132</v>
      </c>
      <c r="E856" s="10">
        <v>45660</v>
      </c>
      <c r="F856">
        <v>72</v>
      </c>
      <c r="G856" t="s">
        <v>4296</v>
      </c>
    </row>
    <row r="857" spans="1:7">
      <c r="A857" t="s">
        <v>2085</v>
      </c>
      <c r="B857" t="s">
        <v>249</v>
      </c>
      <c r="C857" t="s">
        <v>133</v>
      </c>
      <c r="D857" s="10">
        <v>34549</v>
      </c>
      <c r="E857" s="10">
        <v>45979</v>
      </c>
      <c r="F857">
        <v>31</v>
      </c>
      <c r="G857" t="s">
        <v>4296</v>
      </c>
    </row>
    <row r="858" spans="1:7">
      <c r="A858" t="s">
        <v>2087</v>
      </c>
      <c r="B858" t="s">
        <v>247</v>
      </c>
      <c r="C858" t="s">
        <v>133</v>
      </c>
      <c r="D858" s="10">
        <v>29330</v>
      </c>
      <c r="E858" s="10">
        <v>44953</v>
      </c>
      <c r="F858">
        <v>42</v>
      </c>
      <c r="G858" t="s">
        <v>4237</v>
      </c>
    </row>
    <row r="859" spans="1:7">
      <c r="A859" t="s">
        <v>2092</v>
      </c>
      <c r="B859" t="s">
        <v>2093</v>
      </c>
      <c r="C859" t="s">
        <v>40</v>
      </c>
      <c r="D859" s="10">
        <v>19562</v>
      </c>
      <c r="E859" s="10">
        <v>45078</v>
      </c>
      <c r="F859">
        <v>69</v>
      </c>
      <c r="G859" t="s">
        <v>4296</v>
      </c>
    </row>
    <row r="860" spans="1:7">
      <c r="A860" t="s">
        <v>2095</v>
      </c>
      <c r="B860" t="s">
        <v>1563</v>
      </c>
      <c r="C860" t="s">
        <v>133</v>
      </c>
      <c r="D860" s="10">
        <v>33493</v>
      </c>
      <c r="E860" s="10">
        <v>45775</v>
      </c>
      <c r="F860">
        <v>33</v>
      </c>
      <c r="G860" t="s">
        <v>4296</v>
      </c>
    </row>
    <row r="861" spans="1:7">
      <c r="A861" t="s">
        <v>2097</v>
      </c>
      <c r="B861" t="s">
        <v>825</v>
      </c>
      <c r="C861" t="s">
        <v>133</v>
      </c>
      <c r="D861" s="10">
        <v>34823</v>
      </c>
      <c r="E861" s="10">
        <v>45932</v>
      </c>
      <c r="F861">
        <v>30</v>
      </c>
      <c r="G861" t="s">
        <v>4296</v>
      </c>
    </row>
    <row r="862" spans="1:7">
      <c r="A862" t="s">
        <v>2098</v>
      </c>
      <c r="B862" t="s">
        <v>607</v>
      </c>
      <c r="C862" t="s">
        <v>133</v>
      </c>
      <c r="D862" s="10">
        <v>29654</v>
      </c>
      <c r="E862" s="10">
        <v>45574</v>
      </c>
      <c r="F862">
        <v>43</v>
      </c>
      <c r="G862" t="s">
        <v>4296</v>
      </c>
    </row>
    <row r="863" spans="1:7">
      <c r="A863" t="s">
        <v>2099</v>
      </c>
      <c r="B863" t="s">
        <v>513</v>
      </c>
      <c r="C863" t="s">
        <v>133</v>
      </c>
      <c r="D863" s="10">
        <v>31604</v>
      </c>
      <c r="E863" s="10">
        <v>45711</v>
      </c>
      <c r="F863">
        <v>38</v>
      </c>
      <c r="G863" t="s">
        <v>4296</v>
      </c>
    </row>
    <row r="864" spans="1:7">
      <c r="A864" t="s">
        <v>2101</v>
      </c>
      <c r="B864" t="s">
        <v>126</v>
      </c>
      <c r="C864" t="s">
        <v>40</v>
      </c>
      <c r="D864" s="10">
        <v>39088</v>
      </c>
      <c r="E864" s="10">
        <v>45228</v>
      </c>
      <c r="F864">
        <v>16</v>
      </c>
      <c r="G864" t="s">
        <v>4296</v>
      </c>
    </row>
    <row r="865" spans="1:7">
      <c r="A865" t="s">
        <v>2102</v>
      </c>
      <c r="B865" t="s">
        <v>241</v>
      </c>
      <c r="C865" t="s">
        <v>40</v>
      </c>
      <c r="D865" s="10">
        <v>22879</v>
      </c>
      <c r="E865" s="10">
        <v>45246</v>
      </c>
      <c r="F865">
        <v>61</v>
      </c>
      <c r="G865" t="s">
        <v>4296</v>
      </c>
    </row>
    <row r="866" spans="1:7">
      <c r="A866" t="s">
        <v>2103</v>
      </c>
      <c r="B866" t="s">
        <v>917</v>
      </c>
      <c r="C866" t="s">
        <v>133</v>
      </c>
      <c r="D866" s="10">
        <v>25090</v>
      </c>
      <c r="E866" s="10">
        <v>45186</v>
      </c>
      <c r="F866">
        <v>55</v>
      </c>
      <c r="G866" t="s">
        <v>4296</v>
      </c>
    </row>
    <row r="867" spans="1:7">
      <c r="A867" t="s">
        <v>2105</v>
      </c>
      <c r="B867" t="s">
        <v>852</v>
      </c>
      <c r="C867" t="s">
        <v>133</v>
      </c>
      <c r="D867" s="10">
        <v>21203</v>
      </c>
      <c r="E867" s="10">
        <v>45685</v>
      </c>
      <c r="F867">
        <v>67</v>
      </c>
      <c r="G867" t="s">
        <v>4296</v>
      </c>
    </row>
    <row r="868" spans="1:7">
      <c r="A868" t="s">
        <v>2109</v>
      </c>
      <c r="B868" t="s">
        <v>591</v>
      </c>
      <c r="C868" t="s">
        <v>133</v>
      </c>
      <c r="D868" s="10">
        <v>29330</v>
      </c>
      <c r="E868" s="10">
        <v>45970</v>
      </c>
      <c r="F868">
        <v>45</v>
      </c>
      <c r="G868" t="s">
        <v>4237</v>
      </c>
    </row>
    <row r="869" spans="1:7">
      <c r="A869" t="s">
        <v>2112</v>
      </c>
      <c r="B869" t="s">
        <v>666</v>
      </c>
      <c r="C869" t="s">
        <v>133</v>
      </c>
      <c r="D869" s="10">
        <v>20653</v>
      </c>
      <c r="E869" s="10">
        <v>45577</v>
      </c>
      <c r="F869">
        <v>68</v>
      </c>
      <c r="G869" t="s">
        <v>4296</v>
      </c>
    </row>
    <row r="870" spans="1:7">
      <c r="A870" t="s">
        <v>2114</v>
      </c>
      <c r="B870" t="s">
        <v>768</v>
      </c>
      <c r="C870" t="s">
        <v>133</v>
      </c>
      <c r="D870" s="10">
        <v>28159</v>
      </c>
      <c r="E870" s="10">
        <v>45889</v>
      </c>
      <c r="F870">
        <v>48</v>
      </c>
      <c r="G870" t="s">
        <v>4296</v>
      </c>
    </row>
    <row r="871" spans="1:7">
      <c r="A871" t="s">
        <v>2115</v>
      </c>
      <c r="B871" t="s">
        <v>877</v>
      </c>
      <c r="C871" t="s">
        <v>40</v>
      </c>
      <c r="D871" s="10">
        <v>33536</v>
      </c>
      <c r="E871" s="10">
        <v>45969</v>
      </c>
      <c r="F871">
        <v>34</v>
      </c>
      <c r="G871" t="s">
        <v>4296</v>
      </c>
    </row>
    <row r="872" spans="1:7">
      <c r="A872" t="s">
        <v>2116</v>
      </c>
      <c r="B872" t="s">
        <v>1667</v>
      </c>
      <c r="C872" t="s">
        <v>40</v>
      </c>
      <c r="D872" s="10">
        <v>35990</v>
      </c>
      <c r="E872" s="10">
        <v>45381</v>
      </c>
      <c r="F872">
        <v>25</v>
      </c>
      <c r="G872" t="s">
        <v>4296</v>
      </c>
    </row>
    <row r="873" spans="1:7">
      <c r="A873" t="s">
        <v>2117</v>
      </c>
      <c r="B873" t="s">
        <v>472</v>
      </c>
      <c r="C873" t="s">
        <v>133</v>
      </c>
      <c r="D873" s="10">
        <v>40416</v>
      </c>
      <c r="E873" s="10">
        <v>45900</v>
      </c>
      <c r="F873">
        <v>15</v>
      </c>
      <c r="G873" t="s">
        <v>4296</v>
      </c>
    </row>
    <row r="874" spans="1:7">
      <c r="A874" t="s">
        <v>2118</v>
      </c>
      <c r="B874" t="s">
        <v>1727</v>
      </c>
      <c r="C874" t="s">
        <v>133</v>
      </c>
      <c r="D874" s="10">
        <v>29698</v>
      </c>
      <c r="E874" s="10">
        <v>45033</v>
      </c>
      <c r="F874">
        <v>41</v>
      </c>
      <c r="G874" t="s">
        <v>4296</v>
      </c>
    </row>
    <row r="875" spans="1:7">
      <c r="A875" t="s">
        <v>2120</v>
      </c>
      <c r="B875" t="s">
        <v>442</v>
      </c>
      <c r="C875" t="s">
        <v>40</v>
      </c>
      <c r="D875" s="10">
        <v>22791</v>
      </c>
      <c r="E875" s="10">
        <v>45471</v>
      </c>
      <c r="F875">
        <v>62</v>
      </c>
      <c r="G875" t="s">
        <v>4296</v>
      </c>
    </row>
    <row r="876" spans="1:7">
      <c r="A876" t="s">
        <v>2121</v>
      </c>
      <c r="B876" t="s">
        <v>93</v>
      </c>
      <c r="C876" t="s">
        <v>133</v>
      </c>
      <c r="D876" s="10">
        <v>27784</v>
      </c>
      <c r="E876" s="10">
        <v>45160</v>
      </c>
      <c r="F876">
        <v>47</v>
      </c>
      <c r="G876" t="s">
        <v>4296</v>
      </c>
    </row>
    <row r="877" spans="1:7">
      <c r="A877" t="s">
        <v>2122</v>
      </c>
      <c r="B877" t="s">
        <v>999</v>
      </c>
      <c r="C877" t="s">
        <v>40</v>
      </c>
      <c r="D877" s="10">
        <v>39546</v>
      </c>
      <c r="E877" s="10">
        <v>45579</v>
      </c>
      <c r="F877">
        <v>16</v>
      </c>
      <c r="G877" t="s">
        <v>4296</v>
      </c>
    </row>
    <row r="878" spans="1:7">
      <c r="A878" t="s">
        <v>2123</v>
      </c>
      <c r="B878" t="s">
        <v>1068</v>
      </c>
      <c r="C878" t="s">
        <v>40</v>
      </c>
      <c r="D878" s="10">
        <v>34420</v>
      </c>
      <c r="E878" s="10">
        <v>45761</v>
      </c>
      <c r="F878">
        <v>31</v>
      </c>
      <c r="G878" t="s">
        <v>4296</v>
      </c>
    </row>
    <row r="879" spans="1:7">
      <c r="A879" t="s">
        <v>2126</v>
      </c>
      <c r="B879" t="s">
        <v>560</v>
      </c>
      <c r="C879" t="s">
        <v>133</v>
      </c>
      <c r="D879" s="10">
        <v>25618</v>
      </c>
      <c r="E879" s="10">
        <v>44976</v>
      </c>
      <c r="F879">
        <v>53</v>
      </c>
      <c r="G879" t="s">
        <v>4296</v>
      </c>
    </row>
    <row r="880" spans="1:7">
      <c r="A880" t="s">
        <v>2127</v>
      </c>
      <c r="B880" t="s">
        <v>673</v>
      </c>
      <c r="C880" t="s">
        <v>133</v>
      </c>
      <c r="D880" s="10">
        <v>31794</v>
      </c>
      <c r="E880" s="10">
        <v>45407</v>
      </c>
      <c r="F880">
        <v>37</v>
      </c>
      <c r="G880" t="s">
        <v>4296</v>
      </c>
    </row>
    <row r="881" spans="1:7">
      <c r="A881" t="s">
        <v>4151</v>
      </c>
      <c r="B881" t="s">
        <v>1598</v>
      </c>
      <c r="C881" t="s">
        <v>40</v>
      </c>
      <c r="D881" s="10">
        <v>27944</v>
      </c>
      <c r="E881" s="10">
        <v>45423</v>
      </c>
      <c r="F881">
        <v>47</v>
      </c>
      <c r="G881" t="s">
        <v>4296</v>
      </c>
    </row>
    <row r="882" spans="1:7">
      <c r="A882" t="s">
        <v>2130</v>
      </c>
      <c r="B882" t="s">
        <v>1839</v>
      </c>
      <c r="C882" t="s">
        <v>40</v>
      </c>
      <c r="D882" s="10">
        <v>34219</v>
      </c>
      <c r="E882" s="10">
        <v>45427</v>
      </c>
      <c r="F882">
        <v>30</v>
      </c>
      <c r="G882" t="s">
        <v>4296</v>
      </c>
    </row>
    <row r="883" spans="1:7">
      <c r="A883" t="s">
        <v>2134</v>
      </c>
      <c r="B883" t="s">
        <v>451</v>
      </c>
      <c r="C883" t="s">
        <v>40</v>
      </c>
      <c r="D883" s="10">
        <v>30179</v>
      </c>
      <c r="E883" s="10">
        <v>45742</v>
      </c>
      <c r="F883">
        <v>42</v>
      </c>
      <c r="G883" t="s">
        <v>4296</v>
      </c>
    </row>
    <row r="884" spans="1:7">
      <c r="A884" t="s">
        <v>2136</v>
      </c>
      <c r="B884" t="s">
        <v>354</v>
      </c>
      <c r="C884" t="s">
        <v>133</v>
      </c>
      <c r="D884" s="10">
        <v>20297</v>
      </c>
      <c r="E884" s="10">
        <v>45592</v>
      </c>
      <c r="F884">
        <v>69</v>
      </c>
      <c r="G884" t="s">
        <v>4296</v>
      </c>
    </row>
    <row r="885" spans="1:7">
      <c r="A885" t="s">
        <v>2139</v>
      </c>
      <c r="B885" t="s">
        <v>88</v>
      </c>
      <c r="C885" t="s">
        <v>40</v>
      </c>
      <c r="D885" s="10">
        <v>29330</v>
      </c>
      <c r="E885" s="10">
        <v>45522</v>
      </c>
      <c r="F885">
        <v>44</v>
      </c>
      <c r="G885" t="s">
        <v>4237</v>
      </c>
    </row>
    <row r="886" spans="1:7">
      <c r="A886" t="s">
        <v>2141</v>
      </c>
      <c r="B886" t="s">
        <v>771</v>
      </c>
      <c r="C886" t="s">
        <v>133</v>
      </c>
      <c r="D886" s="10">
        <v>22410</v>
      </c>
      <c r="E886" s="10">
        <v>45444</v>
      </c>
      <c r="F886">
        <v>63</v>
      </c>
      <c r="G886" t="s">
        <v>4296</v>
      </c>
    </row>
    <row r="887" spans="1:7">
      <c r="A887" t="s">
        <v>2143</v>
      </c>
      <c r="B887" t="s">
        <v>833</v>
      </c>
      <c r="C887" t="s">
        <v>133</v>
      </c>
      <c r="D887" s="10">
        <v>26364</v>
      </c>
      <c r="E887" s="10">
        <v>45258</v>
      </c>
      <c r="F887">
        <v>51</v>
      </c>
      <c r="G887" t="s">
        <v>4296</v>
      </c>
    </row>
    <row r="888" spans="1:7">
      <c r="A888" t="s">
        <v>2144</v>
      </c>
      <c r="B888" t="s">
        <v>652</v>
      </c>
      <c r="C888" t="s">
        <v>133</v>
      </c>
      <c r="D888" s="10">
        <v>18988</v>
      </c>
      <c r="E888" s="10">
        <v>45595</v>
      </c>
      <c r="F888">
        <v>72</v>
      </c>
      <c r="G888" t="s">
        <v>4296</v>
      </c>
    </row>
    <row r="889" spans="1:7">
      <c r="A889" t="s">
        <v>4152</v>
      </c>
      <c r="B889" t="s">
        <v>1263</v>
      </c>
      <c r="C889" t="s">
        <v>133</v>
      </c>
      <c r="D889" s="10">
        <v>39343</v>
      </c>
      <c r="E889" s="10">
        <v>45784</v>
      </c>
      <c r="F889">
        <v>17</v>
      </c>
      <c r="G889" t="s">
        <v>4296</v>
      </c>
    </row>
    <row r="890" spans="1:7">
      <c r="A890" t="s">
        <v>2150</v>
      </c>
      <c r="B890" t="s">
        <v>611</v>
      </c>
      <c r="C890" t="s">
        <v>40</v>
      </c>
      <c r="D890" s="10">
        <v>30529</v>
      </c>
      <c r="E890" s="10">
        <v>45967</v>
      </c>
      <c r="F890">
        <v>42</v>
      </c>
      <c r="G890" t="s">
        <v>4296</v>
      </c>
    </row>
    <row r="891" spans="1:7">
      <c r="A891" t="s">
        <v>2153</v>
      </c>
      <c r="B891" t="s">
        <v>1088</v>
      </c>
      <c r="C891" t="s">
        <v>133</v>
      </c>
      <c r="D891" s="10">
        <v>28938</v>
      </c>
      <c r="E891" s="10">
        <v>44943</v>
      </c>
      <c r="F891">
        <v>43</v>
      </c>
      <c r="G891" t="s">
        <v>4296</v>
      </c>
    </row>
    <row r="892" spans="1:7">
      <c r="A892" t="s">
        <v>2154</v>
      </c>
      <c r="B892" t="s">
        <v>607</v>
      </c>
      <c r="C892" t="s">
        <v>40</v>
      </c>
      <c r="D892" s="10">
        <v>19303</v>
      </c>
      <c r="E892" s="10">
        <v>45200</v>
      </c>
      <c r="F892">
        <v>70</v>
      </c>
      <c r="G892" t="s">
        <v>4296</v>
      </c>
    </row>
    <row r="893" spans="1:7">
      <c r="A893" t="s">
        <v>2156</v>
      </c>
      <c r="B893" t="s">
        <v>1598</v>
      </c>
      <c r="C893" t="s">
        <v>40</v>
      </c>
      <c r="D893" s="10">
        <v>31421</v>
      </c>
      <c r="E893" s="10">
        <v>45268</v>
      </c>
      <c r="F893">
        <v>37</v>
      </c>
      <c r="G893" t="s">
        <v>4296</v>
      </c>
    </row>
    <row r="894" spans="1:7">
      <c r="A894" t="s">
        <v>2159</v>
      </c>
      <c r="B894" t="s">
        <v>867</v>
      </c>
      <c r="C894" t="s">
        <v>40</v>
      </c>
      <c r="D894" s="10">
        <v>31878</v>
      </c>
      <c r="E894" s="10">
        <v>45119</v>
      </c>
      <c r="F894">
        <v>36</v>
      </c>
      <c r="G894" t="s">
        <v>4296</v>
      </c>
    </row>
    <row r="895" spans="1:7">
      <c r="A895" t="s">
        <v>2163</v>
      </c>
      <c r="B895" t="s">
        <v>455</v>
      </c>
      <c r="C895" t="s">
        <v>133</v>
      </c>
      <c r="D895" s="10">
        <v>35985</v>
      </c>
      <c r="E895" s="10">
        <v>45134</v>
      </c>
      <c r="F895">
        <v>25</v>
      </c>
      <c r="G895" t="s">
        <v>4296</v>
      </c>
    </row>
    <row r="896" spans="1:7">
      <c r="A896" t="s">
        <v>2165</v>
      </c>
      <c r="B896" t="s">
        <v>104</v>
      </c>
      <c r="C896" t="s">
        <v>40</v>
      </c>
      <c r="D896" s="10">
        <v>19339</v>
      </c>
      <c r="E896" s="10">
        <v>45219</v>
      </c>
      <c r="F896">
        <v>70</v>
      </c>
      <c r="G896" t="s">
        <v>4296</v>
      </c>
    </row>
    <row r="897" spans="1:7">
      <c r="A897" t="s">
        <v>2167</v>
      </c>
      <c r="B897" t="s">
        <v>752</v>
      </c>
      <c r="C897" t="s">
        <v>133</v>
      </c>
      <c r="D897" s="10">
        <v>29330</v>
      </c>
      <c r="E897" s="10">
        <v>45413</v>
      </c>
      <c r="F897">
        <v>44</v>
      </c>
      <c r="G897" t="s">
        <v>4237</v>
      </c>
    </row>
    <row r="898" spans="1:7">
      <c r="A898" t="s">
        <v>2170</v>
      </c>
      <c r="B898" t="s">
        <v>524</v>
      </c>
      <c r="C898" t="s">
        <v>133</v>
      </c>
      <c r="D898" s="10">
        <v>34301</v>
      </c>
      <c r="E898" s="10">
        <v>45248</v>
      </c>
      <c r="F898">
        <v>29</v>
      </c>
      <c r="G898" t="s">
        <v>4296</v>
      </c>
    </row>
    <row r="899" spans="1:7">
      <c r="A899" t="s">
        <v>2172</v>
      </c>
      <c r="B899" t="s">
        <v>338</v>
      </c>
      <c r="C899" t="s">
        <v>133</v>
      </c>
      <c r="D899" s="10">
        <v>20746</v>
      </c>
      <c r="E899" s="10">
        <v>45431</v>
      </c>
      <c r="F899">
        <v>67</v>
      </c>
      <c r="G899" t="s">
        <v>4296</v>
      </c>
    </row>
    <row r="900" spans="1:7">
      <c r="A900" t="s">
        <v>2173</v>
      </c>
      <c r="B900" t="s">
        <v>1001</v>
      </c>
      <c r="C900" t="s">
        <v>133</v>
      </c>
      <c r="D900" s="10">
        <v>36951</v>
      </c>
      <c r="E900" s="10">
        <v>45195</v>
      </c>
      <c r="F900">
        <v>22</v>
      </c>
      <c r="G900" t="s">
        <v>4296</v>
      </c>
    </row>
    <row r="901" spans="1:7">
      <c r="A901" t="s">
        <v>2174</v>
      </c>
      <c r="B901" t="s">
        <v>373</v>
      </c>
      <c r="C901" t="s">
        <v>40</v>
      </c>
      <c r="D901" s="10">
        <v>25510</v>
      </c>
      <c r="E901" s="10">
        <v>45226</v>
      </c>
      <c r="F901">
        <v>53</v>
      </c>
      <c r="G901" t="s">
        <v>4296</v>
      </c>
    </row>
    <row r="902" spans="1:7">
      <c r="A902" t="s">
        <v>2176</v>
      </c>
      <c r="B902" t="s">
        <v>2177</v>
      </c>
      <c r="C902" t="s">
        <v>133</v>
      </c>
      <c r="D902" s="10">
        <v>36427</v>
      </c>
      <c r="E902" s="10">
        <v>45330</v>
      </c>
      <c r="F902">
        <v>24</v>
      </c>
      <c r="G902" t="s">
        <v>4296</v>
      </c>
    </row>
    <row r="903" spans="1:7">
      <c r="A903" t="s">
        <v>2179</v>
      </c>
      <c r="B903" t="s">
        <v>940</v>
      </c>
      <c r="C903" t="s">
        <v>40</v>
      </c>
      <c r="D903" s="10">
        <v>36176</v>
      </c>
      <c r="E903" s="10">
        <v>44945</v>
      </c>
      <c r="F903">
        <v>24</v>
      </c>
      <c r="G903" t="s">
        <v>4296</v>
      </c>
    </row>
    <row r="904" spans="1:7">
      <c r="A904" t="s">
        <v>2182</v>
      </c>
      <c r="B904" t="s">
        <v>1678</v>
      </c>
      <c r="C904" t="s">
        <v>133</v>
      </c>
      <c r="D904" s="10">
        <v>32701</v>
      </c>
      <c r="E904" s="10">
        <v>45620</v>
      </c>
      <c r="F904">
        <v>35</v>
      </c>
      <c r="G904" t="s">
        <v>4296</v>
      </c>
    </row>
    <row r="905" spans="1:7">
      <c r="A905" t="s">
        <v>2184</v>
      </c>
      <c r="B905" t="s">
        <v>383</v>
      </c>
      <c r="C905" t="s">
        <v>40</v>
      </c>
      <c r="D905" s="10">
        <v>29691</v>
      </c>
      <c r="E905" s="10">
        <v>45128</v>
      </c>
      <c r="F905">
        <v>42</v>
      </c>
      <c r="G905" t="s">
        <v>4296</v>
      </c>
    </row>
    <row r="906" spans="1:7">
      <c r="A906" t="s">
        <v>2186</v>
      </c>
      <c r="B906" t="s">
        <v>29</v>
      </c>
      <c r="C906" t="s">
        <v>133</v>
      </c>
      <c r="D906" s="10">
        <v>27812</v>
      </c>
      <c r="E906" s="10">
        <v>45537</v>
      </c>
      <c r="F906">
        <v>48</v>
      </c>
      <c r="G906" t="s">
        <v>4296</v>
      </c>
    </row>
    <row r="907" spans="1:7">
      <c r="A907" t="s">
        <v>2187</v>
      </c>
      <c r="B907" t="s">
        <v>464</v>
      </c>
      <c r="C907" t="s">
        <v>40</v>
      </c>
      <c r="D907" s="10">
        <v>18272</v>
      </c>
      <c r="E907" s="10">
        <v>45377</v>
      </c>
      <c r="F907">
        <v>74</v>
      </c>
      <c r="G907" t="s">
        <v>4296</v>
      </c>
    </row>
    <row r="908" spans="1:7">
      <c r="A908" t="s">
        <v>2189</v>
      </c>
      <c r="B908" t="s">
        <v>967</v>
      </c>
      <c r="C908" t="s">
        <v>40</v>
      </c>
      <c r="D908" s="10">
        <v>30900</v>
      </c>
      <c r="E908" s="10">
        <v>45189</v>
      </c>
      <c r="F908">
        <v>39</v>
      </c>
      <c r="G908" t="s">
        <v>4296</v>
      </c>
    </row>
    <row r="909" spans="1:7">
      <c r="A909" t="s">
        <v>2190</v>
      </c>
      <c r="B909" t="s">
        <v>345</v>
      </c>
      <c r="C909" t="s">
        <v>40</v>
      </c>
      <c r="D909" s="10">
        <v>21979</v>
      </c>
      <c r="E909" s="10">
        <v>45931</v>
      </c>
      <c r="F909">
        <v>65</v>
      </c>
      <c r="G909" t="s">
        <v>4296</v>
      </c>
    </row>
    <row r="910" spans="1:7">
      <c r="A910" t="s">
        <v>2191</v>
      </c>
      <c r="B910" t="s">
        <v>368</v>
      </c>
      <c r="C910" t="s">
        <v>133</v>
      </c>
      <c r="D910" s="10">
        <v>29033</v>
      </c>
      <c r="E910" s="10">
        <v>45648</v>
      </c>
      <c r="F910">
        <v>45</v>
      </c>
      <c r="G910" t="s">
        <v>4296</v>
      </c>
    </row>
    <row r="911" spans="1:7">
      <c r="A911" t="s">
        <v>2193</v>
      </c>
      <c r="B911" t="s">
        <v>403</v>
      </c>
      <c r="C911" t="s">
        <v>133</v>
      </c>
      <c r="D911" s="10">
        <v>21009</v>
      </c>
      <c r="E911" s="10">
        <v>45325</v>
      </c>
      <c r="F911">
        <v>66</v>
      </c>
      <c r="G911" t="s">
        <v>4296</v>
      </c>
    </row>
    <row r="912" spans="1:7">
      <c r="A912" t="s">
        <v>4153</v>
      </c>
      <c r="B912" t="s">
        <v>1598</v>
      </c>
      <c r="C912" t="s">
        <v>40</v>
      </c>
      <c r="D912" s="10">
        <v>39739</v>
      </c>
      <c r="E912" s="10">
        <v>45180</v>
      </c>
      <c r="F912">
        <v>14</v>
      </c>
      <c r="G912" t="s">
        <v>4296</v>
      </c>
    </row>
    <row r="913" spans="1:7">
      <c r="A913" t="s">
        <v>2197</v>
      </c>
      <c r="B913" t="s">
        <v>1526</v>
      </c>
      <c r="C913" t="s">
        <v>40</v>
      </c>
      <c r="D913" s="10">
        <v>37596</v>
      </c>
      <c r="E913" s="10">
        <v>45311</v>
      </c>
      <c r="F913">
        <v>21</v>
      </c>
      <c r="G913" t="s">
        <v>4296</v>
      </c>
    </row>
    <row r="914" spans="1:7">
      <c r="A914" t="s">
        <v>2199</v>
      </c>
      <c r="B914" t="s">
        <v>1182</v>
      </c>
      <c r="C914" t="s">
        <v>40</v>
      </c>
      <c r="D914" s="10">
        <v>19317</v>
      </c>
      <c r="E914" s="10">
        <v>45804</v>
      </c>
      <c r="F914">
        <v>72</v>
      </c>
      <c r="G914" t="s">
        <v>4296</v>
      </c>
    </row>
    <row r="915" spans="1:7">
      <c r="A915" t="s">
        <v>2200</v>
      </c>
      <c r="B915" t="s">
        <v>451</v>
      </c>
      <c r="C915" t="s">
        <v>133</v>
      </c>
      <c r="D915" s="10">
        <v>29560</v>
      </c>
      <c r="E915" s="10">
        <v>45174</v>
      </c>
      <c r="F915">
        <v>42</v>
      </c>
      <c r="G915" t="s">
        <v>4296</v>
      </c>
    </row>
    <row r="916" spans="1:7">
      <c r="A916" t="s">
        <v>2202</v>
      </c>
      <c r="B916" t="s">
        <v>1302</v>
      </c>
      <c r="C916" t="s">
        <v>133</v>
      </c>
      <c r="D916" s="10">
        <v>22061</v>
      </c>
      <c r="E916" s="10">
        <v>45481</v>
      </c>
      <c r="F916">
        <v>64</v>
      </c>
      <c r="G916" t="s">
        <v>4296</v>
      </c>
    </row>
    <row r="917" spans="1:7">
      <c r="A917" t="s">
        <v>2204</v>
      </c>
      <c r="B917" t="s">
        <v>1580</v>
      </c>
      <c r="C917" t="s">
        <v>40</v>
      </c>
      <c r="D917" s="10">
        <v>32771</v>
      </c>
      <c r="E917" s="10">
        <v>45060</v>
      </c>
      <c r="F917">
        <v>33</v>
      </c>
      <c r="G917" t="s">
        <v>4296</v>
      </c>
    </row>
    <row r="918" spans="1:7">
      <c r="A918" t="s">
        <v>2205</v>
      </c>
      <c r="B918" t="s">
        <v>1537</v>
      </c>
      <c r="C918" t="s">
        <v>133</v>
      </c>
      <c r="D918" s="10">
        <v>23967</v>
      </c>
      <c r="E918" s="10">
        <v>45708</v>
      </c>
      <c r="F918">
        <v>59</v>
      </c>
      <c r="G918" t="s">
        <v>4296</v>
      </c>
    </row>
    <row r="919" spans="1:7">
      <c r="A919" t="s">
        <v>2207</v>
      </c>
      <c r="B919" t="s">
        <v>986</v>
      </c>
      <c r="C919" t="s">
        <v>40</v>
      </c>
      <c r="D919" s="10">
        <v>24660</v>
      </c>
      <c r="E919" s="10">
        <v>45482</v>
      </c>
      <c r="F919">
        <v>57</v>
      </c>
      <c r="G919" t="s">
        <v>4237</v>
      </c>
    </row>
    <row r="920" spans="1:7">
      <c r="A920" t="s">
        <v>2210</v>
      </c>
      <c r="B920" t="s">
        <v>810</v>
      </c>
      <c r="C920" t="s">
        <v>40</v>
      </c>
      <c r="D920" s="10">
        <v>18849</v>
      </c>
      <c r="E920" s="10">
        <v>45345</v>
      </c>
      <c r="F920">
        <v>72</v>
      </c>
      <c r="G920" t="s">
        <v>4296</v>
      </c>
    </row>
    <row r="921" spans="1:7">
      <c r="A921" t="s">
        <v>4154</v>
      </c>
      <c r="B921" t="s">
        <v>1001</v>
      </c>
      <c r="C921" t="s">
        <v>133</v>
      </c>
      <c r="D921" s="10">
        <v>28912</v>
      </c>
      <c r="E921" s="10">
        <v>45998</v>
      </c>
      <c r="F921">
        <v>46</v>
      </c>
      <c r="G921" t="s">
        <v>4296</v>
      </c>
    </row>
    <row r="922" spans="1:7">
      <c r="A922" t="s">
        <v>2213</v>
      </c>
      <c r="B922" t="s">
        <v>503</v>
      </c>
      <c r="C922" t="s">
        <v>133</v>
      </c>
      <c r="D922" s="10">
        <v>31780</v>
      </c>
      <c r="E922" s="10">
        <v>45461</v>
      </c>
      <c r="F922">
        <v>37</v>
      </c>
      <c r="G922" t="s">
        <v>4296</v>
      </c>
    </row>
    <row r="923" spans="1:7">
      <c r="A923" t="s">
        <v>2215</v>
      </c>
      <c r="B923" t="s">
        <v>277</v>
      </c>
      <c r="C923" t="s">
        <v>133</v>
      </c>
      <c r="D923" s="10">
        <v>23154</v>
      </c>
      <c r="E923" s="10">
        <v>45351</v>
      </c>
      <c r="F923">
        <v>60</v>
      </c>
      <c r="G923" t="s">
        <v>4296</v>
      </c>
    </row>
    <row r="924" spans="1:7">
      <c r="A924" t="s">
        <v>2218</v>
      </c>
      <c r="B924" t="s">
        <v>1119</v>
      </c>
      <c r="C924" t="s">
        <v>133</v>
      </c>
      <c r="D924" s="10">
        <v>39259</v>
      </c>
      <c r="E924" s="10">
        <v>45839</v>
      </c>
      <c r="F924">
        <v>18</v>
      </c>
      <c r="G924" t="s">
        <v>4296</v>
      </c>
    </row>
    <row r="925" spans="1:7">
      <c r="A925" t="s">
        <v>2220</v>
      </c>
      <c r="B925" t="s">
        <v>126</v>
      </c>
      <c r="C925" t="s">
        <v>133</v>
      </c>
      <c r="D925" s="10">
        <v>38374</v>
      </c>
      <c r="E925" s="10">
        <v>45716</v>
      </c>
      <c r="F925">
        <v>20</v>
      </c>
      <c r="G925" t="s">
        <v>4296</v>
      </c>
    </row>
    <row r="926" spans="1:7">
      <c r="A926" t="s">
        <v>2222</v>
      </c>
      <c r="B926" t="s">
        <v>760</v>
      </c>
      <c r="C926" t="s">
        <v>40</v>
      </c>
      <c r="D926" s="10">
        <v>30522</v>
      </c>
      <c r="E926" s="10">
        <v>45899</v>
      </c>
      <c r="F926">
        <v>42</v>
      </c>
      <c r="G926" t="s">
        <v>4296</v>
      </c>
    </row>
    <row r="927" spans="1:7">
      <c r="A927" t="s">
        <v>2224</v>
      </c>
      <c r="B927" t="s">
        <v>373</v>
      </c>
      <c r="C927" t="s">
        <v>133</v>
      </c>
      <c r="D927" s="10">
        <v>20324</v>
      </c>
      <c r="E927" s="10">
        <v>45024</v>
      </c>
      <c r="F927">
        <v>67</v>
      </c>
      <c r="G927" t="s">
        <v>4296</v>
      </c>
    </row>
    <row r="928" spans="1:7">
      <c r="A928" t="s">
        <v>2225</v>
      </c>
      <c r="B928" t="s">
        <v>173</v>
      </c>
      <c r="C928" t="s">
        <v>40</v>
      </c>
      <c r="D928" s="10">
        <v>36331</v>
      </c>
      <c r="E928" s="10">
        <v>45485</v>
      </c>
      <c r="F928">
        <v>25</v>
      </c>
      <c r="G928" t="s">
        <v>4296</v>
      </c>
    </row>
    <row r="929" spans="1:7">
      <c r="A929" t="s">
        <v>2227</v>
      </c>
      <c r="B929" t="s">
        <v>1678</v>
      </c>
      <c r="C929" t="s">
        <v>40</v>
      </c>
      <c r="D929" s="10">
        <v>22769</v>
      </c>
      <c r="E929" s="10">
        <v>45082</v>
      </c>
      <c r="F929">
        <v>61</v>
      </c>
      <c r="G929" t="s">
        <v>4296</v>
      </c>
    </row>
    <row r="930" spans="1:7">
      <c r="A930" t="s">
        <v>4155</v>
      </c>
      <c r="B930" t="s">
        <v>1101</v>
      </c>
      <c r="C930" t="s">
        <v>40</v>
      </c>
      <c r="D930" s="10">
        <v>25999</v>
      </c>
      <c r="E930" s="10">
        <v>45482</v>
      </c>
      <c r="F930">
        <v>53</v>
      </c>
      <c r="G930" t="s">
        <v>4237</v>
      </c>
    </row>
    <row r="931" spans="1:7">
      <c r="A931" t="s">
        <v>2231</v>
      </c>
      <c r="B931" t="s">
        <v>159</v>
      </c>
      <c r="C931" t="s">
        <v>40</v>
      </c>
      <c r="D931" s="10">
        <v>30065</v>
      </c>
      <c r="E931" s="10">
        <v>45844</v>
      </c>
      <c r="F931">
        <v>43</v>
      </c>
      <c r="G931" t="s">
        <v>4296</v>
      </c>
    </row>
    <row r="932" spans="1:7">
      <c r="A932" t="s">
        <v>2234</v>
      </c>
      <c r="B932" t="s">
        <v>1256</v>
      </c>
      <c r="C932" t="s">
        <v>133</v>
      </c>
      <c r="D932" s="10">
        <v>26225</v>
      </c>
      <c r="E932" s="10">
        <v>45694</v>
      </c>
      <c r="F932">
        <v>53</v>
      </c>
      <c r="G932" t="s">
        <v>4296</v>
      </c>
    </row>
    <row r="933" spans="1:7">
      <c r="A933" t="s">
        <v>2235</v>
      </c>
      <c r="B933" t="s">
        <v>972</v>
      </c>
      <c r="C933" t="s">
        <v>40</v>
      </c>
      <c r="D933" s="10">
        <v>30876</v>
      </c>
      <c r="E933" s="10">
        <v>45141</v>
      </c>
      <c r="F933">
        <v>39</v>
      </c>
      <c r="G933" t="s">
        <v>4296</v>
      </c>
    </row>
    <row r="934" spans="1:7">
      <c r="A934" t="s">
        <v>2237</v>
      </c>
      <c r="B934" t="s">
        <v>527</v>
      </c>
      <c r="C934" t="s">
        <v>40</v>
      </c>
      <c r="D934" s="10">
        <v>29533</v>
      </c>
      <c r="E934" s="10">
        <v>45658</v>
      </c>
      <c r="F934">
        <v>44</v>
      </c>
      <c r="G934" t="s">
        <v>4296</v>
      </c>
    </row>
    <row r="935" spans="1:7">
      <c r="A935" t="s">
        <v>2239</v>
      </c>
      <c r="B935" t="s">
        <v>604</v>
      </c>
      <c r="C935" t="s">
        <v>133</v>
      </c>
      <c r="D935" s="10">
        <v>36415</v>
      </c>
      <c r="E935" s="10">
        <v>45270</v>
      </c>
      <c r="F935">
        <v>24</v>
      </c>
      <c r="G935" t="s">
        <v>4296</v>
      </c>
    </row>
    <row r="936" spans="1:7">
      <c r="A936" t="s">
        <v>2241</v>
      </c>
      <c r="B936" t="s">
        <v>1830</v>
      </c>
      <c r="C936" t="s">
        <v>40</v>
      </c>
      <c r="D936" s="10">
        <v>29330</v>
      </c>
      <c r="E936" s="10">
        <v>45114</v>
      </c>
      <c r="F936">
        <v>43</v>
      </c>
      <c r="G936" t="s">
        <v>4237</v>
      </c>
    </row>
    <row r="937" spans="1:7">
      <c r="A937" t="s">
        <v>2244</v>
      </c>
      <c r="B937" t="s">
        <v>368</v>
      </c>
      <c r="C937" t="s">
        <v>40</v>
      </c>
      <c r="D937" s="10">
        <v>30107</v>
      </c>
      <c r="E937" s="10">
        <v>45894</v>
      </c>
      <c r="F937">
        <v>43</v>
      </c>
      <c r="G937" t="s">
        <v>4296</v>
      </c>
    </row>
    <row r="938" spans="1:7">
      <c r="A938" t="s">
        <v>2246</v>
      </c>
      <c r="B938" t="s">
        <v>1101</v>
      </c>
      <c r="C938" t="s">
        <v>133</v>
      </c>
      <c r="D938" s="10">
        <v>31189</v>
      </c>
      <c r="E938" s="10">
        <v>45567</v>
      </c>
      <c r="F938">
        <v>39</v>
      </c>
      <c r="G938" t="s">
        <v>4296</v>
      </c>
    </row>
    <row r="939" spans="1:7">
      <c r="A939" t="s">
        <v>2247</v>
      </c>
      <c r="B939" t="s">
        <v>21</v>
      </c>
      <c r="C939" t="s">
        <v>133</v>
      </c>
      <c r="D939" s="10">
        <v>20813</v>
      </c>
      <c r="E939" s="10">
        <v>45710</v>
      </c>
      <c r="F939">
        <v>68</v>
      </c>
      <c r="G939" t="s">
        <v>4296</v>
      </c>
    </row>
    <row r="940" spans="1:7">
      <c r="A940" t="s">
        <v>4156</v>
      </c>
      <c r="B940" t="s">
        <v>2249</v>
      </c>
      <c r="C940" t="s">
        <v>40</v>
      </c>
      <c r="D940" s="10">
        <v>22959</v>
      </c>
      <c r="E940" s="10">
        <v>45943</v>
      </c>
      <c r="F940">
        <v>62</v>
      </c>
      <c r="G940" t="s">
        <v>4296</v>
      </c>
    </row>
    <row r="941" spans="1:7">
      <c r="A941" t="s">
        <v>2250</v>
      </c>
      <c r="B941" t="s">
        <v>563</v>
      </c>
      <c r="C941" t="s">
        <v>40</v>
      </c>
      <c r="D941" s="10">
        <v>31263</v>
      </c>
      <c r="E941" s="10">
        <v>45223</v>
      </c>
      <c r="F941">
        <v>38</v>
      </c>
      <c r="G941" t="s">
        <v>4296</v>
      </c>
    </row>
    <row r="942" spans="1:7">
      <c r="A942" t="s">
        <v>2251</v>
      </c>
      <c r="B942" t="s">
        <v>2033</v>
      </c>
      <c r="C942" t="s">
        <v>40</v>
      </c>
      <c r="D942" s="10">
        <v>37095</v>
      </c>
      <c r="E942" s="10">
        <v>45625</v>
      </c>
      <c r="F942">
        <v>23</v>
      </c>
      <c r="G942" t="s">
        <v>4296</v>
      </c>
    </row>
    <row r="943" spans="1:7">
      <c r="A943" t="s">
        <v>2252</v>
      </c>
      <c r="B943" t="s">
        <v>253</v>
      </c>
      <c r="C943" t="s">
        <v>133</v>
      </c>
      <c r="D943" s="10">
        <v>29330</v>
      </c>
      <c r="E943" s="10">
        <v>45413</v>
      </c>
      <c r="F943">
        <v>44</v>
      </c>
      <c r="G943" t="s">
        <v>4237</v>
      </c>
    </row>
    <row r="944" spans="1:7">
      <c r="A944" t="s">
        <v>2255</v>
      </c>
      <c r="B944" t="s">
        <v>304</v>
      </c>
      <c r="C944" t="s">
        <v>40</v>
      </c>
      <c r="D944" s="10">
        <v>21178</v>
      </c>
      <c r="E944" s="10">
        <v>45452</v>
      </c>
      <c r="F944">
        <v>66</v>
      </c>
      <c r="G944" t="s">
        <v>4296</v>
      </c>
    </row>
    <row r="945" spans="1:7">
      <c r="A945" t="s">
        <v>2257</v>
      </c>
      <c r="B945" t="s">
        <v>451</v>
      </c>
      <c r="C945" t="s">
        <v>40</v>
      </c>
      <c r="D945" s="10">
        <v>32900</v>
      </c>
      <c r="E945" s="10">
        <v>45605</v>
      </c>
      <c r="F945">
        <v>34</v>
      </c>
      <c r="G945" t="s">
        <v>4296</v>
      </c>
    </row>
    <row r="946" spans="1:7">
      <c r="A946" t="s">
        <v>2259</v>
      </c>
      <c r="B946" t="s">
        <v>1734</v>
      </c>
      <c r="C946" t="s">
        <v>133</v>
      </c>
      <c r="D946" s="10">
        <v>34943</v>
      </c>
      <c r="E946" s="10">
        <v>45153</v>
      </c>
      <c r="F946">
        <v>27</v>
      </c>
      <c r="G946" t="s">
        <v>4296</v>
      </c>
    </row>
    <row r="947" spans="1:7">
      <c r="A947" t="s">
        <v>2261</v>
      </c>
      <c r="B947" t="s">
        <v>843</v>
      </c>
      <c r="C947" t="s">
        <v>40</v>
      </c>
      <c r="D947" s="10">
        <v>29377</v>
      </c>
      <c r="E947" s="10">
        <v>45089</v>
      </c>
      <c r="F947">
        <v>43</v>
      </c>
      <c r="G947" t="s">
        <v>4296</v>
      </c>
    </row>
    <row r="948" spans="1:7">
      <c r="A948" t="s">
        <v>2263</v>
      </c>
      <c r="B948" t="s">
        <v>108</v>
      </c>
      <c r="C948" t="s">
        <v>40</v>
      </c>
      <c r="D948" s="10">
        <v>37976</v>
      </c>
      <c r="E948" s="10">
        <v>45168</v>
      </c>
      <c r="F948">
        <v>19</v>
      </c>
      <c r="G948" t="s">
        <v>4296</v>
      </c>
    </row>
    <row r="949" spans="1:7">
      <c r="A949" t="s">
        <v>2264</v>
      </c>
      <c r="B949" t="s">
        <v>752</v>
      </c>
      <c r="C949" t="s">
        <v>40</v>
      </c>
      <c r="D949" s="10">
        <v>27511</v>
      </c>
      <c r="E949" s="10">
        <v>45004</v>
      </c>
      <c r="F949">
        <v>47</v>
      </c>
      <c r="G949" t="s">
        <v>4296</v>
      </c>
    </row>
    <row r="950" spans="1:7">
      <c r="A950" t="s">
        <v>2266</v>
      </c>
      <c r="B950" t="s">
        <v>850</v>
      </c>
      <c r="C950" t="s">
        <v>40</v>
      </c>
      <c r="D950" s="10">
        <v>19115</v>
      </c>
      <c r="E950" s="10">
        <v>45482</v>
      </c>
      <c r="F950">
        <v>72</v>
      </c>
      <c r="G950" t="s">
        <v>4237</v>
      </c>
    </row>
    <row r="951" spans="1:7">
      <c r="A951" t="s">
        <v>2269</v>
      </c>
      <c r="B951" t="s">
        <v>2270</v>
      </c>
      <c r="C951" t="s">
        <v>133</v>
      </c>
      <c r="D951" s="10">
        <v>40174</v>
      </c>
      <c r="E951" s="10">
        <v>45752</v>
      </c>
      <c r="F951">
        <v>15</v>
      </c>
      <c r="G951" t="s">
        <v>4296</v>
      </c>
    </row>
    <row r="952" spans="1:7">
      <c r="A952" t="s">
        <v>4157</v>
      </c>
      <c r="B952" t="s">
        <v>622</v>
      </c>
      <c r="C952" t="s">
        <v>40</v>
      </c>
      <c r="D952" s="10">
        <v>31165</v>
      </c>
      <c r="E952" s="10">
        <v>44967</v>
      </c>
      <c r="F952">
        <v>37</v>
      </c>
      <c r="G952" t="s">
        <v>4296</v>
      </c>
    </row>
    <row r="953" spans="1:7">
      <c r="A953" t="s">
        <v>2273</v>
      </c>
      <c r="B953" t="s">
        <v>967</v>
      </c>
      <c r="C953" t="s">
        <v>40</v>
      </c>
      <c r="D953" s="10">
        <v>29997</v>
      </c>
      <c r="E953" s="10">
        <v>45916</v>
      </c>
      <c r="F953">
        <v>43</v>
      </c>
      <c r="G953" t="s">
        <v>4296</v>
      </c>
    </row>
    <row r="954" spans="1:7">
      <c r="A954" t="s">
        <v>2274</v>
      </c>
      <c r="B954" t="s">
        <v>406</v>
      </c>
      <c r="C954" t="s">
        <v>133</v>
      </c>
      <c r="D954" s="10">
        <v>29232</v>
      </c>
      <c r="E954" s="10">
        <v>45594</v>
      </c>
      <c r="F954">
        <v>44</v>
      </c>
      <c r="G954" t="s">
        <v>4296</v>
      </c>
    </row>
    <row r="955" spans="1:7">
      <c r="A955" t="s">
        <v>2275</v>
      </c>
      <c r="B955" t="s">
        <v>2008</v>
      </c>
      <c r="C955" t="s">
        <v>40</v>
      </c>
      <c r="D955" s="10">
        <v>26952</v>
      </c>
      <c r="E955" s="10">
        <v>45882</v>
      </c>
      <c r="F955">
        <v>51</v>
      </c>
      <c r="G955" t="s">
        <v>4296</v>
      </c>
    </row>
    <row r="956" spans="1:7">
      <c r="A956" t="s">
        <v>2277</v>
      </c>
      <c r="B956" t="s">
        <v>1350</v>
      </c>
      <c r="C956" t="s">
        <v>40</v>
      </c>
      <c r="D956" s="10">
        <v>24800</v>
      </c>
      <c r="E956" s="10">
        <v>45926</v>
      </c>
      <c r="F956">
        <v>57</v>
      </c>
      <c r="G956" t="s">
        <v>4296</v>
      </c>
    </row>
    <row r="957" spans="1:7">
      <c r="A957" t="s">
        <v>2278</v>
      </c>
      <c r="B957" t="s">
        <v>676</v>
      </c>
      <c r="C957" t="s">
        <v>133</v>
      </c>
      <c r="D957" s="10">
        <v>27399</v>
      </c>
      <c r="E957" s="10">
        <v>46014</v>
      </c>
      <c r="F957">
        <v>50</v>
      </c>
      <c r="G957" t="s">
        <v>4296</v>
      </c>
    </row>
    <row r="958" spans="1:7">
      <c r="A958" t="s">
        <v>2279</v>
      </c>
      <c r="B958" t="s">
        <v>553</v>
      </c>
      <c r="C958" t="s">
        <v>40</v>
      </c>
      <c r="D958" s="10">
        <v>31221</v>
      </c>
      <c r="E958" s="10">
        <v>45581</v>
      </c>
      <c r="F958">
        <v>39</v>
      </c>
      <c r="G958" t="s">
        <v>4296</v>
      </c>
    </row>
    <row r="959" spans="1:7">
      <c r="A959" t="s">
        <v>2280</v>
      </c>
      <c r="B959" t="s">
        <v>224</v>
      </c>
      <c r="C959" t="s">
        <v>133</v>
      </c>
      <c r="D959" s="10">
        <v>31428</v>
      </c>
      <c r="E959" s="10">
        <v>45812</v>
      </c>
      <c r="F959">
        <v>39</v>
      </c>
      <c r="G959" t="s">
        <v>4296</v>
      </c>
    </row>
    <row r="960" spans="1:7">
      <c r="A960" t="s">
        <v>2281</v>
      </c>
      <c r="B960" t="s">
        <v>1293</v>
      </c>
      <c r="C960" t="s">
        <v>133</v>
      </c>
      <c r="D960" s="10">
        <v>29601</v>
      </c>
      <c r="E960" s="10">
        <v>45189</v>
      </c>
      <c r="F960">
        <v>42</v>
      </c>
      <c r="G960" t="s">
        <v>4296</v>
      </c>
    </row>
    <row r="961" spans="1:7">
      <c r="A961" t="s">
        <v>2284</v>
      </c>
      <c r="B961" t="s">
        <v>2093</v>
      </c>
      <c r="C961" t="s">
        <v>40</v>
      </c>
      <c r="D961" s="10">
        <v>27997</v>
      </c>
      <c r="E961" s="10">
        <v>45055</v>
      </c>
      <c r="F961">
        <v>46</v>
      </c>
      <c r="G961" t="s">
        <v>4296</v>
      </c>
    </row>
    <row r="962" spans="1:7">
      <c r="A962" t="s">
        <v>2286</v>
      </c>
      <c r="B962" t="s">
        <v>39</v>
      </c>
      <c r="C962" t="s">
        <v>40</v>
      </c>
      <c r="D962" s="10">
        <v>21821</v>
      </c>
      <c r="E962" s="10">
        <v>45998</v>
      </c>
      <c r="F962">
        <v>66</v>
      </c>
      <c r="G962" t="s">
        <v>4296</v>
      </c>
    </row>
    <row r="963" spans="1:7">
      <c r="A963" t="s">
        <v>2287</v>
      </c>
      <c r="B963" t="s">
        <v>864</v>
      </c>
      <c r="C963" t="s">
        <v>40</v>
      </c>
      <c r="D963" s="10">
        <v>29330</v>
      </c>
      <c r="E963" s="10">
        <v>45485</v>
      </c>
      <c r="F963">
        <v>44</v>
      </c>
      <c r="G963" t="s">
        <v>4237</v>
      </c>
    </row>
    <row r="964" spans="1:7">
      <c r="A964" t="s">
        <v>2289</v>
      </c>
      <c r="B964" t="s">
        <v>1200</v>
      </c>
      <c r="C964" t="s">
        <v>133</v>
      </c>
      <c r="D964" s="10">
        <v>23250</v>
      </c>
      <c r="E964" s="10">
        <v>45805</v>
      </c>
      <c r="F964">
        <v>61</v>
      </c>
      <c r="G964" t="s">
        <v>4296</v>
      </c>
    </row>
    <row r="965" spans="1:7">
      <c r="A965" t="s">
        <v>2291</v>
      </c>
      <c r="B965" t="s">
        <v>288</v>
      </c>
      <c r="C965" t="s">
        <v>133</v>
      </c>
      <c r="D965" s="10">
        <v>39583</v>
      </c>
      <c r="E965" s="10">
        <v>45915</v>
      </c>
      <c r="F965">
        <v>17</v>
      </c>
      <c r="G965" t="s">
        <v>4296</v>
      </c>
    </row>
    <row r="966" spans="1:7">
      <c r="A966" t="s">
        <v>2292</v>
      </c>
      <c r="B966" t="s">
        <v>394</v>
      </c>
      <c r="C966" t="s">
        <v>40</v>
      </c>
      <c r="D966" s="10">
        <v>19673</v>
      </c>
      <c r="E966" s="10">
        <v>45137</v>
      </c>
      <c r="F966">
        <v>69</v>
      </c>
      <c r="G966" t="s">
        <v>4296</v>
      </c>
    </row>
    <row r="967" spans="1:7">
      <c r="A967" t="s">
        <v>2295</v>
      </c>
      <c r="B967" t="s">
        <v>173</v>
      </c>
      <c r="C967" t="s">
        <v>40</v>
      </c>
      <c r="D967" s="10">
        <v>19291</v>
      </c>
      <c r="E967" s="10">
        <v>45923</v>
      </c>
      <c r="F967">
        <v>72</v>
      </c>
      <c r="G967" t="s">
        <v>4296</v>
      </c>
    </row>
    <row r="968" spans="1:7">
      <c r="A968" t="s">
        <v>2296</v>
      </c>
      <c r="B968" t="s">
        <v>249</v>
      </c>
      <c r="C968" t="s">
        <v>133</v>
      </c>
      <c r="D968" s="10">
        <v>36317</v>
      </c>
      <c r="E968" s="10">
        <v>45749</v>
      </c>
      <c r="F968">
        <v>25</v>
      </c>
      <c r="G968" t="s">
        <v>4296</v>
      </c>
    </row>
    <row r="969" spans="1:7">
      <c r="A969" t="s">
        <v>2297</v>
      </c>
      <c r="B969" t="s">
        <v>845</v>
      </c>
      <c r="C969" t="s">
        <v>40</v>
      </c>
      <c r="D969" s="10">
        <v>38033</v>
      </c>
      <c r="E969" s="10">
        <v>45564</v>
      </c>
      <c r="F969">
        <v>20</v>
      </c>
      <c r="G969" t="s">
        <v>4296</v>
      </c>
    </row>
    <row r="970" spans="1:7">
      <c r="A970" t="s">
        <v>2300</v>
      </c>
      <c r="B970" t="s">
        <v>1678</v>
      </c>
      <c r="C970" t="s">
        <v>40</v>
      </c>
      <c r="D970" s="10">
        <v>29801</v>
      </c>
      <c r="E970" s="10">
        <v>45922</v>
      </c>
      <c r="F970">
        <v>44</v>
      </c>
      <c r="G970" t="s">
        <v>4296</v>
      </c>
    </row>
    <row r="971" spans="1:7">
      <c r="A971" t="s">
        <v>2301</v>
      </c>
      <c r="B971" t="s">
        <v>1153</v>
      </c>
      <c r="C971" t="s">
        <v>40</v>
      </c>
      <c r="D971" s="10">
        <v>38670</v>
      </c>
      <c r="E971" s="10">
        <v>45051</v>
      </c>
      <c r="F971">
        <v>17</v>
      </c>
      <c r="G971" t="s">
        <v>4296</v>
      </c>
    </row>
    <row r="972" spans="1:7">
      <c r="A972" t="s">
        <v>2302</v>
      </c>
      <c r="B972" t="s">
        <v>2303</v>
      </c>
      <c r="C972" t="s">
        <v>40</v>
      </c>
      <c r="D972" s="10">
        <v>20830</v>
      </c>
      <c r="E972" s="10">
        <v>45502</v>
      </c>
      <c r="F972">
        <v>67</v>
      </c>
      <c r="G972" t="s">
        <v>4296</v>
      </c>
    </row>
    <row r="973" spans="1:7">
      <c r="A973" t="s">
        <v>2304</v>
      </c>
      <c r="B973" t="s">
        <v>29</v>
      </c>
      <c r="C973" t="s">
        <v>40</v>
      </c>
      <c r="D973" s="10">
        <v>19590</v>
      </c>
      <c r="E973" s="10">
        <v>45895</v>
      </c>
      <c r="F973">
        <v>72</v>
      </c>
      <c r="G973" t="s">
        <v>4296</v>
      </c>
    </row>
    <row r="974" spans="1:7">
      <c r="A974" t="s">
        <v>2307</v>
      </c>
      <c r="B974" t="s">
        <v>1305</v>
      </c>
      <c r="C974" t="s">
        <v>133</v>
      </c>
      <c r="D974" s="10">
        <v>18457</v>
      </c>
      <c r="E974" s="10">
        <v>45299</v>
      </c>
      <c r="F974">
        <v>73</v>
      </c>
      <c r="G974" t="s">
        <v>4296</v>
      </c>
    </row>
    <row r="975" spans="1:7">
      <c r="A975" t="s">
        <v>2308</v>
      </c>
      <c r="B975" t="s">
        <v>728</v>
      </c>
      <c r="C975" t="s">
        <v>40</v>
      </c>
      <c r="D975" s="10">
        <v>19596</v>
      </c>
      <c r="E975" s="10">
        <v>45415</v>
      </c>
      <c r="F975">
        <v>70</v>
      </c>
      <c r="G975" t="s">
        <v>4296</v>
      </c>
    </row>
    <row r="976" spans="1:7">
      <c r="A976" t="s">
        <v>2310</v>
      </c>
      <c r="B976" t="s">
        <v>522</v>
      </c>
      <c r="C976" t="s">
        <v>133</v>
      </c>
      <c r="D976" s="10">
        <v>29330</v>
      </c>
      <c r="E976" s="10">
        <v>44931</v>
      </c>
      <c r="F976">
        <v>42</v>
      </c>
      <c r="G976" t="s">
        <v>4237</v>
      </c>
    </row>
    <row r="977" spans="1:7">
      <c r="A977" t="s">
        <v>2313</v>
      </c>
      <c r="B977" t="s">
        <v>202</v>
      </c>
      <c r="C977" t="s">
        <v>40</v>
      </c>
      <c r="D977" s="10">
        <v>21114</v>
      </c>
      <c r="E977" s="10">
        <v>45992</v>
      </c>
      <c r="F977">
        <v>68</v>
      </c>
      <c r="G977" t="s">
        <v>4296</v>
      </c>
    </row>
    <row r="978" spans="1:7">
      <c r="A978" t="s">
        <v>2314</v>
      </c>
      <c r="B978" t="s">
        <v>1391</v>
      </c>
      <c r="C978" t="s">
        <v>133</v>
      </c>
      <c r="D978" s="10">
        <v>40243</v>
      </c>
      <c r="E978" s="10">
        <v>45177</v>
      </c>
      <c r="F978">
        <v>13</v>
      </c>
      <c r="G978" t="s">
        <v>4296</v>
      </c>
    </row>
    <row r="979" spans="1:7">
      <c r="A979" t="s">
        <v>2315</v>
      </c>
      <c r="B979" t="s">
        <v>99</v>
      </c>
      <c r="C979" t="s">
        <v>133</v>
      </c>
      <c r="D979" s="10">
        <v>37078</v>
      </c>
      <c r="E979" s="10">
        <v>45158</v>
      </c>
      <c r="F979">
        <v>22</v>
      </c>
      <c r="G979" t="s">
        <v>4296</v>
      </c>
    </row>
    <row r="980" spans="1:7">
      <c r="A980" t="s">
        <v>2317</v>
      </c>
      <c r="B980" t="s">
        <v>147</v>
      </c>
      <c r="C980" t="s">
        <v>40</v>
      </c>
      <c r="D980" s="10">
        <v>26796</v>
      </c>
      <c r="E980" s="10">
        <v>45483</v>
      </c>
      <c r="F980">
        <v>51</v>
      </c>
      <c r="G980" t="s">
        <v>4296</v>
      </c>
    </row>
    <row r="981" spans="1:7">
      <c r="A981" t="s">
        <v>2319</v>
      </c>
      <c r="B981" t="s">
        <v>292</v>
      </c>
      <c r="C981" t="s">
        <v>40</v>
      </c>
      <c r="D981" s="10">
        <v>39910</v>
      </c>
      <c r="E981" s="10">
        <v>44954</v>
      </c>
      <c r="F981">
        <v>13</v>
      </c>
      <c r="G981" t="s">
        <v>4296</v>
      </c>
    </row>
    <row r="982" spans="1:7">
      <c r="A982" t="s">
        <v>2321</v>
      </c>
      <c r="B982" t="s">
        <v>584</v>
      </c>
      <c r="C982" t="s">
        <v>40</v>
      </c>
      <c r="D982" s="10">
        <v>26688</v>
      </c>
      <c r="E982" s="10">
        <v>45145</v>
      </c>
      <c r="F982">
        <v>50</v>
      </c>
      <c r="G982" t="s">
        <v>4296</v>
      </c>
    </row>
    <row r="983" spans="1:7">
      <c r="A983" t="s">
        <v>2324</v>
      </c>
      <c r="B983" t="s">
        <v>1094</v>
      </c>
      <c r="C983" t="s">
        <v>133</v>
      </c>
      <c r="D983" s="10">
        <v>31819</v>
      </c>
      <c r="E983" s="10">
        <v>45688</v>
      </c>
      <c r="F983">
        <v>37</v>
      </c>
      <c r="G983" t="s">
        <v>4296</v>
      </c>
    </row>
    <row r="984" spans="1:7">
      <c r="A984" t="s">
        <v>2327</v>
      </c>
      <c r="B984" t="s">
        <v>1061</v>
      </c>
      <c r="C984" t="s">
        <v>133</v>
      </c>
      <c r="D984" s="10">
        <v>40064</v>
      </c>
      <c r="E984" s="10">
        <v>45070</v>
      </c>
      <c r="F984">
        <v>13</v>
      </c>
      <c r="G984" t="s">
        <v>4296</v>
      </c>
    </row>
    <row r="985" spans="1:7">
      <c r="A985" t="s">
        <v>2328</v>
      </c>
      <c r="B985" t="s">
        <v>697</v>
      </c>
      <c r="C985" t="s">
        <v>40</v>
      </c>
      <c r="D985" s="10">
        <v>29330</v>
      </c>
      <c r="E985" s="10">
        <v>45556</v>
      </c>
      <c r="F985">
        <v>44</v>
      </c>
      <c r="G985" t="s">
        <v>4237</v>
      </c>
    </row>
    <row r="986" spans="1:7">
      <c r="A986" t="s">
        <v>2331</v>
      </c>
      <c r="B986" t="s">
        <v>697</v>
      </c>
      <c r="C986" t="s">
        <v>40</v>
      </c>
      <c r="D986" s="10">
        <v>29407</v>
      </c>
      <c r="E986" s="10">
        <v>45516</v>
      </c>
      <c r="F986">
        <v>44</v>
      </c>
      <c r="G986" t="s">
        <v>4296</v>
      </c>
    </row>
    <row r="987" spans="1:7">
      <c r="A987" t="s">
        <v>2334</v>
      </c>
      <c r="B987" t="s">
        <v>796</v>
      </c>
      <c r="C987" t="s">
        <v>40</v>
      </c>
      <c r="D987" s="10">
        <v>22353</v>
      </c>
      <c r="E987" s="10">
        <v>45563</v>
      </c>
      <c r="F987">
        <v>63</v>
      </c>
      <c r="G987" t="s">
        <v>4296</v>
      </c>
    </row>
    <row r="988" spans="1:7">
      <c r="A988" t="s">
        <v>2335</v>
      </c>
      <c r="B988" t="s">
        <v>406</v>
      </c>
      <c r="C988" t="s">
        <v>133</v>
      </c>
      <c r="D988" s="10">
        <v>34173</v>
      </c>
      <c r="E988" s="10">
        <v>45912</v>
      </c>
      <c r="F988">
        <v>32</v>
      </c>
      <c r="G988" t="s">
        <v>4296</v>
      </c>
    </row>
    <row r="989" spans="1:7">
      <c r="A989" t="s">
        <v>2336</v>
      </c>
      <c r="B989" t="s">
        <v>1104</v>
      </c>
      <c r="C989" t="s">
        <v>40</v>
      </c>
      <c r="D989" s="10">
        <v>38666</v>
      </c>
      <c r="E989" s="10">
        <v>45543</v>
      </c>
      <c r="F989">
        <v>18</v>
      </c>
      <c r="G989" t="s">
        <v>4296</v>
      </c>
    </row>
    <row r="990" spans="1:7">
      <c r="A990" t="s">
        <v>2337</v>
      </c>
      <c r="B990" t="s">
        <v>1598</v>
      </c>
      <c r="C990" t="s">
        <v>40</v>
      </c>
      <c r="D990" s="10">
        <v>27668</v>
      </c>
      <c r="E990" s="10">
        <v>45494</v>
      </c>
      <c r="F990">
        <v>48</v>
      </c>
      <c r="G990" t="s">
        <v>4296</v>
      </c>
    </row>
    <row r="991" spans="1:7">
      <c r="A991" t="s">
        <v>2339</v>
      </c>
      <c r="B991" t="s">
        <v>806</v>
      </c>
      <c r="C991" t="s">
        <v>133</v>
      </c>
      <c r="D991" s="10">
        <v>21695</v>
      </c>
      <c r="E991" s="10">
        <v>45901</v>
      </c>
      <c r="F991">
        <v>66</v>
      </c>
      <c r="G991" t="s">
        <v>4296</v>
      </c>
    </row>
    <row r="992" spans="1:7">
      <c r="A992" t="s">
        <v>2340</v>
      </c>
      <c r="B992" t="s">
        <v>321</v>
      </c>
      <c r="C992" t="s">
        <v>133</v>
      </c>
      <c r="D992" s="10">
        <v>24799</v>
      </c>
      <c r="E992" s="10">
        <v>45034</v>
      </c>
      <c r="F992">
        <v>55</v>
      </c>
      <c r="G992" t="s">
        <v>4296</v>
      </c>
    </row>
    <row r="993" spans="1:7">
      <c r="A993" t="s">
        <v>2342</v>
      </c>
      <c r="B993" t="s">
        <v>2343</v>
      </c>
      <c r="C993" t="s">
        <v>133</v>
      </c>
      <c r="D993" s="10">
        <v>26657</v>
      </c>
      <c r="E993" s="10">
        <v>45384</v>
      </c>
      <c r="F993">
        <v>51</v>
      </c>
      <c r="G993" t="s">
        <v>4296</v>
      </c>
    </row>
    <row r="994" spans="1:7">
      <c r="A994" t="s">
        <v>2344</v>
      </c>
      <c r="B994" t="s">
        <v>980</v>
      </c>
      <c r="C994" t="s">
        <v>40</v>
      </c>
      <c r="D994" s="10">
        <v>33936</v>
      </c>
      <c r="E994" s="10">
        <v>45673</v>
      </c>
      <c r="F994">
        <v>32</v>
      </c>
      <c r="G994" t="s">
        <v>4296</v>
      </c>
    </row>
    <row r="995" spans="1:7">
      <c r="A995" t="s">
        <v>2346</v>
      </c>
      <c r="B995" t="s">
        <v>587</v>
      </c>
      <c r="C995" t="s">
        <v>40</v>
      </c>
      <c r="D995" s="10">
        <v>19026</v>
      </c>
      <c r="E995" s="10">
        <v>45088</v>
      </c>
      <c r="F995">
        <v>71</v>
      </c>
      <c r="G995" t="s">
        <v>4296</v>
      </c>
    </row>
    <row r="996" spans="1:7">
      <c r="A996" t="s">
        <v>2349</v>
      </c>
      <c r="B996" t="s">
        <v>541</v>
      </c>
      <c r="C996" t="s">
        <v>40</v>
      </c>
      <c r="D996" s="10">
        <v>29330</v>
      </c>
      <c r="E996" s="10">
        <v>45650</v>
      </c>
      <c r="F996">
        <v>44</v>
      </c>
      <c r="G996" t="s">
        <v>4237</v>
      </c>
    </row>
    <row r="997" spans="1:7">
      <c r="A997" t="s">
        <v>2351</v>
      </c>
      <c r="B997" t="s">
        <v>1667</v>
      </c>
      <c r="C997" t="s">
        <v>40</v>
      </c>
      <c r="D997" s="10">
        <v>28957</v>
      </c>
      <c r="E997" s="10">
        <v>45935</v>
      </c>
      <c r="F997">
        <v>46</v>
      </c>
      <c r="G997" t="s">
        <v>4296</v>
      </c>
    </row>
    <row r="998" spans="1:7">
      <c r="A998" t="s">
        <v>2355</v>
      </c>
      <c r="B998" t="s">
        <v>444</v>
      </c>
      <c r="C998" t="s">
        <v>133</v>
      </c>
      <c r="D998" s="10">
        <v>30299</v>
      </c>
      <c r="E998" s="10">
        <v>45847</v>
      </c>
      <c r="F998">
        <v>42</v>
      </c>
      <c r="G998" t="s">
        <v>4296</v>
      </c>
    </row>
    <row r="999" spans="1:7">
      <c r="A999" t="s">
        <v>2356</v>
      </c>
      <c r="B999" t="s">
        <v>926</v>
      </c>
      <c r="C999" t="s">
        <v>40</v>
      </c>
      <c r="D999" s="10">
        <v>30481</v>
      </c>
      <c r="E999" s="10">
        <v>45605</v>
      </c>
      <c r="F999">
        <v>41</v>
      </c>
      <c r="G999" t="s">
        <v>4296</v>
      </c>
    </row>
    <row r="1000" spans="1:7">
      <c r="A1000" t="s">
        <v>2357</v>
      </c>
      <c r="B1000" t="s">
        <v>1026</v>
      </c>
      <c r="C1000" t="s">
        <v>133</v>
      </c>
      <c r="D1000" s="10">
        <v>26085</v>
      </c>
      <c r="E1000" s="10">
        <v>45045</v>
      </c>
      <c r="F1000">
        <v>51</v>
      </c>
      <c r="G1000" t="s">
        <v>4296</v>
      </c>
    </row>
    <row r="1001" spans="1:7">
      <c r="A1001" t="s">
        <v>2359</v>
      </c>
      <c r="B1001" t="s">
        <v>517</v>
      </c>
      <c r="C1001" t="s">
        <v>40</v>
      </c>
      <c r="D1001" s="10">
        <v>24939</v>
      </c>
      <c r="E1001" s="10">
        <v>45249</v>
      </c>
      <c r="F1001">
        <v>55</v>
      </c>
      <c r="G1001" t="s">
        <v>4296</v>
      </c>
    </row>
    <row r="1002" spans="1:7">
      <c r="A1002" t="s">
        <v>2361</v>
      </c>
      <c r="B1002" t="s">
        <v>1276</v>
      </c>
      <c r="C1002" t="s">
        <v>133</v>
      </c>
      <c r="D1002" s="10">
        <v>21983</v>
      </c>
      <c r="E1002" s="10">
        <v>45003</v>
      </c>
      <c r="F1002">
        <v>63</v>
      </c>
      <c r="G1002" t="s">
        <v>4296</v>
      </c>
    </row>
    <row r="1003" spans="1:7">
      <c r="A1003" t="s">
        <v>2362</v>
      </c>
      <c r="B1003" t="s">
        <v>1140</v>
      </c>
      <c r="C1003" t="s">
        <v>40</v>
      </c>
      <c r="D1003" s="10">
        <v>38171</v>
      </c>
      <c r="E1003" s="10">
        <v>45187</v>
      </c>
      <c r="F1003">
        <v>19</v>
      </c>
      <c r="G1003" t="s">
        <v>4296</v>
      </c>
    </row>
    <row r="1004" spans="1:7">
      <c r="A1004" t="s">
        <v>2364</v>
      </c>
      <c r="B1004" t="s">
        <v>301</v>
      </c>
      <c r="C1004" t="s">
        <v>133</v>
      </c>
      <c r="D1004" s="10">
        <v>29330</v>
      </c>
      <c r="E1004" s="10">
        <v>45731</v>
      </c>
      <c r="F1004">
        <v>44</v>
      </c>
      <c r="G1004" t="s">
        <v>4237</v>
      </c>
    </row>
    <row r="1005" spans="1:7">
      <c r="A1005" t="s">
        <v>2367</v>
      </c>
      <c r="B1005" t="s">
        <v>1839</v>
      </c>
      <c r="C1005" t="s">
        <v>133</v>
      </c>
      <c r="D1005" s="10">
        <v>28914</v>
      </c>
      <c r="E1005" s="10">
        <v>45953</v>
      </c>
      <c r="F1005">
        <v>46</v>
      </c>
      <c r="G1005" t="s">
        <v>4296</v>
      </c>
    </row>
    <row r="1006" spans="1:7">
      <c r="A1006" t="s">
        <v>2368</v>
      </c>
      <c r="B1006" t="s">
        <v>1452</v>
      </c>
      <c r="C1006" t="s">
        <v>40</v>
      </c>
      <c r="D1006" s="10">
        <v>25214</v>
      </c>
      <c r="E1006" s="10">
        <v>45102</v>
      </c>
      <c r="F1006">
        <v>54</v>
      </c>
      <c r="G1006" t="s">
        <v>4296</v>
      </c>
    </row>
    <row r="1007" spans="1:7">
      <c r="A1007" t="s">
        <v>2369</v>
      </c>
      <c r="B1007" t="s">
        <v>1079</v>
      </c>
      <c r="C1007" t="s">
        <v>133</v>
      </c>
      <c r="D1007" s="10">
        <v>24639</v>
      </c>
      <c r="E1007" s="10">
        <v>45183</v>
      </c>
      <c r="F1007">
        <v>56</v>
      </c>
      <c r="G1007" t="s">
        <v>4296</v>
      </c>
    </row>
    <row r="1008" spans="1:7">
      <c r="A1008" t="s">
        <v>2372</v>
      </c>
      <c r="B1008" t="s">
        <v>164</v>
      </c>
      <c r="C1008" t="s">
        <v>40</v>
      </c>
      <c r="D1008" s="10">
        <v>18445</v>
      </c>
      <c r="E1008" s="10">
        <v>45386</v>
      </c>
      <c r="F1008">
        <v>73</v>
      </c>
      <c r="G1008" t="s">
        <v>4296</v>
      </c>
    </row>
    <row r="1009" spans="1:7">
      <c r="A1009" t="s">
        <v>2374</v>
      </c>
      <c r="B1009" t="s">
        <v>1276</v>
      </c>
      <c r="C1009" t="s">
        <v>40</v>
      </c>
      <c r="D1009" s="10">
        <v>39934</v>
      </c>
      <c r="E1009" s="10">
        <v>45052</v>
      </c>
      <c r="F1009">
        <v>14</v>
      </c>
      <c r="G1009" t="s">
        <v>4296</v>
      </c>
    </row>
    <row r="1010" spans="1:7">
      <c r="A1010" t="s">
        <v>4158</v>
      </c>
      <c r="B1010" t="s">
        <v>611</v>
      </c>
      <c r="C1010" t="s">
        <v>40</v>
      </c>
      <c r="D1010" s="10">
        <v>33461</v>
      </c>
      <c r="E1010" s="10">
        <v>45561</v>
      </c>
      <c r="F1010">
        <v>33</v>
      </c>
      <c r="G1010" t="s">
        <v>4296</v>
      </c>
    </row>
    <row r="1011" spans="1:7">
      <c r="A1011" t="s">
        <v>2377</v>
      </c>
      <c r="B1011" t="s">
        <v>1598</v>
      </c>
      <c r="C1011" t="s">
        <v>40</v>
      </c>
      <c r="D1011" s="10">
        <v>25526</v>
      </c>
      <c r="E1011" s="10">
        <v>45760</v>
      </c>
      <c r="F1011">
        <v>55</v>
      </c>
      <c r="G1011" t="s">
        <v>4296</v>
      </c>
    </row>
    <row r="1012" spans="1:7">
      <c r="A1012" t="s">
        <v>2378</v>
      </c>
      <c r="B1012" t="s">
        <v>1678</v>
      </c>
      <c r="C1012" t="s">
        <v>40</v>
      </c>
      <c r="D1012" s="10">
        <v>23788</v>
      </c>
      <c r="E1012" s="10">
        <v>45370</v>
      </c>
      <c r="F1012">
        <v>59</v>
      </c>
      <c r="G1012" t="s">
        <v>4296</v>
      </c>
    </row>
    <row r="1013" spans="1:7">
      <c r="A1013" t="s">
        <v>2380</v>
      </c>
      <c r="B1013" t="s">
        <v>553</v>
      </c>
      <c r="C1013" t="s">
        <v>40</v>
      </c>
      <c r="D1013" s="10">
        <v>22702</v>
      </c>
      <c r="E1013" s="10">
        <v>45913</v>
      </c>
      <c r="F1013">
        <v>63</v>
      </c>
      <c r="G1013" t="s">
        <v>4296</v>
      </c>
    </row>
    <row r="1014" spans="1:7">
      <c r="A1014" t="s">
        <v>2382</v>
      </c>
      <c r="B1014" t="s">
        <v>922</v>
      </c>
      <c r="C1014" t="s">
        <v>40</v>
      </c>
      <c r="D1014" s="10">
        <v>31036</v>
      </c>
      <c r="E1014" s="10">
        <v>45844</v>
      </c>
      <c r="F1014">
        <v>40</v>
      </c>
      <c r="G1014" t="s">
        <v>4296</v>
      </c>
    </row>
    <row r="1015" spans="1:7">
      <c r="A1015" t="s">
        <v>2384</v>
      </c>
      <c r="B1015" t="s">
        <v>270</v>
      </c>
      <c r="C1015" t="s">
        <v>133</v>
      </c>
      <c r="D1015" s="10">
        <v>18285</v>
      </c>
      <c r="E1015" s="10">
        <v>45091</v>
      </c>
      <c r="F1015">
        <v>73</v>
      </c>
      <c r="G1015" t="s">
        <v>4296</v>
      </c>
    </row>
    <row r="1016" spans="1:7">
      <c r="A1016" t="s">
        <v>2385</v>
      </c>
      <c r="B1016" t="s">
        <v>1587</v>
      </c>
      <c r="C1016" t="s">
        <v>40</v>
      </c>
      <c r="D1016" s="10">
        <v>32533</v>
      </c>
      <c r="E1016" s="10">
        <v>45756</v>
      </c>
      <c r="F1016">
        <v>36</v>
      </c>
      <c r="G1016" t="s">
        <v>4296</v>
      </c>
    </row>
    <row r="1017" spans="1:7">
      <c r="A1017" t="s">
        <v>2387</v>
      </c>
      <c r="B1017" t="s">
        <v>332</v>
      </c>
      <c r="C1017" t="s">
        <v>133</v>
      </c>
      <c r="D1017" s="10">
        <v>37380</v>
      </c>
      <c r="E1017" s="10">
        <v>45911</v>
      </c>
      <c r="F1017">
        <v>23</v>
      </c>
      <c r="G1017" t="s">
        <v>4296</v>
      </c>
    </row>
    <row r="1018" spans="1:7">
      <c r="A1018" t="s">
        <v>4159</v>
      </c>
      <c r="B1018" t="s">
        <v>2389</v>
      </c>
      <c r="C1018" t="s">
        <v>40</v>
      </c>
      <c r="D1018" s="10">
        <v>35177</v>
      </c>
      <c r="E1018" s="10">
        <v>45294</v>
      </c>
      <c r="F1018">
        <v>27</v>
      </c>
      <c r="G1018" t="s">
        <v>4296</v>
      </c>
    </row>
    <row r="1019" spans="1:7">
      <c r="A1019" t="s">
        <v>2391</v>
      </c>
      <c r="B1019" t="s">
        <v>768</v>
      </c>
      <c r="C1019" t="s">
        <v>133</v>
      </c>
      <c r="D1019" s="10">
        <v>28372</v>
      </c>
      <c r="E1019" s="10">
        <v>45164</v>
      </c>
      <c r="F1019">
        <v>45</v>
      </c>
      <c r="G1019" t="s">
        <v>4296</v>
      </c>
    </row>
    <row r="1020" spans="1:7">
      <c r="A1020" t="s">
        <v>2392</v>
      </c>
      <c r="B1020" t="s">
        <v>2393</v>
      </c>
      <c r="C1020" t="s">
        <v>133</v>
      </c>
      <c r="D1020" s="10">
        <v>19430</v>
      </c>
      <c r="E1020" s="10">
        <v>45127</v>
      </c>
      <c r="F1020">
        <v>70</v>
      </c>
      <c r="G1020" t="s">
        <v>4296</v>
      </c>
    </row>
    <row r="1021" spans="1:7">
      <c r="A1021" t="s">
        <v>2394</v>
      </c>
      <c r="B1021" t="s">
        <v>314</v>
      </c>
      <c r="C1021" t="s">
        <v>40</v>
      </c>
      <c r="D1021" s="10">
        <v>39728</v>
      </c>
      <c r="E1021" s="10">
        <v>45662</v>
      </c>
      <c r="F1021">
        <v>16</v>
      </c>
      <c r="G1021" t="s">
        <v>4296</v>
      </c>
    </row>
    <row r="1022" spans="1:7">
      <c r="A1022" t="s">
        <v>2397</v>
      </c>
      <c r="B1022" t="s">
        <v>999</v>
      </c>
      <c r="C1022" t="s">
        <v>133</v>
      </c>
      <c r="D1022" s="10">
        <v>20491</v>
      </c>
      <c r="E1022" s="10">
        <v>45674</v>
      </c>
      <c r="F1022">
        <v>68</v>
      </c>
      <c r="G1022" t="s">
        <v>4296</v>
      </c>
    </row>
    <row r="1023" spans="1:7">
      <c r="A1023" t="s">
        <v>2398</v>
      </c>
      <c r="B1023" t="s">
        <v>732</v>
      </c>
      <c r="C1023" t="s">
        <v>133</v>
      </c>
      <c r="D1023" s="10">
        <v>30379</v>
      </c>
      <c r="E1023" s="10">
        <v>45278</v>
      </c>
      <c r="F1023">
        <v>40</v>
      </c>
      <c r="G1023" t="s">
        <v>4296</v>
      </c>
    </row>
    <row r="1024" spans="1:7">
      <c r="A1024" t="s">
        <v>2401</v>
      </c>
      <c r="B1024" t="s">
        <v>253</v>
      </c>
      <c r="C1024" t="s">
        <v>40</v>
      </c>
      <c r="D1024" s="10">
        <v>22213</v>
      </c>
      <c r="E1024" s="10">
        <v>45597</v>
      </c>
      <c r="F1024">
        <v>64</v>
      </c>
      <c r="G1024" t="s">
        <v>4296</v>
      </c>
    </row>
    <row r="1025" spans="1:7">
      <c r="A1025" t="s">
        <v>2403</v>
      </c>
      <c r="B1025" t="s">
        <v>76</v>
      </c>
      <c r="C1025" t="s">
        <v>133</v>
      </c>
      <c r="D1025" s="10">
        <v>34811</v>
      </c>
      <c r="E1025" s="10">
        <v>45483</v>
      </c>
      <c r="F1025">
        <v>29</v>
      </c>
      <c r="G1025" t="s">
        <v>4296</v>
      </c>
    </row>
    <row r="1026" spans="1:7">
      <c r="A1026" t="s">
        <v>2404</v>
      </c>
      <c r="B1026" t="s">
        <v>877</v>
      </c>
      <c r="C1026" t="s">
        <v>133</v>
      </c>
      <c r="D1026" s="10">
        <v>24267</v>
      </c>
      <c r="E1026" s="10">
        <v>45444</v>
      </c>
      <c r="F1026">
        <v>57</v>
      </c>
      <c r="G1026" t="s">
        <v>4296</v>
      </c>
    </row>
    <row r="1027" spans="1:7">
      <c r="A1027" t="s">
        <v>2406</v>
      </c>
      <c r="B1027" t="s">
        <v>563</v>
      </c>
      <c r="C1027" t="s">
        <v>40</v>
      </c>
      <c r="D1027" s="10">
        <v>20972</v>
      </c>
      <c r="E1027" s="10">
        <v>45577</v>
      </c>
      <c r="F1027">
        <v>67</v>
      </c>
      <c r="G1027" t="s">
        <v>4296</v>
      </c>
    </row>
    <row r="1028" spans="1:7">
      <c r="A1028" t="s">
        <v>2407</v>
      </c>
      <c r="B1028" t="s">
        <v>1097</v>
      </c>
      <c r="C1028" t="s">
        <v>133</v>
      </c>
      <c r="D1028" s="10">
        <v>35453</v>
      </c>
      <c r="E1028" s="10">
        <v>45553</v>
      </c>
      <c r="F1028">
        <v>27</v>
      </c>
      <c r="G1028" t="s">
        <v>4296</v>
      </c>
    </row>
    <row r="1029" spans="1:7">
      <c r="A1029" t="s">
        <v>4160</v>
      </c>
      <c r="B1029" t="s">
        <v>304</v>
      </c>
      <c r="C1029" t="s">
        <v>133</v>
      </c>
      <c r="D1029" s="10">
        <v>24284</v>
      </c>
      <c r="E1029" s="10">
        <v>46019</v>
      </c>
      <c r="F1029">
        <v>59</v>
      </c>
      <c r="G1029" t="s">
        <v>4296</v>
      </c>
    </row>
    <row r="1030" spans="1:7">
      <c r="A1030" t="s">
        <v>2410</v>
      </c>
      <c r="B1030" t="s">
        <v>2093</v>
      </c>
      <c r="C1030" t="s">
        <v>40</v>
      </c>
      <c r="D1030" s="10">
        <v>32444</v>
      </c>
      <c r="E1030" s="10">
        <v>45107</v>
      </c>
      <c r="F1030">
        <v>34</v>
      </c>
      <c r="G1030" t="s">
        <v>4296</v>
      </c>
    </row>
    <row r="1031" spans="1:7">
      <c r="A1031" t="s">
        <v>2412</v>
      </c>
      <c r="B1031" t="s">
        <v>328</v>
      </c>
      <c r="C1031" t="s">
        <v>40</v>
      </c>
      <c r="D1031" s="10">
        <v>33669</v>
      </c>
      <c r="E1031" s="10">
        <v>45482</v>
      </c>
      <c r="F1031">
        <v>32</v>
      </c>
      <c r="G1031" t="s">
        <v>4237</v>
      </c>
    </row>
    <row r="1032" spans="1:7">
      <c r="A1032" t="s">
        <v>2414</v>
      </c>
      <c r="B1032" t="s">
        <v>433</v>
      </c>
      <c r="C1032" t="s">
        <v>133</v>
      </c>
      <c r="D1032" s="10">
        <v>21401</v>
      </c>
      <c r="E1032" s="10">
        <v>45599</v>
      </c>
      <c r="F1032">
        <v>66</v>
      </c>
      <c r="G1032" t="s">
        <v>4296</v>
      </c>
    </row>
    <row r="1033" spans="1:7">
      <c r="A1033" t="s">
        <v>2415</v>
      </c>
      <c r="B1033" t="s">
        <v>693</v>
      </c>
      <c r="C1033" t="s">
        <v>133</v>
      </c>
      <c r="D1033" s="10">
        <v>29327</v>
      </c>
      <c r="E1033" s="10">
        <v>45509</v>
      </c>
      <c r="F1033">
        <v>44</v>
      </c>
      <c r="G1033" t="s">
        <v>4296</v>
      </c>
    </row>
    <row r="1034" spans="1:7">
      <c r="A1034" t="s">
        <v>2417</v>
      </c>
      <c r="B1034" t="s">
        <v>406</v>
      </c>
      <c r="C1034" t="s">
        <v>40</v>
      </c>
      <c r="D1034" s="10">
        <v>23301</v>
      </c>
      <c r="E1034" s="10">
        <v>45423</v>
      </c>
      <c r="F1034">
        <v>60</v>
      </c>
      <c r="G1034" t="s">
        <v>4296</v>
      </c>
    </row>
    <row r="1035" spans="1:7">
      <c r="A1035" t="s">
        <v>2419</v>
      </c>
      <c r="B1035" t="s">
        <v>796</v>
      </c>
      <c r="C1035" t="s">
        <v>133</v>
      </c>
      <c r="D1035" s="10">
        <v>28952</v>
      </c>
      <c r="E1035" s="10">
        <v>45322</v>
      </c>
      <c r="F1035">
        <v>44</v>
      </c>
      <c r="G1035" t="s">
        <v>4296</v>
      </c>
    </row>
    <row r="1036" spans="1:7">
      <c r="A1036" t="s">
        <v>2421</v>
      </c>
      <c r="B1036" t="s">
        <v>556</v>
      </c>
      <c r="C1036" t="s">
        <v>133</v>
      </c>
      <c r="D1036" s="10">
        <v>40143</v>
      </c>
      <c r="E1036" s="10">
        <v>45731</v>
      </c>
      <c r="F1036">
        <v>15</v>
      </c>
      <c r="G1036" t="s">
        <v>4296</v>
      </c>
    </row>
    <row r="1037" spans="1:7">
      <c r="A1037" t="s">
        <v>2424</v>
      </c>
      <c r="B1037" t="s">
        <v>1305</v>
      </c>
      <c r="C1037" t="s">
        <v>40</v>
      </c>
      <c r="D1037" s="10">
        <v>19055</v>
      </c>
      <c r="E1037" s="10">
        <v>45010</v>
      </c>
      <c r="F1037">
        <v>71</v>
      </c>
      <c r="G1037" t="s">
        <v>4296</v>
      </c>
    </row>
    <row r="1038" spans="1:7">
      <c r="A1038" t="s">
        <v>2426</v>
      </c>
      <c r="B1038" t="s">
        <v>503</v>
      </c>
      <c r="C1038" t="s">
        <v>133</v>
      </c>
      <c r="D1038" s="10">
        <v>25583</v>
      </c>
      <c r="E1038" s="10">
        <v>45756</v>
      </c>
      <c r="F1038">
        <v>55</v>
      </c>
      <c r="G1038" t="s">
        <v>4296</v>
      </c>
    </row>
    <row r="1039" spans="1:7">
      <c r="A1039" t="s">
        <v>2428</v>
      </c>
      <c r="B1039" t="s">
        <v>689</v>
      </c>
      <c r="C1039" t="s">
        <v>133</v>
      </c>
      <c r="D1039" s="10">
        <v>29814</v>
      </c>
      <c r="E1039" s="10">
        <v>45565</v>
      </c>
      <c r="F1039">
        <v>43</v>
      </c>
      <c r="G1039" t="s">
        <v>4296</v>
      </c>
    </row>
    <row r="1040" spans="1:7">
      <c r="A1040" t="s">
        <v>4161</v>
      </c>
      <c r="B1040" t="s">
        <v>871</v>
      </c>
      <c r="C1040" t="s">
        <v>133</v>
      </c>
      <c r="D1040" s="10">
        <v>31636</v>
      </c>
      <c r="E1040" s="10">
        <v>45617</v>
      </c>
      <c r="F1040">
        <v>38</v>
      </c>
      <c r="G1040" t="s">
        <v>4296</v>
      </c>
    </row>
    <row r="1041" spans="1:7">
      <c r="A1041" t="s">
        <v>2433</v>
      </c>
      <c r="B1041" t="s">
        <v>332</v>
      </c>
      <c r="C1041" t="s">
        <v>40</v>
      </c>
      <c r="D1041" s="10">
        <v>29330</v>
      </c>
      <c r="E1041" s="10">
        <v>45400</v>
      </c>
      <c r="F1041">
        <v>43</v>
      </c>
      <c r="G1041" t="s">
        <v>4237</v>
      </c>
    </row>
    <row r="1042" spans="1:7">
      <c r="A1042" t="s">
        <v>2436</v>
      </c>
      <c r="B1042" t="s">
        <v>292</v>
      </c>
      <c r="C1042" t="s">
        <v>40</v>
      </c>
      <c r="D1042" s="10">
        <v>31214</v>
      </c>
      <c r="E1042" s="10">
        <v>45838</v>
      </c>
      <c r="F1042">
        <v>40</v>
      </c>
      <c r="G1042" t="s">
        <v>4296</v>
      </c>
    </row>
    <row r="1043" spans="1:7">
      <c r="A1043" t="s">
        <v>2438</v>
      </c>
      <c r="B1043" t="s">
        <v>49</v>
      </c>
      <c r="C1043" t="s">
        <v>133</v>
      </c>
      <c r="D1043" s="10">
        <v>33446</v>
      </c>
      <c r="E1043" s="10">
        <v>45470</v>
      </c>
      <c r="F1043">
        <v>32</v>
      </c>
      <c r="G1043" t="s">
        <v>4296</v>
      </c>
    </row>
    <row r="1044" spans="1:7">
      <c r="A1044" t="s">
        <v>2440</v>
      </c>
      <c r="B1044" t="s">
        <v>199</v>
      </c>
      <c r="C1044" t="s">
        <v>40</v>
      </c>
      <c r="D1044" s="10">
        <v>30214</v>
      </c>
      <c r="E1044" s="10">
        <v>45482</v>
      </c>
      <c r="F1044">
        <v>41</v>
      </c>
      <c r="G1044" t="s">
        <v>4237</v>
      </c>
    </row>
    <row r="1045" spans="1:7">
      <c r="A1045" t="s">
        <v>2442</v>
      </c>
      <c r="B1045" t="s">
        <v>464</v>
      </c>
      <c r="C1045" t="s">
        <v>133</v>
      </c>
      <c r="D1045" s="10">
        <v>36619</v>
      </c>
      <c r="E1045" s="10">
        <v>45749</v>
      </c>
      <c r="F1045">
        <v>24</v>
      </c>
      <c r="G1045" t="s">
        <v>4296</v>
      </c>
    </row>
    <row r="1046" spans="1:7">
      <c r="A1046" t="s">
        <v>2443</v>
      </c>
      <c r="B1046" t="s">
        <v>59</v>
      </c>
      <c r="C1046" t="s">
        <v>133</v>
      </c>
      <c r="D1046" s="10">
        <v>30529</v>
      </c>
      <c r="E1046" s="10">
        <v>45169</v>
      </c>
      <c r="F1046">
        <v>40</v>
      </c>
      <c r="G1046" t="s">
        <v>4296</v>
      </c>
    </row>
    <row r="1047" spans="1:7">
      <c r="A1047" t="s">
        <v>2444</v>
      </c>
      <c r="B1047" t="s">
        <v>864</v>
      </c>
      <c r="C1047" t="s">
        <v>40</v>
      </c>
      <c r="D1047" s="10">
        <v>33614</v>
      </c>
      <c r="E1047" s="10">
        <v>45064</v>
      </c>
      <c r="F1047">
        <v>31</v>
      </c>
      <c r="G1047" t="s">
        <v>4296</v>
      </c>
    </row>
    <row r="1048" spans="1:7">
      <c r="A1048" t="s">
        <v>2445</v>
      </c>
      <c r="B1048" t="s">
        <v>1167</v>
      </c>
      <c r="C1048" t="s">
        <v>133</v>
      </c>
      <c r="D1048" s="10">
        <v>34048</v>
      </c>
      <c r="E1048" s="10">
        <v>45890</v>
      </c>
      <c r="F1048">
        <v>32</v>
      </c>
      <c r="G1048" t="s">
        <v>4296</v>
      </c>
    </row>
    <row r="1049" spans="1:7">
      <c r="A1049" t="s">
        <v>2446</v>
      </c>
      <c r="B1049" t="s">
        <v>2447</v>
      </c>
      <c r="C1049" t="s">
        <v>133</v>
      </c>
      <c r="D1049" s="10">
        <v>19482</v>
      </c>
      <c r="E1049" s="10">
        <v>45873</v>
      </c>
      <c r="F1049">
        <v>72</v>
      </c>
      <c r="G1049" t="s">
        <v>4296</v>
      </c>
    </row>
    <row r="1050" spans="1:7">
      <c r="A1050" t="s">
        <v>4162</v>
      </c>
      <c r="B1050" t="s">
        <v>560</v>
      </c>
      <c r="C1050" t="s">
        <v>133</v>
      </c>
      <c r="D1050" s="10">
        <v>37934</v>
      </c>
      <c r="E1050" s="10">
        <v>45630</v>
      </c>
      <c r="F1050">
        <v>21</v>
      </c>
      <c r="G1050" t="s">
        <v>4296</v>
      </c>
    </row>
    <row r="1051" spans="1:7">
      <c r="A1051" t="s">
        <v>2453</v>
      </c>
      <c r="B1051" t="s">
        <v>697</v>
      </c>
      <c r="C1051" t="s">
        <v>133</v>
      </c>
      <c r="D1051" s="10">
        <v>24259</v>
      </c>
      <c r="E1051" s="10">
        <v>45821</v>
      </c>
      <c r="F1051">
        <v>59</v>
      </c>
      <c r="G1051" t="s">
        <v>4296</v>
      </c>
    </row>
    <row r="1052" spans="1:7">
      <c r="A1052" t="s">
        <v>2456</v>
      </c>
      <c r="B1052" t="s">
        <v>972</v>
      </c>
      <c r="C1052" t="s">
        <v>40</v>
      </c>
      <c r="D1052" s="10">
        <v>37543</v>
      </c>
      <c r="E1052" s="10">
        <v>45168</v>
      </c>
      <c r="F1052">
        <v>20</v>
      </c>
      <c r="G1052" t="s">
        <v>4296</v>
      </c>
    </row>
    <row r="1053" spans="1:7">
      <c r="A1053" t="s">
        <v>2457</v>
      </c>
      <c r="B1053" t="s">
        <v>1480</v>
      </c>
      <c r="C1053" t="s">
        <v>40</v>
      </c>
      <c r="D1053" s="10">
        <v>39719</v>
      </c>
      <c r="E1053" s="10">
        <v>45135</v>
      </c>
      <c r="F1053">
        <v>14</v>
      </c>
      <c r="G1053" t="s">
        <v>4296</v>
      </c>
    </row>
    <row r="1054" spans="1:7">
      <c r="A1054" t="s">
        <v>2458</v>
      </c>
      <c r="B1054" t="s">
        <v>1263</v>
      </c>
      <c r="C1054" t="s">
        <v>40</v>
      </c>
      <c r="D1054" s="10">
        <v>28930</v>
      </c>
      <c r="E1054" s="10">
        <v>45615</v>
      </c>
      <c r="F1054">
        <v>45</v>
      </c>
      <c r="G1054" t="s">
        <v>4296</v>
      </c>
    </row>
    <row r="1055" spans="1:7">
      <c r="A1055" t="s">
        <v>2459</v>
      </c>
      <c r="B1055" t="s">
        <v>604</v>
      </c>
      <c r="C1055" t="s">
        <v>133</v>
      </c>
      <c r="D1055" s="10">
        <v>29330</v>
      </c>
      <c r="E1055" s="10">
        <v>45363</v>
      </c>
      <c r="F1055">
        <v>43</v>
      </c>
      <c r="G1055" t="s">
        <v>4237</v>
      </c>
    </row>
    <row r="1056" spans="1:7">
      <c r="A1056" t="s">
        <v>2462</v>
      </c>
      <c r="B1056" t="s">
        <v>909</v>
      </c>
      <c r="C1056" t="s">
        <v>40</v>
      </c>
      <c r="D1056" s="10">
        <v>39490</v>
      </c>
      <c r="E1056" s="10">
        <v>45765</v>
      </c>
      <c r="F1056">
        <v>17</v>
      </c>
      <c r="G1056" t="s">
        <v>4296</v>
      </c>
    </row>
    <row r="1057" spans="1:7">
      <c r="A1057" t="s">
        <v>2464</v>
      </c>
      <c r="B1057" t="s">
        <v>373</v>
      </c>
      <c r="C1057" t="s">
        <v>133</v>
      </c>
      <c r="D1057" s="10">
        <v>37218</v>
      </c>
      <c r="E1057" s="10">
        <v>45934</v>
      </c>
      <c r="F1057">
        <v>23</v>
      </c>
      <c r="G1057" t="s">
        <v>4296</v>
      </c>
    </row>
    <row r="1058" spans="1:7">
      <c r="A1058" t="s">
        <v>2465</v>
      </c>
      <c r="B1058" t="s">
        <v>283</v>
      </c>
      <c r="C1058" t="s">
        <v>133</v>
      </c>
      <c r="D1058" s="10">
        <v>38606</v>
      </c>
      <c r="E1058" s="10">
        <v>45978</v>
      </c>
      <c r="F1058">
        <v>20</v>
      </c>
      <c r="G1058" t="s">
        <v>4296</v>
      </c>
    </row>
    <row r="1059" spans="1:7">
      <c r="A1059" t="s">
        <v>2466</v>
      </c>
      <c r="B1059" t="s">
        <v>522</v>
      </c>
      <c r="C1059" t="s">
        <v>40</v>
      </c>
      <c r="D1059" s="10">
        <v>30442</v>
      </c>
      <c r="E1059" s="10">
        <v>45954</v>
      </c>
      <c r="F1059">
        <v>42</v>
      </c>
      <c r="G1059" t="s">
        <v>4296</v>
      </c>
    </row>
    <row r="1060" spans="1:7">
      <c r="A1060" t="s">
        <v>2468</v>
      </c>
      <c r="B1060" t="s">
        <v>1888</v>
      </c>
      <c r="C1060" t="s">
        <v>40</v>
      </c>
      <c r="D1060" s="10">
        <v>40163</v>
      </c>
      <c r="E1060" s="10">
        <v>45724</v>
      </c>
      <c r="F1060">
        <v>15</v>
      </c>
      <c r="G1060" t="s">
        <v>4296</v>
      </c>
    </row>
    <row r="1061" spans="1:7">
      <c r="A1061" t="s">
        <v>2469</v>
      </c>
      <c r="B1061" t="s">
        <v>1026</v>
      </c>
      <c r="C1061" t="s">
        <v>40</v>
      </c>
      <c r="D1061" s="10">
        <v>29322</v>
      </c>
      <c r="E1061" s="10">
        <v>45797</v>
      </c>
      <c r="F1061">
        <v>45</v>
      </c>
      <c r="G1061" t="s">
        <v>4296</v>
      </c>
    </row>
    <row r="1062" spans="1:7">
      <c r="A1062" t="s">
        <v>2470</v>
      </c>
      <c r="B1062" t="s">
        <v>2594</v>
      </c>
      <c r="C1062" t="s">
        <v>133</v>
      </c>
      <c r="D1062" s="10">
        <v>36648</v>
      </c>
      <c r="E1062" s="10">
        <v>45239</v>
      </c>
      <c r="F1062">
        <v>23</v>
      </c>
      <c r="G1062" t="s">
        <v>4296</v>
      </c>
    </row>
    <row r="1063" spans="1:7">
      <c r="A1063" t="s">
        <v>2473</v>
      </c>
      <c r="B1063" t="s">
        <v>689</v>
      </c>
      <c r="C1063" t="s">
        <v>40</v>
      </c>
      <c r="D1063" s="10">
        <v>18392</v>
      </c>
      <c r="E1063" s="10">
        <v>45981</v>
      </c>
      <c r="F1063">
        <v>75</v>
      </c>
      <c r="G1063" t="s">
        <v>4296</v>
      </c>
    </row>
    <row r="1064" spans="1:7">
      <c r="A1064" t="s">
        <v>2476</v>
      </c>
      <c r="B1064" t="s">
        <v>458</v>
      </c>
      <c r="C1064" t="s">
        <v>133</v>
      </c>
      <c r="D1064" s="10">
        <v>22106</v>
      </c>
      <c r="E1064" s="10">
        <v>44992</v>
      </c>
      <c r="F1064">
        <v>62</v>
      </c>
      <c r="G1064" t="s">
        <v>4296</v>
      </c>
    </row>
    <row r="1065" spans="1:7">
      <c r="A1065" t="s">
        <v>2478</v>
      </c>
      <c r="B1065" t="s">
        <v>1140</v>
      </c>
      <c r="C1065" t="s">
        <v>40</v>
      </c>
      <c r="D1065" s="10">
        <v>19259</v>
      </c>
      <c r="E1065" s="10">
        <v>44961</v>
      </c>
      <c r="F1065">
        <v>70</v>
      </c>
      <c r="G1065" t="s">
        <v>4296</v>
      </c>
    </row>
    <row r="1066" spans="1:7">
      <c r="A1066" t="s">
        <v>2479</v>
      </c>
      <c r="B1066" t="s">
        <v>283</v>
      </c>
      <c r="C1066" t="s">
        <v>40</v>
      </c>
      <c r="D1066" s="10">
        <v>26217</v>
      </c>
      <c r="E1066" s="10">
        <v>45686</v>
      </c>
      <c r="F1066">
        <v>53</v>
      </c>
      <c r="G1066" t="s">
        <v>4296</v>
      </c>
    </row>
    <row r="1067" spans="1:7">
      <c r="A1067" t="s">
        <v>2480</v>
      </c>
      <c r="B1067" t="s">
        <v>1050</v>
      </c>
      <c r="C1067" t="s">
        <v>40</v>
      </c>
      <c r="D1067" s="10">
        <v>21959</v>
      </c>
      <c r="E1067" s="10">
        <v>45568</v>
      </c>
      <c r="F1067">
        <v>64</v>
      </c>
      <c r="G1067" t="s">
        <v>4296</v>
      </c>
    </row>
    <row r="1068" spans="1:7">
      <c r="A1068" t="s">
        <v>2482</v>
      </c>
      <c r="B1068" t="s">
        <v>2483</v>
      </c>
      <c r="C1068" t="s">
        <v>40</v>
      </c>
      <c r="D1068" s="10">
        <v>34065</v>
      </c>
      <c r="E1068" s="10">
        <v>45114</v>
      </c>
      <c r="F1068">
        <v>30</v>
      </c>
      <c r="G1068" t="s">
        <v>4296</v>
      </c>
    </row>
    <row r="1069" spans="1:7">
      <c r="A1069" t="s">
        <v>2484</v>
      </c>
      <c r="B1069" t="s">
        <v>604</v>
      </c>
      <c r="C1069" t="s">
        <v>133</v>
      </c>
      <c r="D1069" s="10">
        <v>20174</v>
      </c>
      <c r="E1069" s="10">
        <v>45411</v>
      </c>
      <c r="F1069">
        <v>69</v>
      </c>
      <c r="G1069" t="s">
        <v>4296</v>
      </c>
    </row>
    <row r="1070" spans="1:7">
      <c r="A1070" t="s">
        <v>2485</v>
      </c>
      <c r="B1070" t="s">
        <v>1408</v>
      </c>
      <c r="C1070" t="s">
        <v>40</v>
      </c>
      <c r="D1070" s="10">
        <v>22501</v>
      </c>
      <c r="E1070" s="10">
        <v>45521</v>
      </c>
      <c r="F1070">
        <v>63</v>
      </c>
      <c r="G1070" t="s">
        <v>4296</v>
      </c>
    </row>
    <row r="1071" spans="1:7">
      <c r="A1071" t="s">
        <v>2486</v>
      </c>
      <c r="B1071" t="s">
        <v>576</v>
      </c>
      <c r="C1071" t="s">
        <v>40</v>
      </c>
      <c r="D1071" s="10">
        <v>21097</v>
      </c>
      <c r="E1071" s="10">
        <v>45000</v>
      </c>
      <c r="F1071">
        <v>65</v>
      </c>
      <c r="G1071" t="s">
        <v>4296</v>
      </c>
    </row>
    <row r="1072" spans="1:7">
      <c r="A1072" t="s">
        <v>4163</v>
      </c>
      <c r="B1072" t="s">
        <v>503</v>
      </c>
      <c r="C1072" t="s">
        <v>40</v>
      </c>
      <c r="D1072" s="10">
        <v>34596</v>
      </c>
      <c r="E1072" s="10">
        <v>45115</v>
      </c>
      <c r="F1072">
        <v>28</v>
      </c>
      <c r="G1072" t="s">
        <v>4296</v>
      </c>
    </row>
    <row r="1073" spans="1:7">
      <c r="A1073" t="s">
        <v>2490</v>
      </c>
      <c r="B1073" t="s">
        <v>108</v>
      </c>
      <c r="C1073" t="s">
        <v>133</v>
      </c>
      <c r="D1073" s="10">
        <v>26661</v>
      </c>
      <c r="E1073" s="10">
        <v>45867</v>
      </c>
      <c r="F1073">
        <v>52</v>
      </c>
      <c r="G1073" t="s">
        <v>4296</v>
      </c>
    </row>
    <row r="1074" spans="1:7">
      <c r="A1074" t="s">
        <v>2491</v>
      </c>
      <c r="B1074" t="s">
        <v>891</v>
      </c>
      <c r="C1074" t="s">
        <v>133</v>
      </c>
      <c r="D1074" s="10">
        <v>27607</v>
      </c>
      <c r="E1074" s="10">
        <v>44954</v>
      </c>
      <c r="F1074">
        <v>47</v>
      </c>
      <c r="G1074" t="s">
        <v>4296</v>
      </c>
    </row>
    <row r="1075" spans="1:7">
      <c r="A1075" t="s">
        <v>4164</v>
      </c>
      <c r="B1075" t="s">
        <v>756</v>
      </c>
      <c r="C1075" t="s">
        <v>40</v>
      </c>
      <c r="D1075" s="10">
        <v>22381</v>
      </c>
      <c r="E1075" s="10">
        <v>45368</v>
      </c>
      <c r="F1075">
        <v>62</v>
      </c>
      <c r="G1075" t="s">
        <v>4296</v>
      </c>
    </row>
    <row r="1076" spans="1:7">
      <c r="A1076" t="s">
        <v>2495</v>
      </c>
      <c r="B1076" t="s">
        <v>785</v>
      </c>
      <c r="C1076" t="s">
        <v>40</v>
      </c>
      <c r="D1076" s="10">
        <v>31222</v>
      </c>
      <c r="E1076" s="10">
        <v>45488</v>
      </c>
      <c r="F1076">
        <v>39</v>
      </c>
      <c r="G1076" t="s">
        <v>4296</v>
      </c>
    </row>
    <row r="1077" spans="1:7">
      <c r="A1077" t="s">
        <v>2496</v>
      </c>
      <c r="B1077" t="s">
        <v>1748</v>
      </c>
      <c r="C1077" t="s">
        <v>133</v>
      </c>
      <c r="D1077" s="10">
        <v>19137</v>
      </c>
      <c r="E1077" s="10">
        <v>45409</v>
      </c>
      <c r="F1077">
        <v>71</v>
      </c>
      <c r="G1077" t="s">
        <v>4296</v>
      </c>
    </row>
    <row r="1078" spans="1:7">
      <c r="A1078" t="s">
        <v>2497</v>
      </c>
      <c r="B1078" t="s">
        <v>143</v>
      </c>
      <c r="C1078" t="s">
        <v>40</v>
      </c>
      <c r="D1078" s="10">
        <v>25220</v>
      </c>
      <c r="E1078" s="10">
        <v>45138</v>
      </c>
      <c r="F1078">
        <v>54</v>
      </c>
      <c r="G1078" t="s">
        <v>4296</v>
      </c>
    </row>
    <row r="1079" spans="1:7">
      <c r="A1079" t="s">
        <v>2498</v>
      </c>
      <c r="B1079" t="s">
        <v>427</v>
      </c>
      <c r="C1079" t="s">
        <v>40</v>
      </c>
      <c r="D1079" s="10">
        <v>26107</v>
      </c>
      <c r="E1079" s="10">
        <v>45479</v>
      </c>
      <c r="F1079">
        <v>53</v>
      </c>
      <c r="G1079" t="s">
        <v>4296</v>
      </c>
    </row>
    <row r="1080" spans="1:7">
      <c r="A1080" t="s">
        <v>2501</v>
      </c>
      <c r="B1080" t="s">
        <v>875</v>
      </c>
      <c r="C1080" t="s">
        <v>40</v>
      </c>
      <c r="D1080" s="10">
        <v>18297</v>
      </c>
      <c r="E1080" s="10">
        <v>45482</v>
      </c>
      <c r="F1080">
        <v>74</v>
      </c>
      <c r="G1080" t="s">
        <v>4237</v>
      </c>
    </row>
    <row r="1081" spans="1:7">
      <c r="A1081" t="s">
        <v>2504</v>
      </c>
      <c r="B1081" t="s">
        <v>112</v>
      </c>
      <c r="C1081" t="s">
        <v>133</v>
      </c>
      <c r="D1081" s="10">
        <v>18982</v>
      </c>
      <c r="E1081" s="10">
        <v>45101</v>
      </c>
      <c r="F1081">
        <v>71</v>
      </c>
      <c r="G1081" t="s">
        <v>4296</v>
      </c>
    </row>
    <row r="1082" spans="1:7">
      <c r="A1082" t="s">
        <v>2505</v>
      </c>
      <c r="B1082" t="s">
        <v>684</v>
      </c>
      <c r="C1082" t="s">
        <v>40</v>
      </c>
      <c r="D1082" s="10">
        <v>25282</v>
      </c>
      <c r="E1082" s="10">
        <v>45654</v>
      </c>
      <c r="F1082">
        <v>55</v>
      </c>
      <c r="G1082" t="s">
        <v>4296</v>
      </c>
    </row>
    <row r="1083" spans="1:7">
      <c r="A1083" t="s">
        <v>2506</v>
      </c>
      <c r="B1083" t="s">
        <v>2507</v>
      </c>
      <c r="C1083" t="s">
        <v>40</v>
      </c>
      <c r="D1083" s="10">
        <v>23141</v>
      </c>
      <c r="E1083" s="10">
        <v>45871</v>
      </c>
      <c r="F1083">
        <v>62</v>
      </c>
      <c r="G1083" t="s">
        <v>4296</v>
      </c>
    </row>
    <row r="1084" spans="1:7">
      <c r="A1084" t="s">
        <v>2509</v>
      </c>
      <c r="B1084" t="s">
        <v>368</v>
      </c>
      <c r="C1084" t="s">
        <v>133</v>
      </c>
      <c r="D1084" s="10">
        <v>25163</v>
      </c>
      <c r="E1084" s="10">
        <v>45618</v>
      </c>
      <c r="F1084">
        <v>56</v>
      </c>
      <c r="G1084" t="s">
        <v>4296</v>
      </c>
    </row>
    <row r="1085" spans="1:7">
      <c r="A1085" t="s">
        <v>2511</v>
      </c>
      <c r="B1085" t="s">
        <v>700</v>
      </c>
      <c r="C1085" t="s">
        <v>40</v>
      </c>
      <c r="D1085" s="10">
        <v>38555</v>
      </c>
      <c r="E1085" s="10">
        <v>45934</v>
      </c>
      <c r="F1085">
        <v>20</v>
      </c>
      <c r="G1085" t="s">
        <v>4296</v>
      </c>
    </row>
    <row r="1086" spans="1:7">
      <c r="A1086" t="s">
        <v>2512</v>
      </c>
      <c r="B1086" t="s">
        <v>218</v>
      </c>
      <c r="C1086" t="s">
        <v>133</v>
      </c>
      <c r="D1086" s="10">
        <v>20865</v>
      </c>
      <c r="E1086" s="10">
        <v>45171</v>
      </c>
      <c r="F1086">
        <v>66</v>
      </c>
      <c r="G1086" t="s">
        <v>4296</v>
      </c>
    </row>
    <row r="1087" spans="1:7">
      <c r="A1087" t="s">
        <v>2514</v>
      </c>
      <c r="B1087" t="s">
        <v>622</v>
      </c>
      <c r="C1087" t="s">
        <v>133</v>
      </c>
      <c r="D1087" s="10">
        <v>23978</v>
      </c>
      <c r="E1087" s="10">
        <v>45482</v>
      </c>
      <c r="F1087">
        <v>58</v>
      </c>
      <c r="G1087" t="s">
        <v>4237</v>
      </c>
    </row>
    <row r="1088" spans="1:7">
      <c r="A1088" t="s">
        <v>2516</v>
      </c>
      <c r="B1088" t="s">
        <v>132</v>
      </c>
      <c r="C1088" t="s">
        <v>133</v>
      </c>
      <c r="D1088" s="10">
        <v>32711</v>
      </c>
      <c r="E1088" s="10">
        <v>45758</v>
      </c>
      <c r="F1088">
        <v>35</v>
      </c>
      <c r="G1088" t="s">
        <v>4296</v>
      </c>
    </row>
    <row r="1089" spans="1:7">
      <c r="A1089" t="s">
        <v>2518</v>
      </c>
      <c r="B1089" t="s">
        <v>218</v>
      </c>
      <c r="C1089" t="s">
        <v>133</v>
      </c>
      <c r="D1089" s="10">
        <v>36997</v>
      </c>
      <c r="E1089" s="10">
        <v>45992</v>
      </c>
      <c r="F1089">
        <v>24</v>
      </c>
      <c r="G1089" t="s">
        <v>4296</v>
      </c>
    </row>
    <row r="1090" spans="1:7">
      <c r="A1090" t="s">
        <v>2520</v>
      </c>
      <c r="B1090" t="s">
        <v>1293</v>
      </c>
      <c r="C1090" t="s">
        <v>40</v>
      </c>
      <c r="D1090" s="10">
        <v>19597</v>
      </c>
      <c r="E1090" s="10">
        <v>45513</v>
      </c>
      <c r="F1090">
        <v>70</v>
      </c>
      <c r="G1090" t="s">
        <v>4296</v>
      </c>
    </row>
    <row r="1091" spans="1:7">
      <c r="A1091" t="s">
        <v>2521</v>
      </c>
      <c r="B1091" t="s">
        <v>2249</v>
      </c>
      <c r="C1091" t="s">
        <v>133</v>
      </c>
      <c r="D1091" s="10">
        <v>28197</v>
      </c>
      <c r="E1091" s="10">
        <v>45389</v>
      </c>
      <c r="F1091">
        <v>47</v>
      </c>
      <c r="G1091" t="s">
        <v>4296</v>
      </c>
    </row>
    <row r="1092" spans="1:7">
      <c r="A1092" t="s">
        <v>2524</v>
      </c>
      <c r="B1092" t="s">
        <v>992</v>
      </c>
      <c r="C1092" t="s">
        <v>133</v>
      </c>
      <c r="D1092" s="10">
        <v>35654</v>
      </c>
      <c r="E1092" s="10">
        <v>45177</v>
      </c>
      <c r="F1092">
        <v>26</v>
      </c>
      <c r="G1092" t="s">
        <v>4296</v>
      </c>
    </row>
    <row r="1093" spans="1:7">
      <c r="A1093" t="s">
        <v>4165</v>
      </c>
      <c r="B1093" t="s">
        <v>76</v>
      </c>
      <c r="C1093" t="s">
        <v>40</v>
      </c>
      <c r="D1093" s="10">
        <v>21291</v>
      </c>
      <c r="E1093" s="10">
        <v>45288</v>
      </c>
      <c r="F1093">
        <v>65</v>
      </c>
      <c r="G1093" t="s">
        <v>4296</v>
      </c>
    </row>
    <row r="1094" spans="1:7">
      <c r="A1094" t="s">
        <v>4166</v>
      </c>
      <c r="B1094" t="s">
        <v>676</v>
      </c>
      <c r="C1094" t="s">
        <v>133</v>
      </c>
      <c r="D1094" s="10">
        <v>38967</v>
      </c>
      <c r="E1094" s="10">
        <v>46019</v>
      </c>
      <c r="F1094">
        <v>19</v>
      </c>
      <c r="G1094" t="s">
        <v>4296</v>
      </c>
    </row>
    <row r="1095" spans="1:7">
      <c r="A1095" t="s">
        <v>2531</v>
      </c>
      <c r="B1095" t="s">
        <v>283</v>
      </c>
      <c r="C1095" t="s">
        <v>40</v>
      </c>
      <c r="D1095" s="10">
        <v>25347</v>
      </c>
      <c r="E1095" s="10">
        <v>45222</v>
      </c>
      <c r="F1095">
        <v>54</v>
      </c>
      <c r="G1095" t="s">
        <v>4296</v>
      </c>
    </row>
    <row r="1096" spans="1:7">
      <c r="A1096" t="s">
        <v>2532</v>
      </c>
      <c r="B1096" t="s">
        <v>1230</v>
      </c>
      <c r="C1096" t="s">
        <v>40</v>
      </c>
      <c r="D1096" s="10">
        <v>19104</v>
      </c>
      <c r="E1096" s="10">
        <v>45862</v>
      </c>
      <c r="F1096">
        <v>73</v>
      </c>
      <c r="G1096" t="s">
        <v>4296</v>
      </c>
    </row>
    <row r="1097" spans="1:7">
      <c r="A1097" t="s">
        <v>2534</v>
      </c>
      <c r="B1097" t="s">
        <v>394</v>
      </c>
      <c r="C1097" t="s">
        <v>133</v>
      </c>
      <c r="D1097" s="10">
        <v>27713</v>
      </c>
      <c r="E1097" s="10">
        <v>45384</v>
      </c>
      <c r="F1097">
        <v>48</v>
      </c>
      <c r="G1097" t="s">
        <v>4296</v>
      </c>
    </row>
    <row r="1098" spans="1:7">
      <c r="A1098" t="s">
        <v>2536</v>
      </c>
      <c r="B1098" t="s">
        <v>550</v>
      </c>
      <c r="C1098" t="s">
        <v>40</v>
      </c>
      <c r="D1098" s="10">
        <v>31730</v>
      </c>
      <c r="E1098" s="10">
        <v>45393</v>
      </c>
      <c r="F1098">
        <v>37</v>
      </c>
      <c r="G1098" t="s">
        <v>4296</v>
      </c>
    </row>
    <row r="1099" spans="1:7">
      <c r="A1099" t="s">
        <v>2538</v>
      </c>
      <c r="B1099" t="s">
        <v>845</v>
      </c>
      <c r="C1099" t="s">
        <v>133</v>
      </c>
      <c r="D1099" s="10">
        <v>33793</v>
      </c>
      <c r="E1099" s="10">
        <v>45270</v>
      </c>
      <c r="F1099">
        <v>31</v>
      </c>
      <c r="G1099" t="s">
        <v>4296</v>
      </c>
    </row>
    <row r="1100" spans="1:7">
      <c r="A1100" t="s">
        <v>2540</v>
      </c>
      <c r="B1100" t="s">
        <v>249</v>
      </c>
      <c r="C1100" t="s">
        <v>133</v>
      </c>
      <c r="D1100" s="10">
        <v>35649</v>
      </c>
      <c r="E1100" s="10">
        <v>45242</v>
      </c>
      <c r="F1100">
        <v>26</v>
      </c>
      <c r="G1100" t="s">
        <v>4296</v>
      </c>
    </row>
    <row r="1101" spans="1:7">
      <c r="A1101" t="s">
        <v>2542</v>
      </c>
      <c r="B1101" t="s">
        <v>1079</v>
      </c>
      <c r="C1101" t="s">
        <v>40</v>
      </c>
      <c r="D1101" s="10">
        <v>37369</v>
      </c>
      <c r="E1101" s="10">
        <v>45483</v>
      </c>
      <c r="F1101">
        <v>22</v>
      </c>
      <c r="G1101" t="s">
        <v>4296</v>
      </c>
    </row>
    <row r="1102" spans="1:7">
      <c r="A1102" t="s">
        <v>2543</v>
      </c>
      <c r="B1102" t="s">
        <v>436</v>
      </c>
      <c r="C1102" t="s">
        <v>40</v>
      </c>
      <c r="D1102" s="10">
        <v>28540</v>
      </c>
      <c r="E1102" s="10">
        <v>46009</v>
      </c>
      <c r="F1102">
        <v>47</v>
      </c>
      <c r="G1102" t="s">
        <v>4296</v>
      </c>
    </row>
    <row r="1103" spans="1:7">
      <c r="A1103" t="s">
        <v>2544</v>
      </c>
      <c r="B1103" t="s">
        <v>661</v>
      </c>
      <c r="C1103" t="s">
        <v>40</v>
      </c>
      <c r="D1103" s="10">
        <v>25305</v>
      </c>
      <c r="E1103" s="10">
        <v>45441</v>
      </c>
      <c r="F1103">
        <v>55</v>
      </c>
      <c r="G1103" t="s">
        <v>4296</v>
      </c>
    </row>
    <row r="1104" spans="1:7">
      <c r="A1104" t="s">
        <v>2546</v>
      </c>
      <c r="B1104" t="s">
        <v>550</v>
      </c>
      <c r="C1104" t="s">
        <v>40</v>
      </c>
      <c r="D1104" s="10">
        <v>28478</v>
      </c>
      <c r="E1104" s="10">
        <v>45177</v>
      </c>
      <c r="F1104">
        <v>45</v>
      </c>
      <c r="G1104" t="s">
        <v>4296</v>
      </c>
    </row>
    <row r="1105" spans="1:7">
      <c r="A1105" t="s">
        <v>2548</v>
      </c>
      <c r="B1105" t="s">
        <v>1408</v>
      </c>
      <c r="C1105" t="s">
        <v>133</v>
      </c>
      <c r="D1105" s="10">
        <v>18321</v>
      </c>
      <c r="E1105" s="10">
        <v>45384</v>
      </c>
      <c r="F1105">
        <v>74</v>
      </c>
      <c r="G1105" t="s">
        <v>4296</v>
      </c>
    </row>
    <row r="1106" spans="1:7">
      <c r="A1106" t="s">
        <v>2550</v>
      </c>
      <c r="B1106" t="s">
        <v>155</v>
      </c>
      <c r="C1106" t="s">
        <v>133</v>
      </c>
      <c r="D1106" s="10">
        <v>32441</v>
      </c>
      <c r="E1106" s="10">
        <v>45164</v>
      </c>
      <c r="F1106">
        <v>34</v>
      </c>
      <c r="G1106" t="s">
        <v>4296</v>
      </c>
    </row>
    <row r="1107" spans="1:7">
      <c r="A1107" t="s">
        <v>2553</v>
      </c>
      <c r="B1107" t="s">
        <v>591</v>
      </c>
      <c r="C1107" t="s">
        <v>40</v>
      </c>
      <c r="D1107" s="10">
        <v>18863</v>
      </c>
      <c r="E1107" s="10">
        <v>45134</v>
      </c>
      <c r="F1107">
        <v>71</v>
      </c>
      <c r="G1107" t="s">
        <v>4296</v>
      </c>
    </row>
    <row r="1108" spans="1:7">
      <c r="A1108" t="s">
        <v>2554</v>
      </c>
      <c r="B1108" t="s">
        <v>550</v>
      </c>
      <c r="C1108" t="s">
        <v>40</v>
      </c>
      <c r="D1108" s="10">
        <v>18457</v>
      </c>
      <c r="E1108" s="10">
        <v>45144</v>
      </c>
      <c r="F1108">
        <v>73</v>
      </c>
      <c r="G1108" t="s">
        <v>4296</v>
      </c>
    </row>
    <row r="1109" spans="1:7">
      <c r="A1109" t="s">
        <v>2555</v>
      </c>
      <c r="B1109" t="s">
        <v>1509</v>
      </c>
      <c r="C1109" t="s">
        <v>40</v>
      </c>
      <c r="D1109" s="10">
        <v>38268</v>
      </c>
      <c r="E1109" s="10">
        <v>45327</v>
      </c>
      <c r="F1109">
        <v>19</v>
      </c>
      <c r="G1109" t="s">
        <v>4296</v>
      </c>
    </row>
    <row r="1110" spans="1:7">
      <c r="A1110" t="s">
        <v>2556</v>
      </c>
      <c r="B1110" t="s">
        <v>224</v>
      </c>
      <c r="C1110" t="s">
        <v>133</v>
      </c>
      <c r="D1110" s="10">
        <v>38597</v>
      </c>
      <c r="E1110" s="10">
        <v>45517</v>
      </c>
      <c r="F1110">
        <v>18</v>
      </c>
      <c r="G1110" t="s">
        <v>4296</v>
      </c>
    </row>
    <row r="1111" spans="1:7">
      <c r="A1111" t="s">
        <v>2559</v>
      </c>
      <c r="B1111" t="s">
        <v>321</v>
      </c>
      <c r="C1111" t="s">
        <v>133</v>
      </c>
      <c r="D1111" s="10">
        <v>37720</v>
      </c>
      <c r="E1111" s="10">
        <v>45797</v>
      </c>
      <c r="F1111">
        <v>22</v>
      </c>
      <c r="G1111" t="s">
        <v>4296</v>
      </c>
    </row>
    <row r="1112" spans="1:7">
      <c r="A1112" t="s">
        <v>2562</v>
      </c>
      <c r="B1112" t="s">
        <v>1099</v>
      </c>
      <c r="C1112" t="s">
        <v>133</v>
      </c>
      <c r="D1112" s="10">
        <v>20214</v>
      </c>
      <c r="E1112" s="10">
        <v>44959</v>
      </c>
      <c r="F1112">
        <v>67</v>
      </c>
      <c r="G1112" t="s">
        <v>4296</v>
      </c>
    </row>
    <row r="1113" spans="1:7">
      <c r="A1113" t="s">
        <v>2565</v>
      </c>
      <c r="B1113" t="s">
        <v>129</v>
      </c>
      <c r="C1113" t="s">
        <v>40</v>
      </c>
      <c r="D1113" s="10">
        <v>25578</v>
      </c>
      <c r="E1113" s="10">
        <v>45202</v>
      </c>
      <c r="F1113">
        <v>53</v>
      </c>
      <c r="G1113" t="s">
        <v>4296</v>
      </c>
    </row>
    <row r="1114" spans="1:7">
      <c r="A1114" t="s">
        <v>2568</v>
      </c>
      <c r="B1114" t="s">
        <v>909</v>
      </c>
      <c r="C1114" t="s">
        <v>133</v>
      </c>
      <c r="D1114" s="10">
        <v>37857</v>
      </c>
      <c r="E1114" s="10">
        <v>45932</v>
      </c>
      <c r="F1114">
        <v>22</v>
      </c>
      <c r="G1114" t="s">
        <v>4296</v>
      </c>
    </row>
    <row r="1115" spans="1:7">
      <c r="A1115" t="s">
        <v>2569</v>
      </c>
      <c r="B1115" t="s">
        <v>83</v>
      </c>
      <c r="C1115" t="s">
        <v>133</v>
      </c>
      <c r="D1115" s="10">
        <v>20634</v>
      </c>
      <c r="E1115" s="10">
        <v>45042</v>
      </c>
      <c r="F1115">
        <v>66</v>
      </c>
      <c r="G1115" t="s">
        <v>4296</v>
      </c>
    </row>
    <row r="1116" spans="1:7">
      <c r="A1116" t="s">
        <v>2571</v>
      </c>
      <c r="B1116" t="s">
        <v>199</v>
      </c>
      <c r="C1116" t="s">
        <v>40</v>
      </c>
      <c r="D1116" s="10">
        <v>24616</v>
      </c>
      <c r="E1116" s="10">
        <v>45390</v>
      </c>
      <c r="F1116">
        <v>56</v>
      </c>
      <c r="G1116" t="s">
        <v>4296</v>
      </c>
    </row>
    <row r="1117" spans="1:7">
      <c r="A1117" t="s">
        <v>2574</v>
      </c>
      <c r="B1117" t="s">
        <v>972</v>
      </c>
      <c r="C1117" t="s">
        <v>40</v>
      </c>
      <c r="D1117" s="10">
        <v>32809</v>
      </c>
      <c r="E1117" s="10">
        <v>45985</v>
      </c>
      <c r="F1117">
        <v>36</v>
      </c>
      <c r="G1117" t="s">
        <v>4296</v>
      </c>
    </row>
    <row r="1118" spans="1:7">
      <c r="A1118" t="s">
        <v>2575</v>
      </c>
      <c r="B1118" t="s">
        <v>1464</v>
      </c>
      <c r="C1118" t="s">
        <v>133</v>
      </c>
      <c r="D1118" s="10">
        <v>40426</v>
      </c>
      <c r="E1118" s="10">
        <v>45327</v>
      </c>
      <c r="F1118">
        <v>13</v>
      </c>
      <c r="G1118" t="s">
        <v>4296</v>
      </c>
    </row>
    <row r="1119" spans="1:7">
      <c r="A1119" t="s">
        <v>2577</v>
      </c>
      <c r="B1119" t="s">
        <v>992</v>
      </c>
      <c r="C1119" t="s">
        <v>133</v>
      </c>
      <c r="D1119" s="10">
        <v>29415</v>
      </c>
      <c r="E1119" s="10">
        <v>45702</v>
      </c>
      <c r="F1119">
        <v>44</v>
      </c>
      <c r="G1119" t="s">
        <v>4296</v>
      </c>
    </row>
    <row r="1120" spans="1:7">
      <c r="A1120" t="s">
        <v>2578</v>
      </c>
      <c r="B1120" t="s">
        <v>1622</v>
      </c>
      <c r="C1120" t="s">
        <v>133</v>
      </c>
      <c r="D1120" s="10">
        <v>20780</v>
      </c>
      <c r="E1120" s="10">
        <v>44997</v>
      </c>
      <c r="F1120">
        <v>66</v>
      </c>
      <c r="G1120" t="s">
        <v>4296</v>
      </c>
    </row>
    <row r="1121" spans="1:7">
      <c r="A1121" t="s">
        <v>2580</v>
      </c>
      <c r="B1121" t="s">
        <v>867</v>
      </c>
      <c r="C1121" t="s">
        <v>40</v>
      </c>
      <c r="D1121" s="10">
        <v>20507</v>
      </c>
      <c r="E1121" s="10">
        <v>45669</v>
      </c>
      <c r="F1121">
        <v>68</v>
      </c>
      <c r="G1121" t="s">
        <v>4296</v>
      </c>
    </row>
    <row r="1122" spans="1:7">
      <c r="A1122" t="s">
        <v>4167</v>
      </c>
      <c r="B1122" t="s">
        <v>1505</v>
      </c>
      <c r="C1122" t="s">
        <v>40</v>
      </c>
      <c r="D1122" s="10">
        <v>29330</v>
      </c>
      <c r="E1122" s="10">
        <v>45753</v>
      </c>
      <c r="F1122">
        <v>44</v>
      </c>
      <c r="G1122" t="s">
        <v>4237</v>
      </c>
    </row>
    <row r="1123" spans="1:7">
      <c r="A1123" t="s">
        <v>2584</v>
      </c>
      <c r="B1123" t="s">
        <v>88</v>
      </c>
      <c r="C1123" t="s">
        <v>40</v>
      </c>
      <c r="D1123" s="10">
        <v>18398</v>
      </c>
      <c r="E1123" s="10">
        <v>45482</v>
      </c>
      <c r="F1123">
        <v>74</v>
      </c>
      <c r="G1123" t="s">
        <v>4237</v>
      </c>
    </row>
    <row r="1124" spans="1:7">
      <c r="A1124" t="s">
        <v>2587</v>
      </c>
      <c r="B1124" t="s">
        <v>472</v>
      </c>
      <c r="C1124" t="s">
        <v>133</v>
      </c>
      <c r="D1124" s="10">
        <v>20905</v>
      </c>
      <c r="E1124" s="10">
        <v>45187</v>
      </c>
      <c r="F1124">
        <v>66</v>
      </c>
      <c r="G1124" t="s">
        <v>4296</v>
      </c>
    </row>
    <row r="1125" spans="1:7">
      <c r="A1125" t="s">
        <v>2591</v>
      </c>
      <c r="B1125" t="s">
        <v>857</v>
      </c>
      <c r="C1125" t="s">
        <v>133</v>
      </c>
      <c r="D1125" s="10">
        <v>19132</v>
      </c>
      <c r="E1125" s="10">
        <v>45648</v>
      </c>
      <c r="F1125">
        <v>72</v>
      </c>
      <c r="G1125" t="s">
        <v>4296</v>
      </c>
    </row>
    <row r="1126" spans="1:7">
      <c r="A1126" t="s">
        <v>2593</v>
      </c>
      <c r="B1126" t="s">
        <v>2594</v>
      </c>
      <c r="C1126" t="s">
        <v>133</v>
      </c>
      <c r="D1126" s="10">
        <v>35041</v>
      </c>
      <c r="E1126" s="10">
        <v>45697</v>
      </c>
      <c r="F1126">
        <v>29</v>
      </c>
      <c r="G1126" t="s">
        <v>4296</v>
      </c>
    </row>
    <row r="1127" spans="1:7">
      <c r="A1127" t="s">
        <v>2597</v>
      </c>
      <c r="B1127" t="s">
        <v>1031</v>
      </c>
      <c r="C1127" t="s">
        <v>133</v>
      </c>
      <c r="D1127" s="10">
        <v>29782</v>
      </c>
      <c r="E1127" s="10">
        <v>45802</v>
      </c>
      <c r="F1127">
        <v>43</v>
      </c>
      <c r="G1127" t="s">
        <v>4296</v>
      </c>
    </row>
    <row r="1128" spans="1:7">
      <c r="A1128" t="s">
        <v>2599</v>
      </c>
      <c r="B1128" t="s">
        <v>1206</v>
      </c>
      <c r="C1128" t="s">
        <v>40</v>
      </c>
      <c r="D1128" s="10">
        <v>32164</v>
      </c>
      <c r="E1128" s="10">
        <v>45930</v>
      </c>
      <c r="F1128">
        <v>37</v>
      </c>
      <c r="G1128" t="s">
        <v>4296</v>
      </c>
    </row>
    <row r="1129" spans="1:7">
      <c r="A1129" t="s">
        <v>2601</v>
      </c>
      <c r="B1129" t="s">
        <v>394</v>
      </c>
      <c r="C1129" t="s">
        <v>40</v>
      </c>
      <c r="D1129" s="10">
        <v>37097</v>
      </c>
      <c r="E1129" s="10">
        <v>45439</v>
      </c>
      <c r="F1129">
        <v>22</v>
      </c>
      <c r="G1129" t="s">
        <v>4296</v>
      </c>
    </row>
    <row r="1130" spans="1:7">
      <c r="A1130" t="s">
        <v>2602</v>
      </c>
      <c r="B1130" t="s">
        <v>251</v>
      </c>
      <c r="C1130" t="s">
        <v>40</v>
      </c>
      <c r="D1130" s="10">
        <v>34030</v>
      </c>
      <c r="E1130" s="10">
        <v>45672</v>
      </c>
      <c r="F1130">
        <v>31</v>
      </c>
      <c r="G1130" t="s">
        <v>4296</v>
      </c>
    </row>
    <row r="1131" spans="1:7">
      <c r="A1131" t="s">
        <v>2605</v>
      </c>
      <c r="B1131" t="s">
        <v>579</v>
      </c>
      <c r="C1131" t="s">
        <v>40</v>
      </c>
      <c r="D1131" s="10">
        <v>34188</v>
      </c>
      <c r="E1131" s="10">
        <v>45301</v>
      </c>
      <c r="F1131">
        <v>30</v>
      </c>
      <c r="G1131" t="s">
        <v>4296</v>
      </c>
    </row>
    <row r="1132" spans="1:7">
      <c r="A1132" t="s">
        <v>2606</v>
      </c>
      <c r="B1132" t="s">
        <v>2483</v>
      </c>
      <c r="C1132" t="s">
        <v>133</v>
      </c>
      <c r="D1132" s="10">
        <v>29330</v>
      </c>
      <c r="E1132" s="10">
        <v>45031</v>
      </c>
      <c r="F1132">
        <v>42</v>
      </c>
      <c r="G1132" t="s">
        <v>4237</v>
      </c>
    </row>
    <row r="1133" spans="1:7">
      <c r="A1133" t="s">
        <v>2609</v>
      </c>
      <c r="B1133" t="s">
        <v>601</v>
      </c>
      <c r="C1133" t="s">
        <v>133</v>
      </c>
      <c r="D1133" s="10">
        <v>38524</v>
      </c>
      <c r="E1133" s="10">
        <v>45000</v>
      </c>
      <c r="F1133">
        <v>17</v>
      </c>
      <c r="G1133" t="s">
        <v>4296</v>
      </c>
    </row>
    <row r="1134" spans="1:7">
      <c r="A1134" t="s">
        <v>2612</v>
      </c>
      <c r="B1134" t="s">
        <v>67</v>
      </c>
      <c r="C1134" t="s">
        <v>133</v>
      </c>
      <c r="D1134" s="10">
        <v>26772</v>
      </c>
      <c r="E1134" s="10">
        <v>45369</v>
      </c>
      <c r="F1134">
        <v>50</v>
      </c>
      <c r="G1134" t="s">
        <v>4296</v>
      </c>
    </row>
    <row r="1135" spans="1:7">
      <c r="A1135" t="s">
        <v>2614</v>
      </c>
      <c r="B1135" t="s">
        <v>438</v>
      </c>
      <c r="C1135" t="s">
        <v>133</v>
      </c>
      <c r="D1135" s="10">
        <v>37632</v>
      </c>
      <c r="E1135" s="10">
        <v>45138</v>
      </c>
      <c r="F1135">
        <v>20</v>
      </c>
      <c r="G1135" t="s">
        <v>4296</v>
      </c>
    </row>
    <row r="1136" spans="1:7">
      <c r="A1136" t="s">
        <v>2618</v>
      </c>
      <c r="B1136" t="s">
        <v>199</v>
      </c>
      <c r="C1136" t="s">
        <v>40</v>
      </c>
      <c r="D1136" s="10">
        <v>22939</v>
      </c>
      <c r="E1136" s="10">
        <v>45898</v>
      </c>
      <c r="F1136">
        <v>62</v>
      </c>
      <c r="G1136" t="s">
        <v>4296</v>
      </c>
    </row>
    <row r="1137" spans="1:7">
      <c r="A1137" t="s">
        <v>2619</v>
      </c>
      <c r="B1137" t="s">
        <v>280</v>
      </c>
      <c r="C1137" t="s">
        <v>133</v>
      </c>
      <c r="D1137" s="10">
        <v>22764</v>
      </c>
      <c r="E1137" s="10">
        <v>44971</v>
      </c>
      <c r="F1137">
        <v>60</v>
      </c>
      <c r="G1137" t="s">
        <v>4296</v>
      </c>
    </row>
    <row r="1138" spans="1:7">
      <c r="A1138" t="s">
        <v>4168</v>
      </c>
      <c r="B1138" t="s">
        <v>768</v>
      </c>
      <c r="C1138" t="s">
        <v>40</v>
      </c>
      <c r="D1138" s="10">
        <v>19574</v>
      </c>
      <c r="E1138" s="10">
        <v>45172</v>
      </c>
      <c r="F1138">
        <v>70</v>
      </c>
      <c r="G1138" t="s">
        <v>4296</v>
      </c>
    </row>
    <row r="1139" spans="1:7">
      <c r="A1139" t="s">
        <v>2621</v>
      </c>
      <c r="B1139" t="s">
        <v>218</v>
      </c>
      <c r="C1139" t="s">
        <v>133</v>
      </c>
      <c r="D1139" s="10">
        <v>19745</v>
      </c>
      <c r="E1139" s="10">
        <v>45873</v>
      </c>
      <c r="F1139">
        <v>71</v>
      </c>
      <c r="G1139" t="s">
        <v>4296</v>
      </c>
    </row>
    <row r="1140" spans="1:7">
      <c r="A1140" t="s">
        <v>4101</v>
      </c>
      <c r="B1140" t="s">
        <v>879</v>
      </c>
      <c r="C1140" t="s">
        <v>133</v>
      </c>
      <c r="D1140" s="10">
        <v>34345</v>
      </c>
      <c r="E1140" s="10">
        <v>45482</v>
      </c>
      <c r="F1140">
        <v>30</v>
      </c>
      <c r="G1140" t="s">
        <v>4237</v>
      </c>
    </row>
    <row r="1141" spans="1:7">
      <c r="A1141" t="s">
        <v>2627</v>
      </c>
      <c r="B1141" t="s">
        <v>390</v>
      </c>
      <c r="C1141" t="s">
        <v>133</v>
      </c>
      <c r="D1141" s="10">
        <v>33888</v>
      </c>
      <c r="E1141" s="10">
        <v>45368</v>
      </c>
      <c r="F1141">
        <v>31</v>
      </c>
      <c r="G1141" t="s">
        <v>4296</v>
      </c>
    </row>
    <row r="1142" spans="1:7">
      <c r="A1142" t="s">
        <v>2628</v>
      </c>
      <c r="B1142" t="s">
        <v>429</v>
      </c>
      <c r="C1142" t="s">
        <v>40</v>
      </c>
      <c r="D1142" s="10">
        <v>37471</v>
      </c>
      <c r="E1142" s="10">
        <v>45660</v>
      </c>
      <c r="F1142">
        <v>22</v>
      </c>
      <c r="G1142" t="s">
        <v>4296</v>
      </c>
    </row>
    <row r="1143" spans="1:7">
      <c r="A1143" t="s">
        <v>2630</v>
      </c>
      <c r="B1143" t="s">
        <v>1888</v>
      </c>
      <c r="C1143" t="s">
        <v>40</v>
      </c>
      <c r="D1143" s="10">
        <v>20411</v>
      </c>
      <c r="E1143" s="10">
        <v>45213</v>
      </c>
      <c r="F1143">
        <v>67</v>
      </c>
      <c r="G1143" t="s">
        <v>4296</v>
      </c>
    </row>
    <row r="1144" spans="1:7">
      <c r="A1144" t="s">
        <v>2632</v>
      </c>
      <c r="B1144" t="s">
        <v>1471</v>
      </c>
      <c r="C1144" t="s">
        <v>40</v>
      </c>
      <c r="D1144" s="10">
        <v>40310</v>
      </c>
      <c r="E1144" s="10">
        <v>45481</v>
      </c>
      <c r="F1144">
        <v>14</v>
      </c>
      <c r="G1144" t="s">
        <v>4296</v>
      </c>
    </row>
    <row r="1145" spans="1:7">
      <c r="A1145" t="s">
        <v>2634</v>
      </c>
      <c r="B1145" t="s">
        <v>1438</v>
      </c>
      <c r="C1145" t="s">
        <v>40</v>
      </c>
      <c r="D1145" s="10">
        <v>33941</v>
      </c>
      <c r="E1145" s="10">
        <v>45482</v>
      </c>
      <c r="F1145">
        <v>31</v>
      </c>
      <c r="G1145" t="s">
        <v>4237</v>
      </c>
    </row>
    <row r="1146" spans="1:7">
      <c r="A1146" t="s">
        <v>4169</v>
      </c>
      <c r="B1146" t="s">
        <v>622</v>
      </c>
      <c r="C1146" t="s">
        <v>133</v>
      </c>
      <c r="D1146" s="10">
        <v>30229</v>
      </c>
      <c r="E1146" s="10">
        <v>45449</v>
      </c>
      <c r="F1146">
        <v>41</v>
      </c>
      <c r="G1146" t="s">
        <v>4296</v>
      </c>
    </row>
    <row r="1147" spans="1:7">
      <c r="A1147" t="s">
        <v>2640</v>
      </c>
      <c r="B1147" t="s">
        <v>545</v>
      </c>
      <c r="C1147" t="s">
        <v>40</v>
      </c>
      <c r="D1147" s="10">
        <v>33101</v>
      </c>
      <c r="E1147" s="10">
        <v>45483</v>
      </c>
      <c r="F1147">
        <v>33</v>
      </c>
      <c r="G1147" t="s">
        <v>4296</v>
      </c>
    </row>
    <row r="1148" spans="1:7">
      <c r="A1148" t="s">
        <v>2642</v>
      </c>
      <c r="B1148" t="s">
        <v>451</v>
      </c>
      <c r="C1148" t="s">
        <v>133</v>
      </c>
      <c r="D1148" s="10">
        <v>40175</v>
      </c>
      <c r="E1148" s="10">
        <v>45143</v>
      </c>
      <c r="F1148">
        <v>13</v>
      </c>
      <c r="G1148" t="s">
        <v>4296</v>
      </c>
    </row>
    <row r="1149" spans="1:7">
      <c r="A1149" t="s">
        <v>2645</v>
      </c>
      <c r="B1149" t="s">
        <v>1393</v>
      </c>
      <c r="C1149" t="s">
        <v>40</v>
      </c>
      <c r="D1149" s="10">
        <v>22687</v>
      </c>
      <c r="E1149" s="10">
        <v>45680</v>
      </c>
      <c r="F1149">
        <v>62</v>
      </c>
      <c r="G1149" t="s">
        <v>4296</v>
      </c>
    </row>
    <row r="1150" spans="1:7">
      <c r="A1150" t="s">
        <v>2647</v>
      </c>
      <c r="B1150" t="s">
        <v>1206</v>
      </c>
      <c r="C1150" t="s">
        <v>40</v>
      </c>
      <c r="D1150" s="10">
        <v>36846</v>
      </c>
      <c r="E1150" s="10">
        <v>45776</v>
      </c>
      <c r="F1150">
        <v>24</v>
      </c>
      <c r="G1150" t="s">
        <v>4296</v>
      </c>
    </row>
    <row r="1151" spans="1:7">
      <c r="A1151" t="s">
        <v>2648</v>
      </c>
      <c r="B1151" t="s">
        <v>877</v>
      </c>
      <c r="C1151" t="s">
        <v>133</v>
      </c>
      <c r="D1151" s="10">
        <v>31230</v>
      </c>
      <c r="E1151" s="10">
        <v>45423</v>
      </c>
      <c r="F1151">
        <v>38</v>
      </c>
      <c r="G1151" t="s">
        <v>4296</v>
      </c>
    </row>
    <row r="1152" spans="1:7">
      <c r="A1152" t="s">
        <v>2649</v>
      </c>
      <c r="B1152" t="s">
        <v>49</v>
      </c>
      <c r="C1152" t="s">
        <v>40</v>
      </c>
      <c r="D1152" s="10">
        <v>29627</v>
      </c>
      <c r="E1152" s="10">
        <v>45305</v>
      </c>
      <c r="F1152">
        <v>42</v>
      </c>
      <c r="G1152" t="s">
        <v>4296</v>
      </c>
    </row>
    <row r="1153" spans="1:7">
      <c r="A1153" t="s">
        <v>2652</v>
      </c>
      <c r="B1153" t="s">
        <v>334</v>
      </c>
      <c r="C1153" t="s">
        <v>133</v>
      </c>
      <c r="D1153" s="10">
        <v>30782</v>
      </c>
      <c r="E1153" s="10">
        <v>45482</v>
      </c>
      <c r="F1153">
        <v>40</v>
      </c>
      <c r="G1153" t="s">
        <v>4237</v>
      </c>
    </row>
    <row r="1154" spans="1:7">
      <c r="A1154" t="s">
        <v>2654</v>
      </c>
      <c r="B1154" t="s">
        <v>1094</v>
      </c>
      <c r="C1154" t="s">
        <v>40</v>
      </c>
      <c r="D1154" s="10">
        <v>34321</v>
      </c>
      <c r="E1154" s="10">
        <v>45898</v>
      </c>
      <c r="F1154">
        <v>31</v>
      </c>
      <c r="G1154" t="s">
        <v>4296</v>
      </c>
    </row>
    <row r="1155" spans="1:7">
      <c r="A1155" t="s">
        <v>2655</v>
      </c>
      <c r="B1155" t="s">
        <v>224</v>
      </c>
      <c r="C1155" t="s">
        <v>133</v>
      </c>
      <c r="D1155" s="10">
        <v>38249</v>
      </c>
      <c r="E1155" s="10">
        <v>45695</v>
      </c>
      <c r="F1155">
        <v>20</v>
      </c>
      <c r="G1155" t="s">
        <v>4296</v>
      </c>
    </row>
    <row r="1156" spans="1:7">
      <c r="A1156" t="s">
        <v>4170</v>
      </c>
      <c r="B1156" t="s">
        <v>845</v>
      </c>
      <c r="C1156" t="s">
        <v>40</v>
      </c>
      <c r="D1156" s="10">
        <v>29938</v>
      </c>
      <c r="E1156" s="10">
        <v>45479</v>
      </c>
      <c r="F1156">
        <v>42</v>
      </c>
      <c r="G1156" t="s">
        <v>4296</v>
      </c>
    </row>
    <row r="1157" spans="1:7">
      <c r="A1157" t="s">
        <v>2660</v>
      </c>
      <c r="B1157" t="s">
        <v>1026</v>
      </c>
      <c r="C1157" t="s">
        <v>40</v>
      </c>
      <c r="D1157" s="10">
        <v>30150</v>
      </c>
      <c r="E1157" s="10">
        <v>44931</v>
      </c>
      <c r="F1157">
        <v>40</v>
      </c>
      <c r="G1157" t="s">
        <v>4296</v>
      </c>
    </row>
    <row r="1158" spans="1:7">
      <c r="A1158" t="s">
        <v>2662</v>
      </c>
      <c r="B1158" t="s">
        <v>640</v>
      </c>
      <c r="C1158" t="s">
        <v>40</v>
      </c>
      <c r="D1158" s="10">
        <v>28346</v>
      </c>
      <c r="E1158" s="10">
        <v>45860</v>
      </c>
      <c r="F1158">
        <v>47</v>
      </c>
      <c r="G1158" t="s">
        <v>4296</v>
      </c>
    </row>
    <row r="1159" spans="1:7">
      <c r="A1159" t="s">
        <v>2665</v>
      </c>
      <c r="B1159" t="s">
        <v>895</v>
      </c>
      <c r="C1159" t="s">
        <v>133</v>
      </c>
      <c r="D1159" s="10">
        <v>34989</v>
      </c>
      <c r="E1159" s="10">
        <v>45901</v>
      </c>
      <c r="F1159">
        <v>29</v>
      </c>
      <c r="G1159" t="s">
        <v>4296</v>
      </c>
    </row>
    <row r="1160" spans="1:7">
      <c r="A1160" t="s">
        <v>2666</v>
      </c>
      <c r="B1160" t="s">
        <v>737</v>
      </c>
      <c r="C1160" t="s">
        <v>40</v>
      </c>
      <c r="D1160" s="10">
        <v>29184</v>
      </c>
      <c r="E1160" s="10">
        <v>45532</v>
      </c>
      <c r="F1160">
        <v>44</v>
      </c>
      <c r="G1160" t="s">
        <v>4296</v>
      </c>
    </row>
    <row r="1161" spans="1:7">
      <c r="A1161" t="s">
        <v>2667</v>
      </c>
      <c r="B1161" t="s">
        <v>1350</v>
      </c>
      <c r="C1161" t="s">
        <v>133</v>
      </c>
      <c r="D1161" s="10">
        <v>28157</v>
      </c>
      <c r="E1161" s="10">
        <v>45240</v>
      </c>
      <c r="F1161">
        <v>46</v>
      </c>
      <c r="G1161" t="s">
        <v>4296</v>
      </c>
    </row>
    <row r="1162" spans="1:7">
      <c r="A1162" t="s">
        <v>2669</v>
      </c>
      <c r="B1162" t="s">
        <v>877</v>
      </c>
      <c r="C1162" t="s">
        <v>133</v>
      </c>
      <c r="D1162" s="10">
        <v>20282</v>
      </c>
      <c r="E1162" s="10">
        <v>45622</v>
      </c>
      <c r="F1162">
        <v>69</v>
      </c>
      <c r="G1162" t="s">
        <v>4296</v>
      </c>
    </row>
    <row r="1163" spans="1:7">
      <c r="A1163" t="s">
        <v>2670</v>
      </c>
      <c r="B1163" t="s">
        <v>298</v>
      </c>
      <c r="C1163" t="s">
        <v>133</v>
      </c>
      <c r="D1163" s="10">
        <v>28135</v>
      </c>
      <c r="E1163" s="10">
        <v>45580</v>
      </c>
      <c r="F1163">
        <v>47</v>
      </c>
      <c r="G1163" t="s">
        <v>4296</v>
      </c>
    </row>
    <row r="1164" spans="1:7">
      <c r="A1164" t="s">
        <v>4171</v>
      </c>
      <c r="B1164" t="s">
        <v>1101</v>
      </c>
      <c r="C1164" t="s">
        <v>40</v>
      </c>
      <c r="D1164" s="10">
        <v>37271</v>
      </c>
      <c r="E1164" s="10">
        <v>45534</v>
      </c>
      <c r="F1164">
        <v>22</v>
      </c>
      <c r="G1164" t="s">
        <v>4296</v>
      </c>
    </row>
    <row r="1165" spans="1:7">
      <c r="A1165" t="s">
        <v>2673</v>
      </c>
      <c r="B1165" t="s">
        <v>1426</v>
      </c>
      <c r="C1165" t="s">
        <v>133</v>
      </c>
      <c r="D1165" s="10">
        <v>32240</v>
      </c>
      <c r="E1165" s="10">
        <v>45509</v>
      </c>
      <c r="F1165">
        <v>36</v>
      </c>
      <c r="G1165" t="s">
        <v>4296</v>
      </c>
    </row>
    <row r="1166" spans="1:7">
      <c r="A1166" t="s">
        <v>2674</v>
      </c>
      <c r="B1166" t="s">
        <v>796</v>
      </c>
      <c r="C1166" t="s">
        <v>40</v>
      </c>
      <c r="D1166" s="10">
        <v>18606</v>
      </c>
      <c r="E1166" s="10">
        <v>45829</v>
      </c>
      <c r="F1166">
        <v>74</v>
      </c>
      <c r="G1166" t="s">
        <v>4296</v>
      </c>
    </row>
    <row r="1167" spans="1:7">
      <c r="A1167" t="s">
        <v>4172</v>
      </c>
      <c r="B1167" t="s">
        <v>112</v>
      </c>
      <c r="C1167" t="s">
        <v>40</v>
      </c>
      <c r="D1167" s="10">
        <v>36132</v>
      </c>
      <c r="E1167" s="10">
        <v>45044</v>
      </c>
      <c r="F1167">
        <v>24</v>
      </c>
      <c r="G1167" t="s">
        <v>4296</v>
      </c>
    </row>
    <row r="1168" spans="1:7">
      <c r="A1168" t="s">
        <v>2678</v>
      </c>
      <c r="B1168" t="s">
        <v>1026</v>
      </c>
      <c r="C1168" t="s">
        <v>133</v>
      </c>
      <c r="D1168" s="10">
        <v>35600</v>
      </c>
      <c r="E1168" s="10">
        <v>45341</v>
      </c>
      <c r="F1168">
        <v>26</v>
      </c>
      <c r="G1168" t="s">
        <v>4296</v>
      </c>
    </row>
    <row r="1169" spans="1:7">
      <c r="A1169" t="s">
        <v>2679</v>
      </c>
      <c r="B1169" t="s">
        <v>560</v>
      </c>
      <c r="C1169" t="s">
        <v>40</v>
      </c>
      <c r="D1169" s="10">
        <v>21077</v>
      </c>
      <c r="E1169" s="10">
        <v>45482</v>
      </c>
      <c r="F1169">
        <v>66</v>
      </c>
      <c r="G1169" t="s">
        <v>4237</v>
      </c>
    </row>
    <row r="1170" spans="1:7">
      <c r="A1170" t="s">
        <v>2680</v>
      </c>
      <c r="B1170" t="s">
        <v>288</v>
      </c>
      <c r="C1170" t="s">
        <v>40</v>
      </c>
      <c r="D1170" s="10">
        <v>37496</v>
      </c>
      <c r="E1170" s="10">
        <v>45942</v>
      </c>
      <c r="F1170">
        <v>23</v>
      </c>
      <c r="G1170" t="s">
        <v>4296</v>
      </c>
    </row>
    <row r="1171" spans="1:7">
      <c r="A1171" t="s">
        <v>2681</v>
      </c>
      <c r="B1171" t="s">
        <v>829</v>
      </c>
      <c r="C1171" t="s">
        <v>133</v>
      </c>
      <c r="D1171" s="10">
        <v>21562</v>
      </c>
      <c r="E1171" s="10">
        <v>45173</v>
      </c>
      <c r="F1171">
        <v>64</v>
      </c>
      <c r="G1171" t="s">
        <v>4296</v>
      </c>
    </row>
    <row r="1172" spans="1:7">
      <c r="A1172" t="s">
        <v>2682</v>
      </c>
      <c r="B1172" t="s">
        <v>2033</v>
      </c>
      <c r="C1172" t="s">
        <v>133</v>
      </c>
      <c r="D1172" s="10">
        <v>28626</v>
      </c>
      <c r="E1172" s="10">
        <v>45850</v>
      </c>
      <c r="F1172">
        <v>47</v>
      </c>
      <c r="G1172" t="s">
        <v>4296</v>
      </c>
    </row>
    <row r="1173" spans="1:7">
      <c r="A1173" t="s">
        <v>2684</v>
      </c>
      <c r="B1173" t="s">
        <v>967</v>
      </c>
      <c r="C1173" t="s">
        <v>40</v>
      </c>
      <c r="D1173" s="10">
        <v>29330</v>
      </c>
      <c r="E1173" s="10">
        <v>45314</v>
      </c>
      <c r="F1173">
        <v>43</v>
      </c>
      <c r="G1173" t="s">
        <v>4237</v>
      </c>
    </row>
    <row r="1174" spans="1:7">
      <c r="A1174" t="s">
        <v>2686</v>
      </c>
      <c r="B1174" t="s">
        <v>2033</v>
      </c>
      <c r="C1174" t="s">
        <v>40</v>
      </c>
      <c r="D1174" s="10">
        <v>29986</v>
      </c>
      <c r="E1174" s="10">
        <v>45308</v>
      </c>
      <c r="F1174">
        <v>41</v>
      </c>
      <c r="G1174" t="s">
        <v>4296</v>
      </c>
    </row>
    <row r="1175" spans="1:7">
      <c r="A1175" t="s">
        <v>2687</v>
      </c>
      <c r="B1175" t="s">
        <v>1026</v>
      </c>
      <c r="C1175" t="s">
        <v>133</v>
      </c>
      <c r="D1175" s="10">
        <v>25735</v>
      </c>
      <c r="E1175" s="10">
        <v>45940</v>
      </c>
      <c r="F1175">
        <v>55</v>
      </c>
      <c r="G1175" t="s">
        <v>4296</v>
      </c>
    </row>
    <row r="1176" spans="1:7">
      <c r="A1176" t="s">
        <v>2688</v>
      </c>
      <c r="B1176" t="s">
        <v>1818</v>
      </c>
      <c r="C1176" t="s">
        <v>40</v>
      </c>
      <c r="D1176" s="10">
        <v>34500</v>
      </c>
      <c r="E1176" s="10">
        <v>45648</v>
      </c>
      <c r="F1176">
        <v>30</v>
      </c>
      <c r="G1176" t="s">
        <v>4296</v>
      </c>
    </row>
    <row r="1177" spans="1:7">
      <c r="A1177" t="s">
        <v>2689</v>
      </c>
      <c r="B1177" t="s">
        <v>1839</v>
      </c>
      <c r="C1177" t="s">
        <v>133</v>
      </c>
      <c r="D1177" s="10">
        <v>21787</v>
      </c>
      <c r="E1177" s="10">
        <v>45897</v>
      </c>
      <c r="F1177">
        <v>66</v>
      </c>
      <c r="G1177" t="s">
        <v>4296</v>
      </c>
    </row>
    <row r="1178" spans="1:7">
      <c r="A1178" t="s">
        <v>2690</v>
      </c>
      <c r="B1178" t="s">
        <v>1734</v>
      </c>
      <c r="C1178" t="s">
        <v>40</v>
      </c>
      <c r="D1178" s="10">
        <v>20496</v>
      </c>
      <c r="E1178" s="10">
        <v>45949</v>
      </c>
      <c r="F1178">
        <v>69</v>
      </c>
      <c r="G1178" t="s">
        <v>4296</v>
      </c>
    </row>
    <row r="1179" spans="1:7">
      <c r="A1179" t="s">
        <v>2693</v>
      </c>
      <c r="B1179" t="s">
        <v>622</v>
      </c>
      <c r="C1179" t="s">
        <v>133</v>
      </c>
      <c r="D1179" s="10">
        <v>36727</v>
      </c>
      <c r="E1179" s="10">
        <v>45274</v>
      </c>
      <c r="F1179">
        <v>23</v>
      </c>
      <c r="G1179" t="s">
        <v>4296</v>
      </c>
    </row>
    <row r="1180" spans="1:7">
      <c r="A1180" t="s">
        <v>2694</v>
      </c>
      <c r="B1180" t="s">
        <v>1839</v>
      </c>
      <c r="C1180" t="s">
        <v>40</v>
      </c>
      <c r="D1180" s="10">
        <v>31567</v>
      </c>
      <c r="E1180" s="10">
        <v>45728</v>
      </c>
      <c r="F1180">
        <v>38</v>
      </c>
      <c r="G1180" t="s">
        <v>4296</v>
      </c>
    </row>
    <row r="1181" spans="1:7">
      <c r="A1181" t="s">
        <v>2697</v>
      </c>
      <c r="B1181" t="s">
        <v>1818</v>
      </c>
      <c r="C1181" t="s">
        <v>133</v>
      </c>
      <c r="D1181" s="10">
        <v>27024</v>
      </c>
      <c r="E1181" s="10">
        <v>44952</v>
      </c>
      <c r="F1181">
        <v>49</v>
      </c>
      <c r="G1181" t="s">
        <v>4296</v>
      </c>
    </row>
    <row r="1182" spans="1:7">
      <c r="A1182" t="s">
        <v>2699</v>
      </c>
      <c r="B1182" t="s">
        <v>676</v>
      </c>
      <c r="C1182" t="s">
        <v>40</v>
      </c>
      <c r="D1182" s="10">
        <v>33364</v>
      </c>
      <c r="E1182" s="10">
        <v>45480</v>
      </c>
      <c r="F1182">
        <v>33</v>
      </c>
      <c r="G1182" t="s">
        <v>4296</v>
      </c>
    </row>
    <row r="1183" spans="1:7">
      <c r="A1183" t="s">
        <v>2703</v>
      </c>
      <c r="B1183" t="s">
        <v>2249</v>
      </c>
      <c r="C1183" t="s">
        <v>40</v>
      </c>
      <c r="D1183" s="10">
        <v>39346</v>
      </c>
      <c r="E1183" s="10">
        <v>45605</v>
      </c>
      <c r="F1183">
        <v>17</v>
      </c>
      <c r="G1183" t="s">
        <v>4296</v>
      </c>
    </row>
    <row r="1184" spans="1:7">
      <c r="A1184" t="s">
        <v>2705</v>
      </c>
      <c r="B1184" t="s">
        <v>328</v>
      </c>
      <c r="C1184" t="s">
        <v>40</v>
      </c>
      <c r="D1184" s="10">
        <v>22729</v>
      </c>
      <c r="E1184" s="10">
        <v>45159</v>
      </c>
      <c r="F1184">
        <v>61</v>
      </c>
      <c r="G1184" t="s">
        <v>4296</v>
      </c>
    </row>
    <row r="1185" spans="1:7">
      <c r="A1185" t="s">
        <v>2706</v>
      </c>
      <c r="B1185" t="s">
        <v>1153</v>
      </c>
      <c r="C1185" t="s">
        <v>40</v>
      </c>
      <c r="D1185" s="10">
        <v>32988</v>
      </c>
      <c r="E1185" s="10">
        <v>45250</v>
      </c>
      <c r="F1185">
        <v>33</v>
      </c>
      <c r="G1185" t="s">
        <v>4296</v>
      </c>
    </row>
    <row r="1186" spans="1:7">
      <c r="A1186" t="s">
        <v>2708</v>
      </c>
      <c r="B1186" t="s">
        <v>2033</v>
      </c>
      <c r="C1186" t="s">
        <v>133</v>
      </c>
      <c r="D1186" s="10">
        <v>31044</v>
      </c>
      <c r="E1186" s="10">
        <v>45949</v>
      </c>
      <c r="F1186">
        <v>40</v>
      </c>
      <c r="G1186" t="s">
        <v>4296</v>
      </c>
    </row>
    <row r="1187" spans="1:7">
      <c r="A1187" t="s">
        <v>2709</v>
      </c>
      <c r="B1187" t="s">
        <v>1256</v>
      </c>
      <c r="C1187" t="s">
        <v>133</v>
      </c>
      <c r="D1187" s="10">
        <v>22474</v>
      </c>
      <c r="E1187" s="10">
        <v>45519</v>
      </c>
      <c r="F1187">
        <v>63</v>
      </c>
      <c r="G1187" t="s">
        <v>4296</v>
      </c>
    </row>
    <row r="1188" spans="1:7">
      <c r="A1188" t="s">
        <v>4173</v>
      </c>
      <c r="B1188" t="s">
        <v>1017</v>
      </c>
      <c r="C1188" t="s">
        <v>40</v>
      </c>
      <c r="D1188" s="10">
        <v>31365</v>
      </c>
      <c r="E1188" s="10">
        <v>45482</v>
      </c>
      <c r="F1188">
        <v>38</v>
      </c>
      <c r="G1188" t="s">
        <v>4237</v>
      </c>
    </row>
    <row r="1189" spans="1:7">
      <c r="A1189" t="s">
        <v>2714</v>
      </c>
      <c r="B1189" t="s">
        <v>1364</v>
      </c>
      <c r="C1189" t="s">
        <v>133</v>
      </c>
      <c r="D1189" s="10">
        <v>29330</v>
      </c>
      <c r="E1189" s="10">
        <v>44933</v>
      </c>
      <c r="F1189">
        <v>42</v>
      </c>
      <c r="G1189" t="s">
        <v>4237</v>
      </c>
    </row>
    <row r="1190" spans="1:7">
      <c r="A1190" t="s">
        <v>4174</v>
      </c>
      <c r="B1190" t="s">
        <v>59</v>
      </c>
      <c r="C1190" t="s">
        <v>133</v>
      </c>
      <c r="D1190" s="10">
        <v>35590</v>
      </c>
      <c r="E1190" s="10">
        <v>45277</v>
      </c>
      <c r="F1190">
        <v>26</v>
      </c>
      <c r="G1190" t="s">
        <v>4296</v>
      </c>
    </row>
    <row r="1191" spans="1:7">
      <c r="A1191" t="s">
        <v>2718</v>
      </c>
      <c r="B1191" t="s">
        <v>1509</v>
      </c>
      <c r="C1191" t="s">
        <v>133</v>
      </c>
      <c r="D1191" s="10">
        <v>23583</v>
      </c>
      <c r="E1191" s="10">
        <v>45655</v>
      </c>
      <c r="F1191">
        <v>60</v>
      </c>
      <c r="G1191" t="s">
        <v>4296</v>
      </c>
    </row>
    <row r="1192" spans="1:7">
      <c r="A1192" t="s">
        <v>2721</v>
      </c>
      <c r="B1192" t="s">
        <v>159</v>
      </c>
      <c r="C1192" t="s">
        <v>133</v>
      </c>
      <c r="D1192" s="10">
        <v>30362</v>
      </c>
      <c r="E1192" s="10">
        <v>45056</v>
      </c>
      <c r="F1192">
        <v>40</v>
      </c>
      <c r="G1192" t="s">
        <v>4296</v>
      </c>
    </row>
    <row r="1193" spans="1:7">
      <c r="A1193" t="s">
        <v>2723</v>
      </c>
      <c r="B1193" t="s">
        <v>1206</v>
      </c>
      <c r="C1193" t="s">
        <v>40</v>
      </c>
      <c r="D1193" s="10">
        <v>39100</v>
      </c>
      <c r="E1193" s="10">
        <v>45958</v>
      </c>
      <c r="F1193">
        <v>18</v>
      </c>
      <c r="G1193" t="s">
        <v>4296</v>
      </c>
    </row>
    <row r="1194" spans="1:7">
      <c r="A1194" t="s">
        <v>2725</v>
      </c>
      <c r="B1194" t="s">
        <v>2389</v>
      </c>
      <c r="C1194" t="s">
        <v>133</v>
      </c>
      <c r="D1194" s="10">
        <v>18874</v>
      </c>
      <c r="E1194" s="10">
        <v>45843</v>
      </c>
      <c r="F1194">
        <v>73</v>
      </c>
      <c r="G1194" t="s">
        <v>4296</v>
      </c>
    </row>
    <row r="1195" spans="1:7">
      <c r="A1195" t="s">
        <v>2726</v>
      </c>
      <c r="B1195" t="s">
        <v>21</v>
      </c>
      <c r="C1195" t="s">
        <v>133</v>
      </c>
      <c r="D1195" s="10">
        <v>26723</v>
      </c>
      <c r="E1195" s="10">
        <v>45019</v>
      </c>
      <c r="F1195">
        <v>50</v>
      </c>
      <c r="G1195" t="s">
        <v>4296</v>
      </c>
    </row>
    <row r="1196" spans="1:7">
      <c r="A1196" t="s">
        <v>2727</v>
      </c>
      <c r="B1196" t="s">
        <v>1667</v>
      </c>
      <c r="C1196" t="s">
        <v>40</v>
      </c>
      <c r="D1196" s="10">
        <v>29793</v>
      </c>
      <c r="E1196" s="10">
        <v>45084</v>
      </c>
      <c r="F1196">
        <v>41</v>
      </c>
      <c r="G1196" t="s">
        <v>4296</v>
      </c>
    </row>
    <row r="1197" spans="1:7">
      <c r="A1197" t="s">
        <v>2730</v>
      </c>
      <c r="B1197" t="s">
        <v>104</v>
      </c>
      <c r="C1197" t="s">
        <v>133</v>
      </c>
      <c r="D1197" s="10">
        <v>29313</v>
      </c>
      <c r="E1197" s="10">
        <v>45490</v>
      </c>
      <c r="F1197">
        <v>44</v>
      </c>
      <c r="G1197" t="s">
        <v>4296</v>
      </c>
    </row>
    <row r="1198" spans="1:7">
      <c r="A1198" t="s">
        <v>2732</v>
      </c>
      <c r="B1198" t="s">
        <v>1094</v>
      </c>
      <c r="C1198" t="s">
        <v>40</v>
      </c>
      <c r="D1198" s="10">
        <v>29330</v>
      </c>
      <c r="E1198" s="10">
        <v>45144</v>
      </c>
      <c r="F1198">
        <v>43</v>
      </c>
      <c r="G1198" t="s">
        <v>4237</v>
      </c>
    </row>
    <row r="1199" spans="1:7">
      <c r="A1199" t="s">
        <v>2734</v>
      </c>
      <c r="B1199" t="s">
        <v>373</v>
      </c>
      <c r="C1199" t="s">
        <v>40</v>
      </c>
      <c r="D1199" s="10">
        <v>36318</v>
      </c>
      <c r="E1199" s="10">
        <v>45866</v>
      </c>
      <c r="F1199">
        <v>26</v>
      </c>
      <c r="G1199" t="s">
        <v>4296</v>
      </c>
    </row>
    <row r="1200" spans="1:7">
      <c r="A1200" t="s">
        <v>2735</v>
      </c>
      <c r="B1200" t="s">
        <v>679</v>
      </c>
      <c r="C1200" t="s">
        <v>133</v>
      </c>
      <c r="D1200" s="10">
        <v>33596</v>
      </c>
      <c r="E1200" s="10">
        <v>45204</v>
      </c>
      <c r="F1200">
        <v>31</v>
      </c>
      <c r="G1200" t="s">
        <v>4296</v>
      </c>
    </row>
    <row r="1201" spans="1:7">
      <c r="A1201" t="s">
        <v>4175</v>
      </c>
      <c r="B1201" t="s">
        <v>328</v>
      </c>
      <c r="C1201" t="s">
        <v>133</v>
      </c>
      <c r="D1201" s="10">
        <v>40522</v>
      </c>
      <c r="E1201" s="10">
        <v>45802</v>
      </c>
      <c r="F1201">
        <v>14</v>
      </c>
      <c r="G1201" t="s">
        <v>4296</v>
      </c>
    </row>
    <row r="1202" spans="1:7">
      <c r="A1202" t="s">
        <v>4176</v>
      </c>
      <c r="B1202" t="s">
        <v>1727</v>
      </c>
      <c r="C1202" t="s">
        <v>133</v>
      </c>
      <c r="D1202" s="10">
        <v>29330</v>
      </c>
      <c r="E1202" s="10">
        <v>45482</v>
      </c>
      <c r="F1202">
        <v>44</v>
      </c>
      <c r="G1202" t="s">
        <v>4237</v>
      </c>
    </row>
    <row r="1203" spans="1:7">
      <c r="A1203" t="s">
        <v>2741</v>
      </c>
      <c r="B1203" t="s">
        <v>132</v>
      </c>
      <c r="C1203" t="s">
        <v>133</v>
      </c>
      <c r="D1203" s="10">
        <v>24315</v>
      </c>
      <c r="E1203" s="10">
        <v>45256</v>
      </c>
      <c r="F1203">
        <v>57</v>
      </c>
      <c r="G1203" t="s">
        <v>4296</v>
      </c>
    </row>
    <row r="1204" spans="1:7">
      <c r="A1204" t="s">
        <v>2743</v>
      </c>
      <c r="B1204" t="s">
        <v>524</v>
      </c>
      <c r="C1204" t="s">
        <v>40</v>
      </c>
      <c r="D1204" s="10">
        <v>19367</v>
      </c>
      <c r="E1204" s="10">
        <v>45482</v>
      </c>
      <c r="F1204">
        <v>71</v>
      </c>
      <c r="G1204" t="s">
        <v>4237</v>
      </c>
    </row>
    <row r="1205" spans="1:7">
      <c r="A1205" t="s">
        <v>2747</v>
      </c>
      <c r="B1205" t="s">
        <v>829</v>
      </c>
      <c r="C1205" t="s">
        <v>133</v>
      </c>
      <c r="D1205" s="10">
        <v>32933</v>
      </c>
      <c r="E1205" s="10">
        <v>45703</v>
      </c>
      <c r="F1205">
        <v>34</v>
      </c>
      <c r="G1205" t="s">
        <v>4296</v>
      </c>
    </row>
    <row r="1206" spans="1:7">
      <c r="A1206" t="s">
        <v>2749</v>
      </c>
      <c r="B1206" t="s">
        <v>1256</v>
      </c>
      <c r="C1206" t="s">
        <v>133</v>
      </c>
      <c r="D1206" s="10">
        <v>20878</v>
      </c>
      <c r="E1206" s="10">
        <v>45765</v>
      </c>
      <c r="F1206">
        <v>68</v>
      </c>
      <c r="G1206" t="s">
        <v>4296</v>
      </c>
    </row>
    <row r="1207" spans="1:7">
      <c r="A1207" t="s">
        <v>2750</v>
      </c>
      <c r="B1207" t="s">
        <v>238</v>
      </c>
      <c r="C1207" t="s">
        <v>133</v>
      </c>
      <c r="D1207" s="10">
        <v>32091</v>
      </c>
      <c r="E1207" s="10">
        <v>44991</v>
      </c>
      <c r="F1207">
        <v>35</v>
      </c>
      <c r="G1207" t="s">
        <v>4296</v>
      </c>
    </row>
    <row r="1208" spans="1:7">
      <c r="A1208" t="s">
        <v>2751</v>
      </c>
      <c r="B1208" t="s">
        <v>545</v>
      </c>
      <c r="C1208" t="s">
        <v>40</v>
      </c>
      <c r="D1208" s="10">
        <v>26810</v>
      </c>
      <c r="E1208" s="10">
        <v>45530</v>
      </c>
      <c r="F1208">
        <v>51</v>
      </c>
      <c r="G1208" t="s">
        <v>4296</v>
      </c>
    </row>
    <row r="1209" spans="1:7">
      <c r="A1209" t="s">
        <v>2752</v>
      </c>
      <c r="B1209" t="s">
        <v>980</v>
      </c>
      <c r="C1209" t="s">
        <v>40</v>
      </c>
      <c r="D1209" s="10">
        <v>26841</v>
      </c>
      <c r="E1209" s="10">
        <v>45352</v>
      </c>
      <c r="F1209">
        <v>50</v>
      </c>
      <c r="G1209" t="s">
        <v>4296</v>
      </c>
    </row>
    <row r="1210" spans="1:7">
      <c r="A1210" t="s">
        <v>2753</v>
      </c>
      <c r="B1210" t="s">
        <v>867</v>
      </c>
      <c r="C1210" t="s">
        <v>40</v>
      </c>
      <c r="D1210" s="10">
        <v>21878</v>
      </c>
      <c r="E1210" s="10">
        <v>45444</v>
      </c>
      <c r="F1210">
        <v>64</v>
      </c>
      <c r="G1210" t="s">
        <v>4296</v>
      </c>
    </row>
    <row r="1211" spans="1:7">
      <c r="A1211" t="s">
        <v>2754</v>
      </c>
      <c r="B1211" t="s">
        <v>737</v>
      </c>
      <c r="C1211" t="s">
        <v>133</v>
      </c>
      <c r="D1211" s="10">
        <v>40252</v>
      </c>
      <c r="E1211" s="10">
        <v>45659</v>
      </c>
      <c r="F1211">
        <v>14</v>
      </c>
      <c r="G1211" t="s">
        <v>4296</v>
      </c>
    </row>
    <row r="1212" spans="1:7">
      <c r="A1212" t="s">
        <v>2755</v>
      </c>
      <c r="B1212" t="s">
        <v>378</v>
      </c>
      <c r="C1212" t="s">
        <v>40</v>
      </c>
      <c r="D1212" s="10">
        <v>30411</v>
      </c>
      <c r="E1212" s="10">
        <v>45224</v>
      </c>
      <c r="F1212">
        <v>40</v>
      </c>
      <c r="G1212" t="s">
        <v>4296</v>
      </c>
    </row>
    <row r="1213" spans="1:7">
      <c r="A1213" t="s">
        <v>2757</v>
      </c>
      <c r="B1213" t="s">
        <v>21</v>
      </c>
      <c r="C1213" t="s">
        <v>40</v>
      </c>
      <c r="D1213" s="10">
        <v>18345</v>
      </c>
      <c r="E1213" s="10">
        <v>45195</v>
      </c>
      <c r="F1213">
        <v>73</v>
      </c>
      <c r="G1213" t="s">
        <v>4296</v>
      </c>
    </row>
    <row r="1214" spans="1:7">
      <c r="A1214" t="s">
        <v>2759</v>
      </c>
      <c r="B1214" t="s">
        <v>845</v>
      </c>
      <c r="C1214" t="s">
        <v>133</v>
      </c>
      <c r="D1214" s="10">
        <v>34928</v>
      </c>
      <c r="E1214" s="10">
        <v>45369</v>
      </c>
      <c r="F1214">
        <v>28</v>
      </c>
      <c r="G1214" t="s">
        <v>4296</v>
      </c>
    </row>
    <row r="1215" spans="1:7">
      <c r="A1215" t="s">
        <v>2760</v>
      </c>
      <c r="B1215" t="s">
        <v>202</v>
      </c>
      <c r="C1215" t="s">
        <v>40</v>
      </c>
      <c r="D1215" s="10">
        <v>19887</v>
      </c>
      <c r="E1215" s="10">
        <v>45902</v>
      </c>
      <c r="F1215">
        <v>71</v>
      </c>
      <c r="G1215" t="s">
        <v>4296</v>
      </c>
    </row>
    <row r="1216" spans="1:7">
      <c r="A1216" t="s">
        <v>2761</v>
      </c>
      <c r="B1216" t="s">
        <v>423</v>
      </c>
      <c r="C1216" t="s">
        <v>133</v>
      </c>
      <c r="D1216" s="10">
        <v>30469</v>
      </c>
      <c r="E1216" s="10">
        <v>45254</v>
      </c>
      <c r="F1216">
        <v>40</v>
      </c>
      <c r="G1216" t="s">
        <v>4296</v>
      </c>
    </row>
    <row r="1217" spans="1:7">
      <c r="A1217" t="s">
        <v>2763</v>
      </c>
      <c r="B1217" t="s">
        <v>406</v>
      </c>
      <c r="C1217" t="s">
        <v>133</v>
      </c>
      <c r="D1217" s="10">
        <v>36281</v>
      </c>
      <c r="E1217" s="10">
        <v>45407</v>
      </c>
      <c r="F1217">
        <v>24</v>
      </c>
      <c r="G1217" t="s">
        <v>4296</v>
      </c>
    </row>
    <row r="1218" spans="1:7">
      <c r="A1218" t="s">
        <v>2765</v>
      </c>
      <c r="B1218" t="s">
        <v>875</v>
      </c>
      <c r="C1218" t="s">
        <v>40</v>
      </c>
      <c r="D1218" s="10">
        <v>30273</v>
      </c>
      <c r="E1218" s="10">
        <v>45793</v>
      </c>
      <c r="F1218">
        <v>42</v>
      </c>
      <c r="G1218" t="s">
        <v>4296</v>
      </c>
    </row>
    <row r="1219" spans="1:7">
      <c r="A1219" t="s">
        <v>2767</v>
      </c>
      <c r="B1219" t="s">
        <v>1101</v>
      </c>
      <c r="C1219" t="s">
        <v>40</v>
      </c>
      <c r="D1219" s="10">
        <v>30722</v>
      </c>
      <c r="E1219" s="10">
        <v>45202</v>
      </c>
      <c r="F1219">
        <v>39</v>
      </c>
      <c r="G1219" t="s">
        <v>4296</v>
      </c>
    </row>
    <row r="1220" spans="1:7">
      <c r="A1220" t="s">
        <v>2768</v>
      </c>
      <c r="B1220" t="s">
        <v>1153</v>
      </c>
      <c r="C1220" t="s">
        <v>133</v>
      </c>
      <c r="D1220" s="10">
        <v>19224</v>
      </c>
      <c r="E1220" s="10">
        <v>45786</v>
      </c>
      <c r="F1220">
        <v>72</v>
      </c>
      <c r="G1220" t="s">
        <v>4296</v>
      </c>
    </row>
    <row r="1221" spans="1:7">
      <c r="A1221" t="s">
        <v>2770</v>
      </c>
      <c r="B1221" t="s">
        <v>470</v>
      </c>
      <c r="C1221" t="s">
        <v>40</v>
      </c>
      <c r="D1221" s="10">
        <v>22055</v>
      </c>
      <c r="E1221" s="10">
        <v>45362</v>
      </c>
      <c r="F1221">
        <v>63</v>
      </c>
      <c r="G1221" t="s">
        <v>4296</v>
      </c>
    </row>
    <row r="1222" spans="1:7">
      <c r="A1222" t="s">
        <v>2771</v>
      </c>
      <c r="B1222" t="s">
        <v>752</v>
      </c>
      <c r="C1222" t="s">
        <v>40</v>
      </c>
      <c r="D1222" s="10">
        <v>33944</v>
      </c>
      <c r="E1222" s="10">
        <v>45888</v>
      </c>
      <c r="F1222">
        <v>32</v>
      </c>
      <c r="G1222" t="s">
        <v>4296</v>
      </c>
    </row>
    <row r="1223" spans="1:7">
      <c r="A1223" t="s">
        <v>2772</v>
      </c>
      <c r="B1223" t="s">
        <v>875</v>
      </c>
      <c r="C1223" t="s">
        <v>133</v>
      </c>
      <c r="D1223" s="10">
        <v>31044</v>
      </c>
      <c r="E1223" s="10">
        <v>44928</v>
      </c>
      <c r="F1223">
        <v>38</v>
      </c>
      <c r="G1223" t="s">
        <v>4296</v>
      </c>
    </row>
    <row r="1224" spans="1:7">
      <c r="A1224" t="s">
        <v>2774</v>
      </c>
      <c r="B1224" t="s">
        <v>867</v>
      </c>
      <c r="C1224" t="s">
        <v>40</v>
      </c>
      <c r="D1224" s="10">
        <v>38712</v>
      </c>
      <c r="E1224" s="10">
        <v>45830</v>
      </c>
      <c r="F1224">
        <v>19</v>
      </c>
      <c r="G1224" t="s">
        <v>4296</v>
      </c>
    </row>
    <row r="1225" spans="1:7">
      <c r="A1225" t="s">
        <v>2776</v>
      </c>
      <c r="B1225" t="s">
        <v>2507</v>
      </c>
      <c r="C1225" t="s">
        <v>133</v>
      </c>
      <c r="D1225" s="10">
        <v>24008</v>
      </c>
      <c r="E1225" s="10">
        <v>45865</v>
      </c>
      <c r="F1225">
        <v>59</v>
      </c>
      <c r="G1225" t="s">
        <v>4296</v>
      </c>
    </row>
    <row r="1226" spans="1:7">
      <c r="A1226" t="s">
        <v>2778</v>
      </c>
      <c r="B1226" t="s">
        <v>515</v>
      </c>
      <c r="C1226" t="s">
        <v>133</v>
      </c>
      <c r="D1226" s="10">
        <v>29294</v>
      </c>
      <c r="E1226" s="10">
        <v>45351</v>
      </c>
      <c r="F1226">
        <v>43</v>
      </c>
      <c r="G1226" t="s">
        <v>4296</v>
      </c>
    </row>
    <row r="1227" spans="1:7">
      <c r="A1227" t="s">
        <v>2779</v>
      </c>
      <c r="B1227" t="s">
        <v>909</v>
      </c>
      <c r="C1227" t="s">
        <v>40</v>
      </c>
      <c r="D1227" s="10">
        <v>40028</v>
      </c>
      <c r="E1227" s="10">
        <v>45671</v>
      </c>
      <c r="F1227">
        <v>15</v>
      </c>
      <c r="G1227" t="s">
        <v>4296</v>
      </c>
    </row>
    <row r="1228" spans="1:7">
      <c r="A1228" t="s">
        <v>2780</v>
      </c>
      <c r="B1228" t="s">
        <v>444</v>
      </c>
      <c r="C1228" t="s">
        <v>133</v>
      </c>
      <c r="D1228" s="10">
        <v>38488</v>
      </c>
      <c r="E1228" s="10">
        <v>45734</v>
      </c>
      <c r="F1228">
        <v>19</v>
      </c>
      <c r="G1228" t="s">
        <v>4296</v>
      </c>
    </row>
    <row r="1229" spans="1:7">
      <c r="A1229" t="s">
        <v>2781</v>
      </c>
      <c r="B1229" t="s">
        <v>810</v>
      </c>
      <c r="C1229" t="s">
        <v>133</v>
      </c>
      <c r="D1229" s="10">
        <v>28039</v>
      </c>
      <c r="E1229" s="10">
        <v>45884</v>
      </c>
      <c r="F1229">
        <v>48</v>
      </c>
      <c r="G1229" t="s">
        <v>4296</v>
      </c>
    </row>
    <row r="1230" spans="1:7">
      <c r="A1230" t="s">
        <v>2782</v>
      </c>
      <c r="B1230" t="s">
        <v>328</v>
      </c>
      <c r="C1230" t="s">
        <v>40</v>
      </c>
      <c r="D1230" s="10">
        <v>37143</v>
      </c>
      <c r="E1230" s="10">
        <v>44970</v>
      </c>
      <c r="F1230">
        <v>21</v>
      </c>
      <c r="G1230" t="s">
        <v>4296</v>
      </c>
    </row>
    <row r="1231" spans="1:7">
      <c r="A1231" t="s">
        <v>2784</v>
      </c>
      <c r="B1231" t="s">
        <v>679</v>
      </c>
      <c r="C1231" t="s">
        <v>40</v>
      </c>
      <c r="D1231" s="10">
        <v>22967</v>
      </c>
      <c r="E1231" s="10">
        <v>45482</v>
      </c>
      <c r="F1231">
        <v>61</v>
      </c>
      <c r="G1231" t="s">
        <v>4237</v>
      </c>
    </row>
    <row r="1232" spans="1:7">
      <c r="A1232" t="s">
        <v>2786</v>
      </c>
      <c r="B1232" t="s">
        <v>967</v>
      </c>
      <c r="C1232" t="s">
        <v>133</v>
      </c>
      <c r="D1232" s="10">
        <v>21333</v>
      </c>
      <c r="E1232" s="10">
        <v>45796</v>
      </c>
      <c r="F1232">
        <v>66</v>
      </c>
      <c r="G1232" t="s">
        <v>4296</v>
      </c>
    </row>
    <row r="1233" spans="1:7">
      <c r="A1233" t="s">
        <v>2788</v>
      </c>
      <c r="B1233" t="s">
        <v>2270</v>
      </c>
      <c r="C1233" t="s">
        <v>40</v>
      </c>
      <c r="D1233" s="10">
        <v>32164</v>
      </c>
      <c r="E1233" s="10">
        <v>45567</v>
      </c>
      <c r="F1233">
        <v>36</v>
      </c>
      <c r="G1233" t="s">
        <v>4296</v>
      </c>
    </row>
    <row r="1234" spans="1:7">
      <c r="A1234" t="s">
        <v>2789</v>
      </c>
      <c r="B1234" t="s">
        <v>444</v>
      </c>
      <c r="C1234" t="s">
        <v>40</v>
      </c>
      <c r="D1234" s="10">
        <v>32983</v>
      </c>
      <c r="E1234" s="10">
        <v>45361</v>
      </c>
      <c r="F1234">
        <v>33</v>
      </c>
      <c r="G1234" t="s">
        <v>4296</v>
      </c>
    </row>
    <row r="1235" spans="1:7">
      <c r="A1235" t="s">
        <v>2790</v>
      </c>
      <c r="B1235" t="s">
        <v>548</v>
      </c>
      <c r="C1235" t="s">
        <v>40</v>
      </c>
      <c r="D1235" s="10">
        <v>19580</v>
      </c>
      <c r="E1235" s="10">
        <v>45682</v>
      </c>
      <c r="F1235">
        <v>71</v>
      </c>
      <c r="G1235" t="s">
        <v>4296</v>
      </c>
    </row>
    <row r="1236" spans="1:7">
      <c r="A1236" t="s">
        <v>2792</v>
      </c>
      <c r="B1236" t="s">
        <v>485</v>
      </c>
      <c r="C1236" t="s">
        <v>133</v>
      </c>
      <c r="D1236" s="10">
        <v>36023</v>
      </c>
      <c r="E1236" s="10">
        <v>45378</v>
      </c>
      <c r="F1236">
        <v>25</v>
      </c>
      <c r="G1236" t="s">
        <v>4296</v>
      </c>
    </row>
    <row r="1237" spans="1:7">
      <c r="A1237" t="s">
        <v>2794</v>
      </c>
      <c r="B1237" t="s">
        <v>1099</v>
      </c>
      <c r="C1237" t="s">
        <v>133</v>
      </c>
      <c r="D1237" s="10">
        <v>22516</v>
      </c>
      <c r="E1237" s="10">
        <v>45031</v>
      </c>
      <c r="F1237">
        <v>61</v>
      </c>
      <c r="G1237" t="s">
        <v>4296</v>
      </c>
    </row>
    <row r="1238" spans="1:7">
      <c r="A1238" t="s">
        <v>2796</v>
      </c>
      <c r="B1238" t="s">
        <v>1391</v>
      </c>
      <c r="C1238" t="s">
        <v>40</v>
      </c>
      <c r="D1238" s="10">
        <v>39501</v>
      </c>
      <c r="E1238" s="10">
        <v>45151</v>
      </c>
      <c r="F1238">
        <v>15</v>
      </c>
      <c r="G1238" t="s">
        <v>4296</v>
      </c>
    </row>
    <row r="1239" spans="1:7">
      <c r="A1239" t="s">
        <v>2797</v>
      </c>
      <c r="B1239" t="s">
        <v>1186</v>
      </c>
      <c r="C1239" t="s">
        <v>133</v>
      </c>
      <c r="D1239" s="10">
        <v>37748</v>
      </c>
      <c r="E1239" s="10">
        <v>45733</v>
      </c>
      <c r="F1239">
        <v>21</v>
      </c>
      <c r="G1239" t="s">
        <v>4296</v>
      </c>
    </row>
    <row r="1240" spans="1:7">
      <c r="A1240" t="s">
        <v>2798</v>
      </c>
      <c r="B1240" t="s">
        <v>752</v>
      </c>
      <c r="C1240" t="s">
        <v>133</v>
      </c>
      <c r="D1240" s="10">
        <v>39312</v>
      </c>
      <c r="E1240" s="10">
        <v>45581</v>
      </c>
      <c r="F1240">
        <v>17</v>
      </c>
      <c r="G1240" t="s">
        <v>4296</v>
      </c>
    </row>
    <row r="1241" spans="1:7">
      <c r="A1241" t="s">
        <v>2801</v>
      </c>
      <c r="B1241" t="s">
        <v>986</v>
      </c>
      <c r="C1241" t="s">
        <v>133</v>
      </c>
      <c r="D1241" s="10">
        <v>29160</v>
      </c>
      <c r="E1241" s="10">
        <v>45421</v>
      </c>
      <c r="F1241">
        <v>44</v>
      </c>
      <c r="G1241" t="s">
        <v>4296</v>
      </c>
    </row>
    <row r="1242" spans="1:7">
      <c r="A1242" t="s">
        <v>2803</v>
      </c>
      <c r="B1242" t="s">
        <v>607</v>
      </c>
      <c r="C1242" t="s">
        <v>40</v>
      </c>
      <c r="D1242" s="10">
        <v>27689</v>
      </c>
      <c r="E1242" s="10">
        <v>45718</v>
      </c>
      <c r="F1242">
        <v>49</v>
      </c>
      <c r="G1242" t="s">
        <v>4296</v>
      </c>
    </row>
    <row r="1243" spans="1:7">
      <c r="A1243" t="s">
        <v>2804</v>
      </c>
      <c r="B1243" t="s">
        <v>1426</v>
      </c>
      <c r="C1243" t="s">
        <v>133</v>
      </c>
      <c r="D1243" s="10">
        <v>26100</v>
      </c>
      <c r="E1243" s="10">
        <v>45482</v>
      </c>
      <c r="F1243">
        <v>53</v>
      </c>
      <c r="G1243" t="s">
        <v>4237</v>
      </c>
    </row>
    <row r="1244" spans="1:7">
      <c r="A1244" t="s">
        <v>2806</v>
      </c>
      <c r="B1244" t="s">
        <v>563</v>
      </c>
      <c r="C1244" t="s">
        <v>40</v>
      </c>
      <c r="D1244" s="10">
        <v>32208</v>
      </c>
      <c r="E1244" s="10">
        <v>45683</v>
      </c>
      <c r="F1244">
        <v>36</v>
      </c>
      <c r="G1244" t="s">
        <v>4296</v>
      </c>
    </row>
    <row r="1245" spans="1:7">
      <c r="A1245" t="s">
        <v>2808</v>
      </c>
      <c r="B1245" t="s">
        <v>875</v>
      </c>
      <c r="C1245" t="s">
        <v>40</v>
      </c>
      <c r="D1245" s="10">
        <v>30020</v>
      </c>
      <c r="E1245" s="10">
        <v>45548</v>
      </c>
      <c r="F1245">
        <v>42</v>
      </c>
      <c r="G1245" t="s">
        <v>4296</v>
      </c>
    </row>
    <row r="1246" spans="1:7">
      <c r="A1246" t="s">
        <v>2809</v>
      </c>
      <c r="B1246" t="s">
        <v>522</v>
      </c>
      <c r="C1246" t="s">
        <v>133</v>
      </c>
      <c r="D1246" s="10">
        <v>23081</v>
      </c>
      <c r="E1246" s="10">
        <v>45844</v>
      </c>
      <c r="F1246">
        <v>62</v>
      </c>
      <c r="G1246" t="s">
        <v>4296</v>
      </c>
    </row>
    <row r="1247" spans="1:7">
      <c r="A1247" t="s">
        <v>2810</v>
      </c>
      <c r="B1247" t="s">
        <v>99</v>
      </c>
      <c r="C1247" t="s">
        <v>133</v>
      </c>
      <c r="D1247" s="10">
        <v>20334</v>
      </c>
      <c r="E1247" s="10">
        <v>45702</v>
      </c>
      <c r="F1247">
        <v>69</v>
      </c>
      <c r="G1247" t="s">
        <v>4296</v>
      </c>
    </row>
    <row r="1248" spans="1:7">
      <c r="A1248" t="s">
        <v>2812</v>
      </c>
      <c r="B1248" t="s">
        <v>768</v>
      </c>
      <c r="C1248" t="s">
        <v>40</v>
      </c>
      <c r="D1248" s="10">
        <v>23661</v>
      </c>
      <c r="E1248" s="10">
        <v>45486</v>
      </c>
      <c r="F1248">
        <v>59</v>
      </c>
      <c r="G1248" t="s">
        <v>4296</v>
      </c>
    </row>
    <row r="1249" spans="1:7">
      <c r="A1249" t="s">
        <v>2816</v>
      </c>
      <c r="B1249" t="s">
        <v>850</v>
      </c>
      <c r="C1249" t="s">
        <v>133</v>
      </c>
      <c r="D1249" s="10">
        <v>21918</v>
      </c>
      <c r="E1249" s="10">
        <v>45716</v>
      </c>
      <c r="F1249">
        <v>65</v>
      </c>
      <c r="G1249" t="s">
        <v>4296</v>
      </c>
    </row>
    <row r="1250" spans="1:7">
      <c r="A1250" t="s">
        <v>4177</v>
      </c>
      <c r="B1250" t="s">
        <v>324</v>
      </c>
      <c r="C1250" t="s">
        <v>133</v>
      </c>
      <c r="D1250" s="10">
        <v>39645</v>
      </c>
      <c r="E1250" s="10">
        <v>45310</v>
      </c>
      <c r="F1250">
        <v>15</v>
      </c>
      <c r="G1250" t="s">
        <v>4296</v>
      </c>
    </row>
    <row r="1251" spans="1:7">
      <c r="A1251" t="s">
        <v>2821</v>
      </c>
      <c r="B1251" t="s">
        <v>2483</v>
      </c>
      <c r="C1251" t="s">
        <v>133</v>
      </c>
      <c r="D1251" s="10">
        <v>40326</v>
      </c>
      <c r="E1251" s="10">
        <v>45482</v>
      </c>
      <c r="F1251">
        <v>14</v>
      </c>
      <c r="G1251" t="s">
        <v>4237</v>
      </c>
    </row>
    <row r="1252" spans="1:7">
      <c r="A1252" t="s">
        <v>2823</v>
      </c>
      <c r="B1252" t="s">
        <v>568</v>
      </c>
      <c r="C1252" t="s">
        <v>133</v>
      </c>
      <c r="D1252" s="10">
        <v>32620</v>
      </c>
      <c r="E1252" s="10">
        <v>45991</v>
      </c>
      <c r="F1252">
        <v>36</v>
      </c>
      <c r="G1252" t="s">
        <v>4296</v>
      </c>
    </row>
    <row r="1253" spans="1:7">
      <c r="A1253" t="s">
        <v>2825</v>
      </c>
      <c r="B1253" t="s">
        <v>1104</v>
      </c>
      <c r="C1253" t="s">
        <v>133</v>
      </c>
      <c r="D1253" s="10">
        <v>26744</v>
      </c>
      <c r="E1253" s="10">
        <v>45014</v>
      </c>
      <c r="F1253">
        <v>50</v>
      </c>
      <c r="G1253" t="s">
        <v>4296</v>
      </c>
    </row>
    <row r="1254" spans="1:7">
      <c r="A1254" t="s">
        <v>2827</v>
      </c>
      <c r="B1254" t="s">
        <v>1099</v>
      </c>
      <c r="C1254" t="s">
        <v>133</v>
      </c>
      <c r="D1254" s="10">
        <v>22436</v>
      </c>
      <c r="E1254" s="10">
        <v>45609</v>
      </c>
      <c r="F1254">
        <v>63</v>
      </c>
      <c r="G1254" t="s">
        <v>4296</v>
      </c>
    </row>
    <row r="1255" spans="1:7">
      <c r="A1255" t="s">
        <v>2828</v>
      </c>
      <c r="B1255" t="s">
        <v>1182</v>
      </c>
      <c r="C1255" t="s">
        <v>40</v>
      </c>
      <c r="D1255" s="10">
        <v>18515</v>
      </c>
      <c r="E1255" s="10">
        <v>45954</v>
      </c>
      <c r="F1255">
        <v>75</v>
      </c>
      <c r="G1255" t="s">
        <v>4296</v>
      </c>
    </row>
    <row r="1256" spans="1:7">
      <c r="A1256" t="s">
        <v>2829</v>
      </c>
      <c r="B1256" t="s">
        <v>147</v>
      </c>
      <c r="C1256" t="s">
        <v>40</v>
      </c>
      <c r="D1256" s="10">
        <v>39156</v>
      </c>
      <c r="E1256" s="10">
        <v>45269</v>
      </c>
      <c r="F1256">
        <v>16</v>
      </c>
      <c r="G1256" t="s">
        <v>4296</v>
      </c>
    </row>
    <row r="1257" spans="1:7">
      <c r="A1257" t="s">
        <v>2831</v>
      </c>
      <c r="B1257" t="s">
        <v>1364</v>
      </c>
      <c r="C1257" t="s">
        <v>133</v>
      </c>
      <c r="D1257" s="10">
        <v>22403</v>
      </c>
      <c r="E1257" s="10">
        <v>45748</v>
      </c>
      <c r="F1257">
        <v>63</v>
      </c>
      <c r="G1257" t="s">
        <v>4296</v>
      </c>
    </row>
    <row r="1258" spans="1:7">
      <c r="A1258" t="s">
        <v>2832</v>
      </c>
      <c r="B1258" t="s">
        <v>1727</v>
      </c>
      <c r="C1258" t="s">
        <v>133</v>
      </c>
      <c r="D1258" s="10">
        <v>30989</v>
      </c>
      <c r="E1258" s="10">
        <v>45431</v>
      </c>
      <c r="F1258">
        <v>39</v>
      </c>
      <c r="G1258" t="s">
        <v>4296</v>
      </c>
    </row>
    <row r="1259" spans="1:7">
      <c r="A1259" t="s">
        <v>2835</v>
      </c>
      <c r="B1259" t="s">
        <v>511</v>
      </c>
      <c r="C1259" t="s">
        <v>133</v>
      </c>
      <c r="D1259" s="10">
        <v>25357</v>
      </c>
      <c r="E1259" s="10">
        <v>45916</v>
      </c>
      <c r="F1259">
        <v>56</v>
      </c>
      <c r="G1259" t="s">
        <v>4296</v>
      </c>
    </row>
    <row r="1260" spans="1:7">
      <c r="A1260" t="s">
        <v>2836</v>
      </c>
      <c r="B1260" t="s">
        <v>1700</v>
      </c>
      <c r="C1260" t="s">
        <v>40</v>
      </c>
      <c r="D1260" s="10">
        <v>29323</v>
      </c>
      <c r="E1260" s="10">
        <v>45955</v>
      </c>
      <c r="F1260">
        <v>45</v>
      </c>
      <c r="G1260" t="s">
        <v>4296</v>
      </c>
    </row>
    <row r="1261" spans="1:7">
      <c r="A1261" t="s">
        <v>4178</v>
      </c>
      <c r="B1261" t="s">
        <v>845</v>
      </c>
      <c r="C1261" t="s">
        <v>40</v>
      </c>
      <c r="D1261" s="10">
        <v>31148</v>
      </c>
      <c r="E1261" s="10">
        <v>45731</v>
      </c>
      <c r="F1261">
        <v>39</v>
      </c>
      <c r="G1261" t="s">
        <v>4296</v>
      </c>
    </row>
    <row r="1262" spans="1:7">
      <c r="A1262" t="s">
        <v>2839</v>
      </c>
      <c r="B1262" t="s">
        <v>756</v>
      </c>
      <c r="C1262" t="s">
        <v>40</v>
      </c>
      <c r="D1262" s="10">
        <v>24476</v>
      </c>
      <c r="E1262" s="10">
        <v>45463</v>
      </c>
      <c r="F1262">
        <v>57</v>
      </c>
      <c r="G1262" t="s">
        <v>4296</v>
      </c>
    </row>
    <row r="1263" spans="1:7">
      <c r="A1263" t="s">
        <v>2842</v>
      </c>
      <c r="B1263" t="s">
        <v>548</v>
      </c>
      <c r="C1263" t="s">
        <v>133</v>
      </c>
      <c r="D1263" s="10">
        <v>38477</v>
      </c>
      <c r="E1263" s="10">
        <v>45099</v>
      </c>
      <c r="F1263">
        <v>18</v>
      </c>
      <c r="G1263" t="s">
        <v>4296</v>
      </c>
    </row>
    <row r="1264" spans="1:7">
      <c r="A1264" t="s">
        <v>2844</v>
      </c>
      <c r="B1264" t="s">
        <v>173</v>
      </c>
      <c r="C1264" t="s">
        <v>40</v>
      </c>
      <c r="D1264" s="10">
        <v>33517</v>
      </c>
      <c r="E1264" s="10">
        <v>45442</v>
      </c>
      <c r="F1264">
        <v>32</v>
      </c>
      <c r="G1264" t="s">
        <v>4296</v>
      </c>
    </row>
    <row r="1265" spans="1:7">
      <c r="A1265" t="s">
        <v>2845</v>
      </c>
      <c r="B1265" t="s">
        <v>992</v>
      </c>
      <c r="C1265" t="s">
        <v>40</v>
      </c>
      <c r="D1265" s="10">
        <v>22593</v>
      </c>
      <c r="E1265" s="10">
        <v>45026</v>
      </c>
      <c r="F1265">
        <v>61</v>
      </c>
      <c r="G1265" t="s">
        <v>4296</v>
      </c>
    </row>
    <row r="1266" spans="1:7">
      <c r="A1266" t="s">
        <v>2847</v>
      </c>
      <c r="B1266" t="s">
        <v>2447</v>
      </c>
      <c r="C1266" t="s">
        <v>133</v>
      </c>
      <c r="D1266" s="10">
        <v>18458</v>
      </c>
      <c r="E1266" s="10">
        <v>45724</v>
      </c>
      <c r="F1266">
        <v>74</v>
      </c>
      <c r="G1266" t="s">
        <v>4296</v>
      </c>
    </row>
    <row r="1267" spans="1:7">
      <c r="A1267" t="s">
        <v>4179</v>
      </c>
      <c r="B1267" t="s">
        <v>334</v>
      </c>
      <c r="C1267" t="s">
        <v>40</v>
      </c>
      <c r="D1267" s="10">
        <v>20127</v>
      </c>
      <c r="E1267" s="10">
        <v>44930</v>
      </c>
      <c r="F1267">
        <v>67</v>
      </c>
      <c r="G1267" t="s">
        <v>4296</v>
      </c>
    </row>
    <row r="1268" spans="1:7">
      <c r="A1268" t="s">
        <v>2851</v>
      </c>
      <c r="B1268" t="s">
        <v>522</v>
      </c>
      <c r="C1268" t="s">
        <v>40</v>
      </c>
      <c r="D1268" s="10">
        <v>37585</v>
      </c>
      <c r="E1268" s="10">
        <v>45854</v>
      </c>
      <c r="F1268">
        <v>22</v>
      </c>
      <c r="G1268" t="s">
        <v>4296</v>
      </c>
    </row>
    <row r="1269" spans="1:7">
      <c r="A1269" t="s">
        <v>2852</v>
      </c>
      <c r="B1269" t="s">
        <v>622</v>
      </c>
      <c r="C1269" t="s">
        <v>40</v>
      </c>
      <c r="D1269" s="10">
        <v>34981</v>
      </c>
      <c r="E1269" s="10">
        <v>45862</v>
      </c>
      <c r="F1269">
        <v>29</v>
      </c>
      <c r="G1269" t="s">
        <v>4296</v>
      </c>
    </row>
    <row r="1270" spans="1:7">
      <c r="A1270" t="s">
        <v>2854</v>
      </c>
      <c r="B1270" t="s">
        <v>392</v>
      </c>
      <c r="C1270" t="s">
        <v>40</v>
      </c>
      <c r="D1270" s="10">
        <v>32287</v>
      </c>
      <c r="E1270" s="10">
        <v>45138</v>
      </c>
      <c r="F1270">
        <v>35</v>
      </c>
      <c r="G1270" t="s">
        <v>4296</v>
      </c>
    </row>
    <row r="1271" spans="1:7">
      <c r="A1271" t="s">
        <v>2856</v>
      </c>
      <c r="B1271" t="s">
        <v>1342</v>
      </c>
      <c r="C1271" t="s">
        <v>40</v>
      </c>
      <c r="D1271" s="10">
        <v>25625</v>
      </c>
      <c r="E1271" s="10">
        <v>45278</v>
      </c>
      <c r="F1271">
        <v>53</v>
      </c>
      <c r="G1271" t="s">
        <v>4296</v>
      </c>
    </row>
    <row r="1272" spans="1:7">
      <c r="A1272" t="s">
        <v>2857</v>
      </c>
      <c r="B1272" t="s">
        <v>652</v>
      </c>
      <c r="C1272" t="s">
        <v>40</v>
      </c>
      <c r="D1272" s="10">
        <v>36148</v>
      </c>
      <c r="E1272" s="10">
        <v>45604</v>
      </c>
      <c r="F1272">
        <v>25</v>
      </c>
      <c r="G1272" t="s">
        <v>4296</v>
      </c>
    </row>
    <row r="1273" spans="1:7">
      <c r="A1273" t="s">
        <v>2859</v>
      </c>
      <c r="B1273" t="s">
        <v>1167</v>
      </c>
      <c r="C1273" t="s">
        <v>40</v>
      </c>
      <c r="D1273" s="10">
        <v>37067</v>
      </c>
      <c r="E1273" s="10">
        <v>45274</v>
      </c>
      <c r="F1273">
        <v>22</v>
      </c>
      <c r="G1273" t="s">
        <v>4296</v>
      </c>
    </row>
    <row r="1274" spans="1:7">
      <c r="A1274" t="s">
        <v>2860</v>
      </c>
      <c r="B1274" t="s">
        <v>584</v>
      </c>
      <c r="C1274" t="s">
        <v>133</v>
      </c>
      <c r="D1274" s="10">
        <v>31192</v>
      </c>
      <c r="E1274" s="10">
        <v>45110</v>
      </c>
      <c r="F1274">
        <v>38</v>
      </c>
      <c r="G1274" t="s">
        <v>4296</v>
      </c>
    </row>
    <row r="1275" spans="1:7">
      <c r="A1275" t="s">
        <v>2861</v>
      </c>
      <c r="B1275" t="s">
        <v>334</v>
      </c>
      <c r="C1275" t="s">
        <v>133</v>
      </c>
      <c r="D1275" s="10">
        <v>35490</v>
      </c>
      <c r="E1275" s="10">
        <v>45482</v>
      </c>
      <c r="F1275">
        <v>27</v>
      </c>
      <c r="G1275" t="s">
        <v>4237</v>
      </c>
    </row>
    <row r="1276" spans="1:7">
      <c r="A1276" t="s">
        <v>2862</v>
      </c>
      <c r="B1276" t="s">
        <v>1061</v>
      </c>
      <c r="C1276" t="s">
        <v>40</v>
      </c>
      <c r="D1276" s="10">
        <v>20272</v>
      </c>
      <c r="E1276" s="10">
        <v>45482</v>
      </c>
      <c r="F1276">
        <v>69</v>
      </c>
      <c r="G1276" t="s">
        <v>4237</v>
      </c>
    </row>
    <row r="1277" spans="1:7">
      <c r="A1277" t="s">
        <v>2865</v>
      </c>
      <c r="B1277" t="s">
        <v>1839</v>
      </c>
      <c r="C1277" t="s">
        <v>40</v>
      </c>
      <c r="D1277" s="10">
        <v>23939</v>
      </c>
      <c r="E1277" s="10">
        <v>45773</v>
      </c>
      <c r="F1277">
        <v>59</v>
      </c>
      <c r="G1277" t="s">
        <v>4296</v>
      </c>
    </row>
    <row r="1278" spans="1:7">
      <c r="A1278" t="s">
        <v>2867</v>
      </c>
      <c r="B1278" t="s">
        <v>328</v>
      </c>
      <c r="C1278" t="s">
        <v>133</v>
      </c>
      <c r="D1278" s="10">
        <v>21386</v>
      </c>
      <c r="E1278" s="10">
        <v>45345</v>
      </c>
      <c r="F1278">
        <v>65</v>
      </c>
      <c r="G1278" t="s">
        <v>4296</v>
      </c>
    </row>
    <row r="1279" spans="1:7">
      <c r="A1279" t="s">
        <v>2868</v>
      </c>
      <c r="B1279" t="s">
        <v>833</v>
      </c>
      <c r="C1279" t="s">
        <v>133</v>
      </c>
      <c r="D1279" s="10">
        <v>37073</v>
      </c>
      <c r="E1279" s="10">
        <v>45716</v>
      </c>
      <c r="F1279">
        <v>23</v>
      </c>
      <c r="G1279" t="s">
        <v>4296</v>
      </c>
    </row>
    <row r="1280" spans="1:7">
      <c r="A1280" t="s">
        <v>4180</v>
      </c>
      <c r="B1280" t="s">
        <v>2393</v>
      </c>
      <c r="C1280" t="s">
        <v>133</v>
      </c>
      <c r="D1280" s="10">
        <v>26380</v>
      </c>
      <c r="E1280" s="10">
        <v>44995</v>
      </c>
      <c r="F1280">
        <v>50</v>
      </c>
      <c r="G1280" t="s">
        <v>4296</v>
      </c>
    </row>
    <row r="1281" spans="1:7">
      <c r="A1281" t="s">
        <v>2872</v>
      </c>
      <c r="B1281" t="s">
        <v>356</v>
      </c>
      <c r="C1281" t="s">
        <v>40</v>
      </c>
      <c r="D1281" s="10">
        <v>35787</v>
      </c>
      <c r="E1281" s="10">
        <v>45492</v>
      </c>
      <c r="F1281">
        <v>26</v>
      </c>
      <c r="G1281" t="s">
        <v>4296</v>
      </c>
    </row>
    <row r="1282" spans="1:7">
      <c r="A1282" t="s">
        <v>2874</v>
      </c>
      <c r="B1282" t="s">
        <v>332</v>
      </c>
      <c r="C1282" t="s">
        <v>40</v>
      </c>
      <c r="D1282" s="10">
        <v>29330</v>
      </c>
      <c r="E1282" s="10">
        <v>45636</v>
      </c>
      <c r="F1282">
        <v>44</v>
      </c>
      <c r="G1282" t="s">
        <v>4237</v>
      </c>
    </row>
    <row r="1283" spans="1:7">
      <c r="A1283" t="s">
        <v>2878</v>
      </c>
      <c r="B1283" t="s">
        <v>280</v>
      </c>
      <c r="C1283" t="s">
        <v>133</v>
      </c>
      <c r="D1283" s="10">
        <v>34517</v>
      </c>
      <c r="E1283" s="10">
        <v>45435</v>
      </c>
      <c r="F1283">
        <v>29</v>
      </c>
      <c r="G1283" t="s">
        <v>4296</v>
      </c>
    </row>
    <row r="1284" spans="1:7">
      <c r="A1284" t="s">
        <v>2879</v>
      </c>
      <c r="B1284" t="s">
        <v>1153</v>
      </c>
      <c r="C1284" t="s">
        <v>40</v>
      </c>
      <c r="D1284" s="10">
        <v>25976</v>
      </c>
      <c r="E1284" s="10">
        <v>45033</v>
      </c>
      <c r="F1284">
        <v>52</v>
      </c>
      <c r="G1284" t="s">
        <v>4296</v>
      </c>
    </row>
    <row r="1285" spans="1:7">
      <c r="A1285" t="s">
        <v>2882</v>
      </c>
      <c r="B1285" t="s">
        <v>406</v>
      </c>
      <c r="C1285" t="s">
        <v>40</v>
      </c>
      <c r="D1285" s="10">
        <v>25622</v>
      </c>
      <c r="E1285" s="10">
        <v>45773</v>
      </c>
      <c r="F1285">
        <v>55</v>
      </c>
      <c r="G1285" t="s">
        <v>4296</v>
      </c>
    </row>
    <row r="1286" spans="1:7">
      <c r="A1286" t="s">
        <v>2884</v>
      </c>
      <c r="B1286" t="s">
        <v>522</v>
      </c>
      <c r="C1286" t="s">
        <v>40</v>
      </c>
      <c r="D1286" s="10">
        <v>31184</v>
      </c>
      <c r="E1286" s="10">
        <v>45482</v>
      </c>
      <c r="F1286">
        <v>39</v>
      </c>
      <c r="G1286" t="s">
        <v>4237</v>
      </c>
    </row>
    <row r="1287" spans="1:7">
      <c r="A1287" t="s">
        <v>2886</v>
      </c>
      <c r="B1287" t="s">
        <v>368</v>
      </c>
      <c r="C1287" t="s">
        <v>133</v>
      </c>
      <c r="D1287" s="10">
        <v>25038</v>
      </c>
      <c r="E1287" s="10">
        <v>44947</v>
      </c>
      <c r="F1287">
        <v>54</v>
      </c>
      <c r="G1287" t="s">
        <v>4296</v>
      </c>
    </row>
    <row r="1288" spans="1:7">
      <c r="A1288" t="s">
        <v>2889</v>
      </c>
      <c r="B1288" t="s">
        <v>909</v>
      </c>
      <c r="C1288" t="s">
        <v>133</v>
      </c>
      <c r="D1288" s="10">
        <v>35191</v>
      </c>
      <c r="E1288" s="10">
        <v>45993</v>
      </c>
      <c r="F1288">
        <v>29</v>
      </c>
      <c r="G1288" t="s">
        <v>4296</v>
      </c>
    </row>
    <row r="1289" spans="1:7">
      <c r="A1289" t="s">
        <v>2893</v>
      </c>
      <c r="B1289" t="s">
        <v>843</v>
      </c>
      <c r="C1289" t="s">
        <v>133</v>
      </c>
      <c r="D1289" s="10">
        <v>20138</v>
      </c>
      <c r="E1289" s="10">
        <v>45981</v>
      </c>
      <c r="F1289">
        <v>70</v>
      </c>
      <c r="G1289" t="s">
        <v>4296</v>
      </c>
    </row>
    <row r="1290" spans="1:7">
      <c r="A1290" t="s">
        <v>2896</v>
      </c>
      <c r="B1290" t="s">
        <v>611</v>
      </c>
      <c r="C1290" t="s">
        <v>40</v>
      </c>
      <c r="D1290" s="10">
        <v>29330</v>
      </c>
      <c r="E1290" s="10">
        <v>45728</v>
      </c>
      <c r="F1290">
        <v>44</v>
      </c>
      <c r="G1290" t="s">
        <v>4237</v>
      </c>
    </row>
    <row r="1291" spans="1:7">
      <c r="A1291" t="s">
        <v>2898</v>
      </c>
      <c r="B1291" t="s">
        <v>1580</v>
      </c>
      <c r="C1291" t="s">
        <v>40</v>
      </c>
      <c r="D1291" s="10">
        <v>26626</v>
      </c>
      <c r="E1291" s="10">
        <v>45332</v>
      </c>
      <c r="F1291">
        <v>51</v>
      </c>
      <c r="G1291" t="s">
        <v>4296</v>
      </c>
    </row>
    <row r="1292" spans="1:7">
      <c r="A1292" t="s">
        <v>2901</v>
      </c>
      <c r="B1292" t="s">
        <v>253</v>
      </c>
      <c r="C1292" t="s">
        <v>133</v>
      </c>
      <c r="D1292" s="10">
        <v>25121</v>
      </c>
      <c r="E1292" s="10">
        <v>45074</v>
      </c>
      <c r="F1292">
        <v>54</v>
      </c>
      <c r="G1292" t="s">
        <v>4296</v>
      </c>
    </row>
    <row r="1293" spans="1:7">
      <c r="A1293" t="s">
        <v>4181</v>
      </c>
      <c r="B1293" t="s">
        <v>871</v>
      </c>
      <c r="C1293" t="s">
        <v>133</v>
      </c>
      <c r="D1293" s="10">
        <v>20749</v>
      </c>
      <c r="E1293" s="10">
        <v>45598</v>
      </c>
      <c r="F1293">
        <v>68</v>
      </c>
      <c r="G1293" t="s">
        <v>4296</v>
      </c>
    </row>
    <row r="1294" spans="1:7">
      <c r="A1294" t="s">
        <v>2903</v>
      </c>
      <c r="B1294" t="s">
        <v>1001</v>
      </c>
      <c r="C1294" t="s">
        <v>133</v>
      </c>
      <c r="D1294" s="10">
        <v>35000</v>
      </c>
      <c r="E1294" s="10">
        <v>45112</v>
      </c>
      <c r="F1294">
        <v>27</v>
      </c>
      <c r="G1294" t="s">
        <v>4296</v>
      </c>
    </row>
    <row r="1295" spans="1:7">
      <c r="A1295" t="s">
        <v>2906</v>
      </c>
      <c r="B1295" t="s">
        <v>1362</v>
      </c>
      <c r="C1295" t="s">
        <v>133</v>
      </c>
      <c r="D1295" s="10">
        <v>29831</v>
      </c>
      <c r="E1295" s="10">
        <v>45824</v>
      </c>
      <c r="F1295">
        <v>43</v>
      </c>
      <c r="G1295" t="s">
        <v>4296</v>
      </c>
    </row>
    <row r="1296" spans="1:7">
      <c r="A1296" t="s">
        <v>2908</v>
      </c>
      <c r="B1296" t="s">
        <v>253</v>
      </c>
      <c r="C1296" t="s">
        <v>133</v>
      </c>
      <c r="D1296" s="10">
        <v>29235</v>
      </c>
      <c r="E1296" s="10">
        <v>45133</v>
      </c>
      <c r="F1296">
        <v>43</v>
      </c>
      <c r="G1296" t="s">
        <v>4296</v>
      </c>
    </row>
    <row r="1297" spans="1:7">
      <c r="A1297" t="s">
        <v>2910</v>
      </c>
      <c r="B1297" t="s">
        <v>298</v>
      </c>
      <c r="C1297" t="s">
        <v>40</v>
      </c>
      <c r="D1297" s="10">
        <v>35005</v>
      </c>
      <c r="E1297" s="10">
        <v>45651</v>
      </c>
      <c r="F1297">
        <v>29</v>
      </c>
      <c r="G1297" t="s">
        <v>4296</v>
      </c>
    </row>
    <row r="1298" spans="1:7">
      <c r="A1298" t="s">
        <v>2911</v>
      </c>
      <c r="B1298" t="s">
        <v>864</v>
      </c>
      <c r="C1298" t="s">
        <v>40</v>
      </c>
      <c r="D1298" s="10">
        <v>37792</v>
      </c>
      <c r="E1298" s="10">
        <v>45482</v>
      </c>
      <c r="F1298">
        <v>21</v>
      </c>
      <c r="G1298" t="s">
        <v>4237</v>
      </c>
    </row>
    <row r="1299" spans="1:7">
      <c r="A1299" t="s">
        <v>4182</v>
      </c>
      <c r="B1299" t="s">
        <v>1068</v>
      </c>
      <c r="C1299" t="s">
        <v>40</v>
      </c>
      <c r="D1299" s="10">
        <v>30486</v>
      </c>
      <c r="E1299" s="10">
        <v>45701</v>
      </c>
      <c r="F1299">
        <v>41</v>
      </c>
      <c r="G1299" t="s">
        <v>4296</v>
      </c>
    </row>
    <row r="1300" spans="1:7">
      <c r="A1300" t="s">
        <v>2914</v>
      </c>
      <c r="B1300" t="s">
        <v>1888</v>
      </c>
      <c r="C1300" t="s">
        <v>133</v>
      </c>
      <c r="D1300" s="10">
        <v>29330</v>
      </c>
      <c r="E1300" s="10">
        <v>45474</v>
      </c>
      <c r="F1300">
        <v>44</v>
      </c>
      <c r="G1300" t="s">
        <v>4237</v>
      </c>
    </row>
    <row r="1301" spans="1:7">
      <c r="A1301" t="s">
        <v>4183</v>
      </c>
      <c r="B1301" t="s">
        <v>2918</v>
      </c>
      <c r="C1301" t="s">
        <v>40</v>
      </c>
      <c r="D1301" s="10">
        <v>31712</v>
      </c>
      <c r="E1301" s="10">
        <v>45482</v>
      </c>
      <c r="F1301">
        <v>37</v>
      </c>
      <c r="G1301" t="s">
        <v>4237</v>
      </c>
    </row>
    <row r="1302" spans="1:7">
      <c r="A1302" t="s">
        <v>2920</v>
      </c>
      <c r="B1302" t="s">
        <v>810</v>
      </c>
      <c r="C1302" t="s">
        <v>40</v>
      </c>
      <c r="D1302" s="10">
        <v>23494</v>
      </c>
      <c r="E1302" s="10">
        <v>45142</v>
      </c>
      <c r="F1302">
        <v>59</v>
      </c>
      <c r="G1302" t="s">
        <v>4296</v>
      </c>
    </row>
    <row r="1303" spans="1:7">
      <c r="A1303" t="s">
        <v>2921</v>
      </c>
      <c r="B1303" t="s">
        <v>194</v>
      </c>
      <c r="C1303" t="s">
        <v>133</v>
      </c>
      <c r="D1303" s="10">
        <v>23193</v>
      </c>
      <c r="E1303" s="10">
        <v>45701</v>
      </c>
      <c r="F1303">
        <v>61</v>
      </c>
      <c r="G1303" t="s">
        <v>4296</v>
      </c>
    </row>
    <row r="1304" spans="1:7">
      <c r="A1304" t="s">
        <v>2922</v>
      </c>
      <c r="B1304" t="s">
        <v>1079</v>
      </c>
      <c r="C1304" t="s">
        <v>133</v>
      </c>
      <c r="D1304" s="10">
        <v>29330</v>
      </c>
      <c r="E1304" s="10">
        <v>45542</v>
      </c>
      <c r="F1304">
        <v>44</v>
      </c>
      <c r="G1304" t="s">
        <v>4237</v>
      </c>
    </row>
    <row r="1305" spans="1:7">
      <c r="A1305" t="s">
        <v>4184</v>
      </c>
      <c r="B1305" t="s">
        <v>1104</v>
      </c>
      <c r="C1305" t="s">
        <v>133</v>
      </c>
      <c r="D1305" s="10">
        <v>35627</v>
      </c>
      <c r="E1305" s="10">
        <v>45002</v>
      </c>
      <c r="F1305">
        <v>25</v>
      </c>
      <c r="G1305" t="s">
        <v>4296</v>
      </c>
    </row>
    <row r="1306" spans="1:7">
      <c r="A1306" t="s">
        <v>2928</v>
      </c>
      <c r="B1306" t="s">
        <v>1509</v>
      </c>
      <c r="C1306" t="s">
        <v>40</v>
      </c>
      <c r="D1306" s="10">
        <v>36422</v>
      </c>
      <c r="E1306" s="10">
        <v>45235</v>
      </c>
      <c r="F1306">
        <v>24</v>
      </c>
      <c r="G1306" t="s">
        <v>4296</v>
      </c>
    </row>
    <row r="1307" spans="1:7">
      <c r="A1307" t="s">
        <v>2931</v>
      </c>
      <c r="B1307" t="s">
        <v>221</v>
      </c>
      <c r="C1307" t="s">
        <v>40</v>
      </c>
      <c r="D1307" s="10">
        <v>33871</v>
      </c>
      <c r="E1307" s="10">
        <v>45725</v>
      </c>
      <c r="F1307">
        <v>32</v>
      </c>
      <c r="G1307" t="s">
        <v>4296</v>
      </c>
    </row>
    <row r="1308" spans="1:7">
      <c r="A1308" t="s">
        <v>2933</v>
      </c>
      <c r="B1308" t="s">
        <v>796</v>
      </c>
      <c r="C1308" t="s">
        <v>133</v>
      </c>
      <c r="D1308" s="10">
        <v>21633</v>
      </c>
      <c r="E1308" s="10">
        <v>45501</v>
      </c>
      <c r="F1308">
        <v>65</v>
      </c>
      <c r="G1308" t="s">
        <v>4296</v>
      </c>
    </row>
    <row r="1309" spans="1:7">
      <c r="A1309" t="s">
        <v>4185</v>
      </c>
      <c r="B1309" t="s">
        <v>556</v>
      </c>
      <c r="C1309" t="s">
        <v>133</v>
      </c>
      <c r="D1309" s="10">
        <v>36162</v>
      </c>
      <c r="E1309" s="10">
        <v>45402</v>
      </c>
      <c r="F1309">
        <v>25</v>
      </c>
      <c r="G1309" t="s">
        <v>4296</v>
      </c>
    </row>
    <row r="1310" spans="1:7">
      <c r="A1310" t="s">
        <v>2937</v>
      </c>
      <c r="B1310" t="s">
        <v>390</v>
      </c>
      <c r="C1310" t="s">
        <v>133</v>
      </c>
      <c r="D1310" s="10">
        <v>22538</v>
      </c>
      <c r="E1310" s="10">
        <v>45569</v>
      </c>
      <c r="F1310">
        <v>63</v>
      </c>
      <c r="G1310" t="s">
        <v>4296</v>
      </c>
    </row>
    <row r="1311" spans="1:7">
      <c r="A1311" t="s">
        <v>2939</v>
      </c>
      <c r="B1311" t="s">
        <v>922</v>
      </c>
      <c r="C1311" t="s">
        <v>40</v>
      </c>
      <c r="D1311" s="10">
        <v>18881</v>
      </c>
      <c r="E1311" s="10">
        <v>45720</v>
      </c>
      <c r="F1311">
        <v>73</v>
      </c>
      <c r="G1311" t="s">
        <v>4296</v>
      </c>
    </row>
    <row r="1312" spans="1:7">
      <c r="A1312" t="s">
        <v>2940</v>
      </c>
      <c r="B1312" t="s">
        <v>556</v>
      </c>
      <c r="C1312" t="s">
        <v>133</v>
      </c>
      <c r="D1312" s="10">
        <v>35037</v>
      </c>
      <c r="E1312" s="10">
        <v>45722</v>
      </c>
      <c r="F1312">
        <v>29</v>
      </c>
      <c r="G1312" t="s">
        <v>4296</v>
      </c>
    </row>
    <row r="1313" spans="1:7">
      <c r="A1313" t="s">
        <v>2941</v>
      </c>
      <c r="B1313" t="s">
        <v>1464</v>
      </c>
      <c r="C1313" t="s">
        <v>133</v>
      </c>
      <c r="D1313" s="10">
        <v>20102</v>
      </c>
      <c r="E1313" s="10">
        <v>45776</v>
      </c>
      <c r="F1313">
        <v>70</v>
      </c>
      <c r="G1313" t="s">
        <v>4296</v>
      </c>
    </row>
    <row r="1314" spans="1:7">
      <c r="A1314" t="s">
        <v>2942</v>
      </c>
      <c r="B1314" t="s">
        <v>444</v>
      </c>
      <c r="C1314" t="s">
        <v>40</v>
      </c>
      <c r="D1314" s="10">
        <v>30935</v>
      </c>
      <c r="E1314" s="10">
        <v>45581</v>
      </c>
      <c r="F1314">
        <v>40</v>
      </c>
      <c r="G1314" t="s">
        <v>4296</v>
      </c>
    </row>
    <row r="1315" spans="1:7">
      <c r="A1315" t="s">
        <v>2945</v>
      </c>
      <c r="B1315" t="s">
        <v>658</v>
      </c>
      <c r="C1315" t="s">
        <v>133</v>
      </c>
      <c r="D1315" s="10">
        <v>22028</v>
      </c>
      <c r="E1315" s="10">
        <v>44979</v>
      </c>
      <c r="F1315">
        <v>62</v>
      </c>
      <c r="G1315" t="s">
        <v>4296</v>
      </c>
    </row>
    <row r="1316" spans="1:7">
      <c r="A1316" t="s">
        <v>2948</v>
      </c>
      <c r="B1316" t="s">
        <v>1460</v>
      </c>
      <c r="C1316" t="s">
        <v>133</v>
      </c>
      <c r="D1316" s="10">
        <v>22341</v>
      </c>
      <c r="E1316" s="10">
        <v>45295</v>
      </c>
      <c r="F1316">
        <v>62</v>
      </c>
      <c r="G1316" t="s">
        <v>4296</v>
      </c>
    </row>
    <row r="1317" spans="1:7">
      <c r="A1317" t="s">
        <v>2951</v>
      </c>
      <c r="B1317" t="s">
        <v>563</v>
      </c>
      <c r="C1317" t="s">
        <v>40</v>
      </c>
      <c r="D1317" s="10">
        <v>19834</v>
      </c>
      <c r="E1317" s="10">
        <v>45531</v>
      </c>
      <c r="F1317">
        <v>70</v>
      </c>
      <c r="G1317" t="s">
        <v>4296</v>
      </c>
    </row>
    <row r="1318" spans="1:7">
      <c r="A1318" t="s">
        <v>2952</v>
      </c>
      <c r="B1318" t="s">
        <v>132</v>
      </c>
      <c r="C1318" t="s">
        <v>133</v>
      </c>
      <c r="D1318" s="10">
        <v>21902</v>
      </c>
      <c r="E1318" s="10">
        <v>45656</v>
      </c>
      <c r="F1318">
        <v>65</v>
      </c>
      <c r="G1318" t="s">
        <v>4296</v>
      </c>
    </row>
    <row r="1319" spans="1:7">
      <c r="A1319" t="s">
        <v>2954</v>
      </c>
      <c r="B1319" t="s">
        <v>324</v>
      </c>
      <c r="C1319" t="s">
        <v>133</v>
      </c>
      <c r="D1319" s="10">
        <v>39553</v>
      </c>
      <c r="E1319" s="10">
        <v>45926</v>
      </c>
      <c r="F1319">
        <v>17</v>
      </c>
      <c r="G1319" t="s">
        <v>4296</v>
      </c>
    </row>
    <row r="1320" spans="1:7">
      <c r="A1320" t="s">
        <v>2956</v>
      </c>
      <c r="B1320" t="s">
        <v>253</v>
      </c>
      <c r="C1320" t="s">
        <v>40</v>
      </c>
      <c r="D1320" s="10">
        <v>35901</v>
      </c>
      <c r="E1320" s="10">
        <v>45528</v>
      </c>
      <c r="F1320">
        <v>26</v>
      </c>
      <c r="G1320" t="s">
        <v>4296</v>
      </c>
    </row>
    <row r="1321" spans="1:7">
      <c r="A1321" t="s">
        <v>2957</v>
      </c>
      <c r="B1321" t="s">
        <v>458</v>
      </c>
      <c r="C1321" t="s">
        <v>133</v>
      </c>
      <c r="D1321" s="10">
        <v>18390</v>
      </c>
      <c r="E1321" s="10">
        <v>45432</v>
      </c>
      <c r="F1321">
        <v>74</v>
      </c>
      <c r="G1321" t="s">
        <v>4296</v>
      </c>
    </row>
    <row r="1322" spans="1:7">
      <c r="A1322" t="s">
        <v>2958</v>
      </c>
      <c r="B1322" t="s">
        <v>159</v>
      </c>
      <c r="C1322" t="s">
        <v>40</v>
      </c>
      <c r="D1322" s="10">
        <v>26039</v>
      </c>
      <c r="E1322" s="10">
        <v>45716</v>
      </c>
      <c r="F1322">
        <v>53</v>
      </c>
      <c r="G1322" t="s">
        <v>4296</v>
      </c>
    </row>
    <row r="1323" spans="1:7">
      <c r="A1323" t="s">
        <v>2960</v>
      </c>
      <c r="B1323" t="s">
        <v>1590</v>
      </c>
      <c r="C1323" t="s">
        <v>133</v>
      </c>
      <c r="D1323" s="10">
        <v>32797</v>
      </c>
      <c r="E1323" s="10">
        <v>45550</v>
      </c>
      <c r="F1323">
        <v>34</v>
      </c>
      <c r="G1323" t="s">
        <v>4296</v>
      </c>
    </row>
    <row r="1324" spans="1:7">
      <c r="A1324" t="s">
        <v>2962</v>
      </c>
      <c r="B1324" t="s">
        <v>1065</v>
      </c>
      <c r="C1324" t="s">
        <v>133</v>
      </c>
      <c r="D1324" s="10">
        <v>33719</v>
      </c>
      <c r="E1324" s="10">
        <v>45440</v>
      </c>
      <c r="F1324">
        <v>32</v>
      </c>
      <c r="G1324" t="s">
        <v>4296</v>
      </c>
    </row>
    <row r="1325" spans="1:7">
      <c r="A1325" t="s">
        <v>4186</v>
      </c>
      <c r="B1325" t="s">
        <v>545</v>
      </c>
      <c r="C1325" t="s">
        <v>40</v>
      </c>
      <c r="D1325" s="10">
        <v>34317</v>
      </c>
      <c r="E1325" s="10">
        <v>45133</v>
      </c>
      <c r="F1325">
        <v>29</v>
      </c>
      <c r="G1325" t="s">
        <v>4296</v>
      </c>
    </row>
    <row r="1326" spans="1:7">
      <c r="A1326" t="s">
        <v>2964</v>
      </c>
      <c r="B1326" t="s">
        <v>829</v>
      </c>
      <c r="C1326" t="s">
        <v>40</v>
      </c>
      <c r="D1326" s="10">
        <v>22153</v>
      </c>
      <c r="E1326" s="10">
        <v>46020</v>
      </c>
      <c r="F1326">
        <v>65</v>
      </c>
      <c r="G1326" t="s">
        <v>4296</v>
      </c>
    </row>
    <row r="1327" spans="1:7">
      <c r="A1327" t="s">
        <v>2968</v>
      </c>
      <c r="B1327" t="s">
        <v>756</v>
      </c>
      <c r="C1327" t="s">
        <v>40</v>
      </c>
      <c r="D1327" s="10">
        <v>30479</v>
      </c>
      <c r="E1327" s="10">
        <v>45753</v>
      </c>
      <c r="F1327">
        <v>41</v>
      </c>
      <c r="G1327" t="s">
        <v>4296</v>
      </c>
    </row>
    <row r="1328" spans="1:7">
      <c r="A1328" t="s">
        <v>2970</v>
      </c>
      <c r="B1328" t="s">
        <v>1460</v>
      </c>
      <c r="C1328" t="s">
        <v>133</v>
      </c>
      <c r="D1328" s="10">
        <v>28779</v>
      </c>
      <c r="E1328" s="10">
        <v>45252</v>
      </c>
      <c r="F1328">
        <v>45</v>
      </c>
      <c r="G1328" t="s">
        <v>4296</v>
      </c>
    </row>
    <row r="1329" spans="1:7">
      <c r="A1329" t="s">
        <v>2971</v>
      </c>
      <c r="B1329" t="s">
        <v>247</v>
      </c>
      <c r="C1329" t="s">
        <v>40</v>
      </c>
      <c r="D1329" s="10">
        <v>30190</v>
      </c>
      <c r="E1329" s="10">
        <v>45425</v>
      </c>
      <c r="F1329">
        <v>41</v>
      </c>
      <c r="G1329" t="s">
        <v>4296</v>
      </c>
    </row>
    <row r="1330" spans="1:7">
      <c r="A1330" t="s">
        <v>2973</v>
      </c>
      <c r="B1330" t="s">
        <v>898</v>
      </c>
      <c r="C1330" t="s">
        <v>133</v>
      </c>
      <c r="D1330" s="10">
        <v>36527</v>
      </c>
      <c r="E1330" s="10">
        <v>45528</v>
      </c>
      <c r="F1330">
        <v>24</v>
      </c>
      <c r="G1330" t="s">
        <v>4296</v>
      </c>
    </row>
    <row r="1331" spans="1:7">
      <c r="A1331" t="s">
        <v>2975</v>
      </c>
      <c r="B1331" t="s">
        <v>604</v>
      </c>
      <c r="C1331" t="s">
        <v>133</v>
      </c>
      <c r="D1331" s="10">
        <v>34461</v>
      </c>
      <c r="E1331" s="10">
        <v>45975</v>
      </c>
      <c r="F1331">
        <v>31</v>
      </c>
      <c r="G1331" t="s">
        <v>4296</v>
      </c>
    </row>
    <row r="1332" spans="1:7">
      <c r="A1332" t="s">
        <v>2977</v>
      </c>
      <c r="B1332" t="s">
        <v>752</v>
      </c>
      <c r="C1332" t="s">
        <v>133</v>
      </c>
      <c r="D1332" s="10">
        <v>27258</v>
      </c>
      <c r="E1332" s="10">
        <v>45249</v>
      </c>
      <c r="F1332">
        <v>49</v>
      </c>
      <c r="G1332" t="s">
        <v>4296</v>
      </c>
    </row>
    <row r="1333" spans="1:7">
      <c r="A1333" t="s">
        <v>2978</v>
      </c>
      <c r="B1333" t="s">
        <v>444</v>
      </c>
      <c r="C1333" t="s">
        <v>40</v>
      </c>
      <c r="D1333" s="10">
        <v>28317</v>
      </c>
      <c r="E1333" s="10">
        <v>45513</v>
      </c>
      <c r="F1333">
        <v>47</v>
      </c>
      <c r="G1333" t="s">
        <v>4296</v>
      </c>
    </row>
    <row r="1334" spans="1:7">
      <c r="A1334" t="s">
        <v>2980</v>
      </c>
      <c r="B1334" t="s">
        <v>587</v>
      </c>
      <c r="C1334" t="s">
        <v>40</v>
      </c>
      <c r="D1334" s="10">
        <v>28586</v>
      </c>
      <c r="E1334" s="10">
        <v>45164</v>
      </c>
      <c r="F1334">
        <v>45</v>
      </c>
      <c r="G1334" t="s">
        <v>4296</v>
      </c>
    </row>
    <row r="1335" spans="1:7">
      <c r="A1335" t="s">
        <v>2982</v>
      </c>
      <c r="B1335" t="s">
        <v>806</v>
      </c>
      <c r="C1335" t="s">
        <v>133</v>
      </c>
      <c r="D1335" s="10">
        <v>36468</v>
      </c>
      <c r="E1335" s="10">
        <v>45815</v>
      </c>
      <c r="F1335">
        <v>25</v>
      </c>
      <c r="G1335" t="s">
        <v>4296</v>
      </c>
    </row>
    <row r="1336" spans="1:7">
      <c r="A1336" t="s">
        <v>2985</v>
      </c>
      <c r="B1336" t="s">
        <v>2393</v>
      </c>
      <c r="C1336" t="s">
        <v>133</v>
      </c>
      <c r="D1336" s="10">
        <v>24391</v>
      </c>
      <c r="E1336" s="10">
        <v>45373</v>
      </c>
      <c r="F1336">
        <v>57</v>
      </c>
      <c r="G1336" t="s">
        <v>4296</v>
      </c>
    </row>
    <row r="1337" spans="1:7">
      <c r="A1337" t="s">
        <v>2988</v>
      </c>
      <c r="B1337" t="s">
        <v>768</v>
      </c>
      <c r="C1337" t="s">
        <v>40</v>
      </c>
      <c r="D1337" s="10">
        <v>29330</v>
      </c>
      <c r="E1337" s="10">
        <v>45482</v>
      </c>
      <c r="F1337">
        <v>44</v>
      </c>
      <c r="G1337" t="s">
        <v>4237</v>
      </c>
    </row>
    <row r="1338" spans="1:7">
      <c r="A1338" t="s">
        <v>2991</v>
      </c>
      <c r="B1338" t="s">
        <v>1464</v>
      </c>
      <c r="C1338" t="s">
        <v>40</v>
      </c>
      <c r="D1338" s="10">
        <v>36963</v>
      </c>
      <c r="E1338" s="10">
        <v>45982</v>
      </c>
      <c r="F1338">
        <v>24</v>
      </c>
      <c r="G1338" t="s">
        <v>4296</v>
      </c>
    </row>
    <row r="1339" spans="1:7">
      <c r="A1339" t="s">
        <v>2994</v>
      </c>
      <c r="B1339" t="s">
        <v>1364</v>
      </c>
      <c r="C1339" t="s">
        <v>133</v>
      </c>
      <c r="D1339" s="10">
        <v>40520</v>
      </c>
      <c r="E1339" s="10">
        <v>45625</v>
      </c>
      <c r="F1339">
        <v>13</v>
      </c>
      <c r="G1339" t="s">
        <v>4296</v>
      </c>
    </row>
    <row r="1340" spans="1:7">
      <c r="A1340" t="s">
        <v>2996</v>
      </c>
      <c r="B1340" t="s">
        <v>385</v>
      </c>
      <c r="C1340" t="s">
        <v>40</v>
      </c>
      <c r="D1340" s="10">
        <v>29330</v>
      </c>
      <c r="E1340" s="10">
        <v>45637</v>
      </c>
      <c r="F1340">
        <v>44</v>
      </c>
      <c r="G1340" t="s">
        <v>4237</v>
      </c>
    </row>
    <row r="1341" spans="1:7">
      <c r="A1341" t="s">
        <v>2999</v>
      </c>
      <c r="B1341" t="s">
        <v>697</v>
      </c>
      <c r="C1341" t="s">
        <v>40</v>
      </c>
      <c r="D1341" s="10">
        <v>35989</v>
      </c>
      <c r="E1341" s="10">
        <v>45652</v>
      </c>
      <c r="F1341">
        <v>26</v>
      </c>
      <c r="G1341" t="s">
        <v>4296</v>
      </c>
    </row>
    <row r="1342" spans="1:7">
      <c r="A1342" t="s">
        <v>3001</v>
      </c>
      <c r="B1342" t="s">
        <v>241</v>
      </c>
      <c r="C1342" t="s">
        <v>133</v>
      </c>
      <c r="D1342" s="10">
        <v>38078</v>
      </c>
      <c r="E1342" s="10">
        <v>45893</v>
      </c>
      <c r="F1342">
        <v>21</v>
      </c>
      <c r="G1342" t="s">
        <v>4296</v>
      </c>
    </row>
    <row r="1343" spans="1:7">
      <c r="A1343" t="s">
        <v>3004</v>
      </c>
      <c r="B1343" t="s">
        <v>390</v>
      </c>
      <c r="C1343" t="s">
        <v>40</v>
      </c>
      <c r="D1343" s="10">
        <v>26805</v>
      </c>
      <c r="E1343" s="10">
        <v>45498</v>
      </c>
      <c r="F1343">
        <v>51</v>
      </c>
      <c r="G1343" t="s">
        <v>4296</v>
      </c>
    </row>
    <row r="1344" spans="1:7">
      <c r="A1344" t="s">
        <v>3006</v>
      </c>
      <c r="B1344" t="s">
        <v>850</v>
      </c>
      <c r="C1344" t="s">
        <v>133</v>
      </c>
      <c r="D1344" s="10">
        <v>29380</v>
      </c>
      <c r="E1344" s="10">
        <v>45388</v>
      </c>
      <c r="F1344">
        <v>43</v>
      </c>
      <c r="G1344" t="s">
        <v>4296</v>
      </c>
    </row>
    <row r="1345" spans="1:7">
      <c r="A1345" t="s">
        <v>3007</v>
      </c>
      <c r="B1345" t="s">
        <v>116</v>
      </c>
      <c r="C1345" t="s">
        <v>133</v>
      </c>
      <c r="D1345" s="10">
        <v>28970</v>
      </c>
      <c r="E1345" s="10">
        <v>45674</v>
      </c>
      <c r="F1345">
        <v>45</v>
      </c>
      <c r="G1345" t="s">
        <v>4296</v>
      </c>
    </row>
    <row r="1346" spans="1:7">
      <c r="A1346" t="s">
        <v>3009</v>
      </c>
      <c r="B1346" t="s">
        <v>241</v>
      </c>
      <c r="C1346" t="s">
        <v>133</v>
      </c>
      <c r="D1346" s="10">
        <v>34733</v>
      </c>
      <c r="E1346" s="10">
        <v>45052</v>
      </c>
      <c r="F1346">
        <v>28</v>
      </c>
      <c r="G1346" t="s">
        <v>4296</v>
      </c>
    </row>
    <row r="1347" spans="1:7">
      <c r="A1347" t="s">
        <v>3012</v>
      </c>
      <c r="B1347" t="s">
        <v>2075</v>
      </c>
      <c r="C1347" t="s">
        <v>40</v>
      </c>
      <c r="D1347" s="10">
        <v>38945</v>
      </c>
      <c r="E1347" s="10">
        <v>45850</v>
      </c>
      <c r="F1347">
        <v>18</v>
      </c>
      <c r="G1347" t="s">
        <v>4296</v>
      </c>
    </row>
    <row r="1348" spans="1:7">
      <c r="A1348" t="s">
        <v>3014</v>
      </c>
      <c r="B1348" t="s">
        <v>3015</v>
      </c>
      <c r="C1348" t="s">
        <v>133</v>
      </c>
      <c r="D1348" s="10">
        <v>22306</v>
      </c>
      <c r="E1348" s="10">
        <v>45511</v>
      </c>
      <c r="F1348">
        <v>63</v>
      </c>
      <c r="G1348" t="s">
        <v>4296</v>
      </c>
    </row>
    <row r="1349" spans="1:7">
      <c r="A1349" t="s">
        <v>3018</v>
      </c>
      <c r="B1349" t="s">
        <v>433</v>
      </c>
      <c r="C1349" t="s">
        <v>133</v>
      </c>
      <c r="D1349" s="10">
        <v>28109</v>
      </c>
      <c r="E1349" s="10">
        <v>45853</v>
      </c>
      <c r="F1349">
        <v>48</v>
      </c>
      <c r="G1349" t="s">
        <v>4296</v>
      </c>
    </row>
    <row r="1350" spans="1:7">
      <c r="A1350" t="s">
        <v>3019</v>
      </c>
      <c r="B1350" t="s">
        <v>1167</v>
      </c>
      <c r="C1350" t="s">
        <v>133</v>
      </c>
      <c r="D1350" s="10">
        <v>24691</v>
      </c>
      <c r="E1350" s="10">
        <v>45939</v>
      </c>
      <c r="F1350">
        <v>58</v>
      </c>
      <c r="G1350" t="s">
        <v>4296</v>
      </c>
    </row>
    <row r="1351" spans="1:7">
      <c r="A1351" t="s">
        <v>3021</v>
      </c>
      <c r="B1351" t="s">
        <v>427</v>
      </c>
      <c r="C1351" t="s">
        <v>133</v>
      </c>
      <c r="D1351" s="10">
        <v>20798</v>
      </c>
      <c r="E1351" s="10">
        <v>45291</v>
      </c>
      <c r="F1351">
        <v>67</v>
      </c>
      <c r="G1351" t="s">
        <v>4296</v>
      </c>
    </row>
    <row r="1352" spans="1:7">
      <c r="A1352" t="s">
        <v>3022</v>
      </c>
      <c r="B1352" t="s">
        <v>1563</v>
      </c>
      <c r="C1352" t="s">
        <v>40</v>
      </c>
      <c r="D1352" s="10">
        <v>39150</v>
      </c>
      <c r="E1352" s="10">
        <v>45247</v>
      </c>
      <c r="F1352">
        <v>16</v>
      </c>
      <c r="G1352" t="s">
        <v>4296</v>
      </c>
    </row>
    <row r="1353" spans="1:7">
      <c r="A1353" t="s">
        <v>3025</v>
      </c>
      <c r="B1353" t="s">
        <v>295</v>
      </c>
      <c r="C1353" t="s">
        <v>40</v>
      </c>
      <c r="D1353" s="10">
        <v>25672</v>
      </c>
      <c r="E1353" s="10">
        <v>45875</v>
      </c>
      <c r="F1353">
        <v>55</v>
      </c>
      <c r="G1353" t="s">
        <v>4296</v>
      </c>
    </row>
    <row r="1354" spans="1:7">
      <c r="A1354" t="s">
        <v>4187</v>
      </c>
      <c r="B1354" t="s">
        <v>895</v>
      </c>
      <c r="C1354" t="s">
        <v>133</v>
      </c>
      <c r="D1354" s="10">
        <v>18812</v>
      </c>
      <c r="E1354" s="10">
        <v>44999</v>
      </c>
      <c r="F1354">
        <v>71</v>
      </c>
      <c r="G1354" t="s">
        <v>4296</v>
      </c>
    </row>
    <row r="1355" spans="1:7">
      <c r="A1355" t="s">
        <v>3027</v>
      </c>
      <c r="B1355" t="s">
        <v>684</v>
      </c>
      <c r="C1355" t="s">
        <v>133</v>
      </c>
      <c r="D1355" s="10">
        <v>38879</v>
      </c>
      <c r="E1355" s="10">
        <v>46016</v>
      </c>
      <c r="F1355">
        <v>19</v>
      </c>
      <c r="G1355" t="s">
        <v>4296</v>
      </c>
    </row>
    <row r="1356" spans="1:7">
      <c r="A1356" t="s">
        <v>3030</v>
      </c>
      <c r="B1356" t="s">
        <v>1065</v>
      </c>
      <c r="C1356" t="s">
        <v>133</v>
      </c>
      <c r="D1356" s="10">
        <v>32863</v>
      </c>
      <c r="E1356" s="10">
        <v>45346</v>
      </c>
      <c r="F1356">
        <v>34</v>
      </c>
      <c r="G1356" t="s">
        <v>4296</v>
      </c>
    </row>
    <row r="1357" spans="1:7">
      <c r="A1357" t="s">
        <v>4188</v>
      </c>
      <c r="B1357" t="s">
        <v>796</v>
      </c>
      <c r="C1357" t="s">
        <v>133</v>
      </c>
      <c r="D1357" s="10">
        <v>26606</v>
      </c>
      <c r="E1357" s="10">
        <v>45723</v>
      </c>
      <c r="F1357">
        <v>52</v>
      </c>
      <c r="G1357" t="s">
        <v>4296</v>
      </c>
    </row>
    <row r="1358" spans="1:7">
      <c r="A1358" t="s">
        <v>3032</v>
      </c>
      <c r="B1358" t="s">
        <v>611</v>
      </c>
      <c r="C1358" t="s">
        <v>40</v>
      </c>
      <c r="D1358" s="10">
        <v>34345</v>
      </c>
      <c r="E1358" s="10">
        <v>45665</v>
      </c>
      <c r="F1358">
        <v>30</v>
      </c>
      <c r="G1358" t="s">
        <v>4296</v>
      </c>
    </row>
    <row r="1359" spans="1:7">
      <c r="A1359" t="s">
        <v>3033</v>
      </c>
      <c r="B1359" t="s">
        <v>438</v>
      </c>
      <c r="C1359" t="s">
        <v>133</v>
      </c>
      <c r="D1359" s="10">
        <v>30231</v>
      </c>
      <c r="E1359" s="10">
        <v>45891</v>
      </c>
      <c r="F1359">
        <v>42</v>
      </c>
      <c r="G1359" t="s">
        <v>4296</v>
      </c>
    </row>
    <row r="1360" spans="1:7">
      <c r="A1360" t="s">
        <v>3035</v>
      </c>
      <c r="B1360" t="s">
        <v>3036</v>
      </c>
      <c r="C1360" t="s">
        <v>133</v>
      </c>
      <c r="D1360" s="10">
        <v>32207</v>
      </c>
      <c r="E1360" s="10">
        <v>45377</v>
      </c>
      <c r="F1360">
        <v>36</v>
      </c>
      <c r="G1360" t="s">
        <v>4296</v>
      </c>
    </row>
    <row r="1361" spans="1:7">
      <c r="A1361" t="s">
        <v>3037</v>
      </c>
      <c r="B1361" t="s">
        <v>171</v>
      </c>
      <c r="C1361" t="s">
        <v>40</v>
      </c>
      <c r="D1361" s="10">
        <v>35167</v>
      </c>
      <c r="E1361" s="10">
        <v>45482</v>
      </c>
      <c r="F1361">
        <v>28</v>
      </c>
      <c r="G1361" t="s">
        <v>4237</v>
      </c>
    </row>
    <row r="1362" spans="1:7">
      <c r="A1362" t="s">
        <v>3039</v>
      </c>
      <c r="B1362" t="s">
        <v>689</v>
      </c>
      <c r="C1362" t="s">
        <v>133</v>
      </c>
      <c r="D1362" s="10">
        <v>37432</v>
      </c>
      <c r="E1362" s="10">
        <v>44979</v>
      </c>
      <c r="F1362">
        <v>20</v>
      </c>
      <c r="G1362" t="s">
        <v>4296</v>
      </c>
    </row>
    <row r="1363" spans="1:7">
      <c r="A1363" t="s">
        <v>3040</v>
      </c>
      <c r="B1363" t="s">
        <v>864</v>
      </c>
      <c r="C1363" t="s">
        <v>40</v>
      </c>
      <c r="D1363" s="10">
        <v>23840</v>
      </c>
      <c r="E1363" s="10">
        <v>45542</v>
      </c>
      <c r="F1363">
        <v>59</v>
      </c>
      <c r="G1363" t="s">
        <v>4296</v>
      </c>
    </row>
    <row r="1364" spans="1:7">
      <c r="A1364" t="s">
        <v>3042</v>
      </c>
      <c r="B1364" t="s">
        <v>1001</v>
      </c>
      <c r="C1364" t="s">
        <v>40</v>
      </c>
      <c r="D1364" s="10">
        <v>21966</v>
      </c>
      <c r="E1364" s="10">
        <v>45520</v>
      </c>
      <c r="F1364">
        <v>64</v>
      </c>
      <c r="G1364" t="s">
        <v>4296</v>
      </c>
    </row>
    <row r="1365" spans="1:7">
      <c r="A1365" t="s">
        <v>3043</v>
      </c>
      <c r="B1365" t="s">
        <v>545</v>
      </c>
      <c r="C1365" t="s">
        <v>133</v>
      </c>
      <c r="D1365" s="10">
        <v>29928</v>
      </c>
      <c r="E1365" s="10">
        <v>45723</v>
      </c>
      <c r="F1365">
        <v>43</v>
      </c>
      <c r="G1365" t="s">
        <v>4296</v>
      </c>
    </row>
    <row r="1366" spans="1:7">
      <c r="A1366" t="s">
        <v>3045</v>
      </c>
      <c r="B1366" t="s">
        <v>1509</v>
      </c>
      <c r="C1366" t="s">
        <v>40</v>
      </c>
      <c r="D1366" s="10">
        <v>25638</v>
      </c>
      <c r="E1366" s="10">
        <v>45907</v>
      </c>
      <c r="F1366">
        <v>55</v>
      </c>
      <c r="G1366" t="s">
        <v>4296</v>
      </c>
    </row>
    <row r="1367" spans="1:7">
      <c r="A1367" t="s">
        <v>3048</v>
      </c>
      <c r="B1367" t="s">
        <v>472</v>
      </c>
      <c r="C1367" t="s">
        <v>40</v>
      </c>
      <c r="D1367" s="10">
        <v>21525</v>
      </c>
      <c r="E1367" s="10">
        <v>45009</v>
      </c>
      <c r="F1367">
        <v>64</v>
      </c>
      <c r="G1367" t="s">
        <v>4296</v>
      </c>
    </row>
    <row r="1368" spans="1:7">
      <c r="A1368" t="s">
        <v>3051</v>
      </c>
      <c r="B1368" t="s">
        <v>624</v>
      </c>
      <c r="C1368" t="s">
        <v>40</v>
      </c>
      <c r="D1368" s="10">
        <v>23411</v>
      </c>
      <c r="E1368" s="10">
        <v>45759</v>
      </c>
      <c r="F1368">
        <v>61</v>
      </c>
      <c r="G1368" t="s">
        <v>4296</v>
      </c>
    </row>
    <row r="1369" spans="1:7">
      <c r="A1369" t="s">
        <v>3055</v>
      </c>
      <c r="B1369" t="s">
        <v>280</v>
      </c>
      <c r="C1369" t="s">
        <v>40</v>
      </c>
      <c r="D1369" s="10">
        <v>38176</v>
      </c>
      <c r="E1369" s="10">
        <v>45024</v>
      </c>
      <c r="F1369">
        <v>18</v>
      </c>
      <c r="G1369" t="s">
        <v>4296</v>
      </c>
    </row>
    <row r="1370" spans="1:7">
      <c r="A1370" t="s">
        <v>3057</v>
      </c>
      <c r="B1370" t="s">
        <v>3110</v>
      </c>
      <c r="C1370" t="s">
        <v>40</v>
      </c>
      <c r="D1370" s="10">
        <v>18860</v>
      </c>
      <c r="E1370" s="10">
        <v>45400</v>
      </c>
      <c r="F1370">
        <v>72</v>
      </c>
      <c r="G1370" t="s">
        <v>4296</v>
      </c>
    </row>
    <row r="1371" spans="1:7">
      <c r="A1371" t="s">
        <v>3061</v>
      </c>
      <c r="B1371" t="s">
        <v>173</v>
      </c>
      <c r="C1371" t="s">
        <v>40</v>
      </c>
      <c r="D1371" s="10">
        <v>31101</v>
      </c>
      <c r="E1371" s="10">
        <v>45869</v>
      </c>
      <c r="F1371">
        <v>40</v>
      </c>
      <c r="G1371" t="s">
        <v>4296</v>
      </c>
    </row>
    <row r="1372" spans="1:7">
      <c r="A1372" t="s">
        <v>3063</v>
      </c>
      <c r="B1372" t="s">
        <v>607</v>
      </c>
      <c r="C1372" t="s">
        <v>40</v>
      </c>
      <c r="D1372" s="10">
        <v>38000</v>
      </c>
      <c r="E1372" s="10">
        <v>45777</v>
      </c>
      <c r="F1372">
        <v>21</v>
      </c>
      <c r="G1372" t="s">
        <v>4296</v>
      </c>
    </row>
    <row r="1373" spans="1:7">
      <c r="A1373" t="s">
        <v>3064</v>
      </c>
      <c r="B1373" t="s">
        <v>511</v>
      </c>
      <c r="C1373" t="s">
        <v>40</v>
      </c>
      <c r="D1373" s="10">
        <v>18467</v>
      </c>
      <c r="E1373" s="10">
        <v>45320</v>
      </c>
      <c r="F1373">
        <v>73</v>
      </c>
      <c r="G1373" t="s">
        <v>4296</v>
      </c>
    </row>
    <row r="1374" spans="1:7">
      <c r="A1374" t="s">
        <v>3066</v>
      </c>
      <c r="B1374" t="s">
        <v>684</v>
      </c>
      <c r="C1374" t="s">
        <v>40</v>
      </c>
      <c r="D1374" s="10">
        <v>36640</v>
      </c>
      <c r="E1374" s="10">
        <v>45596</v>
      </c>
      <c r="F1374">
        <v>24</v>
      </c>
      <c r="G1374" t="s">
        <v>4296</v>
      </c>
    </row>
    <row r="1375" spans="1:7">
      <c r="A1375" t="s">
        <v>3067</v>
      </c>
      <c r="B1375" t="s">
        <v>2249</v>
      </c>
      <c r="C1375" t="s">
        <v>40</v>
      </c>
      <c r="D1375" s="10">
        <v>18697</v>
      </c>
      <c r="E1375" s="10">
        <v>45160</v>
      </c>
      <c r="F1375">
        <v>72</v>
      </c>
      <c r="G1375" t="s">
        <v>4296</v>
      </c>
    </row>
    <row r="1376" spans="1:7">
      <c r="A1376" t="s">
        <v>3069</v>
      </c>
      <c r="B1376" t="s">
        <v>992</v>
      </c>
      <c r="C1376" t="s">
        <v>40</v>
      </c>
      <c r="D1376" s="10">
        <v>18995</v>
      </c>
      <c r="E1376" s="10">
        <v>45565</v>
      </c>
      <c r="F1376">
        <v>72</v>
      </c>
      <c r="G1376" t="s">
        <v>4296</v>
      </c>
    </row>
    <row r="1377" spans="1:7">
      <c r="A1377" t="s">
        <v>3071</v>
      </c>
      <c r="B1377" t="s">
        <v>922</v>
      </c>
      <c r="C1377" t="s">
        <v>40</v>
      </c>
      <c r="D1377" s="10">
        <v>23202</v>
      </c>
      <c r="E1377" s="10">
        <v>45924</v>
      </c>
      <c r="F1377">
        <v>62</v>
      </c>
      <c r="G1377" t="s">
        <v>4296</v>
      </c>
    </row>
    <row r="1378" spans="1:7">
      <c r="A1378" t="s">
        <v>3073</v>
      </c>
      <c r="B1378" t="s">
        <v>104</v>
      </c>
      <c r="C1378" t="s">
        <v>40</v>
      </c>
      <c r="D1378" s="10">
        <v>23307</v>
      </c>
      <c r="E1378" s="10">
        <v>44964</v>
      </c>
      <c r="F1378">
        <v>59</v>
      </c>
      <c r="G1378" t="s">
        <v>4296</v>
      </c>
    </row>
    <row r="1379" spans="1:7">
      <c r="A1379" t="s">
        <v>3075</v>
      </c>
      <c r="B1379" t="s">
        <v>485</v>
      </c>
      <c r="C1379" t="s">
        <v>133</v>
      </c>
      <c r="D1379" s="10">
        <v>23699</v>
      </c>
      <c r="E1379" s="10">
        <v>45529</v>
      </c>
      <c r="F1379">
        <v>59</v>
      </c>
      <c r="G1379" t="s">
        <v>4296</v>
      </c>
    </row>
    <row r="1380" spans="1:7">
      <c r="A1380" t="s">
        <v>3076</v>
      </c>
      <c r="B1380" t="s">
        <v>684</v>
      </c>
      <c r="C1380" t="s">
        <v>40</v>
      </c>
      <c r="D1380" s="10">
        <v>36881</v>
      </c>
      <c r="E1380" s="10">
        <v>45559</v>
      </c>
      <c r="F1380">
        <v>23</v>
      </c>
      <c r="G1380" t="s">
        <v>4296</v>
      </c>
    </row>
    <row r="1381" spans="1:7">
      <c r="A1381" t="s">
        <v>3078</v>
      </c>
      <c r="B1381" t="s">
        <v>524</v>
      </c>
      <c r="C1381" t="s">
        <v>133</v>
      </c>
      <c r="D1381" s="10">
        <v>25961</v>
      </c>
      <c r="E1381" s="10">
        <v>45469</v>
      </c>
      <c r="F1381">
        <v>53</v>
      </c>
      <c r="G1381" t="s">
        <v>4296</v>
      </c>
    </row>
    <row r="1382" spans="1:7">
      <c r="A1382" t="s">
        <v>3081</v>
      </c>
      <c r="B1382" t="s">
        <v>515</v>
      </c>
      <c r="C1382" t="s">
        <v>40</v>
      </c>
      <c r="D1382" s="10">
        <v>37807</v>
      </c>
      <c r="E1382" s="10">
        <v>44969</v>
      </c>
      <c r="F1382">
        <v>19</v>
      </c>
      <c r="G1382" t="s">
        <v>4296</v>
      </c>
    </row>
    <row r="1383" spans="1:7">
      <c r="A1383" t="s">
        <v>3082</v>
      </c>
      <c r="B1383" t="s">
        <v>1054</v>
      </c>
      <c r="C1383" t="s">
        <v>133</v>
      </c>
      <c r="D1383" s="10">
        <v>25730</v>
      </c>
      <c r="E1383" s="10">
        <v>45716</v>
      </c>
      <c r="F1383">
        <v>54</v>
      </c>
      <c r="G1383" t="s">
        <v>4296</v>
      </c>
    </row>
    <row r="1384" spans="1:7">
      <c r="A1384" t="s">
        <v>3084</v>
      </c>
      <c r="B1384" t="s">
        <v>390</v>
      </c>
      <c r="C1384" t="s">
        <v>133</v>
      </c>
      <c r="D1384" s="10">
        <v>33398</v>
      </c>
      <c r="E1384" s="10">
        <v>44954</v>
      </c>
      <c r="F1384">
        <v>31</v>
      </c>
      <c r="G1384" t="s">
        <v>4296</v>
      </c>
    </row>
    <row r="1385" spans="1:7">
      <c r="A1385" t="s">
        <v>3086</v>
      </c>
      <c r="B1385" t="s">
        <v>1935</v>
      </c>
      <c r="C1385" t="s">
        <v>133</v>
      </c>
      <c r="D1385" s="10">
        <v>36797</v>
      </c>
      <c r="E1385" s="10">
        <v>45180</v>
      </c>
      <c r="F1385">
        <v>22</v>
      </c>
      <c r="G1385" t="s">
        <v>4296</v>
      </c>
    </row>
    <row r="1386" spans="1:7">
      <c r="A1386" t="s">
        <v>3087</v>
      </c>
      <c r="B1386" t="s">
        <v>604</v>
      </c>
      <c r="C1386" t="s">
        <v>133</v>
      </c>
      <c r="D1386" s="10">
        <v>39763</v>
      </c>
      <c r="E1386" s="10">
        <v>45397</v>
      </c>
      <c r="F1386">
        <v>15</v>
      </c>
      <c r="G1386" t="s">
        <v>4296</v>
      </c>
    </row>
    <row r="1387" spans="1:7">
      <c r="A1387" t="s">
        <v>3089</v>
      </c>
      <c r="B1387" t="s">
        <v>324</v>
      </c>
      <c r="C1387" t="s">
        <v>133</v>
      </c>
      <c r="D1387" s="10">
        <v>20649</v>
      </c>
      <c r="E1387" s="10">
        <v>45499</v>
      </c>
      <c r="F1387">
        <v>68</v>
      </c>
      <c r="G1387" t="s">
        <v>4296</v>
      </c>
    </row>
    <row r="1388" spans="1:7">
      <c r="A1388" t="s">
        <v>3091</v>
      </c>
      <c r="B1388" t="s">
        <v>744</v>
      </c>
      <c r="C1388" t="s">
        <v>40</v>
      </c>
      <c r="D1388" s="10">
        <v>31809</v>
      </c>
      <c r="E1388" s="10">
        <v>45700</v>
      </c>
      <c r="F1388">
        <v>38</v>
      </c>
      <c r="G1388" t="s">
        <v>4296</v>
      </c>
    </row>
    <row r="1389" spans="1:7">
      <c r="A1389" t="s">
        <v>3093</v>
      </c>
      <c r="B1389" t="s">
        <v>762</v>
      </c>
      <c r="C1389" t="s">
        <v>133</v>
      </c>
      <c r="D1389" s="10">
        <v>33295</v>
      </c>
      <c r="E1389" s="10">
        <v>45428</v>
      </c>
      <c r="F1389">
        <v>33</v>
      </c>
      <c r="G1389" t="s">
        <v>4296</v>
      </c>
    </row>
    <row r="1390" spans="1:7">
      <c r="A1390" t="s">
        <v>3094</v>
      </c>
      <c r="B1390" t="s">
        <v>857</v>
      </c>
      <c r="C1390" t="s">
        <v>40</v>
      </c>
      <c r="D1390" s="10">
        <v>19609</v>
      </c>
      <c r="E1390" s="10">
        <v>45784</v>
      </c>
      <c r="F1390">
        <v>71</v>
      </c>
      <c r="G1390" t="s">
        <v>4296</v>
      </c>
    </row>
    <row r="1391" spans="1:7">
      <c r="A1391" t="s">
        <v>3095</v>
      </c>
      <c r="B1391" t="s">
        <v>274</v>
      </c>
      <c r="C1391" t="s">
        <v>133</v>
      </c>
      <c r="D1391" s="10">
        <v>36541</v>
      </c>
      <c r="E1391" s="10">
        <v>44941</v>
      </c>
      <c r="F1391">
        <v>22</v>
      </c>
      <c r="G1391" t="s">
        <v>4296</v>
      </c>
    </row>
    <row r="1392" spans="1:7">
      <c r="A1392" t="s">
        <v>3096</v>
      </c>
      <c r="B1392" t="s">
        <v>1017</v>
      </c>
      <c r="C1392" t="s">
        <v>40</v>
      </c>
      <c r="D1392" s="10">
        <v>24111</v>
      </c>
      <c r="E1392" s="10">
        <v>45534</v>
      </c>
      <c r="F1392">
        <v>58</v>
      </c>
      <c r="G1392" t="s">
        <v>4296</v>
      </c>
    </row>
    <row r="1393" spans="1:7">
      <c r="A1393" t="s">
        <v>3099</v>
      </c>
      <c r="B1393" t="s">
        <v>867</v>
      </c>
      <c r="C1393" t="s">
        <v>133</v>
      </c>
      <c r="D1393" s="10">
        <v>23981</v>
      </c>
      <c r="E1393" s="10">
        <v>45644</v>
      </c>
      <c r="F1393">
        <v>59</v>
      </c>
      <c r="G1393" t="s">
        <v>4296</v>
      </c>
    </row>
    <row r="1394" spans="1:7">
      <c r="A1394" t="s">
        <v>3100</v>
      </c>
      <c r="B1394" t="s">
        <v>392</v>
      </c>
      <c r="C1394" t="s">
        <v>133</v>
      </c>
      <c r="D1394" s="10">
        <v>18390</v>
      </c>
      <c r="E1394" s="10">
        <v>45356</v>
      </c>
      <c r="F1394">
        <v>73</v>
      </c>
      <c r="G1394" t="s">
        <v>4296</v>
      </c>
    </row>
    <row r="1395" spans="1:7">
      <c r="A1395" t="s">
        <v>3101</v>
      </c>
      <c r="B1395" t="s">
        <v>249</v>
      </c>
      <c r="C1395" t="s">
        <v>133</v>
      </c>
      <c r="D1395" s="10">
        <v>21379</v>
      </c>
      <c r="E1395" s="10">
        <v>45391</v>
      </c>
      <c r="F1395">
        <v>65</v>
      </c>
      <c r="G1395" t="s">
        <v>4296</v>
      </c>
    </row>
    <row r="1396" spans="1:7">
      <c r="A1396" t="s">
        <v>3102</v>
      </c>
      <c r="B1396" t="s">
        <v>875</v>
      </c>
      <c r="C1396" t="s">
        <v>40</v>
      </c>
      <c r="D1396" s="10">
        <v>27998</v>
      </c>
      <c r="E1396" s="10">
        <v>45403</v>
      </c>
      <c r="F1396">
        <v>47</v>
      </c>
      <c r="G1396" t="s">
        <v>4296</v>
      </c>
    </row>
    <row r="1397" spans="1:7">
      <c r="A1397" t="s">
        <v>4189</v>
      </c>
      <c r="B1397" t="s">
        <v>1125</v>
      </c>
      <c r="C1397" t="s">
        <v>133</v>
      </c>
      <c r="D1397" s="10">
        <v>31843</v>
      </c>
      <c r="E1397" s="10">
        <v>45677</v>
      </c>
      <c r="F1397">
        <v>37</v>
      </c>
      <c r="G1397" t="s">
        <v>4296</v>
      </c>
    </row>
    <row r="1398" spans="1:7">
      <c r="A1398" t="s">
        <v>3106</v>
      </c>
      <c r="B1398" t="s">
        <v>613</v>
      </c>
      <c r="C1398" t="s">
        <v>133</v>
      </c>
      <c r="D1398" s="10">
        <v>38446</v>
      </c>
      <c r="E1398" s="10">
        <v>45756</v>
      </c>
      <c r="F1398">
        <v>20</v>
      </c>
      <c r="G1398" t="s">
        <v>4296</v>
      </c>
    </row>
    <row r="1399" spans="1:7">
      <c r="A1399" t="s">
        <v>3109</v>
      </c>
      <c r="B1399" t="s">
        <v>3110</v>
      </c>
      <c r="C1399" t="s">
        <v>133</v>
      </c>
      <c r="D1399" s="10">
        <v>27678</v>
      </c>
      <c r="E1399" s="10">
        <v>45482</v>
      </c>
      <c r="F1399">
        <v>48</v>
      </c>
      <c r="G1399" t="s">
        <v>4237</v>
      </c>
    </row>
    <row r="1400" spans="1:7">
      <c r="A1400" t="s">
        <v>3113</v>
      </c>
      <c r="B1400" t="s">
        <v>1050</v>
      </c>
      <c r="C1400" t="s">
        <v>40</v>
      </c>
      <c r="D1400" s="10">
        <v>28915</v>
      </c>
      <c r="E1400" s="10">
        <v>45427</v>
      </c>
      <c r="F1400">
        <v>45</v>
      </c>
      <c r="G1400" t="s">
        <v>4296</v>
      </c>
    </row>
    <row r="1401" spans="1:7">
      <c r="A1401" t="s">
        <v>3115</v>
      </c>
      <c r="B1401" t="s">
        <v>744</v>
      </c>
      <c r="C1401" t="s">
        <v>40</v>
      </c>
      <c r="D1401" s="10">
        <v>24330</v>
      </c>
      <c r="E1401" s="10">
        <v>45524</v>
      </c>
      <c r="F1401">
        <v>58</v>
      </c>
      <c r="G1401" t="s">
        <v>4296</v>
      </c>
    </row>
    <row r="1402" spans="1:7">
      <c r="A1402" t="s">
        <v>3118</v>
      </c>
      <c r="B1402" t="s">
        <v>444</v>
      </c>
      <c r="C1402" t="s">
        <v>40</v>
      </c>
      <c r="D1402" s="10">
        <v>21609</v>
      </c>
      <c r="E1402" s="10">
        <v>45971</v>
      </c>
      <c r="F1402">
        <v>66</v>
      </c>
      <c r="G1402" t="s">
        <v>4296</v>
      </c>
    </row>
    <row r="1403" spans="1:7">
      <c r="A1403" t="s">
        <v>3120</v>
      </c>
      <c r="B1403" t="s">
        <v>1598</v>
      </c>
      <c r="C1403" t="s">
        <v>40</v>
      </c>
      <c r="D1403" s="10">
        <v>36100</v>
      </c>
      <c r="E1403" s="10">
        <v>45943</v>
      </c>
      <c r="F1403">
        <v>26</v>
      </c>
      <c r="G1403" t="s">
        <v>4296</v>
      </c>
    </row>
    <row r="1404" spans="1:7">
      <c r="A1404" t="s">
        <v>3122</v>
      </c>
      <c r="B1404" t="s">
        <v>1097</v>
      </c>
      <c r="C1404" t="s">
        <v>40</v>
      </c>
      <c r="D1404" s="10">
        <v>29325</v>
      </c>
      <c r="E1404" s="10">
        <v>45905</v>
      </c>
      <c r="F1404">
        <v>45</v>
      </c>
      <c r="G1404" t="s">
        <v>4296</v>
      </c>
    </row>
    <row r="1405" spans="1:7">
      <c r="A1405" t="s">
        <v>3123</v>
      </c>
      <c r="B1405" t="s">
        <v>576</v>
      </c>
      <c r="C1405" t="s">
        <v>133</v>
      </c>
      <c r="D1405" s="10">
        <v>18803</v>
      </c>
      <c r="E1405" s="10">
        <v>45652</v>
      </c>
      <c r="F1405">
        <v>73</v>
      </c>
      <c r="G1405" t="s">
        <v>4296</v>
      </c>
    </row>
    <row r="1406" spans="1:7">
      <c r="A1406" t="s">
        <v>3124</v>
      </c>
      <c r="B1406" t="s">
        <v>274</v>
      </c>
      <c r="C1406" t="s">
        <v>40</v>
      </c>
      <c r="D1406" s="10">
        <v>30275</v>
      </c>
      <c r="E1406" s="10">
        <v>44980</v>
      </c>
      <c r="F1406">
        <v>40</v>
      </c>
      <c r="G1406" t="s">
        <v>4296</v>
      </c>
    </row>
    <row r="1407" spans="1:7">
      <c r="A1407" t="s">
        <v>3125</v>
      </c>
      <c r="B1407" t="s">
        <v>503</v>
      </c>
      <c r="C1407" t="s">
        <v>40</v>
      </c>
      <c r="D1407" s="10">
        <v>30492</v>
      </c>
      <c r="E1407" s="10">
        <v>45805</v>
      </c>
      <c r="F1407">
        <v>41</v>
      </c>
      <c r="G1407" t="s">
        <v>4296</v>
      </c>
    </row>
    <row r="1408" spans="1:7">
      <c r="A1408" t="s">
        <v>3126</v>
      </c>
      <c r="B1408" t="s">
        <v>234</v>
      </c>
      <c r="C1408" t="s">
        <v>40</v>
      </c>
      <c r="D1408" s="10">
        <v>39303</v>
      </c>
      <c r="E1408" s="10">
        <v>45156</v>
      </c>
      <c r="F1408">
        <v>16</v>
      </c>
      <c r="G1408" t="s">
        <v>4296</v>
      </c>
    </row>
    <row r="1409" spans="1:7">
      <c r="A1409" t="s">
        <v>3127</v>
      </c>
      <c r="B1409" t="s">
        <v>164</v>
      </c>
      <c r="C1409" t="s">
        <v>133</v>
      </c>
      <c r="D1409" s="10">
        <v>29691</v>
      </c>
      <c r="E1409" s="10">
        <v>45640</v>
      </c>
      <c r="F1409">
        <v>43</v>
      </c>
      <c r="G1409" t="s">
        <v>4296</v>
      </c>
    </row>
    <row r="1410" spans="1:7">
      <c r="A1410" t="s">
        <v>3129</v>
      </c>
      <c r="B1410" t="s">
        <v>116</v>
      </c>
      <c r="C1410" t="s">
        <v>40</v>
      </c>
      <c r="D1410" s="10">
        <v>37764</v>
      </c>
      <c r="E1410" s="10">
        <v>45139</v>
      </c>
      <c r="F1410">
        <v>20</v>
      </c>
      <c r="G1410" t="s">
        <v>4296</v>
      </c>
    </row>
    <row r="1411" spans="1:7">
      <c r="A1411" t="s">
        <v>3130</v>
      </c>
      <c r="B1411" t="s">
        <v>419</v>
      </c>
      <c r="C1411" t="s">
        <v>40</v>
      </c>
      <c r="D1411" s="10">
        <v>30422</v>
      </c>
      <c r="E1411" s="10">
        <v>45274</v>
      </c>
      <c r="F1411">
        <v>40</v>
      </c>
      <c r="G1411" t="s">
        <v>4296</v>
      </c>
    </row>
    <row r="1412" spans="1:7">
      <c r="A1412" t="s">
        <v>3132</v>
      </c>
      <c r="B1412" t="s">
        <v>2447</v>
      </c>
      <c r="C1412" t="s">
        <v>40</v>
      </c>
      <c r="D1412" s="10">
        <v>39077</v>
      </c>
      <c r="E1412" s="10">
        <v>45400</v>
      </c>
      <c r="F1412">
        <v>17</v>
      </c>
      <c r="G1412" t="s">
        <v>4296</v>
      </c>
    </row>
    <row r="1413" spans="1:7">
      <c r="A1413" t="s">
        <v>3133</v>
      </c>
      <c r="B1413" t="s">
        <v>2029</v>
      </c>
      <c r="C1413" t="s">
        <v>133</v>
      </c>
      <c r="D1413" s="10">
        <v>31385</v>
      </c>
      <c r="E1413" s="10">
        <v>45181</v>
      </c>
      <c r="F1413">
        <v>37</v>
      </c>
      <c r="G1413" t="s">
        <v>4296</v>
      </c>
    </row>
    <row r="1414" spans="1:7">
      <c r="A1414" t="s">
        <v>3134</v>
      </c>
      <c r="B1414" t="s">
        <v>806</v>
      </c>
      <c r="C1414" t="s">
        <v>40</v>
      </c>
      <c r="D1414" s="10">
        <v>38814</v>
      </c>
      <c r="E1414" s="10">
        <v>44995</v>
      </c>
      <c r="F1414">
        <v>16</v>
      </c>
      <c r="G1414" t="s">
        <v>4296</v>
      </c>
    </row>
    <row r="1415" spans="1:7">
      <c r="A1415" t="s">
        <v>3135</v>
      </c>
      <c r="B1415" t="s">
        <v>2447</v>
      </c>
      <c r="C1415" t="s">
        <v>133</v>
      </c>
      <c r="D1415" s="10">
        <v>23605</v>
      </c>
      <c r="E1415" s="10">
        <v>45085</v>
      </c>
      <c r="F1415">
        <v>58</v>
      </c>
      <c r="G1415" t="s">
        <v>4296</v>
      </c>
    </row>
    <row r="1416" spans="1:7">
      <c r="A1416" t="s">
        <v>3137</v>
      </c>
      <c r="B1416" t="s">
        <v>280</v>
      </c>
      <c r="C1416" t="s">
        <v>133</v>
      </c>
      <c r="D1416" s="10">
        <v>26817</v>
      </c>
      <c r="E1416" s="10">
        <v>45796</v>
      </c>
      <c r="F1416">
        <v>51</v>
      </c>
      <c r="G1416" t="s">
        <v>4296</v>
      </c>
    </row>
    <row r="1417" spans="1:7">
      <c r="A1417" t="s">
        <v>3139</v>
      </c>
      <c r="B1417" t="s">
        <v>622</v>
      </c>
      <c r="C1417" t="s">
        <v>40</v>
      </c>
      <c r="D1417" s="10">
        <v>18510</v>
      </c>
      <c r="E1417" s="10">
        <v>45775</v>
      </c>
      <c r="F1417">
        <v>74</v>
      </c>
      <c r="G1417" t="s">
        <v>4296</v>
      </c>
    </row>
    <row r="1418" spans="1:7">
      <c r="A1418" t="s">
        <v>3141</v>
      </c>
      <c r="B1418" t="s">
        <v>689</v>
      </c>
      <c r="C1418" t="s">
        <v>40</v>
      </c>
      <c r="D1418" s="10">
        <v>37012</v>
      </c>
      <c r="E1418" s="10">
        <v>45283</v>
      </c>
      <c r="F1418">
        <v>22</v>
      </c>
      <c r="G1418" t="s">
        <v>4296</v>
      </c>
    </row>
    <row r="1419" spans="1:7">
      <c r="A1419" t="s">
        <v>3142</v>
      </c>
      <c r="B1419" t="s">
        <v>1101</v>
      </c>
      <c r="C1419" t="s">
        <v>133</v>
      </c>
      <c r="D1419" s="10">
        <v>30437</v>
      </c>
      <c r="E1419" s="10">
        <v>45027</v>
      </c>
      <c r="F1419">
        <v>39</v>
      </c>
      <c r="G1419" t="s">
        <v>4296</v>
      </c>
    </row>
    <row r="1420" spans="1:7">
      <c r="A1420" t="s">
        <v>3143</v>
      </c>
      <c r="B1420" t="s">
        <v>1104</v>
      </c>
      <c r="C1420" t="s">
        <v>133</v>
      </c>
      <c r="D1420" s="10">
        <v>20196</v>
      </c>
      <c r="E1420" s="10">
        <v>45007</v>
      </c>
      <c r="F1420">
        <v>67</v>
      </c>
      <c r="G1420" t="s">
        <v>4296</v>
      </c>
    </row>
    <row r="1421" spans="1:7">
      <c r="A1421" t="s">
        <v>3145</v>
      </c>
      <c r="B1421" t="s">
        <v>850</v>
      </c>
      <c r="C1421" t="s">
        <v>40</v>
      </c>
      <c r="D1421" s="10">
        <v>24159</v>
      </c>
      <c r="E1421" s="10">
        <v>45783</v>
      </c>
      <c r="F1421">
        <v>59</v>
      </c>
      <c r="G1421" t="s">
        <v>4296</v>
      </c>
    </row>
    <row r="1422" spans="1:7">
      <c r="A1422" t="s">
        <v>3146</v>
      </c>
      <c r="B1422" t="s">
        <v>49</v>
      </c>
      <c r="C1422" t="s">
        <v>133</v>
      </c>
      <c r="D1422" s="10">
        <v>26985</v>
      </c>
      <c r="E1422" s="10">
        <v>45383</v>
      </c>
      <c r="F1422">
        <v>50</v>
      </c>
      <c r="G1422" t="s">
        <v>4296</v>
      </c>
    </row>
    <row r="1423" spans="1:7">
      <c r="A1423" t="s">
        <v>3148</v>
      </c>
      <c r="B1423" t="s">
        <v>1464</v>
      </c>
      <c r="C1423" t="s">
        <v>133</v>
      </c>
      <c r="D1423" s="10">
        <v>25204</v>
      </c>
      <c r="E1423" s="10">
        <v>45560</v>
      </c>
      <c r="F1423">
        <v>55</v>
      </c>
      <c r="G1423" t="s">
        <v>4296</v>
      </c>
    </row>
    <row r="1424" spans="1:7">
      <c r="A1424" t="s">
        <v>3150</v>
      </c>
      <c r="B1424" t="s">
        <v>354</v>
      </c>
      <c r="C1424" t="s">
        <v>40</v>
      </c>
      <c r="D1424" s="10">
        <v>19153</v>
      </c>
      <c r="E1424" s="10">
        <v>45482</v>
      </c>
      <c r="F1424">
        <v>72</v>
      </c>
      <c r="G1424" t="s">
        <v>4237</v>
      </c>
    </row>
    <row r="1425" spans="1:7">
      <c r="A1425" t="s">
        <v>3152</v>
      </c>
      <c r="B1425" t="s">
        <v>565</v>
      </c>
      <c r="C1425" t="s">
        <v>40</v>
      </c>
      <c r="D1425" s="10">
        <v>28699</v>
      </c>
      <c r="E1425" s="10">
        <v>45943</v>
      </c>
      <c r="F1425">
        <v>47</v>
      </c>
      <c r="G1425" t="s">
        <v>4296</v>
      </c>
    </row>
    <row r="1426" spans="1:7">
      <c r="A1426" t="s">
        <v>3154</v>
      </c>
      <c r="B1426" t="s">
        <v>999</v>
      </c>
      <c r="C1426" t="s">
        <v>40</v>
      </c>
      <c r="D1426" s="10">
        <v>40183</v>
      </c>
      <c r="E1426" s="10">
        <v>45674</v>
      </c>
      <c r="F1426">
        <v>15</v>
      </c>
      <c r="G1426" t="s">
        <v>4296</v>
      </c>
    </row>
    <row r="1427" spans="1:7">
      <c r="A1427" t="s">
        <v>3157</v>
      </c>
      <c r="B1427" t="s">
        <v>1393</v>
      </c>
      <c r="C1427" t="s">
        <v>133</v>
      </c>
      <c r="D1427" s="10">
        <v>23128</v>
      </c>
      <c r="E1427" s="10">
        <v>45619</v>
      </c>
      <c r="F1427">
        <v>61</v>
      </c>
      <c r="G1427" t="s">
        <v>4296</v>
      </c>
    </row>
    <row r="1428" spans="1:7">
      <c r="A1428" t="s">
        <v>3158</v>
      </c>
      <c r="B1428" t="s">
        <v>1119</v>
      </c>
      <c r="C1428" t="s">
        <v>133</v>
      </c>
      <c r="D1428" s="10">
        <v>37704</v>
      </c>
      <c r="E1428" s="10">
        <v>45800</v>
      </c>
      <c r="F1428">
        <v>22</v>
      </c>
      <c r="G1428" t="s">
        <v>4296</v>
      </c>
    </row>
    <row r="1429" spans="1:7">
      <c r="A1429" t="s">
        <v>3159</v>
      </c>
      <c r="B1429" t="s">
        <v>373</v>
      </c>
      <c r="C1429" t="s">
        <v>40</v>
      </c>
      <c r="D1429" s="10">
        <v>24175</v>
      </c>
      <c r="E1429" s="10">
        <v>45932</v>
      </c>
      <c r="F1429">
        <v>59</v>
      </c>
      <c r="G1429" t="s">
        <v>4296</v>
      </c>
    </row>
    <row r="1430" spans="1:7">
      <c r="A1430" t="s">
        <v>4190</v>
      </c>
      <c r="B1430" t="s">
        <v>624</v>
      </c>
      <c r="C1430" t="s">
        <v>133</v>
      </c>
      <c r="D1430" s="10">
        <v>29527</v>
      </c>
      <c r="E1430" s="10">
        <v>44970</v>
      </c>
      <c r="F1430">
        <v>42</v>
      </c>
      <c r="G1430" t="s">
        <v>4296</v>
      </c>
    </row>
    <row r="1431" spans="1:7">
      <c r="A1431" t="s">
        <v>3161</v>
      </c>
      <c r="B1431" t="s">
        <v>417</v>
      </c>
      <c r="C1431" t="s">
        <v>133</v>
      </c>
      <c r="D1431" s="10">
        <v>27882</v>
      </c>
      <c r="E1431" s="10">
        <v>45433</v>
      </c>
      <c r="F1431">
        <v>48</v>
      </c>
      <c r="G1431" t="s">
        <v>4296</v>
      </c>
    </row>
    <row r="1432" spans="1:7">
      <c r="A1432" t="s">
        <v>3162</v>
      </c>
      <c r="B1432" t="s">
        <v>342</v>
      </c>
      <c r="C1432" t="s">
        <v>133</v>
      </c>
      <c r="D1432" s="10">
        <v>24173</v>
      </c>
      <c r="E1432" s="10">
        <v>45521</v>
      </c>
      <c r="F1432">
        <v>58</v>
      </c>
      <c r="G1432" t="s">
        <v>4296</v>
      </c>
    </row>
    <row r="1433" spans="1:7">
      <c r="A1433" t="s">
        <v>3163</v>
      </c>
      <c r="B1433" t="s">
        <v>611</v>
      </c>
      <c r="C1433" t="s">
        <v>133</v>
      </c>
      <c r="D1433" s="10">
        <v>34015</v>
      </c>
      <c r="E1433" s="10">
        <v>45345</v>
      </c>
      <c r="F1433">
        <v>31</v>
      </c>
      <c r="G1433" t="s">
        <v>4296</v>
      </c>
    </row>
    <row r="1434" spans="1:7">
      <c r="A1434" t="s">
        <v>3165</v>
      </c>
      <c r="B1434" t="s">
        <v>1700</v>
      </c>
      <c r="C1434" t="s">
        <v>133</v>
      </c>
      <c r="D1434" s="10">
        <v>38628</v>
      </c>
      <c r="E1434" s="10">
        <v>45278</v>
      </c>
      <c r="F1434">
        <v>18</v>
      </c>
      <c r="G1434" t="s">
        <v>4296</v>
      </c>
    </row>
    <row r="1435" spans="1:7">
      <c r="A1435" t="s">
        <v>3167</v>
      </c>
      <c r="B1435" t="s">
        <v>587</v>
      </c>
      <c r="C1435" t="s">
        <v>133</v>
      </c>
      <c r="D1435" s="10">
        <v>18749</v>
      </c>
      <c r="E1435" s="10">
        <v>45467</v>
      </c>
      <c r="F1435">
        <v>73</v>
      </c>
      <c r="G1435" t="s">
        <v>4296</v>
      </c>
    </row>
    <row r="1436" spans="1:7">
      <c r="A1436" t="s">
        <v>3168</v>
      </c>
      <c r="B1436" t="s">
        <v>2029</v>
      </c>
      <c r="C1436" t="s">
        <v>40</v>
      </c>
      <c r="D1436" s="10">
        <v>33635</v>
      </c>
      <c r="E1436" s="10">
        <v>45160</v>
      </c>
      <c r="F1436">
        <v>31</v>
      </c>
      <c r="G1436" t="s">
        <v>4296</v>
      </c>
    </row>
    <row r="1437" spans="1:7">
      <c r="A1437" t="s">
        <v>3170</v>
      </c>
      <c r="B1437" t="s">
        <v>1200</v>
      </c>
      <c r="C1437" t="s">
        <v>40</v>
      </c>
      <c r="D1437" s="10">
        <v>23230</v>
      </c>
      <c r="E1437" s="10">
        <v>45410</v>
      </c>
      <c r="F1437">
        <v>60</v>
      </c>
      <c r="G1437" t="s">
        <v>4296</v>
      </c>
    </row>
    <row r="1438" spans="1:7">
      <c r="A1438" t="s">
        <v>3173</v>
      </c>
      <c r="B1438" t="s">
        <v>852</v>
      </c>
      <c r="C1438" t="s">
        <v>133</v>
      </c>
      <c r="D1438" s="10">
        <v>19439</v>
      </c>
      <c r="E1438" s="10">
        <v>45568</v>
      </c>
      <c r="F1438">
        <v>71</v>
      </c>
      <c r="G1438" t="s">
        <v>4296</v>
      </c>
    </row>
    <row r="1439" spans="1:7">
      <c r="A1439" t="s">
        <v>3176</v>
      </c>
      <c r="B1439" t="s">
        <v>1362</v>
      </c>
      <c r="C1439" t="s">
        <v>133</v>
      </c>
      <c r="D1439" s="10">
        <v>29422</v>
      </c>
      <c r="E1439" s="10">
        <v>45317</v>
      </c>
      <c r="F1439">
        <v>43</v>
      </c>
      <c r="G1439" t="s">
        <v>4296</v>
      </c>
    </row>
    <row r="1440" spans="1:7">
      <c r="A1440" t="s">
        <v>3178</v>
      </c>
      <c r="B1440" t="s">
        <v>394</v>
      </c>
      <c r="C1440" t="s">
        <v>40</v>
      </c>
      <c r="D1440" s="10">
        <v>36519</v>
      </c>
      <c r="E1440" s="10">
        <v>45934</v>
      </c>
      <c r="F1440">
        <v>25</v>
      </c>
      <c r="G1440" t="s">
        <v>4296</v>
      </c>
    </row>
    <row r="1441" spans="1:7">
      <c r="A1441" t="s">
        <v>3179</v>
      </c>
      <c r="B1441" t="s">
        <v>1153</v>
      </c>
      <c r="C1441" t="s">
        <v>40</v>
      </c>
      <c r="D1441" s="10">
        <v>27182</v>
      </c>
      <c r="E1441" s="10">
        <v>45464</v>
      </c>
      <c r="F1441">
        <v>50</v>
      </c>
      <c r="G1441" t="s">
        <v>4296</v>
      </c>
    </row>
    <row r="1442" spans="1:7">
      <c r="A1442" t="s">
        <v>3181</v>
      </c>
      <c r="B1442" t="s">
        <v>965</v>
      </c>
      <c r="C1442" t="s">
        <v>40</v>
      </c>
      <c r="D1442" s="10">
        <v>40392</v>
      </c>
      <c r="E1442" s="10">
        <v>45527</v>
      </c>
      <c r="F1442">
        <v>14</v>
      </c>
      <c r="G1442" t="s">
        <v>4296</v>
      </c>
    </row>
    <row r="1443" spans="1:7">
      <c r="A1443" t="s">
        <v>3183</v>
      </c>
      <c r="B1443" t="s">
        <v>857</v>
      </c>
      <c r="C1443" t="s">
        <v>40</v>
      </c>
      <c r="D1443" s="10">
        <v>34274</v>
      </c>
      <c r="E1443" s="10">
        <v>45442</v>
      </c>
      <c r="F1443">
        <v>30</v>
      </c>
      <c r="G1443" t="s">
        <v>4296</v>
      </c>
    </row>
    <row r="1444" spans="1:7">
      <c r="A1444" t="s">
        <v>3185</v>
      </c>
      <c r="B1444" t="s">
        <v>760</v>
      </c>
      <c r="C1444" t="s">
        <v>133</v>
      </c>
      <c r="D1444" s="10">
        <v>28322</v>
      </c>
      <c r="E1444" s="10">
        <v>45195</v>
      </c>
      <c r="F1444">
        <v>46</v>
      </c>
      <c r="G1444" t="s">
        <v>4296</v>
      </c>
    </row>
    <row r="1445" spans="1:7">
      <c r="A1445" t="s">
        <v>3187</v>
      </c>
      <c r="B1445" t="s">
        <v>173</v>
      </c>
      <c r="C1445" t="s">
        <v>133</v>
      </c>
      <c r="D1445" s="10">
        <v>39347</v>
      </c>
      <c r="E1445" s="10">
        <v>45136</v>
      </c>
      <c r="F1445">
        <v>15</v>
      </c>
      <c r="G1445" t="s">
        <v>4296</v>
      </c>
    </row>
    <row r="1446" spans="1:7">
      <c r="A1446" t="s">
        <v>3189</v>
      </c>
      <c r="B1446" t="s">
        <v>321</v>
      </c>
      <c r="C1446" t="s">
        <v>40</v>
      </c>
      <c r="D1446" s="10">
        <v>38196</v>
      </c>
      <c r="E1446" s="10">
        <v>45271</v>
      </c>
      <c r="F1446">
        <v>19</v>
      </c>
      <c r="G1446" t="s">
        <v>4296</v>
      </c>
    </row>
    <row r="1447" spans="1:7">
      <c r="A1447" t="s">
        <v>3190</v>
      </c>
      <c r="B1447" t="s">
        <v>1818</v>
      </c>
      <c r="C1447" t="s">
        <v>40</v>
      </c>
      <c r="D1447" s="10">
        <v>21344</v>
      </c>
      <c r="E1447" s="10">
        <v>45696</v>
      </c>
      <c r="F1447">
        <v>66</v>
      </c>
      <c r="G1447" t="s">
        <v>4296</v>
      </c>
    </row>
    <row r="1448" spans="1:7">
      <c r="A1448" t="s">
        <v>3193</v>
      </c>
      <c r="B1448" t="s">
        <v>591</v>
      </c>
      <c r="C1448" t="s">
        <v>40</v>
      </c>
      <c r="D1448" s="10">
        <v>32997</v>
      </c>
      <c r="E1448" s="10">
        <v>45041</v>
      </c>
      <c r="F1448">
        <v>32</v>
      </c>
      <c r="G1448" t="s">
        <v>4296</v>
      </c>
    </row>
    <row r="1449" spans="1:7">
      <c r="A1449" t="s">
        <v>3195</v>
      </c>
      <c r="B1449" t="s">
        <v>765</v>
      </c>
      <c r="C1449" t="s">
        <v>133</v>
      </c>
      <c r="D1449" s="10">
        <v>31724</v>
      </c>
      <c r="E1449" s="10">
        <v>45890</v>
      </c>
      <c r="F1449">
        <v>38</v>
      </c>
      <c r="G1449" t="s">
        <v>4296</v>
      </c>
    </row>
    <row r="1450" spans="1:7">
      <c r="A1450" t="s">
        <v>3197</v>
      </c>
      <c r="B1450" t="s">
        <v>1364</v>
      </c>
      <c r="C1450" t="s">
        <v>133</v>
      </c>
      <c r="D1450" s="10">
        <v>39133</v>
      </c>
      <c r="E1450" s="10">
        <v>45598</v>
      </c>
      <c r="F1450">
        <v>17</v>
      </c>
      <c r="G1450" t="s">
        <v>4296</v>
      </c>
    </row>
    <row r="1451" spans="1:7">
      <c r="A1451" t="s">
        <v>3200</v>
      </c>
      <c r="B1451" t="s">
        <v>1350</v>
      </c>
      <c r="C1451" t="s">
        <v>40</v>
      </c>
      <c r="D1451" s="10">
        <v>22051</v>
      </c>
      <c r="E1451" s="10">
        <v>45092</v>
      </c>
      <c r="F1451">
        <v>63</v>
      </c>
      <c r="G1451" t="s">
        <v>4296</v>
      </c>
    </row>
    <row r="1452" spans="1:7">
      <c r="A1452" t="s">
        <v>3202</v>
      </c>
      <c r="B1452" t="s">
        <v>39</v>
      </c>
      <c r="C1452" t="s">
        <v>40</v>
      </c>
      <c r="D1452" s="10">
        <v>19889</v>
      </c>
      <c r="E1452" s="10">
        <v>45599</v>
      </c>
      <c r="F1452">
        <v>70</v>
      </c>
      <c r="G1452" t="s">
        <v>4296</v>
      </c>
    </row>
    <row r="1453" spans="1:7">
      <c r="A1453" t="s">
        <v>3205</v>
      </c>
      <c r="B1453" t="s">
        <v>229</v>
      </c>
      <c r="C1453" t="s">
        <v>40</v>
      </c>
      <c r="D1453" s="10">
        <v>21697</v>
      </c>
      <c r="E1453" s="10">
        <v>45179</v>
      </c>
      <c r="F1453">
        <v>64</v>
      </c>
      <c r="G1453" t="s">
        <v>4296</v>
      </c>
    </row>
    <row r="1454" spans="1:7">
      <c r="A1454" t="s">
        <v>3207</v>
      </c>
      <c r="B1454" t="s">
        <v>1175</v>
      </c>
      <c r="C1454" t="s">
        <v>133</v>
      </c>
      <c r="D1454" s="10">
        <v>26863</v>
      </c>
      <c r="E1454" s="10">
        <v>45167</v>
      </c>
      <c r="F1454">
        <v>50</v>
      </c>
      <c r="G1454" t="s">
        <v>4296</v>
      </c>
    </row>
    <row r="1455" spans="1:7">
      <c r="A1455" t="s">
        <v>3209</v>
      </c>
      <c r="B1455" t="s">
        <v>1505</v>
      </c>
      <c r="C1455" t="s">
        <v>40</v>
      </c>
      <c r="D1455" s="10">
        <v>20778</v>
      </c>
      <c r="E1455" s="10">
        <v>45718</v>
      </c>
      <c r="F1455">
        <v>68</v>
      </c>
      <c r="G1455" t="s">
        <v>4296</v>
      </c>
    </row>
    <row r="1456" spans="1:7">
      <c r="A1456" t="s">
        <v>3211</v>
      </c>
      <c r="B1456" t="s">
        <v>444</v>
      </c>
      <c r="C1456" t="s">
        <v>40</v>
      </c>
      <c r="D1456" s="10">
        <v>28004</v>
      </c>
      <c r="E1456" s="10">
        <v>45657</v>
      </c>
      <c r="F1456">
        <v>48</v>
      </c>
      <c r="G1456" t="s">
        <v>4296</v>
      </c>
    </row>
    <row r="1457" spans="1:7">
      <c r="A1457" t="s">
        <v>3213</v>
      </c>
      <c r="B1457" t="s">
        <v>126</v>
      </c>
      <c r="C1457" t="s">
        <v>40</v>
      </c>
      <c r="D1457" s="10">
        <v>27623</v>
      </c>
      <c r="E1457" s="10">
        <v>45283</v>
      </c>
      <c r="F1457">
        <v>48</v>
      </c>
      <c r="G1457" t="s">
        <v>4296</v>
      </c>
    </row>
    <row r="1458" spans="1:7">
      <c r="A1458" t="s">
        <v>3216</v>
      </c>
      <c r="B1458" t="s">
        <v>234</v>
      </c>
      <c r="C1458" t="s">
        <v>133</v>
      </c>
      <c r="D1458" s="10">
        <v>22200</v>
      </c>
      <c r="E1458" s="10">
        <v>45133</v>
      </c>
      <c r="F1458">
        <v>62</v>
      </c>
      <c r="G1458" t="s">
        <v>4296</v>
      </c>
    </row>
    <row r="1459" spans="1:7">
      <c r="A1459" t="s">
        <v>3218</v>
      </c>
      <c r="B1459" t="s">
        <v>1263</v>
      </c>
      <c r="C1459" t="s">
        <v>40</v>
      </c>
      <c r="D1459" s="10">
        <v>30886</v>
      </c>
      <c r="E1459" s="10">
        <v>45864</v>
      </c>
      <c r="F1459">
        <v>41</v>
      </c>
      <c r="G1459" t="s">
        <v>4296</v>
      </c>
    </row>
    <row r="1460" spans="1:7">
      <c r="A1460" t="s">
        <v>3219</v>
      </c>
      <c r="B1460" t="s">
        <v>354</v>
      </c>
      <c r="C1460" t="s">
        <v>40</v>
      </c>
      <c r="D1460" s="10">
        <v>22610</v>
      </c>
      <c r="E1460" s="10">
        <v>45611</v>
      </c>
      <c r="F1460">
        <v>62</v>
      </c>
      <c r="G1460" t="s">
        <v>4296</v>
      </c>
    </row>
    <row r="1461" spans="1:7">
      <c r="A1461" t="s">
        <v>3221</v>
      </c>
      <c r="B1461" t="s">
        <v>356</v>
      </c>
      <c r="C1461" t="s">
        <v>133</v>
      </c>
      <c r="D1461" s="10">
        <v>35193</v>
      </c>
      <c r="E1461" s="10">
        <v>45329</v>
      </c>
      <c r="F1461">
        <v>27</v>
      </c>
      <c r="G1461" t="s">
        <v>4296</v>
      </c>
    </row>
    <row r="1462" spans="1:7">
      <c r="A1462" t="s">
        <v>3222</v>
      </c>
      <c r="B1462" t="s">
        <v>274</v>
      </c>
      <c r="C1462" t="s">
        <v>40</v>
      </c>
      <c r="D1462" s="10">
        <v>32439</v>
      </c>
      <c r="E1462" s="10">
        <v>45921</v>
      </c>
      <c r="F1462">
        <v>36</v>
      </c>
      <c r="G1462" t="s">
        <v>4296</v>
      </c>
    </row>
    <row r="1463" spans="1:7">
      <c r="A1463" t="s">
        <v>3225</v>
      </c>
      <c r="B1463" t="s">
        <v>147</v>
      </c>
      <c r="C1463" t="s">
        <v>40</v>
      </c>
      <c r="D1463" s="10">
        <v>36284</v>
      </c>
      <c r="E1463" s="10">
        <v>45393</v>
      </c>
      <c r="F1463">
        <v>24</v>
      </c>
      <c r="G1463" t="s">
        <v>4296</v>
      </c>
    </row>
    <row r="1464" spans="1:7">
      <c r="A1464" t="s">
        <v>3227</v>
      </c>
      <c r="B1464" t="s">
        <v>1097</v>
      </c>
      <c r="C1464" t="s">
        <v>133</v>
      </c>
      <c r="D1464" s="10">
        <v>26885</v>
      </c>
      <c r="E1464" s="10">
        <v>45033</v>
      </c>
      <c r="F1464">
        <v>49</v>
      </c>
      <c r="G1464" t="s">
        <v>4296</v>
      </c>
    </row>
    <row r="1465" spans="1:7">
      <c r="A1465" t="s">
        <v>3230</v>
      </c>
      <c r="B1465" t="s">
        <v>99</v>
      </c>
      <c r="C1465" t="s">
        <v>133</v>
      </c>
      <c r="D1465" s="10">
        <v>31444</v>
      </c>
      <c r="E1465" s="10">
        <v>45023</v>
      </c>
      <c r="F1465">
        <v>37</v>
      </c>
      <c r="G1465" t="s">
        <v>4296</v>
      </c>
    </row>
    <row r="1466" spans="1:7">
      <c r="A1466" t="s">
        <v>3232</v>
      </c>
      <c r="B1466" t="s">
        <v>895</v>
      </c>
      <c r="C1466" t="s">
        <v>133</v>
      </c>
      <c r="D1466" s="10">
        <v>26259</v>
      </c>
      <c r="E1466" s="10">
        <v>45964</v>
      </c>
      <c r="F1466">
        <v>53</v>
      </c>
      <c r="G1466" t="s">
        <v>4296</v>
      </c>
    </row>
    <row r="1467" spans="1:7">
      <c r="A1467" t="s">
        <v>3233</v>
      </c>
      <c r="B1467" t="s">
        <v>568</v>
      </c>
      <c r="C1467" t="s">
        <v>133</v>
      </c>
      <c r="D1467" s="10">
        <v>26299</v>
      </c>
      <c r="E1467" s="10">
        <v>45760</v>
      </c>
      <c r="F1467">
        <v>53</v>
      </c>
      <c r="G1467" t="s">
        <v>4296</v>
      </c>
    </row>
    <row r="1468" spans="1:7">
      <c r="A1468" t="s">
        <v>3235</v>
      </c>
      <c r="B1468" t="s">
        <v>1305</v>
      </c>
      <c r="C1468" t="s">
        <v>133</v>
      </c>
      <c r="D1468" s="10">
        <v>38875</v>
      </c>
      <c r="E1468" s="10">
        <v>45482</v>
      </c>
      <c r="F1468">
        <v>18</v>
      </c>
      <c r="G1468" t="s">
        <v>4237</v>
      </c>
    </row>
    <row r="1469" spans="1:7">
      <c r="A1469" t="s">
        <v>3237</v>
      </c>
      <c r="B1469" t="s">
        <v>1099</v>
      </c>
      <c r="C1469" t="s">
        <v>40</v>
      </c>
      <c r="D1469" s="10">
        <v>29198</v>
      </c>
      <c r="E1469" s="10">
        <v>45530</v>
      </c>
      <c r="F1469">
        <v>44</v>
      </c>
      <c r="G1469" t="s">
        <v>4296</v>
      </c>
    </row>
    <row r="1470" spans="1:7">
      <c r="A1470" t="s">
        <v>3238</v>
      </c>
      <c r="B1470" t="s">
        <v>241</v>
      </c>
      <c r="C1470" t="s">
        <v>40</v>
      </c>
      <c r="D1470" s="10">
        <v>23340</v>
      </c>
      <c r="E1470" s="10">
        <v>45532</v>
      </c>
      <c r="F1470">
        <v>60</v>
      </c>
      <c r="G1470" t="s">
        <v>4296</v>
      </c>
    </row>
    <row r="1471" spans="1:7">
      <c r="A1471" t="s">
        <v>3241</v>
      </c>
      <c r="B1471" t="s">
        <v>917</v>
      </c>
      <c r="C1471" t="s">
        <v>133</v>
      </c>
      <c r="D1471" s="10">
        <v>25100</v>
      </c>
      <c r="E1471" s="10">
        <v>45073</v>
      </c>
      <c r="F1471">
        <v>54</v>
      </c>
      <c r="G1471" t="s">
        <v>4296</v>
      </c>
    </row>
    <row r="1472" spans="1:7">
      <c r="A1472" t="s">
        <v>3243</v>
      </c>
      <c r="B1472" t="s">
        <v>833</v>
      </c>
      <c r="C1472" t="s">
        <v>40</v>
      </c>
      <c r="D1472" s="10">
        <v>20066</v>
      </c>
      <c r="E1472" s="10">
        <v>45600</v>
      </c>
      <c r="F1472">
        <v>69</v>
      </c>
      <c r="G1472" t="s">
        <v>4296</v>
      </c>
    </row>
    <row r="1473" spans="1:7">
      <c r="A1473" t="s">
        <v>3244</v>
      </c>
      <c r="B1473" t="s">
        <v>112</v>
      </c>
      <c r="C1473" t="s">
        <v>40</v>
      </c>
      <c r="D1473" s="10">
        <v>33087</v>
      </c>
      <c r="E1473" s="10">
        <v>45925</v>
      </c>
      <c r="F1473">
        <v>35</v>
      </c>
      <c r="G1473" t="s">
        <v>4296</v>
      </c>
    </row>
    <row r="1474" spans="1:7">
      <c r="A1474" t="s">
        <v>3246</v>
      </c>
      <c r="B1474" t="s">
        <v>433</v>
      </c>
      <c r="C1474" t="s">
        <v>133</v>
      </c>
      <c r="D1474" s="10">
        <v>29330</v>
      </c>
      <c r="E1474" s="10">
        <v>45932</v>
      </c>
      <c r="F1474">
        <v>45</v>
      </c>
      <c r="G1474" t="s">
        <v>4237</v>
      </c>
    </row>
    <row r="1475" spans="1:7">
      <c r="A1475" t="s">
        <v>3249</v>
      </c>
      <c r="B1475" t="s">
        <v>1452</v>
      </c>
      <c r="C1475" t="s">
        <v>40</v>
      </c>
      <c r="D1475" s="10">
        <v>30117</v>
      </c>
      <c r="E1475" s="10">
        <v>45241</v>
      </c>
      <c r="F1475">
        <v>41</v>
      </c>
      <c r="G1475" t="s">
        <v>4296</v>
      </c>
    </row>
    <row r="1476" spans="1:7">
      <c r="A1476" t="s">
        <v>3251</v>
      </c>
      <c r="B1476" t="s">
        <v>850</v>
      </c>
      <c r="C1476" t="s">
        <v>40</v>
      </c>
      <c r="D1476" s="10">
        <v>33385</v>
      </c>
      <c r="E1476" s="10">
        <v>45940</v>
      </c>
      <c r="F1476">
        <v>34</v>
      </c>
      <c r="G1476" t="s">
        <v>4296</v>
      </c>
    </row>
    <row r="1477" spans="1:7">
      <c r="A1477" t="s">
        <v>3253</v>
      </c>
      <c r="B1477" t="s">
        <v>584</v>
      </c>
      <c r="C1477" t="s">
        <v>133</v>
      </c>
      <c r="D1477" s="10">
        <v>26350</v>
      </c>
      <c r="E1477" s="10">
        <v>45183</v>
      </c>
      <c r="F1477">
        <v>51</v>
      </c>
      <c r="G1477" t="s">
        <v>4296</v>
      </c>
    </row>
    <row r="1478" spans="1:7">
      <c r="A1478" t="s">
        <v>3255</v>
      </c>
      <c r="B1478" t="s">
        <v>560</v>
      </c>
      <c r="C1478" t="s">
        <v>133</v>
      </c>
      <c r="D1478" s="10">
        <v>22479</v>
      </c>
      <c r="E1478" s="10">
        <v>45901</v>
      </c>
      <c r="F1478">
        <v>64</v>
      </c>
      <c r="G1478" t="s">
        <v>4296</v>
      </c>
    </row>
    <row r="1479" spans="1:7">
      <c r="A1479" t="s">
        <v>3256</v>
      </c>
      <c r="B1479" t="s">
        <v>879</v>
      </c>
      <c r="C1479" t="s">
        <v>40</v>
      </c>
      <c r="D1479" s="10">
        <v>36112</v>
      </c>
      <c r="E1479" s="10">
        <v>45287</v>
      </c>
      <c r="F1479">
        <v>25</v>
      </c>
      <c r="G1479" t="s">
        <v>4296</v>
      </c>
    </row>
    <row r="1480" spans="1:7">
      <c r="A1480" t="s">
        <v>3257</v>
      </c>
      <c r="B1480" t="s">
        <v>607</v>
      </c>
      <c r="C1480" t="s">
        <v>40</v>
      </c>
      <c r="D1480" s="10">
        <v>36532</v>
      </c>
      <c r="E1480" s="10">
        <v>45110</v>
      </c>
      <c r="F1480">
        <v>23</v>
      </c>
      <c r="G1480" t="s">
        <v>4296</v>
      </c>
    </row>
    <row r="1481" spans="1:7">
      <c r="A1481" t="s">
        <v>3259</v>
      </c>
      <c r="B1481" t="s">
        <v>1839</v>
      </c>
      <c r="C1481" t="s">
        <v>133</v>
      </c>
      <c r="D1481" s="10">
        <v>27710</v>
      </c>
      <c r="E1481" s="10">
        <v>45627</v>
      </c>
      <c r="F1481">
        <v>49</v>
      </c>
      <c r="G1481" t="s">
        <v>4296</v>
      </c>
    </row>
    <row r="1482" spans="1:7">
      <c r="A1482" t="s">
        <v>3261</v>
      </c>
      <c r="B1482" t="s">
        <v>429</v>
      </c>
      <c r="C1482" t="s">
        <v>40</v>
      </c>
      <c r="D1482" s="10">
        <v>36674</v>
      </c>
      <c r="E1482" s="10">
        <v>45799</v>
      </c>
      <c r="F1482">
        <v>24</v>
      </c>
      <c r="G1482" t="s">
        <v>4296</v>
      </c>
    </row>
    <row r="1483" spans="1:7">
      <c r="A1483" t="s">
        <v>3263</v>
      </c>
      <c r="B1483" t="s">
        <v>112</v>
      </c>
      <c r="C1483" t="s">
        <v>133</v>
      </c>
      <c r="D1483" s="10">
        <v>40112</v>
      </c>
      <c r="E1483" s="10">
        <v>45700</v>
      </c>
      <c r="F1483">
        <v>15</v>
      </c>
      <c r="G1483" t="s">
        <v>4296</v>
      </c>
    </row>
    <row r="1484" spans="1:7">
      <c r="A1484" t="s">
        <v>3264</v>
      </c>
      <c r="B1484" t="s">
        <v>1830</v>
      </c>
      <c r="C1484" t="s">
        <v>133</v>
      </c>
      <c r="D1484" s="10">
        <v>25034</v>
      </c>
      <c r="E1484" s="10">
        <v>44993</v>
      </c>
      <c r="F1484">
        <v>54</v>
      </c>
      <c r="G1484" t="s">
        <v>4296</v>
      </c>
    </row>
    <row r="1485" spans="1:7">
      <c r="A1485" t="s">
        <v>3265</v>
      </c>
      <c r="B1485" t="s">
        <v>1563</v>
      </c>
      <c r="C1485" t="s">
        <v>133</v>
      </c>
      <c r="D1485" s="10">
        <v>31000</v>
      </c>
      <c r="E1485" s="10">
        <v>45289</v>
      </c>
      <c r="F1485">
        <v>39</v>
      </c>
      <c r="G1485" t="s">
        <v>4296</v>
      </c>
    </row>
    <row r="1486" spans="1:7">
      <c r="A1486" t="s">
        <v>3267</v>
      </c>
      <c r="B1486" t="s">
        <v>689</v>
      </c>
      <c r="C1486" t="s">
        <v>40</v>
      </c>
      <c r="D1486" s="10">
        <v>36146</v>
      </c>
      <c r="E1486" s="10">
        <v>45062</v>
      </c>
      <c r="F1486">
        <v>24</v>
      </c>
      <c r="G1486" t="s">
        <v>4296</v>
      </c>
    </row>
    <row r="1487" spans="1:7">
      <c r="A1487" t="s">
        <v>3268</v>
      </c>
      <c r="B1487" t="s">
        <v>67</v>
      </c>
      <c r="C1487" t="s">
        <v>40</v>
      </c>
      <c r="D1487" s="10">
        <v>36620</v>
      </c>
      <c r="E1487" s="10">
        <v>45055</v>
      </c>
      <c r="F1487">
        <v>23</v>
      </c>
      <c r="G1487" t="s">
        <v>4296</v>
      </c>
    </row>
    <row r="1488" spans="1:7">
      <c r="A1488" t="s">
        <v>3270</v>
      </c>
      <c r="B1488" t="s">
        <v>67</v>
      </c>
      <c r="C1488" t="s">
        <v>133</v>
      </c>
      <c r="D1488" s="10">
        <v>38776</v>
      </c>
      <c r="E1488" s="10">
        <v>45075</v>
      </c>
      <c r="F1488">
        <v>17</v>
      </c>
      <c r="G1488" t="s">
        <v>4296</v>
      </c>
    </row>
    <row r="1489" spans="1:7">
      <c r="A1489" t="s">
        <v>3272</v>
      </c>
      <c r="B1489" t="s">
        <v>833</v>
      </c>
      <c r="C1489" t="s">
        <v>40</v>
      </c>
      <c r="D1489" s="10">
        <v>19368</v>
      </c>
      <c r="E1489" s="10">
        <v>45628</v>
      </c>
      <c r="F1489">
        <v>71</v>
      </c>
      <c r="G1489" t="s">
        <v>4296</v>
      </c>
    </row>
    <row r="1490" spans="1:7">
      <c r="A1490" t="s">
        <v>3275</v>
      </c>
      <c r="B1490" t="s">
        <v>392</v>
      </c>
      <c r="C1490" t="s">
        <v>133</v>
      </c>
      <c r="D1490" s="10">
        <v>32301</v>
      </c>
      <c r="E1490" s="10">
        <v>45238</v>
      </c>
      <c r="F1490">
        <v>35</v>
      </c>
      <c r="G1490" t="s">
        <v>4296</v>
      </c>
    </row>
    <row r="1491" spans="1:7">
      <c r="A1491" t="s">
        <v>3278</v>
      </c>
      <c r="B1491" t="s">
        <v>378</v>
      </c>
      <c r="C1491" t="s">
        <v>40</v>
      </c>
      <c r="D1491" s="10">
        <v>34548</v>
      </c>
      <c r="E1491" s="10">
        <v>46015</v>
      </c>
      <c r="F1491">
        <v>31</v>
      </c>
      <c r="G1491" t="s">
        <v>4296</v>
      </c>
    </row>
    <row r="1492" spans="1:7">
      <c r="A1492" t="s">
        <v>3281</v>
      </c>
      <c r="B1492" t="s">
        <v>676</v>
      </c>
      <c r="C1492" t="s">
        <v>40</v>
      </c>
      <c r="D1492" s="10">
        <v>38390</v>
      </c>
      <c r="E1492" s="10">
        <v>45669</v>
      </c>
      <c r="F1492">
        <v>19</v>
      </c>
      <c r="G1492" t="s">
        <v>4296</v>
      </c>
    </row>
    <row r="1493" spans="1:7">
      <c r="A1493" t="s">
        <v>3282</v>
      </c>
      <c r="B1493" t="s">
        <v>825</v>
      </c>
      <c r="C1493" t="s">
        <v>133</v>
      </c>
      <c r="D1493" s="10">
        <v>38909</v>
      </c>
      <c r="E1493" s="10">
        <v>45822</v>
      </c>
      <c r="F1493">
        <v>18</v>
      </c>
      <c r="G1493" t="s">
        <v>4296</v>
      </c>
    </row>
    <row r="1494" spans="1:7">
      <c r="A1494" t="s">
        <v>3283</v>
      </c>
      <c r="B1494" t="s">
        <v>288</v>
      </c>
      <c r="C1494" t="s">
        <v>133</v>
      </c>
      <c r="D1494" s="10">
        <v>31530</v>
      </c>
      <c r="E1494" s="10">
        <v>45852</v>
      </c>
      <c r="F1494">
        <v>39</v>
      </c>
      <c r="G1494" t="s">
        <v>4296</v>
      </c>
    </row>
    <row r="1495" spans="1:7">
      <c r="A1495" t="s">
        <v>3284</v>
      </c>
      <c r="B1495" t="s">
        <v>2483</v>
      </c>
      <c r="C1495" t="s">
        <v>133</v>
      </c>
      <c r="D1495" s="10">
        <v>33109</v>
      </c>
      <c r="E1495" s="10">
        <v>44977</v>
      </c>
      <c r="F1495">
        <v>32</v>
      </c>
      <c r="G1495" t="s">
        <v>4296</v>
      </c>
    </row>
    <row r="1496" spans="1:7">
      <c r="A1496" t="s">
        <v>3285</v>
      </c>
      <c r="B1496" t="s">
        <v>1748</v>
      </c>
      <c r="C1496" t="s">
        <v>133</v>
      </c>
      <c r="D1496" s="10">
        <v>30973</v>
      </c>
      <c r="E1496" s="10">
        <v>45081</v>
      </c>
      <c r="F1496">
        <v>38</v>
      </c>
      <c r="G1496" t="s">
        <v>4296</v>
      </c>
    </row>
    <row r="1497" spans="1:7">
      <c r="A1497" t="s">
        <v>3287</v>
      </c>
      <c r="B1497" t="s">
        <v>295</v>
      </c>
      <c r="C1497" t="s">
        <v>133</v>
      </c>
      <c r="D1497" s="10">
        <v>29330</v>
      </c>
      <c r="E1497" s="10">
        <v>45541</v>
      </c>
      <c r="F1497">
        <v>44</v>
      </c>
      <c r="G1497" t="s">
        <v>4237</v>
      </c>
    </row>
    <row r="1498" spans="1:7">
      <c r="A1498" t="s">
        <v>3290</v>
      </c>
      <c r="B1498" t="s">
        <v>1480</v>
      </c>
      <c r="C1498" t="s">
        <v>133</v>
      </c>
      <c r="D1498" s="10">
        <v>18406</v>
      </c>
      <c r="E1498" s="10">
        <v>45482</v>
      </c>
      <c r="F1498">
        <v>74</v>
      </c>
      <c r="G1498" t="s">
        <v>4237</v>
      </c>
    </row>
    <row r="1499" spans="1:7">
      <c r="A1499" t="s">
        <v>3292</v>
      </c>
      <c r="B1499" t="s">
        <v>3110</v>
      </c>
      <c r="C1499" t="s">
        <v>133</v>
      </c>
      <c r="D1499" s="10">
        <v>38985</v>
      </c>
      <c r="E1499" s="10">
        <v>45482</v>
      </c>
      <c r="F1499">
        <v>17</v>
      </c>
      <c r="G1499" t="s">
        <v>4237</v>
      </c>
    </row>
    <row r="1500" spans="1:7">
      <c r="A1500" t="s">
        <v>3293</v>
      </c>
      <c r="B1500" t="s">
        <v>579</v>
      </c>
      <c r="C1500" t="s">
        <v>40</v>
      </c>
      <c r="D1500" s="10">
        <v>22490</v>
      </c>
      <c r="E1500" s="10">
        <v>45939</v>
      </c>
      <c r="F1500">
        <v>64</v>
      </c>
      <c r="G1500" t="s">
        <v>4296</v>
      </c>
    </row>
    <row r="1501" spans="1:7">
      <c r="A1501" t="s">
        <v>3295</v>
      </c>
      <c r="B1501" t="s">
        <v>324</v>
      </c>
      <c r="C1501" t="s">
        <v>133</v>
      </c>
      <c r="D1501" s="10">
        <v>19995</v>
      </c>
      <c r="E1501" s="10">
        <v>45894</v>
      </c>
      <c r="F1501">
        <v>70</v>
      </c>
      <c r="G1501" t="s">
        <v>4296</v>
      </c>
    </row>
    <row r="1502" spans="1:7">
      <c r="A1502" t="s">
        <v>3296</v>
      </c>
      <c r="B1502" t="s">
        <v>2270</v>
      </c>
      <c r="C1502" t="s">
        <v>40</v>
      </c>
      <c r="D1502" s="10">
        <v>30577</v>
      </c>
      <c r="E1502" s="10">
        <v>45115</v>
      </c>
      <c r="F1502">
        <v>39</v>
      </c>
      <c r="G1502" t="s">
        <v>4296</v>
      </c>
    </row>
    <row r="1503" spans="1:7">
      <c r="A1503" t="s">
        <v>3297</v>
      </c>
      <c r="B1503" t="s">
        <v>666</v>
      </c>
      <c r="C1503" t="s">
        <v>133</v>
      </c>
      <c r="D1503" s="10">
        <v>35949</v>
      </c>
      <c r="E1503" s="10">
        <v>45388</v>
      </c>
      <c r="F1503">
        <v>25</v>
      </c>
      <c r="G1503" t="s">
        <v>4296</v>
      </c>
    </row>
    <row r="1504" spans="1:7">
      <c r="A1504" t="s">
        <v>3298</v>
      </c>
      <c r="B1504" t="s">
        <v>492</v>
      </c>
      <c r="C1504" t="s">
        <v>40</v>
      </c>
      <c r="D1504" s="10">
        <v>21936</v>
      </c>
      <c r="E1504" s="10">
        <v>45505</v>
      </c>
      <c r="F1504">
        <v>64</v>
      </c>
      <c r="G1504" t="s">
        <v>4296</v>
      </c>
    </row>
    <row r="1505" spans="1:7">
      <c r="A1505" t="s">
        <v>3300</v>
      </c>
      <c r="B1505" t="s">
        <v>511</v>
      </c>
      <c r="C1505" t="s">
        <v>40</v>
      </c>
      <c r="D1505" s="10">
        <v>19167</v>
      </c>
      <c r="E1505" s="10">
        <v>45079</v>
      </c>
      <c r="F1505">
        <v>70</v>
      </c>
      <c r="G1505" t="s">
        <v>4296</v>
      </c>
    </row>
    <row r="1506" spans="1:7">
      <c r="A1506" t="s">
        <v>3302</v>
      </c>
      <c r="B1506" t="s">
        <v>658</v>
      </c>
      <c r="C1506" t="s">
        <v>40</v>
      </c>
      <c r="D1506" s="10">
        <v>24570</v>
      </c>
      <c r="E1506" s="10">
        <v>45134</v>
      </c>
      <c r="F1506">
        <v>56</v>
      </c>
      <c r="G1506" t="s">
        <v>4296</v>
      </c>
    </row>
    <row r="1507" spans="1:7">
      <c r="A1507" t="s">
        <v>3303</v>
      </c>
      <c r="B1507" t="s">
        <v>1026</v>
      </c>
      <c r="C1507" t="s">
        <v>40</v>
      </c>
      <c r="D1507" s="10">
        <v>30307</v>
      </c>
      <c r="E1507" s="10">
        <v>45521</v>
      </c>
      <c r="F1507">
        <v>41</v>
      </c>
      <c r="G1507" t="s">
        <v>4296</v>
      </c>
    </row>
    <row r="1508" spans="1:7">
      <c r="A1508" t="s">
        <v>3305</v>
      </c>
      <c r="B1508" t="s">
        <v>1658</v>
      </c>
      <c r="C1508" t="s">
        <v>40</v>
      </c>
      <c r="D1508" s="10">
        <v>25988</v>
      </c>
      <c r="E1508" s="10">
        <v>45257</v>
      </c>
      <c r="F1508">
        <v>52</v>
      </c>
      <c r="G1508" t="s">
        <v>4296</v>
      </c>
    </row>
    <row r="1509" spans="1:7">
      <c r="A1509" t="s">
        <v>3306</v>
      </c>
      <c r="B1509" t="s">
        <v>1537</v>
      </c>
      <c r="C1509" t="s">
        <v>133</v>
      </c>
      <c r="D1509" s="10">
        <v>38726</v>
      </c>
      <c r="E1509" s="10">
        <v>45922</v>
      </c>
      <c r="F1509">
        <v>19</v>
      </c>
      <c r="G1509" t="s">
        <v>4296</v>
      </c>
    </row>
    <row r="1510" spans="1:7">
      <c r="A1510" t="s">
        <v>3308</v>
      </c>
      <c r="B1510" t="s">
        <v>88</v>
      </c>
      <c r="C1510" t="s">
        <v>133</v>
      </c>
      <c r="D1510" s="10">
        <v>21874</v>
      </c>
      <c r="E1510" s="10">
        <v>44964</v>
      </c>
      <c r="F1510">
        <v>63</v>
      </c>
      <c r="G1510" t="s">
        <v>4296</v>
      </c>
    </row>
    <row r="1511" spans="1:7">
      <c r="A1511" t="s">
        <v>3309</v>
      </c>
      <c r="B1511" t="s">
        <v>39</v>
      </c>
      <c r="C1511" t="s">
        <v>133</v>
      </c>
      <c r="D1511" s="10">
        <v>33739</v>
      </c>
      <c r="E1511" s="10">
        <v>45011</v>
      </c>
      <c r="F1511">
        <v>30</v>
      </c>
      <c r="G1511" t="s">
        <v>4296</v>
      </c>
    </row>
    <row r="1512" spans="1:7">
      <c r="A1512" t="s">
        <v>3310</v>
      </c>
      <c r="B1512" t="s">
        <v>83</v>
      </c>
      <c r="C1512" t="s">
        <v>40</v>
      </c>
      <c r="D1512" s="10">
        <v>24778</v>
      </c>
      <c r="E1512" s="10">
        <v>45124</v>
      </c>
      <c r="F1512">
        <v>55</v>
      </c>
      <c r="G1512" t="s">
        <v>4296</v>
      </c>
    </row>
    <row r="1513" spans="1:7">
      <c r="A1513" t="s">
        <v>4191</v>
      </c>
      <c r="B1513" t="s">
        <v>909</v>
      </c>
      <c r="C1513" t="s">
        <v>40</v>
      </c>
      <c r="D1513" s="10">
        <v>21211</v>
      </c>
      <c r="E1513" s="10">
        <v>45710</v>
      </c>
      <c r="F1513">
        <v>67</v>
      </c>
      <c r="G1513" t="s">
        <v>4296</v>
      </c>
    </row>
    <row r="1514" spans="1:7">
      <c r="A1514" t="s">
        <v>3314</v>
      </c>
      <c r="B1514" t="s">
        <v>1256</v>
      </c>
      <c r="C1514" t="s">
        <v>40</v>
      </c>
      <c r="D1514" s="10">
        <v>38736</v>
      </c>
      <c r="E1514" s="10">
        <v>45276</v>
      </c>
      <c r="F1514">
        <v>17</v>
      </c>
      <c r="G1514" t="s">
        <v>4296</v>
      </c>
    </row>
    <row r="1515" spans="1:7">
      <c r="A1515" t="s">
        <v>3315</v>
      </c>
      <c r="B1515" t="s">
        <v>224</v>
      </c>
      <c r="C1515" t="s">
        <v>40</v>
      </c>
      <c r="D1515" s="10">
        <v>19151</v>
      </c>
      <c r="E1515" s="10">
        <v>46012</v>
      </c>
      <c r="F1515">
        <v>73</v>
      </c>
      <c r="G1515" t="s">
        <v>4296</v>
      </c>
    </row>
    <row r="1516" spans="1:7">
      <c r="A1516" t="s">
        <v>4192</v>
      </c>
      <c r="B1516" t="s">
        <v>155</v>
      </c>
      <c r="C1516" t="s">
        <v>40</v>
      </c>
      <c r="D1516" s="10">
        <v>35441</v>
      </c>
      <c r="E1516" s="10">
        <v>44953</v>
      </c>
      <c r="F1516">
        <v>26</v>
      </c>
      <c r="G1516" t="s">
        <v>4296</v>
      </c>
    </row>
    <row r="1517" spans="1:7">
      <c r="A1517" t="s">
        <v>3319</v>
      </c>
      <c r="B1517" t="s">
        <v>796</v>
      </c>
      <c r="C1517" t="s">
        <v>40</v>
      </c>
      <c r="D1517" s="10">
        <v>35595</v>
      </c>
      <c r="E1517" s="10">
        <v>45941</v>
      </c>
      <c r="F1517">
        <v>28</v>
      </c>
      <c r="G1517" t="s">
        <v>4296</v>
      </c>
    </row>
    <row r="1518" spans="1:7">
      <c r="A1518" t="s">
        <v>3320</v>
      </c>
      <c r="B1518" t="s">
        <v>328</v>
      </c>
      <c r="C1518" t="s">
        <v>133</v>
      </c>
      <c r="D1518" s="10">
        <v>20036</v>
      </c>
      <c r="E1518" s="10">
        <v>45558</v>
      </c>
      <c r="F1518">
        <v>69</v>
      </c>
      <c r="G1518" t="s">
        <v>4296</v>
      </c>
    </row>
    <row r="1519" spans="1:7">
      <c r="A1519" t="s">
        <v>3321</v>
      </c>
      <c r="B1519" t="s">
        <v>652</v>
      </c>
      <c r="C1519" t="s">
        <v>133</v>
      </c>
      <c r="D1519" s="10">
        <v>35376</v>
      </c>
      <c r="E1519" s="10">
        <v>45874</v>
      </c>
      <c r="F1519">
        <v>28</v>
      </c>
      <c r="G1519" t="s">
        <v>4296</v>
      </c>
    </row>
    <row r="1520" spans="1:7">
      <c r="A1520" t="s">
        <v>3322</v>
      </c>
      <c r="B1520" t="s">
        <v>2393</v>
      </c>
      <c r="C1520" t="s">
        <v>40</v>
      </c>
      <c r="D1520" s="10">
        <v>35226</v>
      </c>
      <c r="E1520" s="10">
        <v>45174</v>
      </c>
      <c r="F1520">
        <v>27</v>
      </c>
      <c r="G1520" t="s">
        <v>4296</v>
      </c>
    </row>
    <row r="1521" spans="1:7">
      <c r="A1521" t="s">
        <v>3323</v>
      </c>
      <c r="B1521" t="s">
        <v>238</v>
      </c>
      <c r="C1521" t="s">
        <v>133</v>
      </c>
      <c r="D1521" s="10">
        <v>33771</v>
      </c>
      <c r="E1521" s="10">
        <v>45965</v>
      </c>
      <c r="F1521">
        <v>33</v>
      </c>
      <c r="G1521" t="s">
        <v>4296</v>
      </c>
    </row>
    <row r="1522" spans="1:7">
      <c r="A1522" t="s">
        <v>3325</v>
      </c>
      <c r="B1522" t="s">
        <v>1068</v>
      </c>
      <c r="C1522" t="s">
        <v>133</v>
      </c>
      <c r="D1522" s="10">
        <v>31525</v>
      </c>
      <c r="E1522" s="10">
        <v>45118</v>
      </c>
      <c r="F1522">
        <v>37</v>
      </c>
      <c r="G1522" t="s">
        <v>4296</v>
      </c>
    </row>
    <row r="1523" spans="1:7">
      <c r="A1523" t="s">
        <v>3326</v>
      </c>
      <c r="B1523" t="s">
        <v>841</v>
      </c>
      <c r="C1523" t="s">
        <v>40</v>
      </c>
      <c r="D1523" s="10">
        <v>29330</v>
      </c>
      <c r="E1523" s="10">
        <v>45899</v>
      </c>
      <c r="F1523">
        <v>45</v>
      </c>
      <c r="G1523" t="s">
        <v>4237</v>
      </c>
    </row>
    <row r="1524" spans="1:7">
      <c r="A1524" t="s">
        <v>3329</v>
      </c>
      <c r="B1524" t="s">
        <v>288</v>
      </c>
      <c r="C1524" t="s">
        <v>133</v>
      </c>
      <c r="D1524" s="10">
        <v>18339</v>
      </c>
      <c r="E1524" s="10">
        <v>45936</v>
      </c>
      <c r="F1524">
        <v>75</v>
      </c>
      <c r="G1524" t="s">
        <v>4296</v>
      </c>
    </row>
    <row r="1525" spans="1:7">
      <c r="A1525" t="s">
        <v>3331</v>
      </c>
      <c r="B1525" t="s">
        <v>112</v>
      </c>
      <c r="C1525" t="s">
        <v>133</v>
      </c>
      <c r="D1525" s="10">
        <v>36408</v>
      </c>
      <c r="E1525" s="10">
        <v>45303</v>
      </c>
      <c r="F1525">
        <v>24</v>
      </c>
      <c r="G1525" t="s">
        <v>4296</v>
      </c>
    </row>
    <row r="1526" spans="1:7">
      <c r="A1526" t="s">
        <v>3332</v>
      </c>
      <c r="B1526" t="s">
        <v>194</v>
      </c>
      <c r="C1526" t="s">
        <v>133</v>
      </c>
      <c r="D1526" s="10">
        <v>37603</v>
      </c>
      <c r="E1526" s="10">
        <v>45947</v>
      </c>
      <c r="F1526">
        <v>22</v>
      </c>
      <c r="G1526" t="s">
        <v>4296</v>
      </c>
    </row>
    <row r="1527" spans="1:7">
      <c r="A1527" t="s">
        <v>3333</v>
      </c>
      <c r="B1527" t="s">
        <v>658</v>
      </c>
      <c r="C1527" t="s">
        <v>133</v>
      </c>
      <c r="D1527" s="10">
        <v>22398</v>
      </c>
      <c r="E1527" s="10">
        <v>45845</v>
      </c>
      <c r="F1527">
        <v>64</v>
      </c>
      <c r="G1527" t="s">
        <v>4296</v>
      </c>
    </row>
    <row r="1528" spans="1:7">
      <c r="A1528" t="s">
        <v>4193</v>
      </c>
      <c r="B1528" t="s">
        <v>2447</v>
      </c>
      <c r="C1528" t="s">
        <v>40</v>
      </c>
      <c r="D1528" s="10">
        <v>38911</v>
      </c>
      <c r="E1528" s="10">
        <v>45426</v>
      </c>
      <c r="F1528">
        <v>17</v>
      </c>
      <c r="G1528" t="s">
        <v>4296</v>
      </c>
    </row>
    <row r="1529" spans="1:7">
      <c r="A1529" t="s">
        <v>3337</v>
      </c>
      <c r="B1529" t="s">
        <v>354</v>
      </c>
      <c r="C1529" t="s">
        <v>133</v>
      </c>
      <c r="D1529" s="10">
        <v>25465</v>
      </c>
      <c r="E1529" s="10">
        <v>45267</v>
      </c>
      <c r="F1529">
        <v>54</v>
      </c>
      <c r="G1529" t="s">
        <v>4296</v>
      </c>
    </row>
    <row r="1530" spans="1:7">
      <c r="A1530" t="s">
        <v>3338</v>
      </c>
      <c r="B1530" t="s">
        <v>652</v>
      </c>
      <c r="C1530" t="s">
        <v>133</v>
      </c>
      <c r="D1530" s="10">
        <v>23089</v>
      </c>
      <c r="E1530" s="10">
        <v>45524</v>
      </c>
      <c r="F1530">
        <v>61</v>
      </c>
      <c r="G1530" t="s">
        <v>4296</v>
      </c>
    </row>
    <row r="1531" spans="1:7">
      <c r="A1531" t="s">
        <v>3339</v>
      </c>
      <c r="B1531" t="s">
        <v>2270</v>
      </c>
      <c r="C1531" t="s">
        <v>133</v>
      </c>
      <c r="D1531" s="10">
        <v>23310</v>
      </c>
      <c r="E1531" s="10">
        <v>45350</v>
      </c>
      <c r="F1531">
        <v>60</v>
      </c>
      <c r="G1531" t="s">
        <v>4296</v>
      </c>
    </row>
    <row r="1532" spans="1:7">
      <c r="A1532" t="s">
        <v>3340</v>
      </c>
      <c r="B1532" t="s">
        <v>427</v>
      </c>
      <c r="C1532" t="s">
        <v>40</v>
      </c>
      <c r="D1532" s="10">
        <v>27422</v>
      </c>
      <c r="E1532" s="10">
        <v>45617</v>
      </c>
      <c r="F1532">
        <v>49</v>
      </c>
      <c r="G1532" t="s">
        <v>4296</v>
      </c>
    </row>
    <row r="1533" spans="1:7">
      <c r="A1533" t="s">
        <v>3341</v>
      </c>
      <c r="B1533" t="s">
        <v>967</v>
      </c>
      <c r="C1533" t="s">
        <v>40</v>
      </c>
      <c r="D1533" s="10">
        <v>20216</v>
      </c>
      <c r="E1533" s="10">
        <v>45398</v>
      </c>
      <c r="F1533">
        <v>68</v>
      </c>
      <c r="G1533" t="s">
        <v>4296</v>
      </c>
    </row>
    <row r="1534" spans="1:7">
      <c r="A1534" t="s">
        <v>3342</v>
      </c>
      <c r="B1534" t="s">
        <v>249</v>
      </c>
      <c r="C1534" t="s">
        <v>133</v>
      </c>
      <c r="D1534" s="10">
        <v>31042</v>
      </c>
      <c r="E1534" s="10">
        <v>45163</v>
      </c>
      <c r="F1534">
        <v>38</v>
      </c>
      <c r="G1534" t="s">
        <v>4296</v>
      </c>
    </row>
    <row r="1535" spans="1:7">
      <c r="A1535" t="s">
        <v>3344</v>
      </c>
      <c r="B1535" t="s">
        <v>565</v>
      </c>
      <c r="C1535" t="s">
        <v>133</v>
      </c>
      <c r="D1535" s="10">
        <v>32470</v>
      </c>
      <c r="E1535" s="10">
        <v>45523</v>
      </c>
      <c r="F1535">
        <v>35</v>
      </c>
      <c r="G1535" t="s">
        <v>4296</v>
      </c>
    </row>
    <row r="1536" spans="1:7">
      <c r="A1536" t="s">
        <v>3346</v>
      </c>
      <c r="B1536" t="s">
        <v>1101</v>
      </c>
      <c r="C1536" t="s">
        <v>40</v>
      </c>
      <c r="D1536" s="10">
        <v>38602</v>
      </c>
      <c r="E1536" s="10">
        <v>45832</v>
      </c>
      <c r="F1536">
        <v>19</v>
      </c>
      <c r="G1536" t="s">
        <v>4296</v>
      </c>
    </row>
    <row r="1537" spans="1:7">
      <c r="A1537" t="s">
        <v>3348</v>
      </c>
      <c r="B1537" t="s">
        <v>967</v>
      </c>
      <c r="C1537" t="s">
        <v>133</v>
      </c>
      <c r="D1537" s="10">
        <v>18911</v>
      </c>
      <c r="E1537" s="10">
        <v>45612</v>
      </c>
      <c r="F1537">
        <v>73</v>
      </c>
      <c r="G1537" t="s">
        <v>4296</v>
      </c>
    </row>
    <row r="1538" spans="1:7">
      <c r="A1538" t="s">
        <v>3350</v>
      </c>
      <c r="B1538" t="s">
        <v>67</v>
      </c>
      <c r="C1538" t="s">
        <v>133</v>
      </c>
      <c r="D1538" s="10">
        <v>23653</v>
      </c>
      <c r="E1538" s="10">
        <v>45535</v>
      </c>
      <c r="F1538">
        <v>59</v>
      </c>
      <c r="G1538" t="s">
        <v>4296</v>
      </c>
    </row>
    <row r="1539" spans="1:7">
      <c r="A1539" t="s">
        <v>3353</v>
      </c>
      <c r="B1539" t="s">
        <v>986</v>
      </c>
      <c r="C1539" t="s">
        <v>40</v>
      </c>
      <c r="D1539" s="10">
        <v>24487</v>
      </c>
      <c r="E1539" s="10">
        <v>45577</v>
      </c>
      <c r="F1539">
        <v>57</v>
      </c>
      <c r="G1539" t="s">
        <v>4296</v>
      </c>
    </row>
    <row r="1540" spans="1:7">
      <c r="A1540" t="s">
        <v>3355</v>
      </c>
      <c r="B1540" t="s">
        <v>1342</v>
      </c>
      <c r="C1540" t="s">
        <v>40</v>
      </c>
      <c r="D1540" s="10">
        <v>26302</v>
      </c>
      <c r="E1540" s="10">
        <v>45318</v>
      </c>
      <c r="F1540">
        <v>52</v>
      </c>
      <c r="G1540" t="s">
        <v>4296</v>
      </c>
    </row>
    <row r="1541" spans="1:7">
      <c r="A1541" t="s">
        <v>3357</v>
      </c>
      <c r="B1541" t="s">
        <v>221</v>
      </c>
      <c r="C1541" t="s">
        <v>40</v>
      </c>
      <c r="D1541" s="10">
        <v>36641</v>
      </c>
      <c r="E1541" s="10">
        <v>45730</v>
      </c>
      <c r="F1541">
        <v>24</v>
      </c>
      <c r="G1541" t="s">
        <v>4296</v>
      </c>
    </row>
    <row r="1542" spans="1:7">
      <c r="A1542" t="s">
        <v>3358</v>
      </c>
      <c r="B1542" t="s">
        <v>1509</v>
      </c>
      <c r="C1542" t="s">
        <v>133</v>
      </c>
      <c r="D1542" s="10">
        <v>31727</v>
      </c>
      <c r="E1542" s="10">
        <v>45515</v>
      </c>
      <c r="F1542">
        <v>37</v>
      </c>
      <c r="G1542" t="s">
        <v>4296</v>
      </c>
    </row>
    <row r="1543" spans="1:7">
      <c r="A1543" t="s">
        <v>3362</v>
      </c>
      <c r="B1543" t="s">
        <v>2594</v>
      </c>
      <c r="C1543" t="s">
        <v>40</v>
      </c>
      <c r="D1543" s="10">
        <v>27651</v>
      </c>
      <c r="E1543" s="10">
        <v>45784</v>
      </c>
      <c r="F1543">
        <v>49</v>
      </c>
      <c r="G1543" t="s">
        <v>4296</v>
      </c>
    </row>
    <row r="1544" spans="1:7">
      <c r="A1544" t="s">
        <v>3363</v>
      </c>
      <c r="B1544" t="s">
        <v>999</v>
      </c>
      <c r="C1544" t="s">
        <v>40</v>
      </c>
      <c r="D1544" s="10">
        <v>35546</v>
      </c>
      <c r="E1544" s="10">
        <v>45421</v>
      </c>
      <c r="F1544">
        <v>27</v>
      </c>
      <c r="G1544" t="s">
        <v>4296</v>
      </c>
    </row>
    <row r="1545" spans="1:7">
      <c r="A1545" t="s">
        <v>3364</v>
      </c>
      <c r="B1545" t="s">
        <v>1839</v>
      </c>
      <c r="C1545" t="s">
        <v>40</v>
      </c>
      <c r="D1545" s="10">
        <v>19977</v>
      </c>
      <c r="E1545" s="10">
        <v>45056</v>
      </c>
      <c r="F1545">
        <v>68</v>
      </c>
      <c r="G1545" t="s">
        <v>4296</v>
      </c>
    </row>
    <row r="1546" spans="1:7">
      <c r="A1546" t="s">
        <v>4194</v>
      </c>
      <c r="B1546" t="s">
        <v>251</v>
      </c>
      <c r="C1546" t="s">
        <v>133</v>
      </c>
      <c r="D1546" s="10">
        <v>33972</v>
      </c>
      <c r="E1546" s="10">
        <v>45977</v>
      </c>
      <c r="F1546">
        <v>32</v>
      </c>
      <c r="G1546" t="s">
        <v>4296</v>
      </c>
    </row>
    <row r="1547" spans="1:7">
      <c r="A1547" t="s">
        <v>3367</v>
      </c>
      <c r="B1547" t="s">
        <v>737</v>
      </c>
      <c r="C1547" t="s">
        <v>40</v>
      </c>
      <c r="D1547" s="10">
        <v>36705</v>
      </c>
      <c r="E1547" s="10">
        <v>45076</v>
      </c>
      <c r="F1547">
        <v>22</v>
      </c>
      <c r="G1547" t="s">
        <v>4296</v>
      </c>
    </row>
    <row r="1548" spans="1:7">
      <c r="A1548" t="s">
        <v>3369</v>
      </c>
      <c r="B1548" t="s">
        <v>363</v>
      </c>
      <c r="C1548" t="s">
        <v>40</v>
      </c>
      <c r="D1548" s="10">
        <v>32854</v>
      </c>
      <c r="E1548" s="10">
        <v>45857</v>
      </c>
      <c r="F1548">
        <v>35</v>
      </c>
      <c r="G1548" t="s">
        <v>4296</v>
      </c>
    </row>
    <row r="1549" spans="1:7">
      <c r="A1549" t="s">
        <v>3370</v>
      </c>
      <c r="B1549" t="s">
        <v>1068</v>
      </c>
      <c r="C1549" t="s">
        <v>40</v>
      </c>
      <c r="D1549" s="10">
        <v>26314</v>
      </c>
      <c r="E1549" s="10">
        <v>45943</v>
      </c>
      <c r="F1549">
        <v>53</v>
      </c>
      <c r="G1549" t="s">
        <v>4296</v>
      </c>
    </row>
    <row r="1550" spans="1:7">
      <c r="A1550" t="s">
        <v>3371</v>
      </c>
      <c r="B1550" t="s">
        <v>737</v>
      </c>
      <c r="C1550" t="s">
        <v>40</v>
      </c>
      <c r="D1550" s="10">
        <v>29750</v>
      </c>
      <c r="E1550" s="10">
        <v>45633</v>
      </c>
      <c r="F1550">
        <v>43</v>
      </c>
      <c r="G1550" t="s">
        <v>4296</v>
      </c>
    </row>
    <row r="1551" spans="1:7">
      <c r="A1551" t="s">
        <v>3372</v>
      </c>
      <c r="B1551" t="s">
        <v>531</v>
      </c>
      <c r="C1551" t="s">
        <v>133</v>
      </c>
      <c r="D1551" s="10">
        <v>24030</v>
      </c>
      <c r="E1551" s="10">
        <v>45988</v>
      </c>
      <c r="F1551">
        <v>60</v>
      </c>
      <c r="G1551" t="s">
        <v>4296</v>
      </c>
    </row>
    <row r="1552" spans="1:7">
      <c r="A1552" t="s">
        <v>3373</v>
      </c>
      <c r="B1552" t="s">
        <v>728</v>
      </c>
      <c r="C1552" t="s">
        <v>40</v>
      </c>
      <c r="D1552" s="10">
        <v>37212</v>
      </c>
      <c r="E1552" s="10">
        <v>45842</v>
      </c>
      <c r="F1552">
        <v>23</v>
      </c>
      <c r="G1552" t="s">
        <v>4296</v>
      </c>
    </row>
    <row r="1553" spans="1:7">
      <c r="A1553" t="s">
        <v>3374</v>
      </c>
      <c r="B1553" t="s">
        <v>1088</v>
      </c>
      <c r="C1553" t="s">
        <v>40</v>
      </c>
      <c r="D1553" s="10">
        <v>29696</v>
      </c>
      <c r="E1553" s="10">
        <v>45270</v>
      </c>
      <c r="F1553">
        <v>42</v>
      </c>
      <c r="G1553" t="s">
        <v>4296</v>
      </c>
    </row>
    <row r="1554" spans="1:7">
      <c r="A1554" t="s">
        <v>3375</v>
      </c>
      <c r="B1554" t="s">
        <v>965</v>
      </c>
      <c r="C1554" t="s">
        <v>133</v>
      </c>
      <c r="D1554" s="10">
        <v>39266</v>
      </c>
      <c r="E1554" s="10">
        <v>45730</v>
      </c>
      <c r="F1554">
        <v>17</v>
      </c>
      <c r="G1554" t="s">
        <v>4296</v>
      </c>
    </row>
    <row r="1555" spans="1:7">
      <c r="A1555" t="s">
        <v>3376</v>
      </c>
      <c r="B1555" t="s">
        <v>2177</v>
      </c>
      <c r="C1555" t="s">
        <v>40</v>
      </c>
      <c r="D1555" s="10">
        <v>26011</v>
      </c>
      <c r="E1555" s="10">
        <v>45022</v>
      </c>
      <c r="F1555">
        <v>52</v>
      </c>
      <c r="G1555" t="s">
        <v>4296</v>
      </c>
    </row>
    <row r="1556" spans="1:7">
      <c r="A1556" t="s">
        <v>3377</v>
      </c>
      <c r="B1556" t="s">
        <v>1276</v>
      </c>
      <c r="C1556" t="s">
        <v>133</v>
      </c>
      <c r="D1556" s="10">
        <v>19555</v>
      </c>
      <c r="E1556" s="10">
        <v>45412</v>
      </c>
      <c r="F1556">
        <v>70</v>
      </c>
      <c r="G1556" t="s">
        <v>4296</v>
      </c>
    </row>
    <row r="1557" spans="1:7">
      <c r="A1557" t="s">
        <v>3380</v>
      </c>
      <c r="B1557" t="s">
        <v>373</v>
      </c>
      <c r="C1557" t="s">
        <v>133</v>
      </c>
      <c r="D1557" s="10">
        <v>35599</v>
      </c>
      <c r="E1557" s="10">
        <v>45685</v>
      </c>
      <c r="F1557">
        <v>27</v>
      </c>
      <c r="G1557" t="s">
        <v>4296</v>
      </c>
    </row>
    <row r="1558" spans="1:7">
      <c r="A1558" t="s">
        <v>3381</v>
      </c>
      <c r="B1558" t="s">
        <v>67</v>
      </c>
      <c r="C1558" t="s">
        <v>133</v>
      </c>
      <c r="D1558" s="10">
        <v>31044</v>
      </c>
      <c r="E1558" s="10">
        <v>45750</v>
      </c>
      <c r="F1558">
        <v>40</v>
      </c>
      <c r="G1558" t="s">
        <v>4296</v>
      </c>
    </row>
    <row r="1559" spans="1:7">
      <c r="A1559" t="s">
        <v>3382</v>
      </c>
      <c r="B1559" t="s">
        <v>1293</v>
      </c>
      <c r="C1559" t="s">
        <v>133</v>
      </c>
      <c r="D1559" s="10">
        <v>36863</v>
      </c>
      <c r="E1559" s="10">
        <v>45796</v>
      </c>
      <c r="F1559">
        <v>24</v>
      </c>
      <c r="G1559" t="s">
        <v>4296</v>
      </c>
    </row>
    <row r="1560" spans="1:7">
      <c r="A1560" t="s">
        <v>3383</v>
      </c>
      <c r="B1560" t="s">
        <v>59</v>
      </c>
      <c r="C1560" t="s">
        <v>133</v>
      </c>
      <c r="D1560" s="10">
        <v>31033</v>
      </c>
      <c r="E1560" s="10">
        <v>45806</v>
      </c>
      <c r="F1560">
        <v>40</v>
      </c>
      <c r="G1560" t="s">
        <v>4296</v>
      </c>
    </row>
    <row r="1561" spans="1:7">
      <c r="A1561" t="s">
        <v>3384</v>
      </c>
      <c r="B1561" t="s">
        <v>756</v>
      </c>
      <c r="C1561" t="s">
        <v>40</v>
      </c>
      <c r="D1561" s="10">
        <v>21227</v>
      </c>
      <c r="E1561" s="10">
        <v>45238</v>
      </c>
      <c r="F1561">
        <v>65</v>
      </c>
      <c r="G1561" t="s">
        <v>4296</v>
      </c>
    </row>
    <row r="1562" spans="1:7">
      <c r="A1562" t="s">
        <v>4195</v>
      </c>
      <c r="B1562" t="s">
        <v>1230</v>
      </c>
      <c r="C1562" t="s">
        <v>40</v>
      </c>
      <c r="D1562" s="10">
        <v>24908</v>
      </c>
      <c r="E1562" s="10">
        <v>45280</v>
      </c>
      <c r="F1562">
        <v>55</v>
      </c>
      <c r="G1562" t="s">
        <v>4296</v>
      </c>
    </row>
    <row r="1563" spans="1:7">
      <c r="A1563" t="s">
        <v>3387</v>
      </c>
      <c r="B1563" t="s">
        <v>1305</v>
      </c>
      <c r="C1563" t="s">
        <v>133</v>
      </c>
      <c r="D1563" s="10">
        <v>34207</v>
      </c>
      <c r="E1563" s="10">
        <v>45084</v>
      </c>
      <c r="F1563">
        <v>29</v>
      </c>
      <c r="G1563" t="s">
        <v>4296</v>
      </c>
    </row>
    <row r="1564" spans="1:7">
      <c r="A1564" t="s">
        <v>3389</v>
      </c>
      <c r="B1564" t="s">
        <v>1438</v>
      </c>
      <c r="C1564" t="s">
        <v>133</v>
      </c>
      <c r="D1564" s="10">
        <v>20275</v>
      </c>
      <c r="E1564" s="10">
        <v>44962</v>
      </c>
      <c r="F1564">
        <v>67</v>
      </c>
      <c r="G1564" t="s">
        <v>4296</v>
      </c>
    </row>
    <row r="1565" spans="1:7">
      <c r="A1565" t="s">
        <v>3392</v>
      </c>
      <c r="B1565" t="s">
        <v>288</v>
      </c>
      <c r="C1565" t="s">
        <v>40</v>
      </c>
      <c r="D1565" s="10">
        <v>32837</v>
      </c>
      <c r="E1565" s="10">
        <v>45436</v>
      </c>
      <c r="F1565">
        <v>34</v>
      </c>
      <c r="G1565" t="s">
        <v>4296</v>
      </c>
    </row>
    <row r="1566" spans="1:7">
      <c r="A1566" t="s">
        <v>3394</v>
      </c>
      <c r="B1566" t="s">
        <v>417</v>
      </c>
      <c r="C1566" t="s">
        <v>40</v>
      </c>
      <c r="D1566" s="10">
        <v>20658</v>
      </c>
      <c r="E1566" s="10">
        <v>45272</v>
      </c>
      <c r="F1566">
        <v>67</v>
      </c>
      <c r="G1566" t="s">
        <v>4296</v>
      </c>
    </row>
    <row r="1567" spans="1:7">
      <c r="A1567" t="s">
        <v>3396</v>
      </c>
      <c r="B1567" t="s">
        <v>999</v>
      </c>
      <c r="C1567" t="s">
        <v>133</v>
      </c>
      <c r="D1567" s="10">
        <v>24333</v>
      </c>
      <c r="E1567" s="10">
        <v>45625</v>
      </c>
      <c r="F1567">
        <v>58</v>
      </c>
      <c r="G1567" t="s">
        <v>4296</v>
      </c>
    </row>
    <row r="1568" spans="1:7">
      <c r="A1568" t="s">
        <v>3398</v>
      </c>
      <c r="B1568" t="s">
        <v>1001</v>
      </c>
      <c r="C1568" t="s">
        <v>133</v>
      </c>
      <c r="D1568" s="10">
        <v>26520</v>
      </c>
      <c r="E1568" s="10">
        <v>45608</v>
      </c>
      <c r="F1568">
        <v>52</v>
      </c>
      <c r="G1568" t="s">
        <v>4296</v>
      </c>
    </row>
    <row r="1569" spans="1:7">
      <c r="A1569" t="s">
        <v>3400</v>
      </c>
      <c r="B1569" t="s">
        <v>576</v>
      </c>
      <c r="C1569" t="s">
        <v>133</v>
      </c>
      <c r="D1569" s="10">
        <v>37517</v>
      </c>
      <c r="E1569" s="10">
        <v>45170</v>
      </c>
      <c r="F1569">
        <v>20</v>
      </c>
      <c r="G1569" t="s">
        <v>4296</v>
      </c>
    </row>
    <row r="1570" spans="1:7">
      <c r="A1570" t="s">
        <v>3401</v>
      </c>
      <c r="B1570" t="s">
        <v>2507</v>
      </c>
      <c r="C1570" t="s">
        <v>133</v>
      </c>
      <c r="D1570" s="10">
        <v>37911</v>
      </c>
      <c r="E1570" s="10">
        <v>45408</v>
      </c>
      <c r="F1570">
        <v>20</v>
      </c>
      <c r="G1570" t="s">
        <v>4296</v>
      </c>
    </row>
    <row r="1571" spans="1:7">
      <c r="A1571" t="s">
        <v>3402</v>
      </c>
      <c r="B1571" t="s">
        <v>587</v>
      </c>
      <c r="C1571" t="s">
        <v>40</v>
      </c>
      <c r="D1571" s="10">
        <v>18891</v>
      </c>
      <c r="E1571" s="10">
        <v>45482</v>
      </c>
      <c r="F1571">
        <v>72</v>
      </c>
      <c r="G1571" t="s">
        <v>4237</v>
      </c>
    </row>
    <row r="1572" spans="1:7">
      <c r="A1572" t="s">
        <v>3405</v>
      </c>
      <c r="B1572" t="s">
        <v>591</v>
      </c>
      <c r="C1572" t="s">
        <v>133</v>
      </c>
      <c r="D1572" s="10">
        <v>25755</v>
      </c>
      <c r="E1572" s="10">
        <v>45774</v>
      </c>
      <c r="F1572">
        <v>54</v>
      </c>
      <c r="G1572" t="s">
        <v>4296</v>
      </c>
    </row>
    <row r="1573" spans="1:7">
      <c r="A1573" t="s">
        <v>3407</v>
      </c>
      <c r="B1573" t="s">
        <v>2249</v>
      </c>
      <c r="C1573" t="s">
        <v>40</v>
      </c>
      <c r="D1573" s="10">
        <v>18478</v>
      </c>
      <c r="E1573" s="10">
        <v>45052</v>
      </c>
      <c r="F1573">
        <v>72</v>
      </c>
      <c r="G1573" t="s">
        <v>4296</v>
      </c>
    </row>
    <row r="1574" spans="1:7">
      <c r="A1574" t="s">
        <v>4196</v>
      </c>
      <c r="B1574" t="s">
        <v>1099</v>
      </c>
      <c r="C1574" t="s">
        <v>133</v>
      </c>
      <c r="D1574" s="10">
        <v>37975</v>
      </c>
      <c r="E1574" s="10">
        <v>45558</v>
      </c>
      <c r="F1574">
        <v>20</v>
      </c>
      <c r="G1574" t="s">
        <v>4296</v>
      </c>
    </row>
    <row r="1575" spans="1:7">
      <c r="A1575" t="s">
        <v>3409</v>
      </c>
      <c r="B1575" t="s">
        <v>658</v>
      </c>
      <c r="C1575" t="s">
        <v>40</v>
      </c>
      <c r="D1575" s="10">
        <v>38063</v>
      </c>
      <c r="E1575" s="10">
        <v>45379</v>
      </c>
      <c r="F1575">
        <v>20</v>
      </c>
      <c r="G1575" t="s">
        <v>4296</v>
      </c>
    </row>
    <row r="1576" spans="1:7">
      <c r="A1576" t="s">
        <v>4197</v>
      </c>
      <c r="B1576" t="s">
        <v>451</v>
      </c>
      <c r="C1576" t="s">
        <v>133</v>
      </c>
      <c r="D1576" s="10">
        <v>25894</v>
      </c>
      <c r="E1576" s="10">
        <v>45248</v>
      </c>
      <c r="F1576">
        <v>52</v>
      </c>
      <c r="G1576" t="s">
        <v>4296</v>
      </c>
    </row>
    <row r="1577" spans="1:7">
      <c r="A1577" t="s">
        <v>3411</v>
      </c>
      <c r="B1577" t="s">
        <v>980</v>
      </c>
      <c r="C1577" t="s">
        <v>133</v>
      </c>
      <c r="D1577" s="10">
        <v>39704</v>
      </c>
      <c r="E1577" s="10">
        <v>45636</v>
      </c>
      <c r="F1577">
        <v>16</v>
      </c>
      <c r="G1577" t="s">
        <v>4296</v>
      </c>
    </row>
    <row r="1578" spans="1:7">
      <c r="A1578" t="s">
        <v>3412</v>
      </c>
      <c r="B1578" t="s">
        <v>1026</v>
      </c>
      <c r="C1578" t="s">
        <v>133</v>
      </c>
      <c r="D1578" s="10">
        <v>29330</v>
      </c>
      <c r="E1578" s="10">
        <v>45358</v>
      </c>
      <c r="F1578">
        <v>43</v>
      </c>
      <c r="G1578" t="s">
        <v>4237</v>
      </c>
    </row>
    <row r="1579" spans="1:7">
      <c r="A1579" t="s">
        <v>3415</v>
      </c>
      <c r="B1579" t="s">
        <v>129</v>
      </c>
      <c r="C1579" t="s">
        <v>40</v>
      </c>
      <c r="D1579" s="10">
        <v>39151</v>
      </c>
      <c r="E1579" s="10">
        <v>45478</v>
      </c>
      <c r="F1579">
        <v>17</v>
      </c>
      <c r="G1579" t="s">
        <v>4296</v>
      </c>
    </row>
    <row r="1580" spans="1:7">
      <c r="A1580" t="s">
        <v>3417</v>
      </c>
      <c r="B1580" t="s">
        <v>553</v>
      </c>
      <c r="C1580" t="s">
        <v>40</v>
      </c>
      <c r="D1580" s="10">
        <v>25532</v>
      </c>
      <c r="E1580" s="10">
        <v>45091</v>
      </c>
      <c r="F1580">
        <v>53</v>
      </c>
      <c r="G1580" t="s">
        <v>4296</v>
      </c>
    </row>
    <row r="1581" spans="1:7">
      <c r="A1581" t="s">
        <v>3419</v>
      </c>
      <c r="B1581" t="s">
        <v>129</v>
      </c>
      <c r="C1581" t="s">
        <v>40</v>
      </c>
      <c r="D1581" s="10">
        <v>26688</v>
      </c>
      <c r="E1581" s="10">
        <v>45799</v>
      </c>
      <c r="F1581">
        <v>52</v>
      </c>
      <c r="G1581" t="s">
        <v>4296</v>
      </c>
    </row>
    <row r="1582" spans="1:7">
      <c r="A1582" t="s">
        <v>3420</v>
      </c>
      <c r="B1582" t="s">
        <v>737</v>
      </c>
      <c r="C1582" t="s">
        <v>133</v>
      </c>
      <c r="D1582" s="10">
        <v>29129</v>
      </c>
      <c r="E1582" s="10">
        <v>45169</v>
      </c>
      <c r="F1582">
        <v>43</v>
      </c>
      <c r="G1582" t="s">
        <v>4296</v>
      </c>
    </row>
    <row r="1583" spans="1:7">
      <c r="A1583" t="s">
        <v>3422</v>
      </c>
      <c r="B1583" t="s">
        <v>1135</v>
      </c>
      <c r="C1583" t="s">
        <v>40</v>
      </c>
      <c r="D1583" s="10">
        <v>24051</v>
      </c>
      <c r="E1583" s="10">
        <v>45518</v>
      </c>
      <c r="F1583">
        <v>58</v>
      </c>
      <c r="G1583" t="s">
        <v>4296</v>
      </c>
    </row>
    <row r="1584" spans="1:7">
      <c r="A1584" t="s">
        <v>3423</v>
      </c>
      <c r="B1584" t="s">
        <v>1598</v>
      </c>
      <c r="C1584" t="s">
        <v>133</v>
      </c>
      <c r="D1584" s="10">
        <v>31548</v>
      </c>
      <c r="E1584" s="10">
        <v>45444</v>
      </c>
      <c r="F1584">
        <v>38</v>
      </c>
      <c r="G1584" t="s">
        <v>4296</v>
      </c>
    </row>
    <row r="1585" spans="1:7">
      <c r="A1585" t="s">
        <v>3424</v>
      </c>
      <c r="B1585" t="s">
        <v>887</v>
      </c>
      <c r="C1585" t="s">
        <v>40</v>
      </c>
      <c r="D1585" s="10">
        <v>39431</v>
      </c>
      <c r="E1585" s="10">
        <v>45001</v>
      </c>
      <c r="F1585">
        <v>15</v>
      </c>
      <c r="G1585" t="s">
        <v>4296</v>
      </c>
    </row>
    <row r="1586" spans="1:7">
      <c r="A1586" t="s">
        <v>3425</v>
      </c>
      <c r="B1586" t="s">
        <v>1135</v>
      </c>
      <c r="C1586" t="s">
        <v>40</v>
      </c>
      <c r="D1586" s="10">
        <v>19223</v>
      </c>
      <c r="E1586" s="10">
        <v>45422</v>
      </c>
      <c r="F1586">
        <v>71</v>
      </c>
      <c r="G1586" t="s">
        <v>4296</v>
      </c>
    </row>
    <row r="1587" spans="1:7">
      <c r="A1587" t="s">
        <v>3427</v>
      </c>
      <c r="B1587" t="s">
        <v>274</v>
      </c>
      <c r="C1587" t="s">
        <v>40</v>
      </c>
      <c r="D1587" s="10">
        <v>24573</v>
      </c>
      <c r="E1587" s="10">
        <v>45137</v>
      </c>
      <c r="F1587">
        <v>56</v>
      </c>
      <c r="G1587" t="s">
        <v>4296</v>
      </c>
    </row>
    <row r="1588" spans="1:7">
      <c r="A1588" t="s">
        <v>3429</v>
      </c>
      <c r="B1588" t="s">
        <v>1125</v>
      </c>
      <c r="C1588" t="s">
        <v>133</v>
      </c>
      <c r="D1588" s="10">
        <v>23125</v>
      </c>
      <c r="E1588" s="10">
        <v>45677</v>
      </c>
      <c r="F1588">
        <v>61</v>
      </c>
      <c r="G1588" t="s">
        <v>4296</v>
      </c>
    </row>
    <row r="1589" spans="1:7">
      <c r="A1589" t="s">
        <v>4198</v>
      </c>
      <c r="B1589" t="s">
        <v>1658</v>
      </c>
      <c r="C1589" t="s">
        <v>133</v>
      </c>
      <c r="D1589" s="10">
        <v>35425</v>
      </c>
      <c r="E1589" s="10">
        <v>45565</v>
      </c>
      <c r="F1589">
        <v>27</v>
      </c>
      <c r="G1589" t="s">
        <v>4296</v>
      </c>
    </row>
    <row r="1590" spans="1:7">
      <c r="A1590" t="s">
        <v>3431</v>
      </c>
      <c r="B1590" t="s">
        <v>378</v>
      </c>
      <c r="C1590" t="s">
        <v>40</v>
      </c>
      <c r="D1590" s="10">
        <v>38297</v>
      </c>
      <c r="E1590" s="10">
        <v>45329</v>
      </c>
      <c r="F1590">
        <v>19</v>
      </c>
      <c r="G1590" t="s">
        <v>4296</v>
      </c>
    </row>
    <row r="1591" spans="1:7">
      <c r="A1591" t="s">
        <v>3432</v>
      </c>
      <c r="B1591" t="s">
        <v>752</v>
      </c>
      <c r="C1591" t="s">
        <v>40</v>
      </c>
      <c r="D1591" s="10">
        <v>34866</v>
      </c>
      <c r="E1591" s="10">
        <v>45354</v>
      </c>
      <c r="F1591">
        <v>28</v>
      </c>
      <c r="G1591" t="s">
        <v>4296</v>
      </c>
    </row>
    <row r="1592" spans="1:7">
      <c r="A1592" t="s">
        <v>3434</v>
      </c>
      <c r="B1592" t="s">
        <v>801</v>
      </c>
      <c r="C1592" t="s">
        <v>133</v>
      </c>
      <c r="D1592" s="10">
        <v>25824</v>
      </c>
      <c r="E1592" s="10">
        <v>45944</v>
      </c>
      <c r="F1592">
        <v>55</v>
      </c>
      <c r="G1592" t="s">
        <v>4296</v>
      </c>
    </row>
    <row r="1593" spans="1:7">
      <c r="A1593" t="s">
        <v>3435</v>
      </c>
      <c r="B1593" t="s">
        <v>436</v>
      </c>
      <c r="C1593" t="s">
        <v>133</v>
      </c>
      <c r="D1593" s="10">
        <v>37648</v>
      </c>
      <c r="E1593" s="10">
        <v>45242</v>
      </c>
      <c r="F1593">
        <v>20</v>
      </c>
      <c r="G1593" t="s">
        <v>4296</v>
      </c>
    </row>
    <row r="1594" spans="1:7">
      <c r="A1594" t="s">
        <v>3436</v>
      </c>
      <c r="B1594" t="s">
        <v>875</v>
      </c>
      <c r="C1594" t="s">
        <v>40</v>
      </c>
      <c r="D1594" s="10">
        <v>22720</v>
      </c>
      <c r="E1594" s="10">
        <v>46005</v>
      </c>
      <c r="F1594">
        <v>63</v>
      </c>
      <c r="G1594" t="s">
        <v>4296</v>
      </c>
    </row>
    <row r="1595" spans="1:7">
      <c r="A1595" t="s">
        <v>3437</v>
      </c>
      <c r="B1595" t="s">
        <v>455</v>
      </c>
      <c r="C1595" t="s">
        <v>40</v>
      </c>
      <c r="D1595" s="10">
        <v>37082</v>
      </c>
      <c r="E1595" s="10">
        <v>45041</v>
      </c>
      <c r="F1595">
        <v>21</v>
      </c>
      <c r="G1595" t="s">
        <v>4296</v>
      </c>
    </row>
    <row r="1596" spans="1:7">
      <c r="A1596" t="s">
        <v>3439</v>
      </c>
      <c r="B1596" t="s">
        <v>451</v>
      </c>
      <c r="C1596" t="s">
        <v>133</v>
      </c>
      <c r="D1596" s="10">
        <v>27806</v>
      </c>
      <c r="E1596" s="10">
        <v>45332</v>
      </c>
      <c r="F1596">
        <v>47</v>
      </c>
      <c r="G1596" t="s">
        <v>4296</v>
      </c>
    </row>
    <row r="1597" spans="1:7">
      <c r="A1597" t="s">
        <v>3440</v>
      </c>
      <c r="B1597" t="s">
        <v>350</v>
      </c>
      <c r="C1597" t="s">
        <v>40</v>
      </c>
      <c r="D1597" s="10">
        <v>22900</v>
      </c>
      <c r="E1597" s="10">
        <v>45288</v>
      </c>
      <c r="F1597">
        <v>61</v>
      </c>
      <c r="G1597" t="s">
        <v>4296</v>
      </c>
    </row>
    <row r="1598" spans="1:7">
      <c r="A1598" t="s">
        <v>3442</v>
      </c>
      <c r="B1598" t="s">
        <v>1050</v>
      </c>
      <c r="C1598" t="s">
        <v>40</v>
      </c>
      <c r="D1598" s="10">
        <v>23673</v>
      </c>
      <c r="E1598" s="10">
        <v>45391</v>
      </c>
      <c r="F1598">
        <v>59</v>
      </c>
      <c r="G1598" t="s">
        <v>4296</v>
      </c>
    </row>
    <row r="1599" spans="1:7">
      <c r="A1599" t="s">
        <v>3446</v>
      </c>
      <c r="B1599" t="s">
        <v>527</v>
      </c>
      <c r="C1599" t="s">
        <v>40</v>
      </c>
      <c r="D1599" s="10">
        <v>32105</v>
      </c>
      <c r="E1599" s="10">
        <v>45475</v>
      </c>
      <c r="F1599">
        <v>36</v>
      </c>
      <c r="G1599" t="s">
        <v>4296</v>
      </c>
    </row>
    <row r="1600" spans="1:7">
      <c r="A1600" t="s">
        <v>3447</v>
      </c>
      <c r="B1600" t="s">
        <v>550</v>
      </c>
      <c r="C1600" t="s">
        <v>40</v>
      </c>
      <c r="D1600" s="10">
        <v>35394</v>
      </c>
      <c r="E1600" s="10">
        <v>45643</v>
      </c>
      <c r="F1600">
        <v>28</v>
      </c>
      <c r="G1600" t="s">
        <v>4296</v>
      </c>
    </row>
    <row r="1601" spans="1:7">
      <c r="A1601" t="s">
        <v>3449</v>
      </c>
      <c r="B1601" t="s">
        <v>965</v>
      </c>
      <c r="C1601" t="s">
        <v>40</v>
      </c>
      <c r="D1601" s="10">
        <v>36580</v>
      </c>
      <c r="E1601" s="10">
        <v>45054</v>
      </c>
      <c r="F1601">
        <v>23</v>
      </c>
      <c r="G1601" t="s">
        <v>4296</v>
      </c>
    </row>
    <row r="1602" spans="1:7">
      <c r="A1602" t="s">
        <v>3450</v>
      </c>
      <c r="B1602" t="s">
        <v>932</v>
      </c>
      <c r="C1602" t="s">
        <v>133</v>
      </c>
      <c r="D1602" s="10">
        <v>18820</v>
      </c>
      <c r="E1602" s="10">
        <v>45481</v>
      </c>
      <c r="F1602">
        <v>72</v>
      </c>
      <c r="G1602" t="s">
        <v>4296</v>
      </c>
    </row>
    <row r="1603" spans="1:7">
      <c r="A1603" t="s">
        <v>3452</v>
      </c>
      <c r="B1603" t="s">
        <v>403</v>
      </c>
      <c r="C1603" t="s">
        <v>40</v>
      </c>
      <c r="D1603" s="10">
        <v>35495</v>
      </c>
      <c r="E1603" s="10">
        <v>45671</v>
      </c>
      <c r="F1603">
        <v>27</v>
      </c>
      <c r="G1603" t="s">
        <v>4296</v>
      </c>
    </row>
    <row r="1604" spans="1:7">
      <c r="A1604" t="s">
        <v>3454</v>
      </c>
      <c r="B1604" t="s">
        <v>673</v>
      </c>
      <c r="C1604" t="s">
        <v>133</v>
      </c>
      <c r="D1604" s="10">
        <v>35068</v>
      </c>
      <c r="E1604" s="10">
        <v>45203</v>
      </c>
      <c r="F1604">
        <v>27</v>
      </c>
      <c r="G1604" t="s">
        <v>4296</v>
      </c>
    </row>
    <row r="1605" spans="1:7">
      <c r="A1605" t="s">
        <v>3456</v>
      </c>
      <c r="B1605" t="s">
        <v>1108</v>
      </c>
      <c r="C1605" t="s">
        <v>133</v>
      </c>
      <c r="D1605" s="10">
        <v>22291</v>
      </c>
      <c r="E1605" s="10">
        <v>45294</v>
      </c>
      <c r="F1605">
        <v>62</v>
      </c>
      <c r="G1605" t="s">
        <v>4296</v>
      </c>
    </row>
    <row r="1606" spans="1:7">
      <c r="A1606" t="s">
        <v>3458</v>
      </c>
      <c r="B1606" t="s">
        <v>545</v>
      </c>
      <c r="C1606" t="s">
        <v>40</v>
      </c>
      <c r="D1606" s="10">
        <v>33278</v>
      </c>
      <c r="E1606" s="10">
        <v>45164</v>
      </c>
      <c r="F1606">
        <v>32</v>
      </c>
      <c r="G1606" t="s">
        <v>4296</v>
      </c>
    </row>
    <row r="1607" spans="1:7">
      <c r="A1607" t="s">
        <v>3460</v>
      </c>
      <c r="B1607" t="s">
        <v>2270</v>
      </c>
      <c r="C1607" t="s">
        <v>40</v>
      </c>
      <c r="D1607" s="10">
        <v>24222</v>
      </c>
      <c r="E1607" s="10">
        <v>45684</v>
      </c>
      <c r="F1607">
        <v>58</v>
      </c>
      <c r="G1607" t="s">
        <v>4296</v>
      </c>
    </row>
    <row r="1608" spans="1:7">
      <c r="A1608" t="s">
        <v>3462</v>
      </c>
      <c r="B1608" t="s">
        <v>283</v>
      </c>
      <c r="C1608" t="s">
        <v>133</v>
      </c>
      <c r="D1608" s="10">
        <v>25221</v>
      </c>
      <c r="E1608" s="10">
        <v>45986</v>
      </c>
      <c r="F1608">
        <v>56</v>
      </c>
      <c r="G1608" t="s">
        <v>4296</v>
      </c>
    </row>
    <row r="1609" spans="1:7">
      <c r="A1609" t="s">
        <v>3464</v>
      </c>
      <c r="B1609" t="s">
        <v>368</v>
      </c>
      <c r="C1609" t="s">
        <v>133</v>
      </c>
      <c r="D1609" s="10">
        <v>28828</v>
      </c>
      <c r="E1609" s="10">
        <v>45204</v>
      </c>
      <c r="F1609">
        <v>44</v>
      </c>
      <c r="G1609" t="s">
        <v>4296</v>
      </c>
    </row>
    <row r="1610" spans="1:7">
      <c r="A1610" t="s">
        <v>4199</v>
      </c>
      <c r="B1610" t="s">
        <v>852</v>
      </c>
      <c r="C1610" t="s">
        <v>133</v>
      </c>
      <c r="D1610" s="10">
        <v>31081</v>
      </c>
      <c r="E1610" s="10">
        <v>45003</v>
      </c>
      <c r="F1610">
        <v>38</v>
      </c>
      <c r="G1610" t="s">
        <v>4296</v>
      </c>
    </row>
    <row r="1611" spans="1:7">
      <c r="A1611" t="s">
        <v>3467</v>
      </c>
      <c r="B1611" t="s">
        <v>607</v>
      </c>
      <c r="C1611" t="s">
        <v>40</v>
      </c>
      <c r="D1611" s="10">
        <v>23005</v>
      </c>
      <c r="E1611" s="10">
        <v>45125</v>
      </c>
      <c r="F1611">
        <v>60</v>
      </c>
      <c r="G1611" t="s">
        <v>4296</v>
      </c>
    </row>
    <row r="1612" spans="1:7">
      <c r="A1612" t="s">
        <v>3469</v>
      </c>
      <c r="B1612" t="s">
        <v>513</v>
      </c>
      <c r="C1612" t="s">
        <v>133</v>
      </c>
      <c r="D1612" s="10">
        <v>36221</v>
      </c>
      <c r="E1612" s="10">
        <v>45201</v>
      </c>
      <c r="F1612">
        <v>24</v>
      </c>
      <c r="G1612" t="s">
        <v>4296</v>
      </c>
    </row>
    <row r="1613" spans="1:7">
      <c r="A1613" t="s">
        <v>3472</v>
      </c>
      <c r="B1613" t="s">
        <v>1393</v>
      </c>
      <c r="C1613" t="s">
        <v>133</v>
      </c>
      <c r="D1613" s="10">
        <v>36871</v>
      </c>
      <c r="E1613" s="10">
        <v>45652</v>
      </c>
      <c r="F1613">
        <v>24</v>
      </c>
      <c r="G1613" t="s">
        <v>4296</v>
      </c>
    </row>
    <row r="1614" spans="1:7">
      <c r="A1614" t="s">
        <v>3473</v>
      </c>
      <c r="B1614" t="s">
        <v>155</v>
      </c>
      <c r="C1614" t="s">
        <v>40</v>
      </c>
      <c r="D1614" s="10">
        <v>35575</v>
      </c>
      <c r="E1614" s="10">
        <v>45065</v>
      </c>
      <c r="F1614">
        <v>25</v>
      </c>
      <c r="G1614" t="s">
        <v>4296</v>
      </c>
    </row>
    <row r="1615" spans="1:7">
      <c r="A1615" t="s">
        <v>3474</v>
      </c>
      <c r="B1615" t="s">
        <v>83</v>
      </c>
      <c r="C1615" t="s">
        <v>40</v>
      </c>
      <c r="D1615" s="10">
        <v>24772</v>
      </c>
      <c r="E1615" s="10">
        <v>45118</v>
      </c>
      <c r="F1615">
        <v>55</v>
      </c>
      <c r="G1615" t="s">
        <v>4296</v>
      </c>
    </row>
    <row r="1616" spans="1:7">
      <c r="A1616" t="s">
        <v>4200</v>
      </c>
      <c r="B1616" t="s">
        <v>572</v>
      </c>
      <c r="C1616" t="s">
        <v>133</v>
      </c>
      <c r="D1616" s="10">
        <v>27401</v>
      </c>
      <c r="E1616" s="10">
        <v>45047</v>
      </c>
      <c r="F1616">
        <v>48</v>
      </c>
      <c r="G1616" t="s">
        <v>4296</v>
      </c>
    </row>
    <row r="1617" spans="1:7">
      <c r="A1617" t="s">
        <v>3476</v>
      </c>
      <c r="B1617" t="s">
        <v>88</v>
      </c>
      <c r="C1617" t="s">
        <v>133</v>
      </c>
      <c r="D1617" s="10">
        <v>23241</v>
      </c>
      <c r="E1617" s="10">
        <v>45109</v>
      </c>
      <c r="F1617">
        <v>59</v>
      </c>
      <c r="G1617" t="s">
        <v>4296</v>
      </c>
    </row>
    <row r="1618" spans="1:7">
      <c r="A1618" t="s">
        <v>3478</v>
      </c>
      <c r="B1618" t="s">
        <v>1313</v>
      </c>
      <c r="C1618" t="s">
        <v>133</v>
      </c>
      <c r="D1618" s="10">
        <v>39357</v>
      </c>
      <c r="E1618" s="10">
        <v>45482</v>
      </c>
      <c r="F1618">
        <v>16</v>
      </c>
      <c r="G1618" t="s">
        <v>4237</v>
      </c>
    </row>
    <row r="1619" spans="1:7">
      <c r="A1619" t="s">
        <v>3480</v>
      </c>
      <c r="B1619" t="s">
        <v>139</v>
      </c>
      <c r="C1619" t="s">
        <v>133</v>
      </c>
      <c r="D1619" s="10">
        <v>26644</v>
      </c>
      <c r="E1619" s="10">
        <v>45218</v>
      </c>
      <c r="F1619">
        <v>50</v>
      </c>
      <c r="G1619" t="s">
        <v>4296</v>
      </c>
    </row>
    <row r="1620" spans="1:7">
      <c r="A1620" t="s">
        <v>4201</v>
      </c>
      <c r="B1620" t="s">
        <v>1302</v>
      </c>
      <c r="C1620" t="s">
        <v>40</v>
      </c>
      <c r="D1620" s="10">
        <v>35427</v>
      </c>
      <c r="E1620" s="10">
        <v>45386</v>
      </c>
      <c r="F1620">
        <v>27</v>
      </c>
      <c r="G1620" t="s">
        <v>4296</v>
      </c>
    </row>
    <row r="1621" spans="1:7">
      <c r="A1621" t="s">
        <v>3483</v>
      </c>
      <c r="B1621" t="s">
        <v>3484</v>
      </c>
      <c r="C1621" t="s">
        <v>40</v>
      </c>
      <c r="D1621" s="10">
        <v>30839</v>
      </c>
      <c r="E1621" s="10">
        <v>45342</v>
      </c>
      <c r="F1621">
        <v>39</v>
      </c>
      <c r="G1621" t="s">
        <v>4296</v>
      </c>
    </row>
    <row r="1622" spans="1:7">
      <c r="A1622" t="s">
        <v>3487</v>
      </c>
      <c r="B1622" t="s">
        <v>1026</v>
      </c>
      <c r="C1622" t="s">
        <v>133</v>
      </c>
      <c r="D1622" s="10">
        <v>26912</v>
      </c>
      <c r="E1622" s="10">
        <v>45374</v>
      </c>
      <c r="F1622">
        <v>50</v>
      </c>
      <c r="G1622" t="s">
        <v>4296</v>
      </c>
    </row>
    <row r="1623" spans="1:7">
      <c r="A1623" t="s">
        <v>3488</v>
      </c>
      <c r="B1623" t="s">
        <v>1099</v>
      </c>
      <c r="C1623" t="s">
        <v>133</v>
      </c>
      <c r="D1623" s="10">
        <v>36685</v>
      </c>
      <c r="E1623" s="10">
        <v>45597</v>
      </c>
      <c r="F1623">
        <v>24</v>
      </c>
      <c r="G1623" t="s">
        <v>4296</v>
      </c>
    </row>
    <row r="1624" spans="1:7">
      <c r="A1624" t="s">
        <v>3490</v>
      </c>
      <c r="B1624" t="s">
        <v>485</v>
      </c>
      <c r="C1624" t="s">
        <v>133</v>
      </c>
      <c r="D1624" s="10">
        <v>37045</v>
      </c>
      <c r="E1624" s="10">
        <v>45294</v>
      </c>
      <c r="F1624">
        <v>22</v>
      </c>
      <c r="G1624" t="s">
        <v>4296</v>
      </c>
    </row>
    <row r="1625" spans="1:7">
      <c r="A1625" t="s">
        <v>3493</v>
      </c>
      <c r="B1625" t="s">
        <v>801</v>
      </c>
      <c r="C1625" t="s">
        <v>133</v>
      </c>
      <c r="D1625" s="10">
        <v>28747</v>
      </c>
      <c r="E1625" s="10">
        <v>45842</v>
      </c>
      <c r="F1625">
        <v>46</v>
      </c>
      <c r="G1625" t="s">
        <v>4296</v>
      </c>
    </row>
    <row r="1626" spans="1:7">
      <c r="A1626" t="s">
        <v>3496</v>
      </c>
      <c r="B1626" t="s">
        <v>455</v>
      </c>
      <c r="C1626" t="s">
        <v>40</v>
      </c>
      <c r="D1626" s="10">
        <v>21864</v>
      </c>
      <c r="E1626" s="10">
        <v>45821</v>
      </c>
      <c r="F1626">
        <v>65</v>
      </c>
      <c r="G1626" t="s">
        <v>4296</v>
      </c>
    </row>
    <row r="1627" spans="1:7">
      <c r="A1627" t="s">
        <v>3500</v>
      </c>
      <c r="B1627" t="s">
        <v>155</v>
      </c>
      <c r="C1627" t="s">
        <v>133</v>
      </c>
      <c r="D1627" s="10">
        <v>25227</v>
      </c>
      <c r="E1627" s="10">
        <v>45050</v>
      </c>
      <c r="F1627">
        <v>54</v>
      </c>
      <c r="G1627" t="s">
        <v>4296</v>
      </c>
    </row>
    <row r="1628" spans="1:7">
      <c r="A1628" t="s">
        <v>3502</v>
      </c>
      <c r="B1628" t="s">
        <v>825</v>
      </c>
      <c r="C1628" t="s">
        <v>40</v>
      </c>
      <c r="D1628" s="10">
        <v>24993</v>
      </c>
      <c r="E1628" s="10">
        <v>45322</v>
      </c>
      <c r="F1628">
        <v>55</v>
      </c>
      <c r="G1628" t="s">
        <v>4296</v>
      </c>
    </row>
    <row r="1629" spans="1:7">
      <c r="A1629" t="s">
        <v>3503</v>
      </c>
      <c r="B1629" t="s">
        <v>1438</v>
      </c>
      <c r="C1629" t="s">
        <v>40</v>
      </c>
      <c r="D1629" s="10">
        <v>24030</v>
      </c>
      <c r="E1629" s="10">
        <v>45666</v>
      </c>
      <c r="F1629">
        <v>59</v>
      </c>
      <c r="G1629" t="s">
        <v>4296</v>
      </c>
    </row>
    <row r="1630" spans="1:7">
      <c r="A1630" t="s">
        <v>3505</v>
      </c>
      <c r="B1630" t="s">
        <v>1104</v>
      </c>
      <c r="C1630" t="s">
        <v>40</v>
      </c>
      <c r="D1630" s="10">
        <v>22130</v>
      </c>
      <c r="E1630" s="10">
        <v>45485</v>
      </c>
      <c r="F1630">
        <v>63</v>
      </c>
      <c r="G1630" t="s">
        <v>4296</v>
      </c>
    </row>
    <row r="1631" spans="1:7">
      <c r="A1631" t="s">
        <v>3507</v>
      </c>
      <c r="B1631" t="s">
        <v>568</v>
      </c>
      <c r="C1631" t="s">
        <v>133</v>
      </c>
      <c r="D1631" s="10">
        <v>32655</v>
      </c>
      <c r="E1631" s="10">
        <v>44942</v>
      </c>
      <c r="F1631">
        <v>33</v>
      </c>
      <c r="G1631" t="s">
        <v>4296</v>
      </c>
    </row>
    <row r="1632" spans="1:7">
      <c r="A1632" t="s">
        <v>3508</v>
      </c>
      <c r="B1632" t="s">
        <v>911</v>
      </c>
      <c r="C1632" t="s">
        <v>133</v>
      </c>
      <c r="D1632" s="10">
        <v>21007</v>
      </c>
      <c r="E1632" s="10">
        <v>45060</v>
      </c>
      <c r="F1632">
        <v>65</v>
      </c>
      <c r="G1632" t="s">
        <v>4296</v>
      </c>
    </row>
    <row r="1633" spans="1:7">
      <c r="A1633" t="s">
        <v>3510</v>
      </c>
      <c r="B1633" t="s">
        <v>458</v>
      </c>
      <c r="C1633" t="s">
        <v>133</v>
      </c>
      <c r="D1633" s="10">
        <v>29408</v>
      </c>
      <c r="E1633" s="10">
        <v>45082</v>
      </c>
      <c r="F1633">
        <v>42</v>
      </c>
      <c r="G1633" t="s">
        <v>4296</v>
      </c>
    </row>
    <row r="1634" spans="1:7">
      <c r="A1634" t="s">
        <v>3511</v>
      </c>
      <c r="B1634" t="s">
        <v>194</v>
      </c>
      <c r="C1634" t="s">
        <v>40</v>
      </c>
      <c r="D1634" s="10">
        <v>21840</v>
      </c>
      <c r="E1634" s="10">
        <v>45039</v>
      </c>
      <c r="F1634">
        <v>63</v>
      </c>
      <c r="G1634" t="s">
        <v>4296</v>
      </c>
    </row>
    <row r="1635" spans="1:7">
      <c r="A1635" t="s">
        <v>3513</v>
      </c>
      <c r="B1635" t="s">
        <v>345</v>
      </c>
      <c r="C1635" t="s">
        <v>40</v>
      </c>
      <c r="D1635" s="10">
        <v>29330</v>
      </c>
      <c r="E1635" s="10">
        <v>45861</v>
      </c>
      <c r="F1635">
        <v>45</v>
      </c>
      <c r="G1635" t="s">
        <v>4237</v>
      </c>
    </row>
    <row r="1636" spans="1:7">
      <c r="A1636" t="s">
        <v>3516</v>
      </c>
      <c r="B1636" t="s">
        <v>1839</v>
      </c>
      <c r="C1636" t="s">
        <v>40</v>
      </c>
      <c r="D1636" s="10">
        <v>22077</v>
      </c>
      <c r="E1636" s="10">
        <v>45753</v>
      </c>
      <c r="F1636">
        <v>64</v>
      </c>
      <c r="G1636" t="s">
        <v>4296</v>
      </c>
    </row>
    <row r="1637" spans="1:7">
      <c r="A1637" t="s">
        <v>3518</v>
      </c>
      <c r="B1637" t="s">
        <v>283</v>
      </c>
      <c r="C1637" t="s">
        <v>133</v>
      </c>
      <c r="D1637" s="10">
        <v>37007</v>
      </c>
      <c r="E1637" s="10">
        <v>45738</v>
      </c>
      <c r="F1637">
        <v>23</v>
      </c>
      <c r="G1637" t="s">
        <v>4296</v>
      </c>
    </row>
    <row r="1638" spans="1:7">
      <c r="A1638" t="s">
        <v>3520</v>
      </c>
      <c r="B1638" t="s">
        <v>2594</v>
      </c>
      <c r="C1638" t="s">
        <v>133</v>
      </c>
      <c r="D1638" s="10">
        <v>38635</v>
      </c>
      <c r="E1638" s="10">
        <v>45227</v>
      </c>
      <c r="F1638">
        <v>18</v>
      </c>
      <c r="G1638" t="s">
        <v>4296</v>
      </c>
    </row>
    <row r="1639" spans="1:7">
      <c r="A1639" t="s">
        <v>3522</v>
      </c>
      <c r="B1639" t="s">
        <v>132</v>
      </c>
      <c r="C1639" t="s">
        <v>40</v>
      </c>
      <c r="D1639" s="10">
        <v>22944</v>
      </c>
      <c r="E1639" s="10">
        <v>45010</v>
      </c>
      <c r="F1639">
        <v>60</v>
      </c>
      <c r="G1639" t="s">
        <v>4296</v>
      </c>
    </row>
    <row r="1640" spans="1:7">
      <c r="A1640" t="s">
        <v>4202</v>
      </c>
      <c r="B1640" t="s">
        <v>587</v>
      </c>
      <c r="C1640" t="s">
        <v>40</v>
      </c>
      <c r="D1640" s="10">
        <v>29330</v>
      </c>
      <c r="E1640" s="10">
        <v>45337</v>
      </c>
      <c r="F1640">
        <v>43</v>
      </c>
      <c r="G1640" t="s">
        <v>4237</v>
      </c>
    </row>
    <row r="1641" spans="1:7">
      <c r="A1641" t="s">
        <v>3525</v>
      </c>
      <c r="B1641" t="s">
        <v>1830</v>
      </c>
      <c r="C1641" t="s">
        <v>133</v>
      </c>
      <c r="D1641" s="10">
        <v>37920</v>
      </c>
      <c r="E1641" s="10">
        <v>45023</v>
      </c>
      <c r="F1641">
        <v>19</v>
      </c>
      <c r="G1641" t="s">
        <v>4296</v>
      </c>
    </row>
    <row r="1642" spans="1:7">
      <c r="A1642" t="s">
        <v>3526</v>
      </c>
      <c r="B1642" t="s">
        <v>932</v>
      </c>
      <c r="C1642" t="s">
        <v>133</v>
      </c>
      <c r="D1642" s="10">
        <v>18914</v>
      </c>
      <c r="E1642" s="10">
        <v>45524</v>
      </c>
      <c r="F1642">
        <v>72</v>
      </c>
      <c r="G1642" t="s">
        <v>4296</v>
      </c>
    </row>
    <row r="1643" spans="1:7">
      <c r="A1643" t="s">
        <v>3528</v>
      </c>
      <c r="B1643" t="s">
        <v>1727</v>
      </c>
      <c r="C1643" t="s">
        <v>133</v>
      </c>
      <c r="D1643" s="10">
        <v>31044</v>
      </c>
      <c r="E1643" s="10">
        <v>44962</v>
      </c>
      <c r="F1643">
        <v>38</v>
      </c>
      <c r="G1643" t="s">
        <v>4296</v>
      </c>
    </row>
    <row r="1644" spans="1:7">
      <c r="A1644" t="s">
        <v>3530</v>
      </c>
      <c r="B1644" t="s">
        <v>112</v>
      </c>
      <c r="C1644" t="s">
        <v>40</v>
      </c>
      <c r="D1644" s="10">
        <v>22923</v>
      </c>
      <c r="E1644" s="10">
        <v>44930</v>
      </c>
      <c r="F1644">
        <v>60</v>
      </c>
      <c r="G1644" t="s">
        <v>4296</v>
      </c>
    </row>
    <row r="1645" spans="1:7">
      <c r="A1645" t="s">
        <v>3532</v>
      </c>
      <c r="B1645" t="s">
        <v>150</v>
      </c>
      <c r="C1645" t="s">
        <v>133</v>
      </c>
      <c r="D1645" s="10">
        <v>31779</v>
      </c>
      <c r="E1645" s="10">
        <v>45482</v>
      </c>
      <c r="F1645">
        <v>37</v>
      </c>
      <c r="G1645" t="s">
        <v>4237</v>
      </c>
    </row>
    <row r="1646" spans="1:7">
      <c r="A1646" t="s">
        <v>3534</v>
      </c>
      <c r="B1646" t="s">
        <v>932</v>
      </c>
      <c r="C1646" t="s">
        <v>133</v>
      </c>
      <c r="D1646" s="10">
        <v>28992</v>
      </c>
      <c r="E1646" s="10">
        <v>45866</v>
      </c>
      <c r="F1646">
        <v>46</v>
      </c>
      <c r="G1646" t="s">
        <v>4296</v>
      </c>
    </row>
    <row r="1647" spans="1:7">
      <c r="A1647" t="s">
        <v>3537</v>
      </c>
      <c r="B1647" t="s">
        <v>1200</v>
      </c>
      <c r="C1647" t="s">
        <v>133</v>
      </c>
      <c r="D1647" s="10">
        <v>34081</v>
      </c>
      <c r="E1647" s="10">
        <v>45440</v>
      </c>
      <c r="F1647">
        <v>31</v>
      </c>
      <c r="G1647" t="s">
        <v>4296</v>
      </c>
    </row>
    <row r="1648" spans="1:7">
      <c r="A1648" t="s">
        <v>3541</v>
      </c>
      <c r="B1648" t="s">
        <v>181</v>
      </c>
      <c r="C1648" t="s">
        <v>40</v>
      </c>
      <c r="D1648" s="10">
        <v>33667</v>
      </c>
      <c r="E1648" s="10">
        <v>45609</v>
      </c>
      <c r="F1648">
        <v>32</v>
      </c>
      <c r="G1648" t="s">
        <v>4296</v>
      </c>
    </row>
    <row r="1649" spans="1:7">
      <c r="A1649" t="s">
        <v>3543</v>
      </c>
      <c r="B1649" t="s">
        <v>1135</v>
      </c>
      <c r="C1649" t="s">
        <v>133</v>
      </c>
      <c r="D1649" s="10">
        <v>18297</v>
      </c>
      <c r="E1649" s="10">
        <v>45264</v>
      </c>
      <c r="F1649">
        <v>73</v>
      </c>
      <c r="G1649" t="s">
        <v>4296</v>
      </c>
    </row>
    <row r="1650" spans="1:7">
      <c r="A1650" t="s">
        <v>3545</v>
      </c>
      <c r="B1650" t="s">
        <v>1017</v>
      </c>
      <c r="C1650" t="s">
        <v>133</v>
      </c>
      <c r="D1650" s="10">
        <v>18978</v>
      </c>
      <c r="E1650" s="10">
        <v>45467</v>
      </c>
      <c r="F1650">
        <v>72</v>
      </c>
      <c r="G1650" t="s">
        <v>4296</v>
      </c>
    </row>
    <row r="1651" spans="1:7">
      <c r="A1651" t="s">
        <v>3546</v>
      </c>
      <c r="B1651" t="s">
        <v>752</v>
      </c>
      <c r="C1651" t="s">
        <v>40</v>
      </c>
      <c r="D1651" s="10">
        <v>31820</v>
      </c>
      <c r="E1651" s="10">
        <v>45870</v>
      </c>
      <c r="F1651">
        <v>38</v>
      </c>
      <c r="G1651" t="s">
        <v>4296</v>
      </c>
    </row>
    <row r="1652" spans="1:7">
      <c r="A1652" t="s">
        <v>3548</v>
      </c>
      <c r="B1652" t="s">
        <v>88</v>
      </c>
      <c r="C1652" t="s">
        <v>133</v>
      </c>
      <c r="D1652" s="10">
        <v>18707</v>
      </c>
      <c r="E1652" s="10">
        <v>45082</v>
      </c>
      <c r="F1652">
        <v>72</v>
      </c>
      <c r="G1652" t="s">
        <v>4296</v>
      </c>
    </row>
    <row r="1653" spans="1:7">
      <c r="A1653" t="s">
        <v>3549</v>
      </c>
      <c r="B1653" t="s">
        <v>429</v>
      </c>
      <c r="C1653" t="s">
        <v>133</v>
      </c>
      <c r="D1653" s="10">
        <v>20858</v>
      </c>
      <c r="E1653" s="10">
        <v>45061</v>
      </c>
      <c r="F1653">
        <v>66</v>
      </c>
      <c r="G1653" t="s">
        <v>4296</v>
      </c>
    </row>
    <row r="1654" spans="1:7">
      <c r="A1654" t="s">
        <v>3550</v>
      </c>
      <c r="B1654" t="s">
        <v>433</v>
      </c>
      <c r="C1654" t="s">
        <v>133</v>
      </c>
      <c r="D1654" s="10">
        <v>35688</v>
      </c>
      <c r="E1654" s="10">
        <v>45627</v>
      </c>
      <c r="F1654">
        <v>27</v>
      </c>
      <c r="G1654" t="s">
        <v>4296</v>
      </c>
    </row>
    <row r="1655" spans="1:7">
      <c r="A1655" t="s">
        <v>4203</v>
      </c>
      <c r="B1655" t="s">
        <v>93</v>
      </c>
      <c r="C1655" t="s">
        <v>40</v>
      </c>
      <c r="D1655" s="10">
        <v>19688</v>
      </c>
      <c r="E1655" s="10">
        <v>45656</v>
      </c>
      <c r="F1655">
        <v>71</v>
      </c>
      <c r="G1655" t="s">
        <v>4296</v>
      </c>
    </row>
    <row r="1656" spans="1:7">
      <c r="A1656" t="s">
        <v>3555</v>
      </c>
      <c r="B1656" t="s">
        <v>444</v>
      </c>
      <c r="C1656" t="s">
        <v>133</v>
      </c>
      <c r="D1656" s="10">
        <v>39037</v>
      </c>
      <c r="E1656" s="10">
        <v>45556</v>
      </c>
      <c r="F1656">
        <v>17</v>
      </c>
      <c r="G1656" t="s">
        <v>4296</v>
      </c>
    </row>
    <row r="1657" spans="1:7">
      <c r="A1657" t="s">
        <v>3557</v>
      </c>
      <c r="B1657" t="s">
        <v>1125</v>
      </c>
      <c r="C1657" t="s">
        <v>133</v>
      </c>
      <c r="D1657" s="10">
        <v>25269</v>
      </c>
      <c r="E1657" s="10">
        <v>45752</v>
      </c>
      <c r="F1657">
        <v>56</v>
      </c>
      <c r="G1657" t="s">
        <v>4296</v>
      </c>
    </row>
    <row r="1658" spans="1:7">
      <c r="A1658" t="s">
        <v>4204</v>
      </c>
      <c r="B1658" t="s">
        <v>1302</v>
      </c>
      <c r="C1658" t="s">
        <v>133</v>
      </c>
      <c r="D1658" s="10">
        <v>19442</v>
      </c>
      <c r="E1658" s="10">
        <v>45925</v>
      </c>
      <c r="F1658">
        <v>72</v>
      </c>
      <c r="G1658" t="s">
        <v>4296</v>
      </c>
    </row>
    <row r="1659" spans="1:7">
      <c r="A1659" t="s">
        <v>3560</v>
      </c>
      <c r="B1659" t="s">
        <v>373</v>
      </c>
      <c r="C1659" t="s">
        <v>40</v>
      </c>
      <c r="D1659" s="10">
        <v>25065</v>
      </c>
      <c r="E1659" s="10">
        <v>45517</v>
      </c>
      <c r="F1659">
        <v>55</v>
      </c>
      <c r="G1659" t="s">
        <v>4296</v>
      </c>
    </row>
    <row r="1660" spans="1:7">
      <c r="A1660" t="s">
        <v>3561</v>
      </c>
      <c r="B1660" t="s">
        <v>234</v>
      </c>
      <c r="C1660" t="s">
        <v>40</v>
      </c>
      <c r="D1660" s="10">
        <v>32897</v>
      </c>
      <c r="E1660" s="10">
        <v>45869</v>
      </c>
      <c r="F1660">
        <v>35</v>
      </c>
      <c r="G1660" t="s">
        <v>4296</v>
      </c>
    </row>
    <row r="1661" spans="1:7">
      <c r="A1661" t="s">
        <v>3562</v>
      </c>
      <c r="B1661" t="s">
        <v>563</v>
      </c>
      <c r="C1661" t="s">
        <v>133</v>
      </c>
      <c r="D1661" s="10">
        <v>26826</v>
      </c>
      <c r="E1661" s="10">
        <v>45259</v>
      </c>
      <c r="F1661">
        <v>50</v>
      </c>
      <c r="G1661" t="s">
        <v>4296</v>
      </c>
    </row>
    <row r="1662" spans="1:7">
      <c r="A1662" t="s">
        <v>3564</v>
      </c>
      <c r="B1662" t="s">
        <v>49</v>
      </c>
      <c r="C1662" t="s">
        <v>133</v>
      </c>
      <c r="D1662" s="10">
        <v>28927</v>
      </c>
      <c r="E1662" s="10">
        <v>45624</v>
      </c>
      <c r="F1662">
        <v>45</v>
      </c>
      <c r="G1662" t="s">
        <v>4296</v>
      </c>
    </row>
    <row r="1663" spans="1:7">
      <c r="A1663" t="s">
        <v>3566</v>
      </c>
      <c r="B1663" t="s">
        <v>1305</v>
      </c>
      <c r="C1663" t="s">
        <v>133</v>
      </c>
      <c r="D1663" s="10">
        <v>28471</v>
      </c>
      <c r="E1663" s="10">
        <v>45012</v>
      </c>
      <c r="F1663">
        <v>45</v>
      </c>
      <c r="G1663" t="s">
        <v>4296</v>
      </c>
    </row>
    <row r="1664" spans="1:7">
      <c r="A1664" t="s">
        <v>3567</v>
      </c>
      <c r="B1664" t="s">
        <v>2918</v>
      </c>
      <c r="C1664" t="s">
        <v>133</v>
      </c>
      <c r="D1664" s="10">
        <v>21705</v>
      </c>
      <c r="E1664" s="10">
        <v>45124</v>
      </c>
      <c r="F1664">
        <v>64</v>
      </c>
      <c r="G1664" t="s">
        <v>4296</v>
      </c>
    </row>
    <row r="1665" spans="1:7">
      <c r="A1665" t="s">
        <v>3570</v>
      </c>
      <c r="B1665" t="s">
        <v>917</v>
      </c>
      <c r="C1665" t="s">
        <v>40</v>
      </c>
      <c r="D1665" s="10">
        <v>28920</v>
      </c>
      <c r="E1665" s="10">
        <v>45220</v>
      </c>
      <c r="F1665">
        <v>44</v>
      </c>
      <c r="G1665" t="s">
        <v>4296</v>
      </c>
    </row>
    <row r="1666" spans="1:7">
      <c r="A1666" t="s">
        <v>3573</v>
      </c>
      <c r="B1666" t="s">
        <v>1167</v>
      </c>
      <c r="C1666" t="s">
        <v>40</v>
      </c>
      <c r="D1666" s="10">
        <v>19816</v>
      </c>
      <c r="E1666" s="10">
        <v>45643</v>
      </c>
      <c r="F1666">
        <v>70</v>
      </c>
      <c r="G1666" t="s">
        <v>4296</v>
      </c>
    </row>
    <row r="1667" spans="1:7">
      <c r="A1667" t="s">
        <v>3575</v>
      </c>
      <c r="B1667" t="s">
        <v>270</v>
      </c>
      <c r="C1667" t="s">
        <v>40</v>
      </c>
      <c r="D1667" s="10">
        <v>27752</v>
      </c>
      <c r="E1667" s="10">
        <v>45677</v>
      </c>
      <c r="F1667">
        <v>49</v>
      </c>
      <c r="G1667" t="s">
        <v>4296</v>
      </c>
    </row>
    <row r="1668" spans="1:7">
      <c r="A1668" t="s">
        <v>3577</v>
      </c>
      <c r="B1668" t="s">
        <v>806</v>
      </c>
      <c r="C1668" t="s">
        <v>133</v>
      </c>
      <c r="D1668" s="10">
        <v>35455</v>
      </c>
      <c r="E1668" s="10">
        <v>45470</v>
      </c>
      <c r="F1668">
        <v>27</v>
      </c>
      <c r="G1668" t="s">
        <v>4296</v>
      </c>
    </row>
    <row r="1669" spans="1:7">
      <c r="A1669" t="s">
        <v>3578</v>
      </c>
      <c r="B1669" t="s">
        <v>1140</v>
      </c>
      <c r="C1669" t="s">
        <v>40</v>
      </c>
      <c r="D1669" s="10">
        <v>38386</v>
      </c>
      <c r="E1669" s="10">
        <v>44991</v>
      </c>
      <c r="F1669">
        <v>18</v>
      </c>
      <c r="G1669" t="s">
        <v>4296</v>
      </c>
    </row>
    <row r="1670" spans="1:7">
      <c r="A1670" t="s">
        <v>3579</v>
      </c>
      <c r="B1670" t="s">
        <v>480</v>
      </c>
      <c r="C1670" t="s">
        <v>40</v>
      </c>
      <c r="D1670" s="10">
        <v>21768</v>
      </c>
      <c r="E1670" s="10">
        <v>45453</v>
      </c>
      <c r="F1670">
        <v>64</v>
      </c>
      <c r="G1670" t="s">
        <v>4296</v>
      </c>
    </row>
    <row r="1671" spans="1:7">
      <c r="A1671" t="s">
        <v>3581</v>
      </c>
      <c r="B1671" t="s">
        <v>76</v>
      </c>
      <c r="C1671" t="s">
        <v>40</v>
      </c>
      <c r="D1671" s="10">
        <v>38295</v>
      </c>
      <c r="E1671" s="10">
        <v>45647</v>
      </c>
      <c r="F1671">
        <v>20</v>
      </c>
      <c r="G1671" t="s">
        <v>4296</v>
      </c>
    </row>
    <row r="1672" spans="1:7">
      <c r="A1672" t="s">
        <v>3583</v>
      </c>
      <c r="B1672" t="s">
        <v>517</v>
      </c>
      <c r="C1672" t="s">
        <v>133</v>
      </c>
      <c r="D1672" s="10">
        <v>31055</v>
      </c>
      <c r="E1672" s="10">
        <v>45381</v>
      </c>
      <c r="F1672">
        <v>39</v>
      </c>
      <c r="G1672" t="s">
        <v>4296</v>
      </c>
    </row>
    <row r="1673" spans="1:7">
      <c r="A1673" t="s">
        <v>3585</v>
      </c>
      <c r="B1673" t="s">
        <v>314</v>
      </c>
      <c r="C1673" t="s">
        <v>40</v>
      </c>
      <c r="D1673" s="10">
        <v>40383</v>
      </c>
      <c r="E1673" s="10">
        <v>45973</v>
      </c>
      <c r="F1673">
        <v>15</v>
      </c>
      <c r="G1673" t="s">
        <v>4296</v>
      </c>
    </row>
    <row r="1674" spans="1:7">
      <c r="A1674" t="s">
        <v>3587</v>
      </c>
      <c r="B1674" t="s">
        <v>936</v>
      </c>
      <c r="C1674" t="s">
        <v>133</v>
      </c>
      <c r="D1674" s="10">
        <v>28558</v>
      </c>
      <c r="E1674" s="10">
        <v>45545</v>
      </c>
      <c r="F1674">
        <v>46</v>
      </c>
      <c r="G1674" t="s">
        <v>4296</v>
      </c>
    </row>
    <row r="1675" spans="1:7">
      <c r="A1675" t="s">
        <v>3588</v>
      </c>
      <c r="B1675" t="s">
        <v>295</v>
      </c>
      <c r="C1675" t="s">
        <v>133</v>
      </c>
      <c r="D1675" s="10">
        <v>31633</v>
      </c>
      <c r="E1675" s="10">
        <v>45667</v>
      </c>
      <c r="F1675">
        <v>38</v>
      </c>
      <c r="G1675" t="s">
        <v>4296</v>
      </c>
    </row>
    <row r="1676" spans="1:7">
      <c r="A1676" t="s">
        <v>3589</v>
      </c>
      <c r="B1676" t="s">
        <v>249</v>
      </c>
      <c r="C1676" t="s">
        <v>133</v>
      </c>
      <c r="D1676" s="10">
        <v>39515</v>
      </c>
      <c r="E1676" s="10">
        <v>45118</v>
      </c>
      <c r="F1676">
        <v>15</v>
      </c>
      <c r="G1676" t="s">
        <v>4296</v>
      </c>
    </row>
    <row r="1677" spans="1:7">
      <c r="A1677" t="s">
        <v>4205</v>
      </c>
      <c r="B1677" t="s">
        <v>1153</v>
      </c>
      <c r="C1677" t="s">
        <v>133</v>
      </c>
      <c r="D1677" s="10">
        <v>33401</v>
      </c>
      <c r="E1677" s="10">
        <v>45081</v>
      </c>
      <c r="F1677">
        <v>31</v>
      </c>
      <c r="G1677" t="s">
        <v>4296</v>
      </c>
    </row>
    <row r="1678" spans="1:7">
      <c r="A1678" t="s">
        <v>3592</v>
      </c>
      <c r="B1678" t="s">
        <v>980</v>
      </c>
      <c r="C1678" t="s">
        <v>133</v>
      </c>
      <c r="D1678" s="10">
        <v>22693</v>
      </c>
      <c r="E1678" s="10">
        <v>45885</v>
      </c>
      <c r="F1678">
        <v>63</v>
      </c>
      <c r="G1678" t="s">
        <v>4296</v>
      </c>
    </row>
    <row r="1679" spans="1:7">
      <c r="A1679" t="s">
        <v>3596</v>
      </c>
      <c r="B1679" t="s">
        <v>417</v>
      </c>
      <c r="C1679" t="s">
        <v>40</v>
      </c>
      <c r="D1679" s="10">
        <v>30796</v>
      </c>
      <c r="E1679" s="10">
        <v>45596</v>
      </c>
      <c r="F1679">
        <v>40</v>
      </c>
      <c r="G1679" t="s">
        <v>4296</v>
      </c>
    </row>
    <row r="1680" spans="1:7">
      <c r="A1680" t="s">
        <v>3599</v>
      </c>
      <c r="B1680" t="s">
        <v>922</v>
      </c>
      <c r="C1680" t="s">
        <v>40</v>
      </c>
      <c r="D1680" s="10">
        <v>36044</v>
      </c>
      <c r="E1680" s="10">
        <v>45840</v>
      </c>
      <c r="F1680">
        <v>26</v>
      </c>
      <c r="G1680" t="s">
        <v>4296</v>
      </c>
    </row>
    <row r="1681" spans="1:7">
      <c r="A1681" t="s">
        <v>3601</v>
      </c>
      <c r="B1681" t="s">
        <v>926</v>
      </c>
      <c r="C1681" t="s">
        <v>133</v>
      </c>
      <c r="D1681" s="10">
        <v>39945</v>
      </c>
      <c r="E1681" s="10">
        <v>45870</v>
      </c>
      <c r="F1681">
        <v>16</v>
      </c>
      <c r="G1681" t="s">
        <v>4296</v>
      </c>
    </row>
    <row r="1682" spans="1:7">
      <c r="A1682" t="s">
        <v>3603</v>
      </c>
      <c r="B1682" t="s">
        <v>247</v>
      </c>
      <c r="C1682" t="s">
        <v>133</v>
      </c>
      <c r="D1682" s="10">
        <v>38171</v>
      </c>
      <c r="E1682" s="10">
        <v>45663</v>
      </c>
      <c r="F1682">
        <v>20</v>
      </c>
      <c r="G1682" t="s">
        <v>4296</v>
      </c>
    </row>
    <row r="1683" spans="1:7">
      <c r="A1683" t="s">
        <v>3605</v>
      </c>
      <c r="B1683" t="s">
        <v>150</v>
      </c>
      <c r="C1683" t="s">
        <v>133</v>
      </c>
      <c r="D1683" s="10">
        <v>33921</v>
      </c>
      <c r="E1683" s="10">
        <v>45850</v>
      </c>
      <c r="F1683">
        <v>32</v>
      </c>
      <c r="G1683" t="s">
        <v>4296</v>
      </c>
    </row>
    <row r="1684" spans="1:7">
      <c r="A1684" t="s">
        <v>3606</v>
      </c>
      <c r="B1684" t="s">
        <v>1830</v>
      </c>
      <c r="C1684" t="s">
        <v>133</v>
      </c>
      <c r="D1684" s="10">
        <v>33036</v>
      </c>
      <c r="E1684" s="10">
        <v>45432</v>
      </c>
      <c r="F1684">
        <v>33</v>
      </c>
      <c r="G1684" t="s">
        <v>4296</v>
      </c>
    </row>
    <row r="1685" spans="1:7">
      <c r="A1685" t="s">
        <v>3607</v>
      </c>
      <c r="B1685" t="s">
        <v>940</v>
      </c>
      <c r="C1685" t="s">
        <v>133</v>
      </c>
      <c r="D1685" s="10">
        <v>26628</v>
      </c>
      <c r="E1685" s="10">
        <v>45053</v>
      </c>
      <c r="F1685">
        <v>50</v>
      </c>
      <c r="G1685" t="s">
        <v>4296</v>
      </c>
    </row>
    <row r="1686" spans="1:7">
      <c r="A1686" t="s">
        <v>3608</v>
      </c>
      <c r="B1686" t="s">
        <v>1678</v>
      </c>
      <c r="C1686" t="s">
        <v>40</v>
      </c>
      <c r="D1686" s="10">
        <v>27867</v>
      </c>
      <c r="E1686" s="10">
        <v>45668</v>
      </c>
      <c r="F1686">
        <v>48</v>
      </c>
      <c r="G1686" t="s">
        <v>4296</v>
      </c>
    </row>
    <row r="1687" spans="1:7">
      <c r="A1687" t="s">
        <v>3610</v>
      </c>
      <c r="B1687" t="s">
        <v>168</v>
      </c>
      <c r="C1687" t="s">
        <v>40</v>
      </c>
      <c r="D1687" s="10">
        <v>32275</v>
      </c>
      <c r="E1687" s="10">
        <v>45024</v>
      </c>
      <c r="F1687">
        <v>34</v>
      </c>
      <c r="G1687" t="s">
        <v>4296</v>
      </c>
    </row>
    <row r="1688" spans="1:7">
      <c r="A1688" t="s">
        <v>3611</v>
      </c>
      <c r="B1688" t="s">
        <v>1108</v>
      </c>
      <c r="C1688" t="s">
        <v>133</v>
      </c>
      <c r="D1688" s="10">
        <v>34739</v>
      </c>
      <c r="E1688" s="10">
        <v>45252</v>
      </c>
      <c r="F1688">
        <v>28</v>
      </c>
      <c r="G1688" t="s">
        <v>4296</v>
      </c>
    </row>
    <row r="1689" spans="1:7">
      <c r="A1689" t="s">
        <v>3614</v>
      </c>
      <c r="B1689" t="s">
        <v>311</v>
      </c>
      <c r="C1689" t="s">
        <v>133</v>
      </c>
      <c r="D1689" s="10">
        <v>39674</v>
      </c>
      <c r="E1689" s="10">
        <v>45705</v>
      </c>
      <c r="F1689">
        <v>16</v>
      </c>
      <c r="G1689" t="s">
        <v>4296</v>
      </c>
    </row>
    <row r="1690" spans="1:7">
      <c r="A1690" t="s">
        <v>3615</v>
      </c>
      <c r="B1690" t="s">
        <v>423</v>
      </c>
      <c r="C1690" t="s">
        <v>40</v>
      </c>
      <c r="D1690" s="10">
        <v>29603</v>
      </c>
      <c r="E1690" s="10">
        <v>45240</v>
      </c>
      <c r="F1690">
        <v>42</v>
      </c>
      <c r="G1690" t="s">
        <v>4296</v>
      </c>
    </row>
    <row r="1691" spans="1:7">
      <c r="A1691" t="s">
        <v>3616</v>
      </c>
      <c r="B1691" t="s">
        <v>652</v>
      </c>
      <c r="C1691" t="s">
        <v>40</v>
      </c>
      <c r="D1691" s="10">
        <v>23000</v>
      </c>
      <c r="E1691" s="10">
        <v>44984</v>
      </c>
      <c r="F1691">
        <v>60</v>
      </c>
      <c r="G1691" t="s">
        <v>4296</v>
      </c>
    </row>
    <row r="1692" spans="1:7">
      <c r="A1692" t="s">
        <v>3618</v>
      </c>
      <c r="B1692" t="s">
        <v>613</v>
      </c>
      <c r="C1692" t="s">
        <v>133</v>
      </c>
      <c r="D1692" s="10">
        <v>27723</v>
      </c>
      <c r="E1692" s="10">
        <v>45448</v>
      </c>
      <c r="F1692">
        <v>48</v>
      </c>
      <c r="G1692" t="s">
        <v>4296</v>
      </c>
    </row>
    <row r="1693" spans="1:7">
      <c r="A1693" t="s">
        <v>3619</v>
      </c>
      <c r="B1693" t="s">
        <v>541</v>
      </c>
      <c r="C1693" t="s">
        <v>133</v>
      </c>
      <c r="D1693" s="10">
        <v>37673</v>
      </c>
      <c r="E1693" s="10">
        <v>46015</v>
      </c>
      <c r="F1693">
        <v>22</v>
      </c>
      <c r="G1693" t="s">
        <v>4296</v>
      </c>
    </row>
    <row r="1694" spans="1:7">
      <c r="A1694" t="s">
        <v>3621</v>
      </c>
      <c r="B1694" t="s">
        <v>522</v>
      </c>
      <c r="C1694" t="s">
        <v>40</v>
      </c>
      <c r="D1694" s="10">
        <v>39472</v>
      </c>
      <c r="E1694" s="10">
        <v>45214</v>
      </c>
      <c r="F1694">
        <v>15</v>
      </c>
      <c r="G1694" t="s">
        <v>4296</v>
      </c>
    </row>
    <row r="1695" spans="1:7">
      <c r="A1695" t="s">
        <v>3622</v>
      </c>
      <c r="B1695" t="s">
        <v>2249</v>
      </c>
      <c r="C1695" t="s">
        <v>40</v>
      </c>
      <c r="D1695" s="10">
        <v>19957</v>
      </c>
      <c r="E1695" s="10">
        <v>45633</v>
      </c>
      <c r="F1695">
        <v>70</v>
      </c>
      <c r="G1695" t="s">
        <v>4296</v>
      </c>
    </row>
    <row r="1696" spans="1:7">
      <c r="A1696" t="s">
        <v>3623</v>
      </c>
      <c r="B1696" t="s">
        <v>2029</v>
      </c>
      <c r="C1696" t="s">
        <v>40</v>
      </c>
      <c r="D1696" s="10">
        <v>22506</v>
      </c>
      <c r="E1696" s="10">
        <v>45582</v>
      </c>
      <c r="F1696">
        <v>63</v>
      </c>
      <c r="G1696" t="s">
        <v>4296</v>
      </c>
    </row>
    <row r="1697" spans="1:7">
      <c r="A1697" t="s">
        <v>3624</v>
      </c>
      <c r="B1697" t="s">
        <v>1302</v>
      </c>
      <c r="C1697" t="s">
        <v>133</v>
      </c>
      <c r="D1697" s="10">
        <v>31183</v>
      </c>
      <c r="E1697" s="10">
        <v>45216</v>
      </c>
      <c r="F1697">
        <v>38</v>
      </c>
      <c r="G1697" t="s">
        <v>4296</v>
      </c>
    </row>
    <row r="1698" spans="1:7">
      <c r="A1698" t="s">
        <v>3626</v>
      </c>
      <c r="B1698" t="s">
        <v>304</v>
      </c>
      <c r="C1698" t="s">
        <v>133</v>
      </c>
      <c r="D1698" s="10">
        <v>18606</v>
      </c>
      <c r="E1698" s="10">
        <v>45143</v>
      </c>
      <c r="F1698">
        <v>72</v>
      </c>
      <c r="G1698" t="s">
        <v>4296</v>
      </c>
    </row>
    <row r="1699" spans="1:7">
      <c r="A1699" t="s">
        <v>3627</v>
      </c>
      <c r="B1699" t="s">
        <v>427</v>
      </c>
      <c r="C1699" t="s">
        <v>133</v>
      </c>
      <c r="D1699" s="10">
        <v>22071</v>
      </c>
      <c r="E1699" s="10">
        <v>45883</v>
      </c>
      <c r="F1699">
        <v>65</v>
      </c>
      <c r="G1699" t="s">
        <v>4296</v>
      </c>
    </row>
    <row r="1700" spans="1:7">
      <c r="A1700" t="s">
        <v>3628</v>
      </c>
      <c r="B1700" t="s">
        <v>345</v>
      </c>
      <c r="C1700" t="s">
        <v>133</v>
      </c>
      <c r="D1700" s="10">
        <v>39435</v>
      </c>
      <c r="E1700" s="10">
        <v>45549</v>
      </c>
      <c r="F1700">
        <v>16</v>
      </c>
      <c r="G1700" t="s">
        <v>4296</v>
      </c>
    </row>
    <row r="1701" spans="1:7">
      <c r="A1701" t="s">
        <v>3630</v>
      </c>
      <c r="B1701" t="s">
        <v>879</v>
      </c>
      <c r="C1701" t="s">
        <v>40</v>
      </c>
      <c r="D1701" s="10">
        <v>29921</v>
      </c>
      <c r="E1701" s="10">
        <v>45585</v>
      </c>
      <c r="F1701">
        <v>42</v>
      </c>
      <c r="G1701" t="s">
        <v>4296</v>
      </c>
    </row>
    <row r="1702" spans="1:7">
      <c r="A1702" t="s">
        <v>3632</v>
      </c>
      <c r="B1702" t="s">
        <v>433</v>
      </c>
      <c r="C1702" t="s">
        <v>40</v>
      </c>
      <c r="D1702" s="10">
        <v>19346</v>
      </c>
      <c r="E1702" s="10">
        <v>45023</v>
      </c>
      <c r="F1702">
        <v>70</v>
      </c>
      <c r="G1702" t="s">
        <v>4296</v>
      </c>
    </row>
    <row r="1703" spans="1:7">
      <c r="A1703" t="s">
        <v>3634</v>
      </c>
      <c r="B1703" t="s">
        <v>368</v>
      </c>
      <c r="C1703" t="s">
        <v>40</v>
      </c>
      <c r="D1703" s="10">
        <v>31053</v>
      </c>
      <c r="E1703" s="10">
        <v>45503</v>
      </c>
      <c r="F1703">
        <v>39</v>
      </c>
      <c r="G1703" t="s">
        <v>4296</v>
      </c>
    </row>
    <row r="1704" spans="1:7">
      <c r="A1704" t="s">
        <v>3637</v>
      </c>
      <c r="B1704" t="s">
        <v>202</v>
      </c>
      <c r="C1704" t="s">
        <v>40</v>
      </c>
      <c r="D1704" s="10">
        <v>26204</v>
      </c>
      <c r="E1704" s="10">
        <v>45527</v>
      </c>
      <c r="F1704">
        <v>52</v>
      </c>
      <c r="G1704" t="s">
        <v>4296</v>
      </c>
    </row>
    <row r="1705" spans="1:7">
      <c r="A1705" t="s">
        <v>3638</v>
      </c>
      <c r="B1705" t="s">
        <v>1293</v>
      </c>
      <c r="C1705" t="s">
        <v>40</v>
      </c>
      <c r="D1705" s="10">
        <v>23220</v>
      </c>
      <c r="E1705" s="10">
        <v>44979</v>
      </c>
      <c r="F1705">
        <v>59</v>
      </c>
      <c r="G1705" t="s">
        <v>4296</v>
      </c>
    </row>
    <row r="1706" spans="1:7">
      <c r="A1706" t="s">
        <v>3639</v>
      </c>
      <c r="B1706" t="s">
        <v>283</v>
      </c>
      <c r="C1706" t="s">
        <v>133</v>
      </c>
      <c r="D1706" s="10">
        <v>35556</v>
      </c>
      <c r="E1706" s="10">
        <v>45109</v>
      </c>
      <c r="F1706">
        <v>26</v>
      </c>
      <c r="G1706" t="s">
        <v>4296</v>
      </c>
    </row>
    <row r="1707" spans="1:7">
      <c r="A1707" t="s">
        <v>3640</v>
      </c>
      <c r="B1707" t="s">
        <v>545</v>
      </c>
      <c r="C1707" t="s">
        <v>40</v>
      </c>
      <c r="D1707" s="10">
        <v>18502</v>
      </c>
      <c r="E1707" s="10">
        <v>45703</v>
      </c>
      <c r="F1707">
        <v>74</v>
      </c>
      <c r="G1707" t="s">
        <v>4296</v>
      </c>
    </row>
    <row r="1708" spans="1:7">
      <c r="A1708" t="s">
        <v>3642</v>
      </c>
      <c r="B1708" t="s">
        <v>513</v>
      </c>
      <c r="C1708" t="s">
        <v>133</v>
      </c>
      <c r="D1708" s="10">
        <v>38051</v>
      </c>
      <c r="E1708" s="10">
        <v>45778</v>
      </c>
      <c r="F1708">
        <v>21</v>
      </c>
      <c r="G1708" t="s">
        <v>4296</v>
      </c>
    </row>
    <row r="1709" spans="1:7">
      <c r="A1709" t="s">
        <v>4206</v>
      </c>
      <c r="B1709" t="s">
        <v>522</v>
      </c>
      <c r="C1709" t="s">
        <v>40</v>
      </c>
      <c r="D1709" s="10">
        <v>26152</v>
      </c>
      <c r="E1709" s="10">
        <v>45461</v>
      </c>
      <c r="F1709">
        <v>52</v>
      </c>
      <c r="G1709" t="s">
        <v>4296</v>
      </c>
    </row>
    <row r="1710" spans="1:7">
      <c r="A1710" t="s">
        <v>3646</v>
      </c>
      <c r="B1710" t="s">
        <v>433</v>
      </c>
      <c r="C1710" t="s">
        <v>40</v>
      </c>
      <c r="D1710" s="10">
        <v>39027</v>
      </c>
      <c r="E1710" s="10">
        <v>45353</v>
      </c>
      <c r="F1710">
        <v>17</v>
      </c>
      <c r="G1710" t="s">
        <v>4296</v>
      </c>
    </row>
    <row r="1711" spans="1:7">
      <c r="A1711" t="s">
        <v>3647</v>
      </c>
      <c r="B1711" t="s">
        <v>752</v>
      </c>
      <c r="C1711" t="s">
        <v>133</v>
      </c>
      <c r="D1711" s="10">
        <v>40243</v>
      </c>
      <c r="E1711" s="10">
        <v>45037</v>
      </c>
      <c r="F1711">
        <v>13</v>
      </c>
      <c r="G1711" t="s">
        <v>4296</v>
      </c>
    </row>
    <row r="1712" spans="1:7">
      <c r="A1712" t="s">
        <v>3649</v>
      </c>
      <c r="B1712" t="s">
        <v>986</v>
      </c>
      <c r="C1712" t="s">
        <v>133</v>
      </c>
      <c r="D1712" s="10">
        <v>21984</v>
      </c>
      <c r="E1712" s="10">
        <v>45126</v>
      </c>
      <c r="F1712">
        <v>63</v>
      </c>
      <c r="G1712" t="s">
        <v>4296</v>
      </c>
    </row>
    <row r="1713" spans="1:7">
      <c r="A1713" t="s">
        <v>3650</v>
      </c>
      <c r="B1713" t="s">
        <v>1017</v>
      </c>
      <c r="C1713" t="s">
        <v>133</v>
      </c>
      <c r="D1713" s="10">
        <v>19411</v>
      </c>
      <c r="E1713" s="10">
        <v>45612</v>
      </c>
      <c r="F1713">
        <v>71</v>
      </c>
      <c r="G1713" t="s">
        <v>4296</v>
      </c>
    </row>
    <row r="1714" spans="1:7">
      <c r="A1714" t="s">
        <v>3651</v>
      </c>
      <c r="B1714" t="s">
        <v>879</v>
      </c>
      <c r="C1714" t="s">
        <v>40</v>
      </c>
      <c r="D1714" s="10">
        <v>27115</v>
      </c>
      <c r="E1714" s="10">
        <v>45188</v>
      </c>
      <c r="F1714">
        <v>49</v>
      </c>
      <c r="G1714" t="s">
        <v>4296</v>
      </c>
    </row>
    <row r="1715" spans="1:7">
      <c r="A1715" t="s">
        <v>3653</v>
      </c>
      <c r="B1715" t="s">
        <v>116</v>
      </c>
      <c r="C1715" t="s">
        <v>40</v>
      </c>
      <c r="D1715" s="10">
        <v>28561</v>
      </c>
      <c r="E1715" s="10">
        <v>45530</v>
      </c>
      <c r="F1715">
        <v>46</v>
      </c>
      <c r="G1715" t="s">
        <v>4296</v>
      </c>
    </row>
    <row r="1716" spans="1:7">
      <c r="A1716" t="s">
        <v>3655</v>
      </c>
      <c r="B1716" t="s">
        <v>1464</v>
      </c>
      <c r="C1716" t="s">
        <v>40</v>
      </c>
      <c r="D1716" s="10">
        <v>29330</v>
      </c>
      <c r="E1716" s="10">
        <v>45578</v>
      </c>
      <c r="F1716">
        <v>44</v>
      </c>
      <c r="G1716" t="s">
        <v>4237</v>
      </c>
    </row>
    <row r="1717" spans="1:7">
      <c r="A1717" t="s">
        <v>3658</v>
      </c>
      <c r="B1717" t="s">
        <v>565</v>
      </c>
      <c r="C1717" t="s">
        <v>40</v>
      </c>
      <c r="D1717" s="10">
        <v>29803</v>
      </c>
      <c r="E1717" s="10">
        <v>45830</v>
      </c>
      <c r="F1717">
        <v>43</v>
      </c>
      <c r="G1717" t="s">
        <v>4296</v>
      </c>
    </row>
    <row r="1718" spans="1:7">
      <c r="A1718" t="s">
        <v>3659</v>
      </c>
      <c r="B1718" t="s">
        <v>155</v>
      </c>
      <c r="C1718" t="s">
        <v>40</v>
      </c>
      <c r="D1718" s="10">
        <v>26416</v>
      </c>
      <c r="E1718" s="10">
        <v>45904</v>
      </c>
      <c r="F1718">
        <v>53</v>
      </c>
      <c r="G1718" t="s">
        <v>4296</v>
      </c>
    </row>
    <row r="1719" spans="1:7">
      <c r="A1719" t="s">
        <v>3660</v>
      </c>
      <c r="B1719" t="s">
        <v>591</v>
      </c>
      <c r="C1719" t="s">
        <v>133</v>
      </c>
      <c r="D1719" s="10">
        <v>27856</v>
      </c>
      <c r="E1719" s="10">
        <v>45106</v>
      </c>
      <c r="F1719">
        <v>47</v>
      </c>
      <c r="G1719" t="s">
        <v>4296</v>
      </c>
    </row>
    <row r="1720" spans="1:7">
      <c r="A1720" t="s">
        <v>3661</v>
      </c>
      <c r="B1720" t="s">
        <v>833</v>
      </c>
      <c r="C1720" t="s">
        <v>133</v>
      </c>
      <c r="D1720" s="10">
        <v>29330</v>
      </c>
      <c r="E1720" s="10">
        <v>45580</v>
      </c>
      <c r="F1720">
        <v>44</v>
      </c>
      <c r="G1720" t="s">
        <v>4237</v>
      </c>
    </row>
    <row r="1721" spans="1:7">
      <c r="A1721" t="s">
        <v>3664</v>
      </c>
      <c r="B1721" t="s">
        <v>845</v>
      </c>
      <c r="C1721" t="s">
        <v>40</v>
      </c>
      <c r="D1721" s="10">
        <v>27127</v>
      </c>
      <c r="E1721" s="10">
        <v>45200</v>
      </c>
      <c r="F1721">
        <v>49</v>
      </c>
      <c r="G1721" t="s">
        <v>4296</v>
      </c>
    </row>
    <row r="1722" spans="1:7">
      <c r="A1722" t="s">
        <v>3667</v>
      </c>
      <c r="B1722" t="s">
        <v>3015</v>
      </c>
      <c r="C1722" t="s">
        <v>133</v>
      </c>
      <c r="D1722" s="10">
        <v>29289</v>
      </c>
      <c r="E1722" s="10">
        <v>45522</v>
      </c>
      <c r="F1722">
        <v>44</v>
      </c>
      <c r="G1722" t="s">
        <v>4296</v>
      </c>
    </row>
    <row r="1723" spans="1:7">
      <c r="A1723" t="s">
        <v>3668</v>
      </c>
      <c r="B1723" t="s">
        <v>2918</v>
      </c>
      <c r="C1723" t="s">
        <v>133</v>
      </c>
      <c r="D1723" s="10">
        <v>29080</v>
      </c>
      <c r="E1723" s="10">
        <v>45048</v>
      </c>
      <c r="F1723">
        <v>43</v>
      </c>
      <c r="G1723" t="s">
        <v>4296</v>
      </c>
    </row>
    <row r="1724" spans="1:7">
      <c r="A1724" t="s">
        <v>3670</v>
      </c>
      <c r="B1724" t="s">
        <v>2389</v>
      </c>
      <c r="C1724" t="s">
        <v>40</v>
      </c>
      <c r="D1724" s="10">
        <v>24640</v>
      </c>
      <c r="E1724" s="10">
        <v>45079</v>
      </c>
      <c r="F1724">
        <v>55</v>
      </c>
      <c r="G1724" t="s">
        <v>4296</v>
      </c>
    </row>
    <row r="1725" spans="1:7">
      <c r="A1725" t="s">
        <v>3671</v>
      </c>
      <c r="B1725" t="s">
        <v>274</v>
      </c>
      <c r="C1725" t="s">
        <v>40</v>
      </c>
      <c r="D1725" s="10">
        <v>28825</v>
      </c>
      <c r="E1725" s="10">
        <v>45002</v>
      </c>
      <c r="F1725">
        <v>44</v>
      </c>
      <c r="G1725" t="s">
        <v>4296</v>
      </c>
    </row>
    <row r="1726" spans="1:7">
      <c r="A1726" t="s">
        <v>3673</v>
      </c>
      <c r="B1726" t="s">
        <v>1097</v>
      </c>
      <c r="C1726" t="s">
        <v>133</v>
      </c>
      <c r="D1726" s="10">
        <v>22021</v>
      </c>
      <c r="E1726" s="10">
        <v>45253</v>
      </c>
      <c r="F1726">
        <v>63</v>
      </c>
      <c r="G1726" t="s">
        <v>4296</v>
      </c>
    </row>
    <row r="1727" spans="1:7">
      <c r="A1727" t="s">
        <v>3675</v>
      </c>
      <c r="B1727" t="s">
        <v>251</v>
      </c>
      <c r="C1727" t="s">
        <v>133</v>
      </c>
      <c r="D1727" s="10">
        <v>26804</v>
      </c>
      <c r="E1727" s="10">
        <v>45848</v>
      </c>
      <c r="F1727">
        <v>52</v>
      </c>
      <c r="G1727" t="s">
        <v>4296</v>
      </c>
    </row>
    <row r="1728" spans="1:7">
      <c r="A1728" t="s">
        <v>3676</v>
      </c>
      <c r="B1728" t="s">
        <v>796</v>
      </c>
      <c r="C1728" t="s">
        <v>40</v>
      </c>
      <c r="D1728" s="10">
        <v>24540</v>
      </c>
      <c r="E1728" s="10">
        <v>44936</v>
      </c>
      <c r="F1728">
        <v>55</v>
      </c>
      <c r="G1728" t="s">
        <v>4296</v>
      </c>
    </row>
    <row r="1729" spans="1:7">
      <c r="A1729" t="s">
        <v>4207</v>
      </c>
      <c r="B1729" t="s">
        <v>298</v>
      </c>
      <c r="C1729" t="s">
        <v>40</v>
      </c>
      <c r="D1729" s="10">
        <v>36083</v>
      </c>
      <c r="E1729" s="10">
        <v>45916</v>
      </c>
      <c r="F1729">
        <v>26</v>
      </c>
      <c r="G1729" t="s">
        <v>4296</v>
      </c>
    </row>
    <row r="1730" spans="1:7">
      <c r="A1730" t="s">
        <v>3680</v>
      </c>
      <c r="B1730" t="s">
        <v>852</v>
      </c>
      <c r="C1730" t="s">
        <v>40</v>
      </c>
      <c r="D1730" s="10">
        <v>39897</v>
      </c>
      <c r="E1730" s="10">
        <v>45577</v>
      </c>
      <c r="F1730">
        <v>15</v>
      </c>
      <c r="G1730" t="s">
        <v>4296</v>
      </c>
    </row>
    <row r="1731" spans="1:7">
      <c r="A1731" t="s">
        <v>3682</v>
      </c>
      <c r="B1731" t="s">
        <v>21</v>
      </c>
      <c r="C1731" t="s">
        <v>133</v>
      </c>
      <c r="D1731" s="10">
        <v>35148</v>
      </c>
      <c r="E1731" s="10">
        <v>45680</v>
      </c>
      <c r="F1731">
        <v>28</v>
      </c>
      <c r="G1731" t="s">
        <v>4296</v>
      </c>
    </row>
    <row r="1732" spans="1:7">
      <c r="A1732" t="s">
        <v>3685</v>
      </c>
      <c r="B1732" t="s">
        <v>806</v>
      </c>
      <c r="C1732" t="s">
        <v>133</v>
      </c>
      <c r="D1732" s="10">
        <v>23208</v>
      </c>
      <c r="E1732" s="10">
        <v>45598</v>
      </c>
      <c r="F1732">
        <v>61</v>
      </c>
      <c r="G1732" t="s">
        <v>4296</v>
      </c>
    </row>
    <row r="1733" spans="1:7">
      <c r="A1733" t="s">
        <v>3686</v>
      </c>
      <c r="B1733" t="s">
        <v>693</v>
      </c>
      <c r="C1733" t="s">
        <v>40</v>
      </c>
      <c r="D1733" s="10">
        <v>29093</v>
      </c>
      <c r="E1733" s="10">
        <v>45406</v>
      </c>
      <c r="F1733">
        <v>44</v>
      </c>
      <c r="G1733" t="s">
        <v>4296</v>
      </c>
    </row>
    <row r="1734" spans="1:7">
      <c r="A1734" t="s">
        <v>3688</v>
      </c>
      <c r="B1734" t="s">
        <v>76</v>
      </c>
      <c r="C1734" t="s">
        <v>133</v>
      </c>
      <c r="D1734" s="10">
        <v>26990</v>
      </c>
      <c r="E1734" s="10">
        <v>45742</v>
      </c>
      <c r="F1734">
        <v>51</v>
      </c>
      <c r="G1734" t="s">
        <v>4296</v>
      </c>
    </row>
    <row r="1735" spans="1:7">
      <c r="A1735" t="s">
        <v>3690</v>
      </c>
      <c r="B1735" t="s">
        <v>345</v>
      </c>
      <c r="C1735" t="s">
        <v>40</v>
      </c>
      <c r="D1735" s="10">
        <v>20791</v>
      </c>
      <c r="E1735" s="10">
        <v>45176</v>
      </c>
      <c r="F1735">
        <v>66</v>
      </c>
      <c r="G1735" t="s">
        <v>4296</v>
      </c>
    </row>
    <row r="1736" spans="1:7">
      <c r="A1736" t="s">
        <v>3692</v>
      </c>
      <c r="B1736" t="s">
        <v>986</v>
      </c>
      <c r="C1736" t="s">
        <v>133</v>
      </c>
      <c r="D1736" s="10">
        <v>35501</v>
      </c>
      <c r="E1736" s="10">
        <v>45156</v>
      </c>
      <c r="F1736">
        <v>26</v>
      </c>
      <c r="G1736" t="s">
        <v>4296</v>
      </c>
    </row>
    <row r="1737" spans="1:7">
      <c r="A1737" t="s">
        <v>3695</v>
      </c>
      <c r="B1737" t="s">
        <v>1526</v>
      </c>
      <c r="C1737" t="s">
        <v>40</v>
      </c>
      <c r="D1737" s="10">
        <v>38252</v>
      </c>
      <c r="E1737" s="10">
        <v>45217</v>
      </c>
      <c r="F1737">
        <v>19</v>
      </c>
      <c r="G1737" t="s">
        <v>4296</v>
      </c>
    </row>
    <row r="1738" spans="1:7">
      <c r="A1738" t="s">
        <v>3696</v>
      </c>
      <c r="B1738" t="s">
        <v>438</v>
      </c>
      <c r="C1738" t="s">
        <v>133</v>
      </c>
      <c r="D1738" s="10">
        <v>21563</v>
      </c>
      <c r="E1738" s="10">
        <v>45111</v>
      </c>
      <c r="F1738">
        <v>64</v>
      </c>
      <c r="G1738" t="s">
        <v>4296</v>
      </c>
    </row>
    <row r="1739" spans="1:7">
      <c r="A1739" t="s">
        <v>3697</v>
      </c>
      <c r="B1739" t="s">
        <v>857</v>
      </c>
      <c r="C1739" t="s">
        <v>133</v>
      </c>
      <c r="D1739" s="10">
        <v>38589</v>
      </c>
      <c r="E1739" s="10">
        <v>45821</v>
      </c>
      <c r="F1739">
        <v>19</v>
      </c>
      <c r="G1739" t="s">
        <v>4296</v>
      </c>
    </row>
    <row r="1740" spans="1:7">
      <c r="A1740" t="s">
        <v>3698</v>
      </c>
      <c r="B1740" t="s">
        <v>1108</v>
      </c>
      <c r="C1740" t="s">
        <v>133</v>
      </c>
      <c r="D1740" s="10">
        <v>26526</v>
      </c>
      <c r="E1740" s="10">
        <v>45168</v>
      </c>
      <c r="F1740">
        <v>51</v>
      </c>
      <c r="G1740" t="s">
        <v>4296</v>
      </c>
    </row>
    <row r="1741" spans="1:7">
      <c r="A1741" t="s">
        <v>3700</v>
      </c>
      <c r="B1741" t="s">
        <v>378</v>
      </c>
      <c r="C1741" t="s">
        <v>133</v>
      </c>
      <c r="D1741" s="10">
        <v>36458</v>
      </c>
      <c r="E1741" s="10">
        <v>45520</v>
      </c>
      <c r="F1741">
        <v>24</v>
      </c>
      <c r="G1741" t="s">
        <v>4296</v>
      </c>
    </row>
    <row r="1742" spans="1:7">
      <c r="A1742" t="s">
        <v>3702</v>
      </c>
      <c r="B1742" t="s">
        <v>438</v>
      </c>
      <c r="C1742" t="s">
        <v>40</v>
      </c>
      <c r="D1742" s="10">
        <v>25378</v>
      </c>
      <c r="E1742" s="10">
        <v>45428</v>
      </c>
      <c r="F1742">
        <v>54</v>
      </c>
      <c r="G1742" t="s">
        <v>4296</v>
      </c>
    </row>
    <row r="1743" spans="1:7">
      <c r="A1743" t="s">
        <v>3703</v>
      </c>
      <c r="B1743" t="s">
        <v>373</v>
      </c>
      <c r="C1743" t="s">
        <v>133</v>
      </c>
      <c r="D1743" s="10">
        <v>20000</v>
      </c>
      <c r="E1743" s="10">
        <v>45675</v>
      </c>
      <c r="F1743">
        <v>70</v>
      </c>
      <c r="G1743" t="s">
        <v>4296</v>
      </c>
    </row>
    <row r="1744" spans="1:7">
      <c r="A1744" t="s">
        <v>3704</v>
      </c>
      <c r="B1744" t="s">
        <v>221</v>
      </c>
      <c r="C1744" t="s">
        <v>40</v>
      </c>
      <c r="D1744" s="10">
        <v>39370</v>
      </c>
      <c r="E1744" s="10">
        <v>45482</v>
      </c>
      <c r="F1744">
        <v>16</v>
      </c>
      <c r="G1744" t="s">
        <v>4237</v>
      </c>
    </row>
    <row r="1745" spans="1:7">
      <c r="A1745" t="s">
        <v>3706</v>
      </c>
      <c r="B1745" t="s">
        <v>342</v>
      </c>
      <c r="C1745" t="s">
        <v>40</v>
      </c>
      <c r="D1745" s="10">
        <v>31074</v>
      </c>
      <c r="E1745" s="10">
        <v>46004</v>
      </c>
      <c r="F1745">
        <v>40</v>
      </c>
      <c r="G1745" t="s">
        <v>4296</v>
      </c>
    </row>
    <row r="1746" spans="1:7">
      <c r="A1746" t="s">
        <v>3709</v>
      </c>
      <c r="B1746" t="s">
        <v>270</v>
      </c>
      <c r="C1746" t="s">
        <v>133</v>
      </c>
      <c r="D1746" s="10">
        <v>21466</v>
      </c>
      <c r="E1746" s="10">
        <v>44989</v>
      </c>
      <c r="F1746">
        <v>64</v>
      </c>
      <c r="G1746" t="s">
        <v>4296</v>
      </c>
    </row>
    <row r="1747" spans="1:7">
      <c r="A1747" t="s">
        <v>3710</v>
      </c>
      <c r="B1747" t="s">
        <v>116</v>
      </c>
      <c r="C1747" t="s">
        <v>40</v>
      </c>
      <c r="D1747" s="10">
        <v>38873</v>
      </c>
      <c r="E1747" s="10">
        <v>45967</v>
      </c>
      <c r="F1747">
        <v>19</v>
      </c>
      <c r="G1747" t="s">
        <v>4296</v>
      </c>
    </row>
    <row r="1748" spans="1:7">
      <c r="A1748" t="s">
        <v>3711</v>
      </c>
      <c r="B1748" t="s">
        <v>796</v>
      </c>
      <c r="C1748" t="s">
        <v>40</v>
      </c>
      <c r="D1748" s="10">
        <v>28744</v>
      </c>
      <c r="E1748" s="10">
        <v>45499</v>
      </c>
      <c r="F1748">
        <v>45</v>
      </c>
      <c r="G1748" t="s">
        <v>4296</v>
      </c>
    </row>
    <row r="1749" spans="1:7">
      <c r="A1749" t="s">
        <v>3713</v>
      </c>
      <c r="B1749" t="s">
        <v>403</v>
      </c>
      <c r="C1749" t="s">
        <v>133</v>
      </c>
      <c r="D1749" s="10">
        <v>26243</v>
      </c>
      <c r="E1749" s="10">
        <v>45683</v>
      </c>
      <c r="F1749">
        <v>53</v>
      </c>
      <c r="G1749" t="s">
        <v>4296</v>
      </c>
    </row>
    <row r="1750" spans="1:7">
      <c r="A1750" t="s">
        <v>3714</v>
      </c>
      <c r="B1750" t="s">
        <v>139</v>
      </c>
      <c r="C1750" t="s">
        <v>133</v>
      </c>
      <c r="D1750" s="10">
        <v>32936</v>
      </c>
      <c r="E1750" s="10">
        <v>45482</v>
      </c>
      <c r="F1750">
        <v>34</v>
      </c>
      <c r="G1750" t="s">
        <v>4237</v>
      </c>
    </row>
    <row r="1751" spans="1:7">
      <c r="A1751" t="s">
        <v>4208</v>
      </c>
      <c r="B1751" t="s">
        <v>898</v>
      </c>
      <c r="C1751" t="s">
        <v>133</v>
      </c>
      <c r="D1751" s="10">
        <v>22266</v>
      </c>
      <c r="E1751" s="10">
        <v>45363</v>
      </c>
      <c r="F1751">
        <v>63</v>
      </c>
      <c r="G1751" t="s">
        <v>4296</v>
      </c>
    </row>
    <row r="1752" spans="1:7">
      <c r="A1752" t="s">
        <v>3716</v>
      </c>
      <c r="B1752" t="s">
        <v>1658</v>
      </c>
      <c r="C1752" t="s">
        <v>133</v>
      </c>
      <c r="D1752" s="10">
        <v>27321</v>
      </c>
      <c r="E1752" s="10">
        <v>45139</v>
      </c>
      <c r="F1752">
        <v>48</v>
      </c>
      <c r="G1752" t="s">
        <v>4296</v>
      </c>
    </row>
    <row r="1753" spans="1:7">
      <c r="A1753" t="s">
        <v>3717</v>
      </c>
      <c r="B1753" t="s">
        <v>249</v>
      </c>
      <c r="C1753" t="s">
        <v>133</v>
      </c>
      <c r="D1753" s="10">
        <v>34814</v>
      </c>
      <c r="E1753" s="10">
        <v>45482</v>
      </c>
      <c r="F1753">
        <v>29</v>
      </c>
      <c r="G1753" t="s">
        <v>4237</v>
      </c>
    </row>
    <row r="1754" spans="1:7">
      <c r="A1754" t="s">
        <v>3719</v>
      </c>
      <c r="B1754" t="s">
        <v>1727</v>
      </c>
      <c r="C1754" t="s">
        <v>40</v>
      </c>
      <c r="D1754" s="10">
        <v>24620</v>
      </c>
      <c r="E1754" s="10">
        <v>45334</v>
      </c>
      <c r="F1754">
        <v>56</v>
      </c>
      <c r="G1754" t="s">
        <v>4296</v>
      </c>
    </row>
    <row r="1755" spans="1:7">
      <c r="A1755" t="s">
        <v>3721</v>
      </c>
      <c r="B1755" t="s">
        <v>891</v>
      </c>
      <c r="C1755" t="s">
        <v>40</v>
      </c>
      <c r="D1755" s="10">
        <v>29201</v>
      </c>
      <c r="E1755" s="10">
        <v>45875</v>
      </c>
      <c r="F1755">
        <v>45</v>
      </c>
      <c r="G1755" t="s">
        <v>4296</v>
      </c>
    </row>
    <row r="1756" spans="1:7">
      <c r="A1756" t="s">
        <v>3722</v>
      </c>
      <c r="B1756" t="s">
        <v>1700</v>
      </c>
      <c r="C1756" t="s">
        <v>133</v>
      </c>
      <c r="D1756" s="10">
        <v>26843</v>
      </c>
      <c r="E1756" s="10">
        <v>45355</v>
      </c>
      <c r="F1756">
        <v>50</v>
      </c>
      <c r="G1756" t="s">
        <v>4296</v>
      </c>
    </row>
    <row r="1757" spans="1:7">
      <c r="A1757" t="s">
        <v>3724</v>
      </c>
      <c r="B1757" t="s">
        <v>2249</v>
      </c>
      <c r="C1757" t="s">
        <v>40</v>
      </c>
      <c r="D1757" s="10">
        <v>29630</v>
      </c>
      <c r="E1757" s="10">
        <v>45370</v>
      </c>
      <c r="F1757">
        <v>43</v>
      </c>
      <c r="G1757" t="s">
        <v>4296</v>
      </c>
    </row>
    <row r="1758" spans="1:7">
      <c r="A1758" t="s">
        <v>3726</v>
      </c>
      <c r="B1758" t="s">
        <v>147</v>
      </c>
      <c r="C1758" t="s">
        <v>133</v>
      </c>
      <c r="D1758" s="10">
        <v>19251</v>
      </c>
      <c r="E1758" s="10">
        <v>45827</v>
      </c>
      <c r="F1758">
        <v>72</v>
      </c>
      <c r="G1758" t="s">
        <v>4296</v>
      </c>
    </row>
    <row r="1759" spans="1:7">
      <c r="A1759" t="s">
        <v>3727</v>
      </c>
      <c r="B1759" t="s">
        <v>99</v>
      </c>
      <c r="C1759" t="s">
        <v>40</v>
      </c>
      <c r="D1759" s="10">
        <v>20921</v>
      </c>
      <c r="E1759" s="10">
        <v>45208</v>
      </c>
      <c r="F1759">
        <v>66</v>
      </c>
      <c r="G1759" t="s">
        <v>4296</v>
      </c>
    </row>
    <row r="1760" spans="1:7">
      <c r="A1760" t="s">
        <v>3728</v>
      </c>
      <c r="B1760" t="s">
        <v>59</v>
      </c>
      <c r="C1760" t="s">
        <v>40</v>
      </c>
      <c r="D1760" s="10">
        <v>27837</v>
      </c>
      <c r="E1760" s="10">
        <v>45117</v>
      </c>
      <c r="F1760">
        <v>47</v>
      </c>
      <c r="G1760" t="s">
        <v>4296</v>
      </c>
    </row>
    <row r="1761" spans="1:7">
      <c r="A1761" t="s">
        <v>3730</v>
      </c>
      <c r="B1761" t="s">
        <v>280</v>
      </c>
      <c r="C1761" t="s">
        <v>133</v>
      </c>
      <c r="D1761" s="10">
        <v>31357</v>
      </c>
      <c r="E1761" s="10">
        <v>45143</v>
      </c>
      <c r="F1761">
        <v>37</v>
      </c>
      <c r="G1761" t="s">
        <v>4296</v>
      </c>
    </row>
    <row r="1762" spans="1:7">
      <c r="A1762" t="s">
        <v>3731</v>
      </c>
      <c r="B1762" t="s">
        <v>1748</v>
      </c>
      <c r="C1762" t="s">
        <v>40</v>
      </c>
      <c r="D1762" s="10">
        <v>36656</v>
      </c>
      <c r="E1762" s="10">
        <v>45908</v>
      </c>
      <c r="F1762">
        <v>25</v>
      </c>
      <c r="G1762" t="s">
        <v>4296</v>
      </c>
    </row>
    <row r="1763" spans="1:7">
      <c r="A1763" t="s">
        <v>3732</v>
      </c>
      <c r="B1763" t="s">
        <v>768</v>
      </c>
      <c r="C1763" t="s">
        <v>133</v>
      </c>
      <c r="D1763" s="10">
        <v>40537</v>
      </c>
      <c r="E1763" s="10">
        <v>45014</v>
      </c>
      <c r="F1763">
        <v>12</v>
      </c>
      <c r="G1763" t="s">
        <v>4296</v>
      </c>
    </row>
    <row r="1764" spans="1:7">
      <c r="A1764" t="s">
        <v>3733</v>
      </c>
      <c r="B1764" t="s">
        <v>568</v>
      </c>
      <c r="C1764" t="s">
        <v>40</v>
      </c>
      <c r="D1764" s="10">
        <v>35531</v>
      </c>
      <c r="E1764" s="10">
        <v>45973</v>
      </c>
      <c r="F1764">
        <v>28</v>
      </c>
      <c r="G1764" t="s">
        <v>4296</v>
      </c>
    </row>
    <row r="1765" spans="1:7">
      <c r="A1765" t="s">
        <v>3736</v>
      </c>
      <c r="B1765" t="s">
        <v>1678</v>
      </c>
      <c r="C1765" t="s">
        <v>133</v>
      </c>
      <c r="D1765" s="10">
        <v>31300</v>
      </c>
      <c r="E1765" s="10">
        <v>45643</v>
      </c>
      <c r="F1765">
        <v>39</v>
      </c>
      <c r="G1765" t="s">
        <v>4296</v>
      </c>
    </row>
    <row r="1766" spans="1:7">
      <c r="A1766" t="s">
        <v>3740</v>
      </c>
      <c r="B1766" t="s">
        <v>607</v>
      </c>
      <c r="C1766" t="s">
        <v>133</v>
      </c>
      <c r="D1766" s="10">
        <v>31014</v>
      </c>
      <c r="E1766" s="10">
        <v>45345</v>
      </c>
      <c r="F1766">
        <v>39</v>
      </c>
      <c r="G1766" t="s">
        <v>4296</v>
      </c>
    </row>
    <row r="1767" spans="1:7">
      <c r="A1767" t="s">
        <v>4209</v>
      </c>
      <c r="B1767" t="s">
        <v>1537</v>
      </c>
      <c r="C1767" t="s">
        <v>40</v>
      </c>
      <c r="D1767" s="10">
        <v>27939</v>
      </c>
      <c r="E1767" s="10">
        <v>45121</v>
      </c>
      <c r="F1767">
        <v>47</v>
      </c>
      <c r="G1767" t="s">
        <v>4296</v>
      </c>
    </row>
    <row r="1768" spans="1:7">
      <c r="A1768" t="s">
        <v>3744</v>
      </c>
      <c r="B1768" t="s">
        <v>1031</v>
      </c>
      <c r="C1768" t="s">
        <v>133</v>
      </c>
      <c r="D1768" s="10">
        <v>29772</v>
      </c>
      <c r="E1768" s="10">
        <v>45159</v>
      </c>
      <c r="F1768">
        <v>42</v>
      </c>
      <c r="G1768" t="s">
        <v>4296</v>
      </c>
    </row>
    <row r="1769" spans="1:7">
      <c r="A1769" t="s">
        <v>3747</v>
      </c>
      <c r="B1769" t="s">
        <v>771</v>
      </c>
      <c r="C1769" t="s">
        <v>133</v>
      </c>
      <c r="D1769" s="10">
        <v>36330</v>
      </c>
      <c r="E1769" s="10">
        <v>45014</v>
      </c>
      <c r="F1769">
        <v>23</v>
      </c>
      <c r="G1769" t="s">
        <v>4296</v>
      </c>
    </row>
    <row r="1770" spans="1:7">
      <c r="A1770" t="s">
        <v>3748</v>
      </c>
      <c r="B1770" t="s">
        <v>2270</v>
      </c>
      <c r="C1770" t="s">
        <v>133</v>
      </c>
      <c r="D1770" s="10">
        <v>21971</v>
      </c>
      <c r="E1770" s="10">
        <v>45910</v>
      </c>
      <c r="F1770">
        <v>65</v>
      </c>
      <c r="G1770" t="s">
        <v>4296</v>
      </c>
    </row>
    <row r="1771" spans="1:7">
      <c r="A1771" t="s">
        <v>3750</v>
      </c>
      <c r="B1771" t="s">
        <v>972</v>
      </c>
      <c r="C1771" t="s">
        <v>133</v>
      </c>
      <c r="D1771" s="10">
        <v>24778</v>
      </c>
      <c r="E1771" s="10">
        <v>45489</v>
      </c>
      <c r="F1771">
        <v>56</v>
      </c>
      <c r="G1771" t="s">
        <v>4296</v>
      </c>
    </row>
    <row r="1772" spans="1:7">
      <c r="A1772" t="s">
        <v>3751</v>
      </c>
      <c r="B1772" t="s">
        <v>728</v>
      </c>
      <c r="C1772" t="s">
        <v>133</v>
      </c>
      <c r="D1772" s="10">
        <v>20016</v>
      </c>
      <c r="E1772" s="10">
        <v>45326</v>
      </c>
      <c r="F1772">
        <v>69</v>
      </c>
      <c r="G1772" t="s">
        <v>4296</v>
      </c>
    </row>
    <row r="1773" spans="1:7">
      <c r="A1773" t="s">
        <v>3753</v>
      </c>
      <c r="B1773" t="s">
        <v>298</v>
      </c>
      <c r="C1773" t="s">
        <v>133</v>
      </c>
      <c r="D1773" s="10">
        <v>32887</v>
      </c>
      <c r="E1773" s="10">
        <v>45514</v>
      </c>
      <c r="F1773">
        <v>34</v>
      </c>
      <c r="G1773" t="s">
        <v>4296</v>
      </c>
    </row>
    <row r="1774" spans="1:7">
      <c r="A1774" t="s">
        <v>4210</v>
      </c>
      <c r="B1774" t="s">
        <v>354</v>
      </c>
      <c r="C1774" t="s">
        <v>40</v>
      </c>
      <c r="D1774" s="10">
        <v>27024</v>
      </c>
      <c r="E1774" s="10">
        <v>45932</v>
      </c>
      <c r="F1774">
        <v>51</v>
      </c>
      <c r="G1774" t="s">
        <v>4296</v>
      </c>
    </row>
    <row r="1775" spans="1:7">
      <c r="A1775" t="s">
        <v>3756</v>
      </c>
      <c r="B1775" t="s">
        <v>444</v>
      </c>
      <c r="C1775" t="s">
        <v>133</v>
      </c>
      <c r="D1775" s="10">
        <v>35908</v>
      </c>
      <c r="E1775" s="10">
        <v>45691</v>
      </c>
      <c r="F1775">
        <v>26</v>
      </c>
      <c r="G1775" t="s">
        <v>4296</v>
      </c>
    </row>
    <row r="1776" spans="1:7">
      <c r="A1776" t="s">
        <v>3758</v>
      </c>
      <c r="B1776" t="s">
        <v>143</v>
      </c>
      <c r="C1776" t="s">
        <v>40</v>
      </c>
      <c r="D1776" s="10">
        <v>36511</v>
      </c>
      <c r="E1776" s="10">
        <v>45804</v>
      </c>
      <c r="F1776">
        <v>25</v>
      </c>
      <c r="G1776" t="s">
        <v>4296</v>
      </c>
    </row>
    <row r="1777" spans="1:7">
      <c r="A1777" t="s">
        <v>4211</v>
      </c>
      <c r="B1777" t="s">
        <v>799</v>
      </c>
      <c r="C1777" t="s">
        <v>40</v>
      </c>
      <c r="D1777" s="10">
        <v>29997</v>
      </c>
      <c r="E1777" s="10">
        <v>45357</v>
      </c>
      <c r="F1777">
        <v>42</v>
      </c>
      <c r="G1777" t="s">
        <v>4296</v>
      </c>
    </row>
    <row r="1778" spans="1:7">
      <c r="A1778" t="s">
        <v>3763</v>
      </c>
      <c r="B1778" t="s">
        <v>1293</v>
      </c>
      <c r="C1778" t="s">
        <v>133</v>
      </c>
      <c r="D1778" s="10">
        <v>33701</v>
      </c>
      <c r="E1778" s="10">
        <v>45519</v>
      </c>
      <c r="F1778">
        <v>32</v>
      </c>
      <c r="G1778" t="s">
        <v>4296</v>
      </c>
    </row>
    <row r="1779" spans="1:7">
      <c r="A1779" t="s">
        <v>3766</v>
      </c>
      <c r="B1779" t="s">
        <v>314</v>
      </c>
      <c r="C1779" t="s">
        <v>40</v>
      </c>
      <c r="D1779" s="10">
        <v>29269</v>
      </c>
      <c r="E1779" s="10">
        <v>45065</v>
      </c>
      <c r="F1779">
        <v>43</v>
      </c>
      <c r="G1779" t="s">
        <v>4296</v>
      </c>
    </row>
    <row r="1780" spans="1:7">
      <c r="A1780" t="s">
        <v>3767</v>
      </c>
      <c r="B1780" t="s">
        <v>760</v>
      </c>
      <c r="C1780" t="s">
        <v>40</v>
      </c>
      <c r="D1780" s="10">
        <v>27184</v>
      </c>
      <c r="E1780" s="10">
        <v>46008</v>
      </c>
      <c r="F1780">
        <v>51</v>
      </c>
      <c r="G1780" t="s">
        <v>4296</v>
      </c>
    </row>
    <row r="1781" spans="1:7">
      <c r="A1781" t="s">
        <v>3769</v>
      </c>
      <c r="B1781" t="s">
        <v>1667</v>
      </c>
      <c r="C1781" t="s">
        <v>40</v>
      </c>
      <c r="D1781" s="10">
        <v>40140</v>
      </c>
      <c r="E1781" s="10">
        <v>45539</v>
      </c>
      <c r="F1781">
        <v>14</v>
      </c>
      <c r="G1781" t="s">
        <v>4296</v>
      </c>
    </row>
    <row r="1782" spans="1:7">
      <c r="A1782" t="s">
        <v>3770</v>
      </c>
      <c r="B1782" t="s">
        <v>1097</v>
      </c>
      <c r="C1782" t="s">
        <v>40</v>
      </c>
      <c r="D1782" s="10">
        <v>29746</v>
      </c>
      <c r="E1782" s="10">
        <v>45477</v>
      </c>
      <c r="F1782">
        <v>43</v>
      </c>
      <c r="G1782" t="s">
        <v>4296</v>
      </c>
    </row>
    <row r="1783" spans="1:7">
      <c r="A1783" t="s">
        <v>3773</v>
      </c>
      <c r="B1783" t="s">
        <v>429</v>
      </c>
      <c r="C1783" t="s">
        <v>133</v>
      </c>
      <c r="D1783" s="10">
        <v>21558</v>
      </c>
      <c r="E1783" s="10">
        <v>45205</v>
      </c>
      <c r="F1783">
        <v>64</v>
      </c>
      <c r="G1783" t="s">
        <v>4296</v>
      </c>
    </row>
    <row r="1784" spans="1:7">
      <c r="A1784" t="s">
        <v>3777</v>
      </c>
      <c r="B1784" t="s">
        <v>241</v>
      </c>
      <c r="C1784" t="s">
        <v>133</v>
      </c>
      <c r="D1784" s="10">
        <v>29765</v>
      </c>
      <c r="E1784" s="10">
        <v>44940</v>
      </c>
      <c r="F1784">
        <v>41</v>
      </c>
      <c r="G1784" t="s">
        <v>4296</v>
      </c>
    </row>
    <row r="1785" spans="1:7">
      <c r="A1785" t="s">
        <v>4212</v>
      </c>
      <c r="B1785" t="s">
        <v>1471</v>
      </c>
      <c r="C1785" t="s">
        <v>40</v>
      </c>
      <c r="D1785" s="10">
        <v>31584</v>
      </c>
      <c r="E1785" s="10">
        <v>45101</v>
      </c>
      <c r="F1785">
        <v>37</v>
      </c>
      <c r="G1785" t="s">
        <v>4296</v>
      </c>
    </row>
    <row r="1786" spans="1:7">
      <c r="A1786" t="s">
        <v>3780</v>
      </c>
      <c r="B1786" t="s">
        <v>850</v>
      </c>
      <c r="C1786" t="s">
        <v>133</v>
      </c>
      <c r="D1786" s="10">
        <v>30538</v>
      </c>
      <c r="E1786" s="10">
        <v>45011</v>
      </c>
      <c r="F1786">
        <v>39</v>
      </c>
      <c r="G1786" t="s">
        <v>4296</v>
      </c>
    </row>
    <row r="1787" spans="1:7">
      <c r="A1787" t="s">
        <v>3781</v>
      </c>
      <c r="B1787" t="s">
        <v>986</v>
      </c>
      <c r="C1787" t="s">
        <v>133</v>
      </c>
      <c r="D1787" s="10">
        <v>19515</v>
      </c>
      <c r="E1787" s="10">
        <v>45080</v>
      </c>
      <c r="F1787">
        <v>69</v>
      </c>
      <c r="G1787" t="s">
        <v>4296</v>
      </c>
    </row>
    <row r="1788" spans="1:7">
      <c r="A1788" t="s">
        <v>3782</v>
      </c>
      <c r="B1788" t="s">
        <v>1101</v>
      </c>
      <c r="C1788" t="s">
        <v>133</v>
      </c>
      <c r="D1788" s="10">
        <v>28906</v>
      </c>
      <c r="E1788" s="10">
        <v>45309</v>
      </c>
      <c r="F1788">
        <v>44</v>
      </c>
      <c r="G1788" t="s">
        <v>4296</v>
      </c>
    </row>
    <row r="1789" spans="1:7">
      <c r="A1789" t="s">
        <v>3784</v>
      </c>
      <c r="B1789" t="s">
        <v>762</v>
      </c>
      <c r="C1789" t="s">
        <v>40</v>
      </c>
      <c r="D1789" s="10">
        <v>39601</v>
      </c>
      <c r="E1789" s="10">
        <v>45781</v>
      </c>
      <c r="F1789">
        <v>16</v>
      </c>
      <c r="G1789" t="s">
        <v>4296</v>
      </c>
    </row>
    <row r="1790" spans="1:7">
      <c r="A1790" t="s">
        <v>3785</v>
      </c>
      <c r="B1790" t="s">
        <v>93</v>
      </c>
      <c r="C1790" t="s">
        <v>133</v>
      </c>
      <c r="D1790" s="10">
        <v>23594</v>
      </c>
      <c r="E1790" s="10">
        <v>45012</v>
      </c>
      <c r="F1790">
        <v>58</v>
      </c>
      <c r="G1790" t="s">
        <v>4296</v>
      </c>
    </row>
    <row r="1791" spans="1:7">
      <c r="A1791" t="s">
        <v>3787</v>
      </c>
      <c r="B1791" t="s">
        <v>652</v>
      </c>
      <c r="C1791" t="s">
        <v>40</v>
      </c>
      <c r="D1791" s="10">
        <v>22968</v>
      </c>
      <c r="E1791" s="10">
        <v>45150</v>
      </c>
      <c r="F1791">
        <v>60</v>
      </c>
      <c r="G1791" t="s">
        <v>4296</v>
      </c>
    </row>
    <row r="1792" spans="1:7">
      <c r="A1792" t="s">
        <v>3788</v>
      </c>
      <c r="B1792" t="s">
        <v>1408</v>
      </c>
      <c r="C1792" t="s">
        <v>133</v>
      </c>
      <c r="D1792" s="10">
        <v>36040</v>
      </c>
      <c r="E1792" s="10">
        <v>45610</v>
      </c>
      <c r="F1792">
        <v>26</v>
      </c>
      <c r="G1792" t="s">
        <v>4296</v>
      </c>
    </row>
    <row r="1793" spans="1:7">
      <c r="A1793" t="s">
        <v>3791</v>
      </c>
      <c r="B1793" t="s">
        <v>229</v>
      </c>
      <c r="C1793" t="s">
        <v>40</v>
      </c>
      <c r="D1793" s="10">
        <v>32868</v>
      </c>
      <c r="E1793" s="10">
        <v>45487</v>
      </c>
      <c r="F1793">
        <v>34</v>
      </c>
      <c r="G1793" t="s">
        <v>4296</v>
      </c>
    </row>
    <row r="1794" spans="1:7">
      <c r="A1794" t="s">
        <v>3793</v>
      </c>
      <c r="B1794" t="s">
        <v>464</v>
      </c>
      <c r="C1794" t="s">
        <v>40</v>
      </c>
      <c r="D1794" s="10">
        <v>25011</v>
      </c>
      <c r="E1794" s="10">
        <v>45608</v>
      </c>
      <c r="F1794">
        <v>56</v>
      </c>
      <c r="G1794" t="s">
        <v>4296</v>
      </c>
    </row>
    <row r="1795" spans="1:7">
      <c r="A1795" t="s">
        <v>3794</v>
      </c>
      <c r="B1795" t="s">
        <v>3015</v>
      </c>
      <c r="C1795" t="s">
        <v>133</v>
      </c>
      <c r="D1795" s="10">
        <v>32816</v>
      </c>
      <c r="E1795" s="10">
        <v>46005</v>
      </c>
      <c r="F1795">
        <v>36</v>
      </c>
      <c r="G1795" t="s">
        <v>4296</v>
      </c>
    </row>
    <row r="1796" spans="1:7">
      <c r="A1796" t="s">
        <v>3796</v>
      </c>
      <c r="B1796" t="s">
        <v>93</v>
      </c>
      <c r="C1796" t="s">
        <v>40</v>
      </c>
      <c r="D1796" s="10">
        <v>25338</v>
      </c>
      <c r="E1796" s="10">
        <v>45319</v>
      </c>
      <c r="F1796">
        <v>54</v>
      </c>
      <c r="G1796" t="s">
        <v>4296</v>
      </c>
    </row>
    <row r="1797" spans="1:7">
      <c r="A1797" t="s">
        <v>3797</v>
      </c>
      <c r="B1797" t="s">
        <v>2033</v>
      </c>
      <c r="C1797" t="s">
        <v>133</v>
      </c>
      <c r="D1797" s="10">
        <v>30538</v>
      </c>
      <c r="E1797" s="10">
        <v>45842</v>
      </c>
      <c r="F1797">
        <v>41</v>
      </c>
      <c r="G1797" t="s">
        <v>4296</v>
      </c>
    </row>
    <row r="1798" spans="1:7">
      <c r="A1798" t="s">
        <v>3798</v>
      </c>
      <c r="B1798" t="s">
        <v>155</v>
      </c>
      <c r="C1798" t="s">
        <v>133</v>
      </c>
      <c r="D1798" s="10">
        <v>24880</v>
      </c>
      <c r="E1798" s="10">
        <v>45191</v>
      </c>
      <c r="F1798">
        <v>55</v>
      </c>
      <c r="G1798" t="s">
        <v>4296</v>
      </c>
    </row>
    <row r="1799" spans="1:7">
      <c r="A1799" t="s">
        <v>4213</v>
      </c>
      <c r="B1799" t="s">
        <v>909</v>
      </c>
      <c r="C1799" t="s">
        <v>133</v>
      </c>
      <c r="D1799" s="10">
        <v>20589</v>
      </c>
      <c r="E1799" s="10">
        <v>45150</v>
      </c>
      <c r="F1799">
        <v>67</v>
      </c>
      <c r="G1799" t="s">
        <v>4296</v>
      </c>
    </row>
    <row r="1800" spans="1:7">
      <c r="A1800" t="s">
        <v>3802</v>
      </c>
      <c r="B1800" t="s">
        <v>607</v>
      </c>
      <c r="C1800" t="s">
        <v>133</v>
      </c>
      <c r="D1800" s="10">
        <v>31932</v>
      </c>
      <c r="E1800" s="10">
        <v>45499</v>
      </c>
      <c r="F1800">
        <v>37</v>
      </c>
      <c r="G1800" t="s">
        <v>4296</v>
      </c>
    </row>
    <row r="1801" spans="1:7">
      <c r="A1801" t="s">
        <v>3804</v>
      </c>
      <c r="B1801" t="s">
        <v>1230</v>
      </c>
      <c r="C1801" t="s">
        <v>133</v>
      </c>
      <c r="D1801" s="10">
        <v>37549</v>
      </c>
      <c r="E1801" s="10">
        <v>44991</v>
      </c>
      <c r="F1801">
        <v>20</v>
      </c>
      <c r="G1801" t="s">
        <v>4296</v>
      </c>
    </row>
    <row r="1802" spans="1:7">
      <c r="A1802" t="s">
        <v>3805</v>
      </c>
      <c r="B1802" t="s">
        <v>314</v>
      </c>
      <c r="C1802" t="s">
        <v>133</v>
      </c>
      <c r="D1802" s="10">
        <v>37109</v>
      </c>
      <c r="E1802" s="10">
        <v>45267</v>
      </c>
      <c r="F1802">
        <v>22</v>
      </c>
      <c r="G1802" t="s">
        <v>4296</v>
      </c>
    </row>
    <row r="1803" spans="1:7">
      <c r="A1803" t="s">
        <v>3807</v>
      </c>
      <c r="B1803" t="s">
        <v>321</v>
      </c>
      <c r="C1803" t="s">
        <v>40</v>
      </c>
      <c r="D1803" s="10">
        <v>38461</v>
      </c>
      <c r="E1803" s="10">
        <v>45885</v>
      </c>
      <c r="F1803">
        <v>20</v>
      </c>
      <c r="G1803" t="s">
        <v>4296</v>
      </c>
    </row>
    <row r="1804" spans="1:7">
      <c r="A1804" t="s">
        <v>3810</v>
      </c>
      <c r="B1804" t="s">
        <v>556</v>
      </c>
      <c r="C1804" t="s">
        <v>133</v>
      </c>
      <c r="D1804" s="10">
        <v>24894</v>
      </c>
      <c r="E1804" s="10">
        <v>45068</v>
      </c>
      <c r="F1804">
        <v>55</v>
      </c>
      <c r="G1804" t="s">
        <v>4296</v>
      </c>
    </row>
    <row r="1805" spans="1:7">
      <c r="A1805" t="s">
        <v>3811</v>
      </c>
      <c r="B1805" t="s">
        <v>565</v>
      </c>
      <c r="C1805" t="s">
        <v>133</v>
      </c>
      <c r="D1805" s="10">
        <v>33522</v>
      </c>
      <c r="E1805" s="10">
        <v>45542</v>
      </c>
      <c r="F1805">
        <v>32</v>
      </c>
      <c r="G1805" t="s">
        <v>4296</v>
      </c>
    </row>
    <row r="1806" spans="1:7">
      <c r="A1806" t="s">
        <v>3813</v>
      </c>
      <c r="B1806" t="s">
        <v>350</v>
      </c>
      <c r="C1806" t="s">
        <v>40</v>
      </c>
      <c r="D1806" s="10">
        <v>28351</v>
      </c>
      <c r="E1806" s="10">
        <v>45482</v>
      </c>
      <c r="F1806">
        <v>46</v>
      </c>
      <c r="G1806" t="s">
        <v>4237</v>
      </c>
    </row>
    <row r="1807" spans="1:7">
      <c r="A1807" t="s">
        <v>3815</v>
      </c>
      <c r="B1807" t="s">
        <v>1182</v>
      </c>
      <c r="C1807" t="s">
        <v>40</v>
      </c>
      <c r="D1807" s="10">
        <v>25128</v>
      </c>
      <c r="E1807" s="10">
        <v>46005</v>
      </c>
      <c r="F1807">
        <v>57</v>
      </c>
      <c r="G1807" t="s">
        <v>4296</v>
      </c>
    </row>
    <row r="1808" spans="1:7">
      <c r="A1808" t="s">
        <v>3817</v>
      </c>
      <c r="B1808" t="s">
        <v>458</v>
      </c>
      <c r="C1808" t="s">
        <v>40</v>
      </c>
      <c r="D1808" s="10">
        <v>37249</v>
      </c>
      <c r="E1808" s="10">
        <v>45237</v>
      </c>
      <c r="F1808">
        <v>21</v>
      </c>
      <c r="G1808" t="s">
        <v>4296</v>
      </c>
    </row>
    <row r="1809" spans="1:7">
      <c r="A1809" t="s">
        <v>3818</v>
      </c>
      <c r="B1809" t="s">
        <v>624</v>
      </c>
      <c r="C1809" t="s">
        <v>133</v>
      </c>
      <c r="D1809" s="10">
        <v>31207</v>
      </c>
      <c r="E1809" s="10">
        <v>45129</v>
      </c>
      <c r="F1809">
        <v>38</v>
      </c>
      <c r="G1809" t="s">
        <v>4296</v>
      </c>
    </row>
    <row r="1810" spans="1:7">
      <c r="A1810" t="s">
        <v>3822</v>
      </c>
      <c r="B1810" t="s">
        <v>2507</v>
      </c>
      <c r="C1810" t="s">
        <v>40</v>
      </c>
      <c r="D1810" s="10">
        <v>33049</v>
      </c>
      <c r="E1810" s="10">
        <v>45132</v>
      </c>
      <c r="F1810">
        <v>33</v>
      </c>
      <c r="G1810" t="s">
        <v>4296</v>
      </c>
    </row>
    <row r="1811" spans="1:7">
      <c r="A1811" t="s">
        <v>3823</v>
      </c>
      <c r="B1811" t="s">
        <v>2177</v>
      </c>
      <c r="C1811" t="s">
        <v>40</v>
      </c>
      <c r="D1811" s="10">
        <v>34946</v>
      </c>
      <c r="E1811" s="10">
        <v>45652</v>
      </c>
      <c r="F1811">
        <v>29</v>
      </c>
      <c r="G1811" t="s">
        <v>4296</v>
      </c>
    </row>
    <row r="1812" spans="1:7">
      <c r="A1812" t="s">
        <v>4214</v>
      </c>
      <c r="B1812" t="s">
        <v>451</v>
      </c>
      <c r="C1812" t="s">
        <v>133</v>
      </c>
      <c r="D1812" s="10">
        <v>27686</v>
      </c>
      <c r="E1812" s="10">
        <v>45372</v>
      </c>
      <c r="F1812">
        <v>48</v>
      </c>
      <c r="G1812" t="s">
        <v>4296</v>
      </c>
    </row>
    <row r="1813" spans="1:7">
      <c r="A1813" t="s">
        <v>3827</v>
      </c>
      <c r="B1813" t="s">
        <v>845</v>
      </c>
      <c r="C1813" t="s">
        <v>40</v>
      </c>
      <c r="D1813" s="10">
        <v>23107</v>
      </c>
      <c r="E1813" s="10">
        <v>45896</v>
      </c>
      <c r="F1813">
        <v>62</v>
      </c>
      <c r="G1813" t="s">
        <v>4296</v>
      </c>
    </row>
    <row r="1814" spans="1:7">
      <c r="A1814" t="s">
        <v>3828</v>
      </c>
      <c r="B1814" t="s">
        <v>150</v>
      </c>
      <c r="C1814" t="s">
        <v>40</v>
      </c>
      <c r="D1814" s="10">
        <v>23297</v>
      </c>
      <c r="E1814" s="10">
        <v>45671</v>
      </c>
      <c r="F1814">
        <v>61</v>
      </c>
      <c r="G1814" t="s">
        <v>4296</v>
      </c>
    </row>
    <row r="1815" spans="1:7">
      <c r="A1815" t="s">
        <v>3830</v>
      </c>
      <c r="B1815" t="s">
        <v>737</v>
      </c>
      <c r="C1815" t="s">
        <v>40</v>
      </c>
      <c r="D1815" s="10">
        <v>24173</v>
      </c>
      <c r="E1815" s="10">
        <v>45131</v>
      </c>
      <c r="F1815">
        <v>57</v>
      </c>
      <c r="G1815" t="s">
        <v>4296</v>
      </c>
    </row>
    <row r="1816" spans="1:7">
      <c r="A1816" t="s">
        <v>3832</v>
      </c>
      <c r="B1816" t="s">
        <v>436</v>
      </c>
      <c r="C1816" t="s">
        <v>40</v>
      </c>
      <c r="D1816" s="10">
        <v>24849</v>
      </c>
      <c r="E1816" s="10">
        <v>45049</v>
      </c>
      <c r="F1816">
        <v>55</v>
      </c>
      <c r="G1816" t="s">
        <v>4296</v>
      </c>
    </row>
    <row r="1817" spans="1:7">
      <c r="A1817" t="s">
        <v>3833</v>
      </c>
      <c r="B1817" t="s">
        <v>1471</v>
      </c>
      <c r="C1817" t="s">
        <v>133</v>
      </c>
      <c r="D1817" s="10">
        <v>18388</v>
      </c>
      <c r="E1817" s="10">
        <v>45446</v>
      </c>
      <c r="F1817">
        <v>74</v>
      </c>
      <c r="G1817" t="s">
        <v>4296</v>
      </c>
    </row>
    <row r="1818" spans="1:7">
      <c r="A1818" t="s">
        <v>3834</v>
      </c>
      <c r="B1818" t="s">
        <v>857</v>
      </c>
      <c r="C1818" t="s">
        <v>40</v>
      </c>
      <c r="D1818" s="10">
        <v>39939</v>
      </c>
      <c r="E1818" s="10">
        <v>45007</v>
      </c>
      <c r="F1818">
        <v>13</v>
      </c>
      <c r="G1818" t="s">
        <v>4296</v>
      </c>
    </row>
    <row r="1819" spans="1:7">
      <c r="A1819" t="s">
        <v>4215</v>
      </c>
      <c r="B1819" t="s">
        <v>470</v>
      </c>
      <c r="C1819" t="s">
        <v>133</v>
      </c>
      <c r="D1819" s="10">
        <v>27039</v>
      </c>
      <c r="E1819" s="10">
        <v>45409</v>
      </c>
      <c r="F1819">
        <v>50</v>
      </c>
      <c r="G1819" t="s">
        <v>4296</v>
      </c>
    </row>
    <row r="1820" spans="1:7">
      <c r="A1820" t="s">
        <v>3837</v>
      </c>
      <c r="B1820" t="s">
        <v>972</v>
      </c>
      <c r="C1820" t="s">
        <v>40</v>
      </c>
      <c r="D1820" s="10">
        <v>19767</v>
      </c>
      <c r="E1820" s="10">
        <v>45114</v>
      </c>
      <c r="F1820">
        <v>69</v>
      </c>
      <c r="G1820" t="s">
        <v>4296</v>
      </c>
    </row>
    <row r="1821" spans="1:7">
      <c r="A1821" t="s">
        <v>3838</v>
      </c>
      <c r="B1821" t="s">
        <v>857</v>
      </c>
      <c r="C1821" t="s">
        <v>40</v>
      </c>
      <c r="D1821" s="10">
        <v>20192</v>
      </c>
      <c r="E1821" s="10">
        <v>45553</v>
      </c>
      <c r="F1821">
        <v>69</v>
      </c>
      <c r="G1821" t="s">
        <v>4296</v>
      </c>
    </row>
    <row r="1822" spans="1:7">
      <c r="A1822" t="s">
        <v>3839</v>
      </c>
      <c r="B1822" t="s">
        <v>277</v>
      </c>
      <c r="C1822" t="s">
        <v>133</v>
      </c>
      <c r="D1822" s="10">
        <v>26526</v>
      </c>
      <c r="E1822" s="10">
        <v>45572</v>
      </c>
      <c r="F1822">
        <v>52</v>
      </c>
      <c r="G1822" t="s">
        <v>4296</v>
      </c>
    </row>
    <row r="1823" spans="1:7">
      <c r="A1823" t="s">
        <v>3840</v>
      </c>
      <c r="B1823" t="s">
        <v>891</v>
      </c>
      <c r="C1823" t="s">
        <v>40</v>
      </c>
      <c r="D1823" s="10">
        <v>38869</v>
      </c>
      <c r="E1823" s="10">
        <v>45146</v>
      </c>
      <c r="F1823">
        <v>17</v>
      </c>
      <c r="G1823" t="s">
        <v>4296</v>
      </c>
    </row>
    <row r="1824" spans="1:7">
      <c r="A1824" t="s">
        <v>3842</v>
      </c>
      <c r="B1824" t="s">
        <v>292</v>
      </c>
      <c r="C1824" t="s">
        <v>40</v>
      </c>
      <c r="D1824" s="10">
        <v>27255</v>
      </c>
      <c r="E1824" s="10">
        <v>45970</v>
      </c>
      <c r="F1824">
        <v>51</v>
      </c>
      <c r="G1824" t="s">
        <v>4296</v>
      </c>
    </row>
    <row r="1825" spans="1:7">
      <c r="A1825" t="s">
        <v>4216</v>
      </c>
      <c r="B1825" t="s">
        <v>3484</v>
      </c>
      <c r="C1825" t="s">
        <v>133</v>
      </c>
      <c r="D1825" s="10">
        <v>33820</v>
      </c>
      <c r="E1825" s="10">
        <v>45715</v>
      </c>
      <c r="F1825">
        <v>32</v>
      </c>
      <c r="G1825" t="s">
        <v>4296</v>
      </c>
    </row>
    <row r="1826" spans="1:7">
      <c r="A1826" t="s">
        <v>3846</v>
      </c>
      <c r="B1826" t="s">
        <v>288</v>
      </c>
      <c r="C1826" t="s">
        <v>40</v>
      </c>
      <c r="D1826" s="10">
        <v>25915</v>
      </c>
      <c r="E1826" s="10">
        <v>45073</v>
      </c>
      <c r="F1826">
        <v>52</v>
      </c>
      <c r="G1826" t="s">
        <v>4296</v>
      </c>
    </row>
    <row r="1827" spans="1:7">
      <c r="A1827" t="s">
        <v>3847</v>
      </c>
      <c r="B1827" t="s">
        <v>1590</v>
      </c>
      <c r="C1827" t="s">
        <v>133</v>
      </c>
      <c r="D1827" s="10">
        <v>19434</v>
      </c>
      <c r="E1827" s="10">
        <v>45362</v>
      </c>
      <c r="F1827">
        <v>70</v>
      </c>
      <c r="G1827" t="s">
        <v>4296</v>
      </c>
    </row>
    <row r="1828" spans="1:7">
      <c r="A1828" t="s">
        <v>3849</v>
      </c>
      <c r="B1828" t="s">
        <v>1119</v>
      </c>
      <c r="C1828" t="s">
        <v>40</v>
      </c>
      <c r="D1828" s="10">
        <v>19778</v>
      </c>
      <c r="E1828" s="10">
        <v>45172</v>
      </c>
      <c r="F1828">
        <v>69</v>
      </c>
      <c r="G1828" t="s">
        <v>4296</v>
      </c>
    </row>
    <row r="1829" spans="1:7">
      <c r="A1829" t="s">
        <v>3851</v>
      </c>
      <c r="B1829" t="s">
        <v>1101</v>
      </c>
      <c r="C1829" t="s">
        <v>40</v>
      </c>
      <c r="D1829" s="10">
        <v>25345</v>
      </c>
      <c r="E1829" s="10">
        <v>45459</v>
      </c>
      <c r="F1829">
        <v>55</v>
      </c>
      <c r="G1829" t="s">
        <v>4296</v>
      </c>
    </row>
    <row r="1830" spans="1:7">
      <c r="A1830" t="s">
        <v>3852</v>
      </c>
      <c r="B1830" t="s">
        <v>485</v>
      </c>
      <c r="C1830" t="s">
        <v>40</v>
      </c>
      <c r="D1830" s="10">
        <v>31818</v>
      </c>
      <c r="E1830" s="10">
        <v>45099</v>
      </c>
      <c r="F1830">
        <v>36</v>
      </c>
      <c r="G1830" t="s">
        <v>4296</v>
      </c>
    </row>
    <row r="1831" spans="1:7">
      <c r="A1831" t="s">
        <v>3853</v>
      </c>
      <c r="B1831" t="s">
        <v>1125</v>
      </c>
      <c r="C1831" t="s">
        <v>133</v>
      </c>
      <c r="D1831" s="10">
        <v>24785</v>
      </c>
      <c r="E1831" s="10">
        <v>45155</v>
      </c>
      <c r="F1831">
        <v>55</v>
      </c>
      <c r="G1831" t="s">
        <v>4296</v>
      </c>
    </row>
    <row r="1832" spans="1:7">
      <c r="A1832" t="s">
        <v>3856</v>
      </c>
      <c r="B1832" t="s">
        <v>1393</v>
      </c>
      <c r="C1832" t="s">
        <v>133</v>
      </c>
      <c r="D1832" s="10">
        <v>22490</v>
      </c>
      <c r="E1832" s="10">
        <v>45612</v>
      </c>
      <c r="F1832">
        <v>63</v>
      </c>
      <c r="G1832" t="s">
        <v>4296</v>
      </c>
    </row>
    <row r="1833" spans="1:7">
      <c r="A1833" t="s">
        <v>3857</v>
      </c>
      <c r="B1833" t="s">
        <v>345</v>
      </c>
      <c r="C1833" t="s">
        <v>40</v>
      </c>
      <c r="D1833" s="10">
        <v>36166</v>
      </c>
      <c r="E1833" s="10">
        <v>45133</v>
      </c>
      <c r="F1833">
        <v>24</v>
      </c>
      <c r="G1833" t="s">
        <v>4296</v>
      </c>
    </row>
    <row r="1834" spans="1:7">
      <c r="A1834" t="s">
        <v>3859</v>
      </c>
      <c r="B1834" t="s">
        <v>568</v>
      </c>
      <c r="C1834" t="s">
        <v>40</v>
      </c>
      <c r="D1834" s="10">
        <v>29330</v>
      </c>
      <c r="E1834" s="10">
        <v>45423</v>
      </c>
      <c r="F1834">
        <v>44</v>
      </c>
      <c r="G1834" t="s">
        <v>4237</v>
      </c>
    </row>
    <row r="1835" spans="1:7">
      <c r="A1835" t="s">
        <v>3863</v>
      </c>
      <c r="B1835" t="s">
        <v>93</v>
      </c>
      <c r="C1835" t="s">
        <v>40</v>
      </c>
      <c r="D1835" s="10">
        <v>35442</v>
      </c>
      <c r="E1835" s="10">
        <v>45108</v>
      </c>
      <c r="F1835">
        <v>26</v>
      </c>
      <c r="G1835" t="s">
        <v>4296</v>
      </c>
    </row>
    <row r="1836" spans="1:7">
      <c r="A1836" t="s">
        <v>3866</v>
      </c>
      <c r="B1836" t="s">
        <v>2594</v>
      </c>
      <c r="C1836" t="s">
        <v>133</v>
      </c>
      <c r="D1836" s="10">
        <v>25403</v>
      </c>
      <c r="E1836" s="10">
        <v>45878</v>
      </c>
      <c r="F1836">
        <v>56</v>
      </c>
      <c r="G1836" t="s">
        <v>4296</v>
      </c>
    </row>
    <row r="1837" spans="1:7">
      <c r="A1837" t="s">
        <v>3868</v>
      </c>
      <c r="B1837" t="s">
        <v>1391</v>
      </c>
      <c r="C1837" t="s">
        <v>133</v>
      </c>
      <c r="D1837" s="10">
        <v>28699</v>
      </c>
      <c r="E1837" s="10">
        <v>45726</v>
      </c>
      <c r="F1837">
        <v>46</v>
      </c>
      <c r="G1837" t="s">
        <v>4296</v>
      </c>
    </row>
    <row r="1838" spans="1:7">
      <c r="A1838" t="s">
        <v>3869</v>
      </c>
      <c r="B1838" t="s">
        <v>522</v>
      </c>
      <c r="C1838" t="s">
        <v>133</v>
      </c>
      <c r="D1838" s="10">
        <v>23506</v>
      </c>
      <c r="E1838" s="10">
        <v>45451</v>
      </c>
      <c r="F1838">
        <v>60</v>
      </c>
      <c r="G1838" t="s">
        <v>4296</v>
      </c>
    </row>
    <row r="1839" spans="1:7">
      <c r="A1839" t="s">
        <v>3870</v>
      </c>
      <c r="B1839" t="s">
        <v>895</v>
      </c>
      <c r="C1839" t="s">
        <v>40</v>
      </c>
      <c r="D1839" s="10">
        <v>19998</v>
      </c>
      <c r="E1839" s="10">
        <v>45055</v>
      </c>
      <c r="F1839">
        <v>68</v>
      </c>
      <c r="G1839" t="s">
        <v>4296</v>
      </c>
    </row>
    <row r="1840" spans="1:7">
      <c r="A1840" t="s">
        <v>3871</v>
      </c>
      <c r="B1840" t="s">
        <v>728</v>
      </c>
      <c r="C1840" t="s">
        <v>133</v>
      </c>
      <c r="D1840" s="10">
        <v>37813</v>
      </c>
      <c r="E1840" s="10">
        <v>45722</v>
      </c>
      <c r="F1840">
        <v>21</v>
      </c>
      <c r="G1840" t="s">
        <v>4296</v>
      </c>
    </row>
    <row r="1841" spans="1:7">
      <c r="A1841" t="s">
        <v>3872</v>
      </c>
      <c r="B1841" t="s">
        <v>392</v>
      </c>
      <c r="C1841" t="s">
        <v>133</v>
      </c>
      <c r="D1841" s="10">
        <v>29909</v>
      </c>
      <c r="E1841" s="10">
        <v>45307</v>
      </c>
      <c r="F1841">
        <v>42</v>
      </c>
      <c r="G1841" t="s">
        <v>4296</v>
      </c>
    </row>
    <row r="1842" spans="1:7">
      <c r="A1842" t="s">
        <v>4217</v>
      </c>
      <c r="B1842" t="s">
        <v>495</v>
      </c>
      <c r="C1842" t="s">
        <v>40</v>
      </c>
      <c r="D1842" s="10">
        <v>21628</v>
      </c>
      <c r="E1842" s="10">
        <v>45942</v>
      </c>
      <c r="F1842">
        <v>66</v>
      </c>
      <c r="G1842" t="s">
        <v>4296</v>
      </c>
    </row>
    <row r="1843" spans="1:7">
      <c r="A1843" t="s">
        <v>3876</v>
      </c>
      <c r="B1843" t="s">
        <v>147</v>
      </c>
      <c r="C1843" t="s">
        <v>133</v>
      </c>
      <c r="D1843" s="10">
        <v>19159</v>
      </c>
      <c r="E1843" s="10">
        <v>45608</v>
      </c>
      <c r="F1843">
        <v>72</v>
      </c>
      <c r="G1843" t="s">
        <v>4296</v>
      </c>
    </row>
    <row r="1844" spans="1:7">
      <c r="A1844" t="s">
        <v>4218</v>
      </c>
      <c r="B1844" t="s">
        <v>59</v>
      </c>
      <c r="C1844" t="s">
        <v>40</v>
      </c>
      <c r="D1844" s="10">
        <v>22832</v>
      </c>
      <c r="E1844" s="10">
        <v>45763</v>
      </c>
      <c r="F1844">
        <v>62</v>
      </c>
      <c r="G1844" t="s">
        <v>4296</v>
      </c>
    </row>
    <row r="1845" spans="1:7">
      <c r="A1845" t="s">
        <v>4219</v>
      </c>
      <c r="B1845" t="s">
        <v>423</v>
      </c>
      <c r="C1845" t="s">
        <v>133</v>
      </c>
      <c r="D1845" s="10">
        <v>24285</v>
      </c>
      <c r="E1845" s="10">
        <v>45262</v>
      </c>
      <c r="F1845">
        <v>57</v>
      </c>
      <c r="G1845" t="s">
        <v>4296</v>
      </c>
    </row>
    <row r="1846" spans="1:7">
      <c r="A1846" t="s">
        <v>3880</v>
      </c>
      <c r="B1846" t="s">
        <v>1044</v>
      </c>
      <c r="C1846" t="s">
        <v>40</v>
      </c>
      <c r="D1846" s="10">
        <v>38356</v>
      </c>
      <c r="E1846" s="10">
        <v>45389</v>
      </c>
      <c r="F1846">
        <v>19</v>
      </c>
      <c r="G1846" t="s">
        <v>4296</v>
      </c>
    </row>
    <row r="1847" spans="1:7">
      <c r="A1847" t="s">
        <v>3882</v>
      </c>
      <c r="B1847" t="s">
        <v>93</v>
      </c>
      <c r="C1847" t="s">
        <v>133</v>
      </c>
      <c r="D1847" s="10">
        <v>28453</v>
      </c>
      <c r="E1847" s="10">
        <v>45328</v>
      </c>
      <c r="F1847">
        <v>46</v>
      </c>
      <c r="G1847" t="s">
        <v>4296</v>
      </c>
    </row>
    <row r="1848" spans="1:7">
      <c r="A1848" t="s">
        <v>3884</v>
      </c>
      <c r="B1848" t="s">
        <v>752</v>
      </c>
      <c r="C1848" t="s">
        <v>133</v>
      </c>
      <c r="D1848" s="10">
        <v>25708</v>
      </c>
      <c r="E1848" s="10">
        <v>45719</v>
      </c>
      <c r="F1848">
        <v>54</v>
      </c>
      <c r="G1848" t="s">
        <v>4296</v>
      </c>
    </row>
    <row r="1849" spans="1:7">
      <c r="A1849" t="s">
        <v>3886</v>
      </c>
      <c r="B1849" t="s">
        <v>898</v>
      </c>
      <c r="C1849" t="s">
        <v>40</v>
      </c>
      <c r="D1849" s="10">
        <v>34520</v>
      </c>
      <c r="E1849" s="10">
        <v>45068</v>
      </c>
      <c r="F1849">
        <v>28</v>
      </c>
      <c r="G1849" t="s">
        <v>4296</v>
      </c>
    </row>
    <row r="1850" spans="1:7">
      <c r="A1850" t="s">
        <v>3888</v>
      </c>
      <c r="B1850" t="s">
        <v>261</v>
      </c>
      <c r="C1850" t="s">
        <v>40</v>
      </c>
      <c r="D1850" s="10">
        <v>28210</v>
      </c>
      <c r="E1850" s="10">
        <v>45310</v>
      </c>
      <c r="F1850">
        <v>46</v>
      </c>
      <c r="G1850" t="s">
        <v>4296</v>
      </c>
    </row>
    <row r="1851" spans="1:7">
      <c r="A1851" t="s">
        <v>3891</v>
      </c>
      <c r="B1851" t="s">
        <v>565</v>
      </c>
      <c r="C1851" t="s">
        <v>133</v>
      </c>
      <c r="D1851" s="10">
        <v>23696</v>
      </c>
      <c r="E1851" s="10">
        <v>45482</v>
      </c>
      <c r="F1851">
        <v>59</v>
      </c>
      <c r="G1851" t="s">
        <v>4237</v>
      </c>
    </row>
    <row r="1852" spans="1:7">
      <c r="A1852" t="s">
        <v>3893</v>
      </c>
      <c r="B1852" t="s">
        <v>864</v>
      </c>
      <c r="C1852" t="s">
        <v>40</v>
      </c>
      <c r="D1852" s="10">
        <v>30489</v>
      </c>
      <c r="E1852" s="10">
        <v>45826</v>
      </c>
      <c r="F1852">
        <v>41</v>
      </c>
      <c r="G1852" t="s">
        <v>4296</v>
      </c>
    </row>
    <row r="1853" spans="1:7">
      <c r="A1853" t="s">
        <v>4220</v>
      </c>
      <c r="B1853" t="s">
        <v>922</v>
      </c>
      <c r="C1853" t="s">
        <v>133</v>
      </c>
      <c r="D1853" s="10">
        <v>32913</v>
      </c>
      <c r="E1853" s="10">
        <v>45509</v>
      </c>
      <c r="F1853">
        <v>34</v>
      </c>
      <c r="G1853" t="s">
        <v>4296</v>
      </c>
    </row>
    <row r="1854" spans="1:7">
      <c r="A1854" t="s">
        <v>3895</v>
      </c>
      <c r="B1854" t="s">
        <v>342</v>
      </c>
      <c r="C1854" t="s">
        <v>133</v>
      </c>
      <c r="D1854" s="10">
        <v>30216</v>
      </c>
      <c r="E1854" s="10">
        <v>45709</v>
      </c>
      <c r="F1854">
        <v>42</v>
      </c>
      <c r="G1854" t="s">
        <v>4296</v>
      </c>
    </row>
    <row r="1855" spans="1:7">
      <c r="A1855" t="s">
        <v>3897</v>
      </c>
      <c r="B1855" t="s">
        <v>556</v>
      </c>
      <c r="C1855" t="s">
        <v>133</v>
      </c>
      <c r="D1855" s="10">
        <v>19847</v>
      </c>
      <c r="E1855" s="10">
        <v>45405</v>
      </c>
      <c r="F1855">
        <v>69</v>
      </c>
      <c r="G1855" t="s">
        <v>4296</v>
      </c>
    </row>
    <row r="1856" spans="1:7">
      <c r="A1856" t="s">
        <v>3898</v>
      </c>
      <c r="B1856" t="s">
        <v>1167</v>
      </c>
      <c r="C1856" t="s">
        <v>40</v>
      </c>
      <c r="D1856" s="10">
        <v>27026</v>
      </c>
      <c r="E1856" s="10">
        <v>45264</v>
      </c>
      <c r="F1856">
        <v>49</v>
      </c>
      <c r="G1856" t="s">
        <v>4296</v>
      </c>
    </row>
    <row r="1857" spans="1:7">
      <c r="A1857" t="s">
        <v>3899</v>
      </c>
      <c r="B1857" t="s">
        <v>332</v>
      </c>
      <c r="C1857" t="s">
        <v>133</v>
      </c>
      <c r="D1857" s="10">
        <v>19421</v>
      </c>
      <c r="E1857" s="10">
        <v>45496</v>
      </c>
      <c r="F1857">
        <v>71</v>
      </c>
      <c r="G1857" t="s">
        <v>4296</v>
      </c>
    </row>
    <row r="1858" spans="1:7">
      <c r="A1858" t="s">
        <v>3901</v>
      </c>
      <c r="B1858" t="s">
        <v>936</v>
      </c>
      <c r="C1858" t="s">
        <v>133</v>
      </c>
      <c r="D1858" s="10">
        <v>32120</v>
      </c>
      <c r="E1858" s="10">
        <v>45482</v>
      </c>
      <c r="F1858">
        <v>36</v>
      </c>
      <c r="G1858" t="s">
        <v>4237</v>
      </c>
    </row>
    <row r="1859" spans="1:7">
      <c r="A1859" t="s">
        <v>3903</v>
      </c>
      <c r="B1859" t="s">
        <v>515</v>
      </c>
      <c r="C1859" t="s">
        <v>133</v>
      </c>
      <c r="D1859" s="10">
        <v>26590</v>
      </c>
      <c r="E1859" s="10">
        <v>44986</v>
      </c>
      <c r="F1859">
        <v>50</v>
      </c>
      <c r="G1859" t="s">
        <v>4296</v>
      </c>
    </row>
    <row r="1860" spans="1:7">
      <c r="A1860" t="s">
        <v>3905</v>
      </c>
      <c r="B1860" t="s">
        <v>181</v>
      </c>
      <c r="C1860" t="s">
        <v>133</v>
      </c>
      <c r="D1860" s="10">
        <v>28994</v>
      </c>
      <c r="E1860" s="10">
        <v>45430</v>
      </c>
      <c r="F1860">
        <v>44</v>
      </c>
      <c r="G1860" t="s">
        <v>4296</v>
      </c>
    </row>
    <row r="1861" spans="1:7">
      <c r="A1861" t="s">
        <v>3906</v>
      </c>
      <c r="B1861" t="s">
        <v>427</v>
      </c>
      <c r="C1861" t="s">
        <v>133</v>
      </c>
      <c r="D1861" s="10">
        <v>38580</v>
      </c>
      <c r="E1861" s="10">
        <v>45902</v>
      </c>
      <c r="F1861">
        <v>20</v>
      </c>
      <c r="G1861" t="s">
        <v>4296</v>
      </c>
    </row>
    <row r="1862" spans="1:7">
      <c r="A1862" t="s">
        <v>3908</v>
      </c>
      <c r="B1862" t="s">
        <v>438</v>
      </c>
      <c r="C1862" t="s">
        <v>40</v>
      </c>
      <c r="D1862" s="10">
        <v>23642</v>
      </c>
      <c r="E1862" s="10">
        <v>45651</v>
      </c>
      <c r="F1862">
        <v>60</v>
      </c>
      <c r="G1862" t="s">
        <v>4296</v>
      </c>
    </row>
    <row r="1863" spans="1:7">
      <c r="A1863" t="s">
        <v>3909</v>
      </c>
      <c r="B1863" t="s">
        <v>419</v>
      </c>
      <c r="C1863" t="s">
        <v>133</v>
      </c>
      <c r="D1863" s="10">
        <v>32758</v>
      </c>
      <c r="E1863" s="10">
        <v>45271</v>
      </c>
      <c r="F1863">
        <v>34</v>
      </c>
      <c r="G1863" t="s">
        <v>4296</v>
      </c>
    </row>
    <row r="1864" spans="1:7">
      <c r="A1864" t="s">
        <v>3911</v>
      </c>
      <c r="B1864" t="s">
        <v>1590</v>
      </c>
      <c r="C1864" t="s">
        <v>40</v>
      </c>
      <c r="D1864" s="10">
        <v>37664</v>
      </c>
      <c r="E1864" s="10">
        <v>45777</v>
      </c>
      <c r="F1864">
        <v>22</v>
      </c>
      <c r="G1864" t="s">
        <v>4296</v>
      </c>
    </row>
    <row r="1865" spans="1:7">
      <c r="A1865" t="s">
        <v>3914</v>
      </c>
      <c r="B1865" t="s">
        <v>492</v>
      </c>
      <c r="C1865" t="s">
        <v>133</v>
      </c>
      <c r="D1865" s="10">
        <v>22956</v>
      </c>
      <c r="E1865" s="10">
        <v>45482</v>
      </c>
      <c r="F1865">
        <v>61</v>
      </c>
      <c r="G1865" t="s">
        <v>4237</v>
      </c>
    </row>
    <row r="1866" spans="1:7">
      <c r="A1866" t="s">
        <v>3917</v>
      </c>
      <c r="B1866" t="s">
        <v>867</v>
      </c>
      <c r="C1866" t="s">
        <v>40</v>
      </c>
      <c r="D1866" s="10">
        <v>32131</v>
      </c>
      <c r="E1866" s="10">
        <v>44932</v>
      </c>
      <c r="F1866">
        <v>35</v>
      </c>
      <c r="G1866" t="s">
        <v>4296</v>
      </c>
    </row>
    <row r="1867" spans="1:7">
      <c r="A1867" t="s">
        <v>3919</v>
      </c>
      <c r="B1867" t="s">
        <v>871</v>
      </c>
      <c r="C1867" t="s">
        <v>133</v>
      </c>
      <c r="D1867" s="10">
        <v>26394</v>
      </c>
      <c r="E1867" s="10">
        <v>45268</v>
      </c>
      <c r="F1867">
        <v>51</v>
      </c>
      <c r="G1867" t="s">
        <v>4296</v>
      </c>
    </row>
    <row r="1868" spans="1:7">
      <c r="A1868" t="s">
        <v>3921</v>
      </c>
      <c r="B1868" t="s">
        <v>796</v>
      </c>
      <c r="C1868" t="s">
        <v>40</v>
      </c>
      <c r="D1868" s="10">
        <v>39301</v>
      </c>
      <c r="E1868" s="10">
        <v>45017</v>
      </c>
      <c r="F1868">
        <v>15</v>
      </c>
      <c r="G1868" t="s">
        <v>4296</v>
      </c>
    </row>
    <row r="1869" spans="1:7">
      <c r="A1869" t="s">
        <v>3923</v>
      </c>
      <c r="B1869" t="s">
        <v>438</v>
      </c>
      <c r="C1869" t="s">
        <v>40</v>
      </c>
      <c r="D1869" s="10">
        <v>36548</v>
      </c>
      <c r="E1869" s="10">
        <v>45642</v>
      </c>
      <c r="F1869">
        <v>24</v>
      </c>
      <c r="G1869" t="s">
        <v>4296</v>
      </c>
    </row>
    <row r="1870" spans="1:7">
      <c r="A1870" t="s">
        <v>3925</v>
      </c>
      <c r="B1870" t="s">
        <v>875</v>
      </c>
      <c r="C1870" t="s">
        <v>133</v>
      </c>
      <c r="D1870" s="10">
        <v>37959</v>
      </c>
      <c r="E1870" s="10">
        <v>45360</v>
      </c>
      <c r="F1870">
        <v>20</v>
      </c>
      <c r="G1870" t="s">
        <v>4296</v>
      </c>
    </row>
    <row r="1871" spans="1:7">
      <c r="A1871" t="s">
        <v>3927</v>
      </c>
      <c r="B1871" t="s">
        <v>932</v>
      </c>
      <c r="C1871" t="s">
        <v>40</v>
      </c>
      <c r="D1871" s="10">
        <v>24625</v>
      </c>
      <c r="E1871" s="10">
        <v>45163</v>
      </c>
      <c r="F1871">
        <v>56</v>
      </c>
      <c r="G1871" t="s">
        <v>4296</v>
      </c>
    </row>
    <row r="1872" spans="1:7">
      <c r="A1872" t="s">
        <v>3930</v>
      </c>
      <c r="B1872" t="s">
        <v>565</v>
      </c>
      <c r="C1872" t="s">
        <v>40</v>
      </c>
      <c r="D1872" s="10">
        <v>25468</v>
      </c>
      <c r="E1872" s="10">
        <v>45101</v>
      </c>
      <c r="F1872">
        <v>53</v>
      </c>
      <c r="G1872" t="s">
        <v>4296</v>
      </c>
    </row>
    <row r="1873" spans="1:7">
      <c r="A1873" t="s">
        <v>3932</v>
      </c>
      <c r="B1873" t="s">
        <v>624</v>
      </c>
      <c r="C1873" t="s">
        <v>40</v>
      </c>
      <c r="D1873" s="10">
        <v>19687</v>
      </c>
      <c r="E1873" s="10">
        <v>45502</v>
      </c>
      <c r="F1873">
        <v>70</v>
      </c>
      <c r="G1873" t="s">
        <v>4296</v>
      </c>
    </row>
    <row r="1874" spans="1:7">
      <c r="A1874" t="s">
        <v>3934</v>
      </c>
      <c r="B1874" t="s">
        <v>845</v>
      </c>
      <c r="C1874" t="s">
        <v>40</v>
      </c>
      <c r="D1874" s="10">
        <v>37855</v>
      </c>
      <c r="E1874" s="10">
        <v>45004</v>
      </c>
      <c r="F1874">
        <v>19</v>
      </c>
      <c r="G1874" t="s">
        <v>4296</v>
      </c>
    </row>
    <row r="1875" spans="1:7">
      <c r="A1875" t="s">
        <v>3936</v>
      </c>
      <c r="B1875" t="s">
        <v>647</v>
      </c>
      <c r="C1875" t="s">
        <v>133</v>
      </c>
      <c r="D1875" s="10">
        <v>28460</v>
      </c>
      <c r="E1875" s="10">
        <v>45542</v>
      </c>
      <c r="F1875">
        <v>46</v>
      </c>
      <c r="G1875" t="s">
        <v>4296</v>
      </c>
    </row>
    <row r="1876" spans="1:7">
      <c r="A1876" t="s">
        <v>3937</v>
      </c>
      <c r="B1876" t="s">
        <v>202</v>
      </c>
      <c r="C1876" t="s">
        <v>40</v>
      </c>
      <c r="D1876" s="10">
        <v>34522</v>
      </c>
      <c r="E1876" s="10">
        <v>45158</v>
      </c>
      <c r="F1876">
        <v>29</v>
      </c>
      <c r="G1876" t="s">
        <v>4296</v>
      </c>
    </row>
    <row r="1877" spans="1:7">
      <c r="A1877" t="s">
        <v>3938</v>
      </c>
      <c r="B1877" t="s">
        <v>679</v>
      </c>
      <c r="C1877" t="s">
        <v>40</v>
      </c>
      <c r="D1877" s="10">
        <v>33674</v>
      </c>
      <c r="E1877" s="10">
        <v>45629</v>
      </c>
      <c r="F1877">
        <v>32</v>
      </c>
      <c r="G1877" t="s">
        <v>4296</v>
      </c>
    </row>
    <row r="1878" spans="1:7">
      <c r="A1878" t="s">
        <v>3944</v>
      </c>
      <c r="B1878" t="s">
        <v>524</v>
      </c>
      <c r="C1878" t="s">
        <v>40</v>
      </c>
      <c r="D1878" s="10">
        <v>37695</v>
      </c>
      <c r="E1878" s="10">
        <v>45262</v>
      </c>
      <c r="F1878">
        <v>20</v>
      </c>
      <c r="G1878" t="s">
        <v>4296</v>
      </c>
    </row>
    <row r="1879" spans="1:7">
      <c r="A1879" t="s">
        <v>3948</v>
      </c>
      <c r="B1879" t="s">
        <v>2270</v>
      </c>
      <c r="C1879" t="s">
        <v>40</v>
      </c>
      <c r="D1879" s="10">
        <v>28172</v>
      </c>
      <c r="E1879" s="10">
        <v>45482</v>
      </c>
      <c r="F1879">
        <v>47</v>
      </c>
      <c r="G1879" t="s">
        <v>4237</v>
      </c>
    </row>
    <row r="1880" spans="1:7">
      <c r="A1880" t="s">
        <v>3950</v>
      </c>
      <c r="B1880" t="s">
        <v>2389</v>
      </c>
      <c r="C1880" t="s">
        <v>40</v>
      </c>
      <c r="D1880" s="10">
        <v>37944</v>
      </c>
      <c r="E1880" s="10">
        <v>45258</v>
      </c>
      <c r="F1880">
        <v>20</v>
      </c>
      <c r="G1880" t="s">
        <v>4296</v>
      </c>
    </row>
    <row r="1881" spans="1:7">
      <c r="A1881" t="s">
        <v>3952</v>
      </c>
      <c r="B1881" t="s">
        <v>541</v>
      </c>
      <c r="C1881" t="s">
        <v>40</v>
      </c>
      <c r="D1881" s="10">
        <v>23322</v>
      </c>
      <c r="E1881" s="10">
        <v>45482</v>
      </c>
      <c r="F1881">
        <v>60</v>
      </c>
      <c r="G1881" t="s">
        <v>4237</v>
      </c>
    </row>
    <row r="1882" spans="1:7">
      <c r="A1882" t="s">
        <v>3956</v>
      </c>
      <c r="B1882" t="s">
        <v>591</v>
      </c>
      <c r="C1882" t="s">
        <v>40</v>
      </c>
      <c r="D1882" s="10">
        <v>21379</v>
      </c>
      <c r="E1882" s="10">
        <v>45769</v>
      </c>
      <c r="F1882">
        <v>66</v>
      </c>
      <c r="G1882" t="s">
        <v>4296</v>
      </c>
    </row>
    <row r="1883" spans="1:7">
      <c r="A1883" t="s">
        <v>3957</v>
      </c>
      <c r="B1883" t="s">
        <v>611</v>
      </c>
      <c r="C1883" t="s">
        <v>133</v>
      </c>
      <c r="D1883" s="10">
        <v>29334</v>
      </c>
      <c r="E1883" s="10">
        <v>45965</v>
      </c>
      <c r="F1883">
        <v>45</v>
      </c>
      <c r="G1883" t="s">
        <v>4296</v>
      </c>
    </row>
    <row r="1884" spans="1:7">
      <c r="A1884" t="s">
        <v>3958</v>
      </c>
      <c r="B1884" t="s">
        <v>845</v>
      </c>
      <c r="C1884" t="s">
        <v>40</v>
      </c>
      <c r="D1884" s="10">
        <v>39242</v>
      </c>
      <c r="E1884" s="10">
        <v>45751</v>
      </c>
      <c r="F1884">
        <v>17</v>
      </c>
      <c r="G1884" t="s">
        <v>4296</v>
      </c>
    </row>
    <row r="1885" spans="1:7">
      <c r="A1885" t="s">
        <v>3961</v>
      </c>
      <c r="B1885" t="s">
        <v>1182</v>
      </c>
      <c r="C1885" t="s">
        <v>40</v>
      </c>
      <c r="D1885" s="10">
        <v>27692</v>
      </c>
      <c r="E1885" s="10">
        <v>45373</v>
      </c>
      <c r="F1885">
        <v>48</v>
      </c>
      <c r="G1885" t="s">
        <v>4296</v>
      </c>
    </row>
    <row r="1886" spans="1:7">
      <c r="A1886" t="s">
        <v>3962</v>
      </c>
      <c r="B1886" t="s">
        <v>1464</v>
      </c>
      <c r="C1886" t="s">
        <v>133</v>
      </c>
      <c r="D1886" s="10">
        <v>29621</v>
      </c>
      <c r="E1886" s="10">
        <v>45827</v>
      </c>
      <c r="F1886">
        <v>44</v>
      </c>
      <c r="G1886" t="s">
        <v>4296</v>
      </c>
    </row>
    <row r="1887" spans="1:7">
      <c r="A1887" t="s">
        <v>3964</v>
      </c>
      <c r="B1887" t="s">
        <v>2008</v>
      </c>
      <c r="C1887" t="s">
        <v>133</v>
      </c>
      <c r="D1887" s="10">
        <v>28339</v>
      </c>
      <c r="E1887" s="10">
        <v>45056</v>
      </c>
      <c r="F1887">
        <v>45</v>
      </c>
      <c r="G1887" t="s">
        <v>4296</v>
      </c>
    </row>
    <row r="1888" spans="1:7">
      <c r="A1888" t="s">
        <v>3966</v>
      </c>
      <c r="B1888" t="s">
        <v>83</v>
      </c>
      <c r="C1888" t="s">
        <v>40</v>
      </c>
      <c r="D1888" s="10">
        <v>24884</v>
      </c>
      <c r="E1888" s="10">
        <v>45452</v>
      </c>
      <c r="F1888">
        <v>56</v>
      </c>
      <c r="G1888" t="s">
        <v>4296</v>
      </c>
    </row>
    <row r="1889" spans="1:7">
      <c r="A1889" t="s">
        <v>3968</v>
      </c>
      <c r="B1889" t="s">
        <v>394</v>
      </c>
      <c r="C1889" t="s">
        <v>40</v>
      </c>
      <c r="D1889" s="10">
        <v>18643</v>
      </c>
      <c r="E1889" s="10">
        <v>45530</v>
      </c>
      <c r="F1889">
        <v>73</v>
      </c>
      <c r="G1889" t="s">
        <v>4296</v>
      </c>
    </row>
    <row r="1890" spans="1:7">
      <c r="A1890" t="s">
        <v>3970</v>
      </c>
      <c r="B1890" t="s">
        <v>887</v>
      </c>
      <c r="C1890" t="s">
        <v>40</v>
      </c>
      <c r="D1890" s="10">
        <v>29330</v>
      </c>
      <c r="E1890" s="10">
        <v>45814</v>
      </c>
      <c r="F1890">
        <v>45</v>
      </c>
      <c r="G1890" t="s">
        <v>4237</v>
      </c>
    </row>
    <row r="1891" spans="1:7">
      <c r="A1891" t="s">
        <v>3972</v>
      </c>
      <c r="B1891" t="s">
        <v>438</v>
      </c>
      <c r="C1891" t="s">
        <v>40</v>
      </c>
      <c r="D1891" s="10">
        <v>20091</v>
      </c>
      <c r="E1891" s="10">
        <v>45539</v>
      </c>
      <c r="F1891">
        <v>69</v>
      </c>
      <c r="G1891" t="s">
        <v>4296</v>
      </c>
    </row>
    <row r="1892" spans="1:7">
      <c r="A1892" t="s">
        <v>3973</v>
      </c>
      <c r="B1892" t="s">
        <v>274</v>
      </c>
      <c r="C1892" t="s">
        <v>40</v>
      </c>
      <c r="D1892" s="10">
        <v>31872</v>
      </c>
      <c r="E1892" s="10">
        <v>45804</v>
      </c>
      <c r="F1892">
        <v>38</v>
      </c>
      <c r="G1892" t="s">
        <v>4296</v>
      </c>
    </row>
    <row r="1893" spans="1:7">
      <c r="A1893" t="s">
        <v>3974</v>
      </c>
      <c r="B1893" t="s">
        <v>607</v>
      </c>
      <c r="C1893" t="s">
        <v>133</v>
      </c>
      <c r="D1893" s="10">
        <v>29862</v>
      </c>
      <c r="E1893" s="10">
        <v>45937</v>
      </c>
      <c r="F1893">
        <v>44</v>
      </c>
      <c r="G1893" t="s">
        <v>4296</v>
      </c>
    </row>
    <row r="1894" spans="1:7">
      <c r="A1894" t="s">
        <v>3976</v>
      </c>
      <c r="B1894" t="s">
        <v>334</v>
      </c>
      <c r="C1894" t="s">
        <v>133</v>
      </c>
      <c r="D1894" s="10">
        <v>26660</v>
      </c>
      <c r="E1894" s="10">
        <v>44972</v>
      </c>
      <c r="F1894">
        <v>50</v>
      </c>
      <c r="G1894" t="s">
        <v>4296</v>
      </c>
    </row>
    <row r="1895" spans="1:7">
      <c r="A1895" t="s">
        <v>3979</v>
      </c>
      <c r="B1895" t="s">
        <v>350</v>
      </c>
      <c r="C1895" t="s">
        <v>133</v>
      </c>
      <c r="D1895" s="10">
        <v>38301</v>
      </c>
      <c r="E1895" s="10">
        <v>45826</v>
      </c>
      <c r="F1895">
        <v>20</v>
      </c>
      <c r="G1895" t="s">
        <v>4296</v>
      </c>
    </row>
    <row r="1896" spans="1:7">
      <c r="A1896" t="s">
        <v>3980</v>
      </c>
      <c r="B1896" t="s">
        <v>992</v>
      </c>
      <c r="C1896" t="s">
        <v>40</v>
      </c>
      <c r="D1896" s="10">
        <v>32517</v>
      </c>
      <c r="E1896" s="10">
        <v>45455</v>
      </c>
      <c r="F1896">
        <v>35</v>
      </c>
      <c r="G1896" t="s">
        <v>4296</v>
      </c>
    </row>
    <row r="1897" spans="1:7">
      <c r="A1897" t="s">
        <v>3981</v>
      </c>
      <c r="B1897" t="s">
        <v>553</v>
      </c>
      <c r="C1897" t="s">
        <v>40</v>
      </c>
      <c r="D1897" s="10">
        <v>21112</v>
      </c>
      <c r="E1897" s="10">
        <v>45682</v>
      </c>
      <c r="F1897">
        <v>67</v>
      </c>
      <c r="G1897" t="s">
        <v>4296</v>
      </c>
    </row>
    <row r="1898" spans="1:7">
      <c r="A1898" t="s">
        <v>3983</v>
      </c>
      <c r="B1898" t="s">
        <v>611</v>
      </c>
      <c r="C1898" t="s">
        <v>40</v>
      </c>
      <c r="D1898" s="10">
        <v>24408</v>
      </c>
      <c r="E1898" s="10">
        <v>45511</v>
      </c>
      <c r="F1898">
        <v>57</v>
      </c>
      <c r="G1898" t="s">
        <v>4296</v>
      </c>
    </row>
    <row r="1899" spans="1:7">
      <c r="A1899" t="s">
        <v>3984</v>
      </c>
      <c r="B1899" t="s">
        <v>3015</v>
      </c>
      <c r="C1899" t="s">
        <v>133</v>
      </c>
      <c r="D1899" s="10">
        <v>32403</v>
      </c>
      <c r="E1899" s="10">
        <v>45300</v>
      </c>
      <c r="F1899">
        <v>35</v>
      </c>
      <c r="G1899" t="s">
        <v>4296</v>
      </c>
    </row>
    <row r="1900" spans="1:7">
      <c r="A1900" t="s">
        <v>3987</v>
      </c>
      <c r="B1900" t="s">
        <v>1426</v>
      </c>
      <c r="C1900" t="s">
        <v>133</v>
      </c>
      <c r="D1900" s="10">
        <v>18573</v>
      </c>
      <c r="E1900" s="10">
        <v>45273</v>
      </c>
      <c r="F1900">
        <v>73</v>
      </c>
      <c r="G1900" t="s">
        <v>4296</v>
      </c>
    </row>
    <row r="1901" spans="1:7">
      <c r="A1901" t="s">
        <v>3988</v>
      </c>
      <c r="B1901" t="s">
        <v>304</v>
      </c>
      <c r="C1901" t="s">
        <v>40</v>
      </c>
      <c r="D1901" s="10">
        <v>36407</v>
      </c>
      <c r="E1901" s="10">
        <v>45931</v>
      </c>
      <c r="F1901">
        <v>26</v>
      </c>
      <c r="G1901" t="s">
        <v>4296</v>
      </c>
    </row>
    <row r="1902" spans="1:7">
      <c r="A1902" t="s">
        <v>3990</v>
      </c>
      <c r="B1902" t="s">
        <v>132</v>
      </c>
      <c r="C1902" t="s">
        <v>40</v>
      </c>
      <c r="D1902" s="10">
        <v>34934</v>
      </c>
      <c r="E1902" s="10">
        <v>45482</v>
      </c>
      <c r="F1902">
        <v>28</v>
      </c>
      <c r="G1902" t="s">
        <v>4237</v>
      </c>
    </row>
    <row r="1903" spans="1:7">
      <c r="A1903" t="s">
        <v>3992</v>
      </c>
      <c r="B1903" t="s">
        <v>59</v>
      </c>
      <c r="C1903" t="s">
        <v>40</v>
      </c>
      <c r="D1903" s="10">
        <v>24585</v>
      </c>
      <c r="E1903" s="10">
        <v>45204</v>
      </c>
      <c r="F1903">
        <v>56</v>
      </c>
      <c r="G1903" t="s">
        <v>4296</v>
      </c>
    </row>
    <row r="1904" spans="1:7">
      <c r="A1904" t="s">
        <v>4221</v>
      </c>
      <c r="B1904" t="s">
        <v>1391</v>
      </c>
      <c r="C1904" t="s">
        <v>40</v>
      </c>
      <c r="D1904" s="10">
        <v>22749</v>
      </c>
      <c r="E1904" s="10">
        <v>45383</v>
      </c>
      <c r="F1904">
        <v>61</v>
      </c>
      <c r="G1904" t="s">
        <v>4296</v>
      </c>
    </row>
    <row r="1905" spans="1:7">
      <c r="A1905" t="s">
        <v>3995</v>
      </c>
      <c r="B1905" t="s">
        <v>762</v>
      </c>
      <c r="C1905" t="s">
        <v>40</v>
      </c>
      <c r="D1905" s="10">
        <v>21171</v>
      </c>
      <c r="E1905" s="10">
        <v>45951</v>
      </c>
      <c r="F1905">
        <v>67</v>
      </c>
      <c r="G1905" t="s">
        <v>4296</v>
      </c>
    </row>
    <row r="1906" spans="1:7">
      <c r="A1906" t="s">
        <v>3997</v>
      </c>
      <c r="B1906" t="s">
        <v>155</v>
      </c>
      <c r="C1906" t="s">
        <v>40</v>
      </c>
      <c r="D1906" s="10">
        <v>19417</v>
      </c>
      <c r="E1906" s="10">
        <v>45147</v>
      </c>
      <c r="F1906">
        <v>70</v>
      </c>
      <c r="G1906" t="s">
        <v>4296</v>
      </c>
    </row>
    <row r="1907" spans="1:7">
      <c r="A1907" t="s">
        <v>3999</v>
      </c>
      <c r="B1907" t="s">
        <v>234</v>
      </c>
      <c r="C1907" t="s">
        <v>40</v>
      </c>
      <c r="D1907" s="10">
        <v>26447</v>
      </c>
      <c r="E1907" s="10">
        <v>45415</v>
      </c>
      <c r="F1907">
        <v>51</v>
      </c>
      <c r="G1907" t="s">
        <v>4296</v>
      </c>
    </row>
    <row r="1908" spans="1:7">
      <c r="A1908" t="s">
        <v>4000</v>
      </c>
      <c r="B1908" t="s">
        <v>1206</v>
      </c>
      <c r="C1908" t="s">
        <v>40</v>
      </c>
      <c r="D1908" s="10">
        <v>20286</v>
      </c>
      <c r="E1908" s="10">
        <v>45271</v>
      </c>
      <c r="F1908">
        <v>68</v>
      </c>
      <c r="G1908" t="s">
        <v>4296</v>
      </c>
    </row>
    <row r="1909" spans="1:7">
      <c r="A1909" t="s">
        <v>4002</v>
      </c>
      <c r="B1909" t="s">
        <v>895</v>
      </c>
      <c r="C1909" t="s">
        <v>133</v>
      </c>
      <c r="D1909" s="10">
        <v>30874</v>
      </c>
      <c r="E1909" s="10">
        <v>45367</v>
      </c>
      <c r="F1909">
        <v>39</v>
      </c>
      <c r="G1909" t="s">
        <v>4296</v>
      </c>
    </row>
    <row r="1910" spans="1:7">
      <c r="A1910" t="s">
        <v>4004</v>
      </c>
      <c r="B1910" t="s">
        <v>472</v>
      </c>
      <c r="C1910" t="s">
        <v>133</v>
      </c>
      <c r="D1910" s="10">
        <v>35025</v>
      </c>
      <c r="E1910" s="10">
        <v>45415</v>
      </c>
      <c r="F1910">
        <v>28</v>
      </c>
      <c r="G1910" t="s">
        <v>4296</v>
      </c>
    </row>
    <row r="1911" spans="1:7">
      <c r="A1911" t="s">
        <v>4005</v>
      </c>
      <c r="B1911" t="s">
        <v>328</v>
      </c>
      <c r="C1911" t="s">
        <v>40</v>
      </c>
      <c r="D1911" s="10">
        <v>38035</v>
      </c>
      <c r="E1911" s="10">
        <v>44987</v>
      </c>
      <c r="F1911">
        <v>19</v>
      </c>
      <c r="G1911" t="s">
        <v>4296</v>
      </c>
    </row>
    <row r="1912" spans="1:7">
      <c r="A1912" t="s">
        <v>4006</v>
      </c>
      <c r="B1912" t="s">
        <v>458</v>
      </c>
      <c r="C1912" t="s">
        <v>40</v>
      </c>
      <c r="D1912" s="10">
        <v>20375</v>
      </c>
      <c r="E1912" s="10">
        <v>45057</v>
      </c>
      <c r="F1912">
        <v>67</v>
      </c>
      <c r="G1912" t="s">
        <v>4296</v>
      </c>
    </row>
    <row r="1913" spans="1:7">
      <c r="A1913" t="s">
        <v>4009</v>
      </c>
      <c r="B1913" t="s">
        <v>295</v>
      </c>
      <c r="C1913" t="s">
        <v>40</v>
      </c>
      <c r="D1913" s="10">
        <v>39023</v>
      </c>
      <c r="E1913" s="10">
        <v>45863</v>
      </c>
      <c r="F1913">
        <v>18</v>
      </c>
      <c r="G1913" t="s">
        <v>4296</v>
      </c>
    </row>
    <row r="1914" spans="1:7">
      <c r="A1914" t="s">
        <v>4011</v>
      </c>
      <c r="B1914" t="s">
        <v>572</v>
      </c>
      <c r="C1914" t="s">
        <v>133</v>
      </c>
      <c r="D1914" s="10">
        <v>23530</v>
      </c>
      <c r="E1914" s="10">
        <v>45790</v>
      </c>
      <c r="F1914">
        <v>60</v>
      </c>
      <c r="G1914" t="s">
        <v>4296</v>
      </c>
    </row>
    <row r="1915" spans="1:7">
      <c r="A1915" t="s">
        <v>4012</v>
      </c>
      <c r="B1915" t="s">
        <v>363</v>
      </c>
      <c r="C1915" t="s">
        <v>40</v>
      </c>
      <c r="D1915" s="10">
        <v>26263</v>
      </c>
      <c r="E1915" s="10">
        <v>45459</v>
      </c>
      <c r="F1915">
        <v>52</v>
      </c>
      <c r="G1915" t="s">
        <v>4296</v>
      </c>
    </row>
    <row r="1916" spans="1:7">
      <c r="A1916" t="s">
        <v>4013</v>
      </c>
      <c r="B1916" t="s">
        <v>324</v>
      </c>
      <c r="C1916" t="s">
        <v>40</v>
      </c>
      <c r="D1916" s="10">
        <v>23471</v>
      </c>
      <c r="E1916" s="10">
        <v>45085</v>
      </c>
      <c r="F1916">
        <v>59</v>
      </c>
      <c r="G1916" t="s">
        <v>4296</v>
      </c>
    </row>
    <row r="1917" spans="1:7">
      <c r="A1917" t="s">
        <v>4014</v>
      </c>
      <c r="B1917" t="s">
        <v>251</v>
      </c>
      <c r="C1917" t="s">
        <v>40</v>
      </c>
      <c r="D1917" s="10">
        <v>40436</v>
      </c>
      <c r="E1917" s="10">
        <v>45056</v>
      </c>
      <c r="F1917">
        <v>12</v>
      </c>
      <c r="G1917" t="s">
        <v>4296</v>
      </c>
    </row>
    <row r="1918" spans="1:7">
      <c r="A1918" t="s">
        <v>4016</v>
      </c>
      <c r="B1918" t="s">
        <v>524</v>
      </c>
      <c r="C1918" t="s">
        <v>133</v>
      </c>
      <c r="D1918" s="10">
        <v>40333</v>
      </c>
      <c r="E1918" s="10">
        <v>45292</v>
      </c>
      <c r="F1918">
        <v>13</v>
      </c>
      <c r="G1918" t="s">
        <v>4296</v>
      </c>
    </row>
    <row r="1919" spans="1:7">
      <c r="A1919" t="s">
        <v>4018</v>
      </c>
      <c r="B1919" t="s">
        <v>511</v>
      </c>
      <c r="C1919" t="s">
        <v>40</v>
      </c>
      <c r="D1919" s="10">
        <v>35491</v>
      </c>
      <c r="E1919" s="10">
        <v>45394</v>
      </c>
      <c r="F1919">
        <v>27</v>
      </c>
      <c r="G1919" t="s">
        <v>4296</v>
      </c>
    </row>
    <row r="1920" spans="1:7">
      <c r="A1920" t="s">
        <v>4021</v>
      </c>
      <c r="B1920" t="s">
        <v>932</v>
      </c>
      <c r="C1920" t="s">
        <v>40</v>
      </c>
      <c r="D1920" s="10">
        <v>39504</v>
      </c>
      <c r="E1920" s="10">
        <v>45851</v>
      </c>
      <c r="F1920">
        <v>17</v>
      </c>
      <c r="G1920" t="s">
        <v>4296</v>
      </c>
    </row>
    <row r="1921" spans="1:7">
      <c r="A1921" t="s">
        <v>4022</v>
      </c>
      <c r="B1921" t="s">
        <v>556</v>
      </c>
      <c r="C1921" t="s">
        <v>133</v>
      </c>
      <c r="D1921" s="10">
        <v>19744</v>
      </c>
      <c r="E1921" s="10">
        <v>45161</v>
      </c>
      <c r="F1921">
        <v>69</v>
      </c>
      <c r="G1921" t="s">
        <v>4296</v>
      </c>
    </row>
    <row r="1922" spans="1:7">
      <c r="A1922" t="s">
        <v>4024</v>
      </c>
      <c r="B1922" t="s">
        <v>76</v>
      </c>
      <c r="C1922" t="s">
        <v>40</v>
      </c>
      <c r="D1922" s="10">
        <v>39165</v>
      </c>
      <c r="E1922" s="10">
        <v>44943</v>
      </c>
      <c r="F1922">
        <v>15</v>
      </c>
      <c r="G1922" t="s">
        <v>4296</v>
      </c>
    </row>
    <row r="1923" spans="1:7">
      <c r="A1923" t="s">
        <v>4222</v>
      </c>
      <c r="B1923" t="s">
        <v>527</v>
      </c>
      <c r="C1923" t="s">
        <v>40</v>
      </c>
      <c r="D1923" s="10">
        <v>22245</v>
      </c>
      <c r="E1923" s="10">
        <v>45532</v>
      </c>
      <c r="F1923">
        <v>63</v>
      </c>
      <c r="G1923" t="s">
        <v>4296</v>
      </c>
    </row>
    <row r="1924" spans="1:7">
      <c r="A1924" t="s">
        <v>4028</v>
      </c>
      <c r="B1924" t="s">
        <v>1464</v>
      </c>
      <c r="C1924" t="s">
        <v>133</v>
      </c>
      <c r="D1924" s="10">
        <v>30493</v>
      </c>
      <c r="E1924" s="10">
        <v>45736</v>
      </c>
      <c r="F1924">
        <v>41</v>
      </c>
      <c r="G1924" t="s">
        <v>4296</v>
      </c>
    </row>
    <row r="1925" spans="1:7">
      <c r="A1925" t="s">
        <v>4029</v>
      </c>
      <c r="B1925" t="s">
        <v>624</v>
      </c>
      <c r="C1925" t="s">
        <v>40</v>
      </c>
      <c r="D1925" s="10">
        <v>26459</v>
      </c>
      <c r="E1925" s="10">
        <v>45678</v>
      </c>
      <c r="F1925">
        <v>52</v>
      </c>
      <c r="G1925" t="s">
        <v>4296</v>
      </c>
    </row>
    <row r="1926" spans="1:7">
      <c r="A1926" t="s">
        <v>4030</v>
      </c>
      <c r="B1926" t="s">
        <v>673</v>
      </c>
      <c r="C1926" t="s">
        <v>40</v>
      </c>
      <c r="D1926" s="10">
        <v>26042</v>
      </c>
      <c r="E1926" s="10">
        <v>45164</v>
      </c>
      <c r="F1926">
        <v>52</v>
      </c>
      <c r="G1926" t="s">
        <v>4296</v>
      </c>
    </row>
    <row r="1927" spans="1:7">
      <c r="A1927" t="s">
        <v>4031</v>
      </c>
      <c r="B1927" t="s">
        <v>940</v>
      </c>
      <c r="C1927" t="s">
        <v>133</v>
      </c>
      <c r="D1927" s="10">
        <v>21414</v>
      </c>
      <c r="E1927" s="10">
        <v>45610</v>
      </c>
      <c r="F1927">
        <v>66</v>
      </c>
      <c r="G1927" t="s">
        <v>4296</v>
      </c>
    </row>
    <row r="1928" spans="1:7">
      <c r="A1928" t="s">
        <v>4033</v>
      </c>
      <c r="B1928" t="s">
        <v>1167</v>
      </c>
      <c r="C1928" t="s">
        <v>133</v>
      </c>
      <c r="D1928" s="10">
        <v>24312</v>
      </c>
      <c r="E1928" s="10">
        <v>45362</v>
      </c>
      <c r="F1928">
        <v>57</v>
      </c>
      <c r="G1928" t="s">
        <v>4296</v>
      </c>
    </row>
    <row r="1929" spans="1:7">
      <c r="A1929" t="s">
        <v>4035</v>
      </c>
      <c r="B1929" t="s">
        <v>1044</v>
      </c>
      <c r="C1929" t="s">
        <v>133</v>
      </c>
      <c r="D1929" s="10">
        <v>33302</v>
      </c>
      <c r="E1929" s="10">
        <v>45008</v>
      </c>
      <c r="F1929">
        <v>32</v>
      </c>
      <c r="G1929" t="s">
        <v>4296</v>
      </c>
    </row>
    <row r="1930" spans="1:7">
      <c r="A1930" t="s">
        <v>4036</v>
      </c>
      <c r="B1930" t="s">
        <v>622</v>
      </c>
      <c r="C1930" t="s">
        <v>133</v>
      </c>
      <c r="D1930" s="10">
        <v>32095</v>
      </c>
      <c r="E1930" s="10">
        <v>45482</v>
      </c>
      <c r="F1930">
        <v>36</v>
      </c>
      <c r="G1930" t="s">
        <v>4237</v>
      </c>
    </row>
    <row r="1931" spans="1:7">
      <c r="A1931" t="s">
        <v>4040</v>
      </c>
      <c r="B1931" t="s">
        <v>1302</v>
      </c>
      <c r="C1931" t="s">
        <v>133</v>
      </c>
      <c r="D1931" s="10">
        <v>23318</v>
      </c>
      <c r="E1931" s="10">
        <v>45329</v>
      </c>
      <c r="F1931">
        <v>60</v>
      </c>
      <c r="G1931" t="s">
        <v>4296</v>
      </c>
    </row>
    <row r="1932" spans="1:7">
      <c r="A1932" t="s">
        <v>4042</v>
      </c>
      <c r="B1932" t="s">
        <v>1125</v>
      </c>
      <c r="C1932" t="s">
        <v>133</v>
      </c>
      <c r="D1932" s="10">
        <v>37539</v>
      </c>
      <c r="E1932" s="10">
        <v>45679</v>
      </c>
      <c r="F1932">
        <v>22</v>
      </c>
      <c r="G1932" t="s">
        <v>4296</v>
      </c>
    </row>
    <row r="1933" spans="1:7">
      <c r="A1933" t="s">
        <v>4043</v>
      </c>
      <c r="B1933" t="s">
        <v>833</v>
      </c>
      <c r="C1933" t="s">
        <v>40</v>
      </c>
      <c r="D1933" s="10">
        <v>40518</v>
      </c>
      <c r="E1933" s="10">
        <v>46012</v>
      </c>
      <c r="F1933">
        <v>15</v>
      </c>
      <c r="G1933" t="s">
        <v>4296</v>
      </c>
    </row>
    <row r="1934" spans="1:7">
      <c r="A1934" t="s">
        <v>4045</v>
      </c>
      <c r="B1934" t="s">
        <v>1658</v>
      </c>
      <c r="C1934" t="s">
        <v>133</v>
      </c>
      <c r="D1934" s="10">
        <v>33521</v>
      </c>
      <c r="E1934" s="10">
        <v>44936</v>
      </c>
      <c r="F1934">
        <v>31</v>
      </c>
      <c r="G1934" t="s">
        <v>4296</v>
      </c>
    </row>
    <row r="1935" spans="1:7">
      <c r="A1935" t="s">
        <v>4223</v>
      </c>
      <c r="B1935" t="s">
        <v>93</v>
      </c>
      <c r="C1935" t="s">
        <v>40</v>
      </c>
      <c r="D1935" s="10">
        <v>24129</v>
      </c>
      <c r="E1935" s="10">
        <v>45976</v>
      </c>
      <c r="F1935">
        <v>59</v>
      </c>
      <c r="G1935" t="s">
        <v>4296</v>
      </c>
    </row>
    <row r="1936" spans="1:7">
      <c r="A1936" t="s">
        <v>4048</v>
      </c>
      <c r="B1936" t="s">
        <v>877</v>
      </c>
      <c r="C1936" t="s">
        <v>133</v>
      </c>
      <c r="D1936" s="10">
        <v>29330</v>
      </c>
      <c r="E1936" s="10">
        <v>45561</v>
      </c>
      <c r="F1936">
        <v>44</v>
      </c>
      <c r="G1936" t="s">
        <v>4237</v>
      </c>
    </row>
    <row r="1937" spans="1:7">
      <c r="A1937" t="s">
        <v>4050</v>
      </c>
      <c r="B1937" t="s">
        <v>455</v>
      </c>
      <c r="C1937" t="s">
        <v>133</v>
      </c>
      <c r="D1937" s="10">
        <v>36025</v>
      </c>
      <c r="E1937" s="10">
        <v>45630</v>
      </c>
      <c r="F1937">
        <v>26</v>
      </c>
      <c r="G1937" t="s">
        <v>4296</v>
      </c>
    </row>
    <row r="1938" spans="1:7">
      <c r="A1938" t="s">
        <v>4051</v>
      </c>
      <c r="B1938" t="s">
        <v>553</v>
      </c>
      <c r="C1938" t="s">
        <v>40</v>
      </c>
      <c r="D1938" s="10">
        <v>22435</v>
      </c>
      <c r="E1938" s="10">
        <v>44947</v>
      </c>
      <c r="F1938">
        <v>61</v>
      </c>
      <c r="G1938" t="s">
        <v>4296</v>
      </c>
    </row>
    <row r="1939" spans="1:7">
      <c r="A1939" t="s">
        <v>4054</v>
      </c>
      <c r="B1939" t="s">
        <v>829</v>
      </c>
      <c r="C1939" t="s">
        <v>133</v>
      </c>
      <c r="D1939" s="10">
        <v>38783</v>
      </c>
      <c r="E1939" s="10">
        <v>45952</v>
      </c>
      <c r="F1939">
        <v>19</v>
      </c>
      <c r="G1939" t="s">
        <v>4296</v>
      </c>
    </row>
    <row r="1940" spans="1:7">
      <c r="A1940" t="s">
        <v>4055</v>
      </c>
      <c r="B1940" t="s">
        <v>1727</v>
      </c>
      <c r="C1940" t="s">
        <v>40</v>
      </c>
      <c r="D1940" s="10">
        <v>19431</v>
      </c>
      <c r="E1940" s="10">
        <v>45148</v>
      </c>
      <c r="F1940">
        <v>70</v>
      </c>
      <c r="G1940" t="s">
        <v>4296</v>
      </c>
    </row>
    <row r="1941" spans="1:7">
      <c r="A1941" t="s">
        <v>4056</v>
      </c>
      <c r="B1941" t="s">
        <v>877</v>
      </c>
      <c r="C1941" t="s">
        <v>133</v>
      </c>
      <c r="D1941" s="10">
        <v>36138</v>
      </c>
      <c r="E1941" s="10">
        <v>45644</v>
      </c>
      <c r="F1941">
        <v>26</v>
      </c>
      <c r="G1941" t="s">
        <v>4296</v>
      </c>
    </row>
    <row r="1942" spans="1:7">
      <c r="A1942" t="s">
        <v>4058</v>
      </c>
      <c r="B1942" t="s">
        <v>277</v>
      </c>
      <c r="C1942" t="s">
        <v>133</v>
      </c>
      <c r="D1942" s="10">
        <v>20781</v>
      </c>
      <c r="E1942" s="10">
        <v>45527</v>
      </c>
      <c r="F1942">
        <v>67</v>
      </c>
      <c r="G1942" t="s">
        <v>4296</v>
      </c>
    </row>
    <row r="1943" spans="1:7">
      <c r="A1943" t="s">
        <v>4060</v>
      </c>
      <c r="B1943" t="s">
        <v>1678</v>
      </c>
      <c r="C1943" t="s">
        <v>133</v>
      </c>
      <c r="D1943" s="10">
        <v>18465</v>
      </c>
      <c r="E1943" s="10">
        <v>45913</v>
      </c>
      <c r="F1943">
        <v>75</v>
      </c>
      <c r="G1943" t="s">
        <v>4296</v>
      </c>
    </row>
    <row r="1944" spans="1:7">
      <c r="A1944" t="s">
        <v>4061</v>
      </c>
      <c r="B1944" t="s">
        <v>261</v>
      </c>
      <c r="C1944" t="s">
        <v>133</v>
      </c>
      <c r="D1944" s="10">
        <v>23506</v>
      </c>
      <c r="E1944" s="10">
        <v>45210</v>
      </c>
      <c r="F1944">
        <v>59</v>
      </c>
      <c r="G1944" t="s">
        <v>4296</v>
      </c>
    </row>
    <row r="1945" spans="1:7">
      <c r="A1945" t="s">
        <v>4063</v>
      </c>
      <c r="B1945" t="s">
        <v>1830</v>
      </c>
      <c r="C1945" t="s">
        <v>133</v>
      </c>
      <c r="D1945" s="10">
        <v>31627</v>
      </c>
      <c r="E1945" s="10">
        <v>45019</v>
      </c>
      <c r="F1945">
        <v>36</v>
      </c>
      <c r="G1945" t="s">
        <v>4296</v>
      </c>
    </row>
    <row r="1946" spans="1:7">
      <c r="A1946" t="s">
        <v>4064</v>
      </c>
      <c r="B1946" t="s">
        <v>1734</v>
      </c>
      <c r="C1946" t="s">
        <v>40</v>
      </c>
      <c r="D1946" s="10">
        <v>39773</v>
      </c>
      <c r="E1946" s="10">
        <v>45935</v>
      </c>
      <c r="F1946">
        <v>16</v>
      </c>
      <c r="G1946" t="s">
        <v>4296</v>
      </c>
    </row>
    <row r="1947" spans="1:7">
      <c r="A1947" t="s">
        <v>4065</v>
      </c>
      <c r="B1947" t="s">
        <v>503</v>
      </c>
      <c r="C1947" t="s">
        <v>133</v>
      </c>
      <c r="D1947" s="10">
        <v>23763</v>
      </c>
      <c r="E1947" s="10">
        <v>45858</v>
      </c>
      <c r="F1947">
        <v>60</v>
      </c>
      <c r="G1947" t="s">
        <v>4296</v>
      </c>
    </row>
    <row r="1948" spans="1:7">
      <c r="A1948" t="s">
        <v>4067</v>
      </c>
      <c r="B1948" t="s">
        <v>679</v>
      </c>
      <c r="C1948" t="s">
        <v>133</v>
      </c>
      <c r="D1948" s="10">
        <v>36567</v>
      </c>
      <c r="E1948" s="10">
        <v>45595</v>
      </c>
      <c r="F1948">
        <v>24</v>
      </c>
      <c r="G1948" t="s">
        <v>4296</v>
      </c>
    </row>
    <row r="1949" spans="1:7">
      <c r="A1949" t="s">
        <v>4070</v>
      </c>
      <c r="B1949" t="s">
        <v>108</v>
      </c>
      <c r="C1949" t="s">
        <v>133</v>
      </c>
      <c r="D1949" s="10">
        <v>21055</v>
      </c>
      <c r="E1949" s="10">
        <v>45429</v>
      </c>
      <c r="F1949">
        <v>66</v>
      </c>
      <c r="G1949" t="s">
        <v>4296</v>
      </c>
    </row>
    <row r="1950" spans="1:7">
      <c r="A1950" t="s">
        <v>4072</v>
      </c>
      <c r="B1950" t="s">
        <v>321</v>
      </c>
      <c r="C1950" t="s">
        <v>40</v>
      </c>
      <c r="D1950" s="10">
        <v>40232</v>
      </c>
      <c r="E1950" s="10">
        <v>45743</v>
      </c>
      <c r="F1950">
        <v>15</v>
      </c>
      <c r="G1950" t="s">
        <v>4296</v>
      </c>
    </row>
    <row r="1951" spans="1:7">
      <c r="A1951" t="s">
        <v>4073</v>
      </c>
      <c r="B1951" t="s">
        <v>1471</v>
      </c>
      <c r="C1951" t="s">
        <v>40</v>
      </c>
      <c r="D1951" s="10">
        <v>19466</v>
      </c>
      <c r="E1951" s="10">
        <v>44947</v>
      </c>
      <c r="F1951">
        <v>69</v>
      </c>
      <c r="G1951" t="s">
        <v>4296</v>
      </c>
    </row>
    <row r="1952" spans="1:7">
      <c r="A1952" t="s">
        <v>2246</v>
      </c>
      <c r="B1952" t="s">
        <v>1101</v>
      </c>
      <c r="C1952" t="s">
        <v>133</v>
      </c>
      <c r="D1952" s="10">
        <v>31189</v>
      </c>
      <c r="E1952" s="10">
        <v>45567</v>
      </c>
      <c r="F1952">
        <v>39</v>
      </c>
      <c r="G1952" t="s">
        <v>4296</v>
      </c>
    </row>
    <row r="1953" spans="1:7">
      <c r="A1953" t="s">
        <v>462</v>
      </c>
      <c r="B1953" t="s">
        <v>147</v>
      </c>
      <c r="C1953" t="s">
        <v>133</v>
      </c>
      <c r="D1953" s="10">
        <v>27777</v>
      </c>
      <c r="E1953" s="10">
        <v>44927</v>
      </c>
      <c r="F1953">
        <v>46</v>
      </c>
      <c r="G1953" t="s">
        <v>4296</v>
      </c>
    </row>
    <row r="1954" spans="1:7">
      <c r="A1954" t="s">
        <v>2521</v>
      </c>
      <c r="B1954" t="s">
        <v>2249</v>
      </c>
      <c r="C1954" t="s">
        <v>133</v>
      </c>
      <c r="D1954" s="10">
        <v>28197</v>
      </c>
      <c r="E1954" s="10">
        <v>45389</v>
      </c>
      <c r="F1954">
        <v>47</v>
      </c>
      <c r="G1954" t="s">
        <v>4296</v>
      </c>
    </row>
    <row r="1955" spans="1:7">
      <c r="A1955" t="s">
        <v>595</v>
      </c>
      <c r="B1955" t="s">
        <v>332</v>
      </c>
      <c r="C1955" t="s">
        <v>40</v>
      </c>
      <c r="D1955" s="10">
        <v>40516</v>
      </c>
      <c r="E1955" s="10">
        <v>45304</v>
      </c>
      <c r="F1955">
        <v>13</v>
      </c>
      <c r="G1955" t="s">
        <v>4296</v>
      </c>
    </row>
    <row r="1956" spans="1:7">
      <c r="A1956" t="s">
        <v>4080</v>
      </c>
      <c r="B1956" t="s">
        <v>867</v>
      </c>
      <c r="C1956" t="s">
        <v>133</v>
      </c>
      <c r="D1956" s="10">
        <v>29769</v>
      </c>
      <c r="E1956" s="10">
        <v>45627</v>
      </c>
      <c r="F1956">
        <v>43</v>
      </c>
      <c r="G1956" t="s">
        <v>4296</v>
      </c>
    </row>
    <row r="1957" spans="1:7">
      <c r="A1957" t="s">
        <v>651</v>
      </c>
      <c r="B1957" t="s">
        <v>652</v>
      </c>
      <c r="C1957" t="s">
        <v>133</v>
      </c>
      <c r="D1957" s="10">
        <v>37162</v>
      </c>
      <c r="E1957" s="10">
        <v>44994</v>
      </c>
      <c r="F1957">
        <v>21</v>
      </c>
      <c r="G1957" t="s">
        <v>4296</v>
      </c>
    </row>
    <row r="1958" spans="1:7">
      <c r="A1958" t="s">
        <v>2039</v>
      </c>
      <c r="B1958" t="s">
        <v>999</v>
      </c>
      <c r="C1958" t="s">
        <v>133</v>
      </c>
      <c r="D1958" s="10">
        <v>28082</v>
      </c>
      <c r="E1958" s="10">
        <v>44931</v>
      </c>
      <c r="F1958">
        <v>46</v>
      </c>
      <c r="G1958" t="s">
        <v>4296</v>
      </c>
    </row>
    <row r="1959" spans="1:7">
      <c r="A1959" t="s">
        <v>2845</v>
      </c>
      <c r="B1959" t="s">
        <v>992</v>
      </c>
      <c r="C1959" t="s">
        <v>40</v>
      </c>
      <c r="D1959" s="10">
        <v>22593</v>
      </c>
      <c r="E1959" s="10">
        <v>45026</v>
      </c>
      <c r="F1959">
        <v>61</v>
      </c>
      <c r="G1959" t="s">
        <v>4296</v>
      </c>
    </row>
    <row r="1960" spans="1:7">
      <c r="A1960" t="s">
        <v>1411</v>
      </c>
      <c r="B1960" t="s">
        <v>116</v>
      </c>
      <c r="C1960" t="s">
        <v>40</v>
      </c>
      <c r="D1960" s="10">
        <v>39315</v>
      </c>
      <c r="E1960" s="10">
        <v>45233</v>
      </c>
      <c r="F1960">
        <v>16</v>
      </c>
      <c r="G1960" t="s">
        <v>4296</v>
      </c>
    </row>
    <row r="1961" spans="1:7">
      <c r="A1961" t="s">
        <v>1404</v>
      </c>
      <c r="B1961" t="s">
        <v>765</v>
      </c>
      <c r="C1961" t="s">
        <v>133</v>
      </c>
      <c r="D1961" s="10">
        <v>37442</v>
      </c>
      <c r="E1961" s="10">
        <v>45775</v>
      </c>
      <c r="F1961">
        <v>22</v>
      </c>
      <c r="G1961" t="s">
        <v>4296</v>
      </c>
    </row>
    <row r="1962" spans="1:7">
      <c r="A1962" t="s">
        <v>3655</v>
      </c>
      <c r="B1962" t="s">
        <v>1464</v>
      </c>
      <c r="C1962" t="s">
        <v>40</v>
      </c>
      <c r="D1962" s="10">
        <v>37035</v>
      </c>
      <c r="E1962" s="10">
        <v>45578</v>
      </c>
      <c r="F1962">
        <v>23</v>
      </c>
      <c r="G1962" t="s">
        <v>4296</v>
      </c>
    </row>
    <row r="1963" spans="1:7">
      <c r="A1963" t="s">
        <v>749</v>
      </c>
      <c r="B1963" t="s">
        <v>251</v>
      </c>
      <c r="C1963" t="s">
        <v>133</v>
      </c>
      <c r="D1963" s="10">
        <v>33306</v>
      </c>
      <c r="E1963" s="10">
        <v>45410</v>
      </c>
      <c r="F1963">
        <v>33</v>
      </c>
      <c r="G1963" t="s">
        <v>4296</v>
      </c>
    </row>
    <row r="1964" spans="1:7">
      <c r="A1964" t="s">
        <v>3035</v>
      </c>
      <c r="B1964" t="s">
        <v>3036</v>
      </c>
      <c r="C1964" t="s">
        <v>133</v>
      </c>
      <c r="D1964" s="10">
        <v>32207</v>
      </c>
      <c r="E1964" s="10">
        <v>45377</v>
      </c>
      <c r="F1964">
        <v>36</v>
      </c>
      <c r="G1964" t="s">
        <v>4296</v>
      </c>
    </row>
    <row r="1965" spans="1:7">
      <c r="A1965" t="s">
        <v>2591</v>
      </c>
      <c r="B1965" t="s">
        <v>857</v>
      </c>
      <c r="C1965" t="s">
        <v>133</v>
      </c>
      <c r="D1965" s="10">
        <v>19132</v>
      </c>
      <c r="E1965" s="10">
        <v>45648</v>
      </c>
      <c r="F1965">
        <v>72</v>
      </c>
      <c r="G1965" t="s">
        <v>4296</v>
      </c>
    </row>
    <row r="1966" spans="1:7">
      <c r="A1966" t="s">
        <v>890</v>
      </c>
      <c r="B1966" t="s">
        <v>891</v>
      </c>
      <c r="C1966" t="s">
        <v>133</v>
      </c>
      <c r="D1966" s="10">
        <v>38619</v>
      </c>
      <c r="E1966" s="10">
        <v>45693</v>
      </c>
      <c r="F1966">
        <v>19</v>
      </c>
      <c r="G1966" t="s">
        <v>4296</v>
      </c>
    </row>
    <row r="1967" spans="1:7">
      <c r="A1967" t="s">
        <v>1991</v>
      </c>
      <c r="B1967" t="s">
        <v>679</v>
      </c>
      <c r="C1967" t="s">
        <v>40</v>
      </c>
      <c r="D1967" s="10">
        <v>21316</v>
      </c>
      <c r="E1967" s="10">
        <v>45240</v>
      </c>
      <c r="F1967">
        <v>65</v>
      </c>
      <c r="G1967" t="s">
        <v>4296</v>
      </c>
    </row>
    <row r="1968" spans="1:7">
      <c r="A1968" t="s">
        <v>3362</v>
      </c>
      <c r="B1968" t="s">
        <v>2594</v>
      </c>
      <c r="C1968" t="s">
        <v>40</v>
      </c>
      <c r="D1968" s="10">
        <v>27651</v>
      </c>
      <c r="E1968" s="10">
        <v>45784</v>
      </c>
      <c r="F1968">
        <v>49</v>
      </c>
      <c r="G1968" t="s">
        <v>4296</v>
      </c>
    </row>
    <row r="1969" spans="1:7">
      <c r="A1969" t="s">
        <v>2792</v>
      </c>
      <c r="B1969" t="s">
        <v>485</v>
      </c>
      <c r="C1969" t="s">
        <v>133</v>
      </c>
      <c r="D1969" s="10">
        <v>36023</v>
      </c>
      <c r="E1969" s="10">
        <v>45378</v>
      </c>
      <c r="F1969">
        <v>25</v>
      </c>
      <c r="G1969" t="s">
        <v>4296</v>
      </c>
    </row>
    <row r="1970" spans="1:7">
      <c r="A1970" t="s">
        <v>2397</v>
      </c>
      <c r="B1970" t="s">
        <v>999</v>
      </c>
      <c r="C1970" t="s">
        <v>133</v>
      </c>
      <c r="D1970" s="10">
        <v>20491</v>
      </c>
      <c r="E1970" s="10">
        <v>45674</v>
      </c>
      <c r="F1970">
        <v>68</v>
      </c>
      <c r="G1970" t="s">
        <v>4296</v>
      </c>
    </row>
    <row r="1971" spans="1:7">
      <c r="A1971" t="s">
        <v>4040</v>
      </c>
      <c r="B1971" t="s">
        <v>1302</v>
      </c>
      <c r="C1971" t="s">
        <v>133</v>
      </c>
      <c r="D1971" s="10">
        <v>23318</v>
      </c>
      <c r="E1971" s="10">
        <v>45475</v>
      </c>
      <c r="F1971">
        <v>60</v>
      </c>
      <c r="G1971" t="s">
        <v>4296</v>
      </c>
    </row>
    <row r="1972" spans="1:7">
      <c r="A1972" t="s">
        <v>4072</v>
      </c>
      <c r="B1972" t="s">
        <v>321</v>
      </c>
      <c r="C1972" t="s">
        <v>40</v>
      </c>
      <c r="D1972" s="10">
        <v>40232</v>
      </c>
      <c r="E1972" s="10">
        <v>45743</v>
      </c>
      <c r="F1972">
        <v>15</v>
      </c>
      <c r="G1972" t="s">
        <v>4296</v>
      </c>
    </row>
    <row r="1973" spans="1:7">
      <c r="A1973" t="s">
        <v>3063</v>
      </c>
      <c r="B1973" t="s">
        <v>607</v>
      </c>
      <c r="C1973" t="s">
        <v>40</v>
      </c>
      <c r="D1973" s="10">
        <v>38000</v>
      </c>
      <c r="E1973" s="10">
        <v>45777</v>
      </c>
      <c r="F1973">
        <v>21</v>
      </c>
      <c r="G1973" t="s">
        <v>4296</v>
      </c>
    </row>
    <row r="1974" spans="1:7">
      <c r="A1974" t="s">
        <v>570</v>
      </c>
      <c r="B1974" t="s">
        <v>244</v>
      </c>
      <c r="C1974" t="s">
        <v>133</v>
      </c>
      <c r="D1974" s="10">
        <v>31399</v>
      </c>
      <c r="E1974" s="10">
        <v>45777</v>
      </c>
      <c r="F1974">
        <v>39</v>
      </c>
      <c r="G1974" t="s">
        <v>4296</v>
      </c>
    </row>
    <row r="1975" spans="1:7">
      <c r="A1975" t="s">
        <v>2417</v>
      </c>
      <c r="B1975" t="s">
        <v>406</v>
      </c>
      <c r="C1975" t="s">
        <v>40</v>
      </c>
      <c r="D1975" s="10">
        <v>23301</v>
      </c>
      <c r="E1975" s="10">
        <v>45423</v>
      </c>
      <c r="F1975">
        <v>60</v>
      </c>
      <c r="G1975" t="s">
        <v>4296</v>
      </c>
    </row>
    <row r="1976" spans="1:7">
      <c r="A1976" t="s">
        <v>3232</v>
      </c>
      <c r="B1976" t="s">
        <v>895</v>
      </c>
      <c r="C1976" t="s">
        <v>133</v>
      </c>
      <c r="D1976" s="10">
        <v>26259</v>
      </c>
      <c r="E1976" s="10">
        <v>45964</v>
      </c>
      <c r="F1976">
        <v>53</v>
      </c>
      <c r="G1976" t="s">
        <v>4296</v>
      </c>
    </row>
    <row r="1977" spans="1:7">
      <c r="A1977" t="s">
        <v>3387</v>
      </c>
      <c r="B1977" t="s">
        <v>1305</v>
      </c>
      <c r="C1977" t="s">
        <v>133</v>
      </c>
      <c r="D1977" s="10">
        <v>34207</v>
      </c>
      <c r="E1977" s="10">
        <v>45113</v>
      </c>
      <c r="F1977">
        <v>29</v>
      </c>
      <c r="G1977" t="s">
        <v>4296</v>
      </c>
    </row>
    <row r="1978" spans="1:7">
      <c r="A1978" t="s">
        <v>2279</v>
      </c>
      <c r="B1978" t="s">
        <v>553</v>
      </c>
      <c r="C1978" t="s">
        <v>40</v>
      </c>
      <c r="D1978" s="10">
        <v>31221</v>
      </c>
      <c r="E1978" s="10">
        <v>45581</v>
      </c>
      <c r="F1978">
        <v>39</v>
      </c>
      <c r="G1978" t="s">
        <v>4296</v>
      </c>
    </row>
    <row r="1979" spans="1:7">
      <c r="A1979" t="s">
        <v>3125</v>
      </c>
      <c r="B1979" t="s">
        <v>503</v>
      </c>
      <c r="C1979" t="s">
        <v>40</v>
      </c>
      <c r="D1979" s="10">
        <v>30492</v>
      </c>
      <c r="E1979" s="10">
        <v>45805</v>
      </c>
      <c r="F1979">
        <v>41</v>
      </c>
      <c r="G1979" t="s">
        <v>4296</v>
      </c>
    </row>
    <row r="1980" spans="1:7">
      <c r="A1980" t="s">
        <v>430</v>
      </c>
      <c r="B1980" t="s">
        <v>390</v>
      </c>
      <c r="C1980" t="s">
        <v>133</v>
      </c>
      <c r="D1980" s="10">
        <v>19867</v>
      </c>
      <c r="E1980" s="10">
        <v>45964</v>
      </c>
      <c r="F1980">
        <v>71</v>
      </c>
      <c r="G1980" t="s">
        <v>4296</v>
      </c>
    </row>
    <row r="1981" spans="1:7">
      <c r="A1981" t="s">
        <v>3225</v>
      </c>
      <c r="B1981" t="s">
        <v>147</v>
      </c>
      <c r="C1981" t="s">
        <v>40</v>
      </c>
      <c r="D1981" s="10">
        <v>36284</v>
      </c>
      <c r="E1981" s="10">
        <v>45393</v>
      </c>
      <c r="F1981">
        <v>24</v>
      </c>
      <c r="G1981" t="s">
        <v>4296</v>
      </c>
    </row>
    <row r="1982" spans="1:7">
      <c r="A1982" t="s">
        <v>748</v>
      </c>
      <c r="B1982" t="s">
        <v>515</v>
      </c>
      <c r="C1982" t="s">
        <v>40</v>
      </c>
      <c r="D1982" s="10">
        <v>33853</v>
      </c>
      <c r="E1982" s="10">
        <v>44965</v>
      </c>
      <c r="F1982">
        <v>30</v>
      </c>
      <c r="G1982" t="s">
        <v>4296</v>
      </c>
    </row>
    <row r="1983" spans="1:7">
      <c r="A1983" t="s">
        <v>1781</v>
      </c>
      <c r="B1983" t="s">
        <v>363</v>
      </c>
      <c r="C1983" t="s">
        <v>40</v>
      </c>
      <c r="D1983" s="10">
        <v>29330</v>
      </c>
      <c r="E1983" s="10">
        <v>45431</v>
      </c>
      <c r="F1983">
        <v>44</v>
      </c>
      <c r="G1983" t="s">
        <v>4237</v>
      </c>
    </row>
    <row r="1984" spans="1:7">
      <c r="A1984" t="s">
        <v>1300</v>
      </c>
      <c r="B1984" t="s">
        <v>1146</v>
      </c>
      <c r="C1984" t="s">
        <v>133</v>
      </c>
      <c r="D1984" s="10">
        <v>32650</v>
      </c>
      <c r="E1984" s="10">
        <v>45733</v>
      </c>
      <c r="F1984">
        <v>35</v>
      </c>
      <c r="G1984" t="s">
        <v>4296</v>
      </c>
    </row>
    <row r="1985" spans="1:7">
      <c r="A1985" t="s">
        <v>3251</v>
      </c>
      <c r="B1985" t="s">
        <v>850</v>
      </c>
      <c r="C1985" t="s">
        <v>40</v>
      </c>
      <c r="D1985" s="10">
        <v>33385</v>
      </c>
      <c r="E1985" s="10">
        <v>45940</v>
      </c>
      <c r="F1985">
        <v>34</v>
      </c>
      <c r="G1985" t="s">
        <v>4296</v>
      </c>
    </row>
    <row r="1986" spans="1:7">
      <c r="A1986" t="s">
        <v>2682</v>
      </c>
      <c r="B1986" t="s">
        <v>2033</v>
      </c>
      <c r="C1986" t="s">
        <v>133</v>
      </c>
      <c r="D1986" s="10">
        <v>28626</v>
      </c>
      <c r="E1986" s="10">
        <v>45850</v>
      </c>
      <c r="F1986">
        <v>47</v>
      </c>
      <c r="G1986" t="s">
        <v>4296</v>
      </c>
    </row>
    <row r="1987" spans="1:7">
      <c r="A1987" t="s">
        <v>4101</v>
      </c>
      <c r="B1987" t="s">
        <v>879</v>
      </c>
      <c r="C1987" t="s">
        <v>133</v>
      </c>
      <c r="D1987" s="10">
        <v>34345</v>
      </c>
      <c r="E1987" s="10">
        <v>45523</v>
      </c>
      <c r="F1987">
        <v>30</v>
      </c>
      <c r="G1987" t="s">
        <v>4296</v>
      </c>
    </row>
    <row r="1988" spans="1:7">
      <c r="A1988" t="s">
        <v>3076</v>
      </c>
      <c r="B1988" t="s">
        <v>684</v>
      </c>
      <c r="C1988" t="s">
        <v>40</v>
      </c>
      <c r="D1988" s="10">
        <v>36881</v>
      </c>
      <c r="E1988" s="10">
        <v>45482</v>
      </c>
      <c r="F1988">
        <v>23</v>
      </c>
      <c r="G1988" t="s">
        <v>4237</v>
      </c>
    </row>
    <row r="1989" spans="1:7">
      <c r="A1989" t="s">
        <v>2263</v>
      </c>
      <c r="B1989" t="s">
        <v>108</v>
      </c>
      <c r="C1989" t="s">
        <v>40</v>
      </c>
      <c r="D1989" s="10">
        <v>37976</v>
      </c>
      <c r="E1989" s="10">
        <v>45168</v>
      </c>
      <c r="F1989">
        <v>19</v>
      </c>
      <c r="G1989" t="s">
        <v>4296</v>
      </c>
    </row>
    <row r="1990" spans="1:7">
      <c r="A1990" t="s">
        <v>1469</v>
      </c>
      <c r="B1990" t="s">
        <v>1061</v>
      </c>
      <c r="C1990" t="s">
        <v>133</v>
      </c>
      <c r="D1990" s="10">
        <v>39467</v>
      </c>
      <c r="E1990" s="10">
        <v>45364</v>
      </c>
      <c r="F1990">
        <v>16</v>
      </c>
      <c r="G1990" t="s">
        <v>4296</v>
      </c>
    </row>
    <row r="1991" spans="1:7">
      <c r="A1991" t="s">
        <v>2246</v>
      </c>
      <c r="B1991" t="s">
        <v>1101</v>
      </c>
      <c r="C1991" t="s">
        <v>133</v>
      </c>
      <c r="D1991" s="10">
        <v>31189</v>
      </c>
      <c r="E1991" s="10">
        <v>45567</v>
      </c>
      <c r="F1991">
        <v>39</v>
      </c>
      <c r="G1991" t="s">
        <v>4296</v>
      </c>
    </row>
    <row r="1992" spans="1:7">
      <c r="A1992" t="s">
        <v>3592</v>
      </c>
      <c r="B1992" t="s">
        <v>980</v>
      </c>
      <c r="C1992" t="s">
        <v>133</v>
      </c>
      <c r="D1992" s="10">
        <v>22693</v>
      </c>
      <c r="E1992" s="10">
        <v>45885</v>
      </c>
      <c r="F1992">
        <v>63</v>
      </c>
      <c r="G1992" t="s">
        <v>4296</v>
      </c>
    </row>
    <row r="1993" spans="1:7">
      <c r="A1993" t="s">
        <v>215</v>
      </c>
      <c r="B1993" t="s">
        <v>926</v>
      </c>
      <c r="C1993" t="s">
        <v>133</v>
      </c>
      <c r="D1993" s="10">
        <v>36070</v>
      </c>
      <c r="E1993" s="10">
        <v>45094</v>
      </c>
      <c r="F1993">
        <v>24</v>
      </c>
      <c r="G1993" t="s">
        <v>4296</v>
      </c>
    </row>
    <row r="1994" spans="1:7">
      <c r="A1994" t="s">
        <v>1812</v>
      </c>
      <c r="B1994" t="s">
        <v>292</v>
      </c>
      <c r="C1994" t="s">
        <v>40</v>
      </c>
      <c r="D1994" s="10">
        <v>37680</v>
      </c>
      <c r="E1994" s="10">
        <v>45797</v>
      </c>
      <c r="F1994">
        <v>22</v>
      </c>
      <c r="G1994" t="s">
        <v>4296</v>
      </c>
    </row>
    <row r="1995" spans="1:7">
      <c r="A1995" t="s">
        <v>3357</v>
      </c>
      <c r="B1995" t="s">
        <v>221</v>
      </c>
      <c r="C1995" t="s">
        <v>40</v>
      </c>
      <c r="D1995" s="10">
        <v>36641</v>
      </c>
      <c r="E1995" s="10">
        <v>45730</v>
      </c>
      <c r="F1995">
        <v>24</v>
      </c>
      <c r="G1995" t="s">
        <v>4296</v>
      </c>
    </row>
    <row r="1996" spans="1:7">
      <c r="A1996" t="s">
        <v>1482</v>
      </c>
      <c r="B1996" t="s">
        <v>139</v>
      </c>
      <c r="C1996" t="s">
        <v>133</v>
      </c>
      <c r="D1996" s="10">
        <v>39247</v>
      </c>
      <c r="E1996" s="10">
        <v>45168</v>
      </c>
      <c r="F1996">
        <v>16</v>
      </c>
      <c r="G1996" t="s">
        <v>4296</v>
      </c>
    </row>
    <row r="1997" spans="1:7">
      <c r="A1997" t="s">
        <v>4108</v>
      </c>
      <c r="B1997" t="s">
        <v>545</v>
      </c>
      <c r="C1997" t="s">
        <v>40</v>
      </c>
      <c r="D1997" s="10">
        <v>35720</v>
      </c>
      <c r="E1997" s="10">
        <v>45968</v>
      </c>
      <c r="F1997">
        <v>28</v>
      </c>
      <c r="G1997" t="s">
        <v>4296</v>
      </c>
    </row>
    <row r="1998" spans="1:7">
      <c r="A1998" t="s">
        <v>2706</v>
      </c>
      <c r="B1998" t="s">
        <v>1153</v>
      </c>
      <c r="C1998" t="s">
        <v>40</v>
      </c>
      <c r="D1998" s="10">
        <v>32988</v>
      </c>
      <c r="E1998" s="10">
        <v>45250</v>
      </c>
      <c r="F1998">
        <v>33</v>
      </c>
      <c r="G1998" t="s">
        <v>4296</v>
      </c>
    </row>
    <row r="1999" spans="1:7">
      <c r="A1999" t="s">
        <v>471</v>
      </c>
      <c r="B1999" t="s">
        <v>472</v>
      </c>
      <c r="C1999" t="s">
        <v>40</v>
      </c>
      <c r="D1999" s="10">
        <v>35051</v>
      </c>
      <c r="E1999" s="10">
        <v>45372</v>
      </c>
      <c r="F1999">
        <v>28</v>
      </c>
      <c r="G1999" t="s">
        <v>4296</v>
      </c>
    </row>
    <row r="2000" spans="1:7">
      <c r="A2000" t="s">
        <v>2726</v>
      </c>
      <c r="B2000" t="s">
        <v>21</v>
      </c>
      <c r="C2000" t="s">
        <v>133</v>
      </c>
      <c r="D2000" s="10">
        <v>26723</v>
      </c>
      <c r="E2000" s="10">
        <v>45019</v>
      </c>
      <c r="F2000">
        <v>50</v>
      </c>
      <c r="G2000" t="s">
        <v>4296</v>
      </c>
    </row>
    <row r="2001" spans="1:7">
      <c r="A2001" t="s">
        <v>3548</v>
      </c>
      <c r="B2001" t="s">
        <v>88</v>
      </c>
      <c r="C2001" t="s">
        <v>133</v>
      </c>
      <c r="D2001" s="10">
        <v>18707</v>
      </c>
      <c r="E2001" s="10">
        <v>45052</v>
      </c>
      <c r="F2001">
        <v>72</v>
      </c>
      <c r="G2001" t="s">
        <v>4296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79D4F-7648-430F-A3CF-12C5CC7B3978}">
  <dimension ref="A1:G2001"/>
  <sheetViews>
    <sheetView workbookViewId="0"/>
  </sheetViews>
  <sheetFormatPr defaultRowHeight="14.4"/>
  <cols>
    <col min="1" max="1" width="16.88671875" bestFit="1" customWidth="1"/>
    <col min="2" max="2" width="6.88671875" bestFit="1" customWidth="1"/>
    <col min="3" max="3" width="9" bestFit="1" customWidth="1"/>
    <col min="4" max="4" width="15" bestFit="1" customWidth="1"/>
    <col min="5" max="5" width="9.6640625" bestFit="1" customWidth="1"/>
    <col min="6" max="6" width="6.44140625" bestFit="1" customWidth="1"/>
    <col min="7" max="7" width="10.21875" bestFit="1" customWidth="1"/>
  </cols>
  <sheetData>
    <row r="1" spans="1:7">
      <c r="A1" t="s">
        <v>4</v>
      </c>
      <c r="B1" t="s">
        <v>4254</v>
      </c>
      <c r="C1" t="s">
        <v>4255</v>
      </c>
      <c r="D1" t="s">
        <v>4257</v>
      </c>
      <c r="E1" t="s">
        <v>4256</v>
      </c>
      <c r="F1" t="s">
        <v>4258</v>
      </c>
      <c r="G1" t="s">
        <v>4259</v>
      </c>
    </row>
    <row r="2" spans="1:7">
      <c r="A2" s="10">
        <v>45136</v>
      </c>
      <c r="B2">
        <v>2023</v>
      </c>
      <c r="C2">
        <v>7</v>
      </c>
      <c r="D2" t="s">
        <v>4297</v>
      </c>
      <c r="E2">
        <v>3</v>
      </c>
      <c r="F2">
        <v>29</v>
      </c>
      <c r="G2" t="s">
        <v>4298</v>
      </c>
    </row>
    <row r="3" spans="1:7">
      <c r="A3" s="10">
        <v>45631</v>
      </c>
      <c r="B3">
        <v>2024</v>
      </c>
      <c r="C3">
        <v>12</v>
      </c>
      <c r="D3" t="s">
        <v>4299</v>
      </c>
      <c r="E3">
        <v>4</v>
      </c>
      <c r="F3">
        <v>5</v>
      </c>
      <c r="G3" t="s">
        <v>4300</v>
      </c>
    </row>
    <row r="4" spans="1:7">
      <c r="A4" s="10">
        <v>46020</v>
      </c>
      <c r="B4">
        <v>2025</v>
      </c>
      <c r="C4">
        <v>12</v>
      </c>
      <c r="D4" t="s">
        <v>4299</v>
      </c>
      <c r="E4">
        <v>4</v>
      </c>
      <c r="F4">
        <v>29</v>
      </c>
      <c r="G4" t="s">
        <v>4301</v>
      </c>
    </row>
    <row r="5" spans="1:7">
      <c r="A5" s="10">
        <v>45937</v>
      </c>
      <c r="B5">
        <v>2025</v>
      </c>
      <c r="C5">
        <v>10</v>
      </c>
      <c r="D5" t="s">
        <v>4302</v>
      </c>
      <c r="E5">
        <v>4</v>
      </c>
      <c r="F5">
        <v>7</v>
      </c>
      <c r="G5" t="s">
        <v>4303</v>
      </c>
    </row>
    <row r="6" spans="1:7">
      <c r="A6" s="10">
        <v>45538</v>
      </c>
      <c r="B6">
        <v>2024</v>
      </c>
      <c r="C6">
        <v>9</v>
      </c>
      <c r="D6" t="s">
        <v>4304</v>
      </c>
      <c r="E6">
        <v>3</v>
      </c>
      <c r="F6">
        <v>3</v>
      </c>
      <c r="G6" t="s">
        <v>4303</v>
      </c>
    </row>
    <row r="7" spans="1:7">
      <c r="A7" s="10">
        <v>45793</v>
      </c>
      <c r="B7">
        <v>2025</v>
      </c>
      <c r="C7">
        <v>5</v>
      </c>
      <c r="D7" t="s">
        <v>4305</v>
      </c>
      <c r="E7">
        <v>2</v>
      </c>
      <c r="F7">
        <v>16</v>
      </c>
      <c r="G7" t="s">
        <v>4306</v>
      </c>
    </row>
    <row r="8" spans="1:7">
      <c r="A8" s="10">
        <v>45197</v>
      </c>
      <c r="B8">
        <v>2023</v>
      </c>
      <c r="C8">
        <v>9</v>
      </c>
      <c r="D8" t="s">
        <v>4304</v>
      </c>
      <c r="E8">
        <v>3</v>
      </c>
      <c r="F8">
        <v>28</v>
      </c>
      <c r="G8" t="s">
        <v>4300</v>
      </c>
    </row>
    <row r="9" spans="1:7">
      <c r="A9" s="10">
        <v>44957</v>
      </c>
      <c r="B9">
        <v>2023</v>
      </c>
      <c r="C9">
        <v>1</v>
      </c>
      <c r="D9" t="s">
        <v>4307</v>
      </c>
      <c r="E9">
        <v>1</v>
      </c>
      <c r="F9">
        <v>31</v>
      </c>
      <c r="G9" t="s">
        <v>4303</v>
      </c>
    </row>
    <row r="10" spans="1:7">
      <c r="A10" s="10">
        <v>45903</v>
      </c>
      <c r="B10">
        <v>2025</v>
      </c>
      <c r="C10">
        <v>9</v>
      </c>
      <c r="D10" t="s">
        <v>4304</v>
      </c>
      <c r="E10">
        <v>3</v>
      </c>
      <c r="F10">
        <v>3</v>
      </c>
      <c r="G10" t="s">
        <v>4308</v>
      </c>
    </row>
    <row r="11" spans="1:7">
      <c r="A11" s="10">
        <v>45865</v>
      </c>
      <c r="B11">
        <v>2025</v>
      </c>
      <c r="C11">
        <v>7</v>
      </c>
      <c r="D11" t="s">
        <v>4297</v>
      </c>
      <c r="E11">
        <v>3</v>
      </c>
      <c r="F11">
        <v>27</v>
      </c>
      <c r="G11" t="s">
        <v>4309</v>
      </c>
    </row>
    <row r="12" spans="1:7">
      <c r="A12" s="10">
        <v>45467</v>
      </c>
      <c r="B12">
        <v>2024</v>
      </c>
      <c r="C12">
        <v>6</v>
      </c>
      <c r="D12" t="s">
        <v>4310</v>
      </c>
      <c r="E12">
        <v>2</v>
      </c>
      <c r="F12">
        <v>24</v>
      </c>
      <c r="G12" t="s">
        <v>4301</v>
      </c>
    </row>
    <row r="13" spans="1:7">
      <c r="A13" s="10">
        <v>45357</v>
      </c>
      <c r="B13">
        <v>2024</v>
      </c>
      <c r="C13">
        <v>3</v>
      </c>
      <c r="D13" t="s">
        <v>4311</v>
      </c>
      <c r="E13">
        <v>1</v>
      </c>
      <c r="F13">
        <v>6</v>
      </c>
      <c r="G13" t="s">
        <v>4308</v>
      </c>
    </row>
    <row r="14" spans="1:7">
      <c r="A14" s="10">
        <v>44975</v>
      </c>
      <c r="B14">
        <v>2023</v>
      </c>
      <c r="C14">
        <v>2</v>
      </c>
      <c r="D14" t="s">
        <v>4312</v>
      </c>
      <c r="E14">
        <v>1</v>
      </c>
      <c r="F14">
        <v>18</v>
      </c>
      <c r="G14" t="s">
        <v>4298</v>
      </c>
    </row>
    <row r="15" spans="1:7">
      <c r="A15" s="10">
        <v>44930</v>
      </c>
      <c r="B15">
        <v>2023</v>
      </c>
      <c r="C15">
        <v>1</v>
      </c>
      <c r="D15" t="s">
        <v>4307</v>
      </c>
      <c r="E15">
        <v>1</v>
      </c>
      <c r="F15">
        <v>4</v>
      </c>
      <c r="G15" t="s">
        <v>4308</v>
      </c>
    </row>
    <row r="16" spans="1:7">
      <c r="A16" s="10">
        <v>45514</v>
      </c>
      <c r="B16">
        <v>2024</v>
      </c>
      <c r="C16">
        <v>8</v>
      </c>
      <c r="D16" t="s">
        <v>4313</v>
      </c>
      <c r="E16">
        <v>3</v>
      </c>
      <c r="F16">
        <v>10</v>
      </c>
      <c r="G16" t="s">
        <v>4298</v>
      </c>
    </row>
    <row r="17" spans="1:7">
      <c r="A17" s="10">
        <v>45325</v>
      </c>
      <c r="B17">
        <v>2024</v>
      </c>
      <c r="C17">
        <v>2</v>
      </c>
      <c r="D17" t="s">
        <v>4312</v>
      </c>
      <c r="E17">
        <v>1</v>
      </c>
      <c r="F17">
        <v>3</v>
      </c>
      <c r="G17" t="s">
        <v>4298</v>
      </c>
    </row>
    <row r="18" spans="1:7">
      <c r="A18" s="10">
        <v>45899</v>
      </c>
      <c r="B18">
        <v>2025</v>
      </c>
      <c r="C18">
        <v>8</v>
      </c>
      <c r="D18" t="s">
        <v>4313</v>
      </c>
      <c r="E18">
        <v>3</v>
      </c>
      <c r="F18">
        <v>30</v>
      </c>
      <c r="G18" t="s">
        <v>4298</v>
      </c>
    </row>
    <row r="19" spans="1:7">
      <c r="A19" s="10">
        <v>45482</v>
      </c>
      <c r="B19">
        <v>2024</v>
      </c>
      <c r="C19">
        <v>7</v>
      </c>
      <c r="D19" t="s">
        <v>4297</v>
      </c>
      <c r="E19">
        <v>3</v>
      </c>
      <c r="F19">
        <v>9</v>
      </c>
      <c r="G19" t="s">
        <v>4303</v>
      </c>
    </row>
    <row r="20" spans="1:7">
      <c r="A20" s="10">
        <v>45204</v>
      </c>
      <c r="B20">
        <v>2023</v>
      </c>
      <c r="C20">
        <v>10</v>
      </c>
      <c r="D20" t="s">
        <v>4302</v>
      </c>
      <c r="E20">
        <v>4</v>
      </c>
      <c r="F20">
        <v>5</v>
      </c>
      <c r="G20" t="s">
        <v>4300</v>
      </c>
    </row>
    <row r="21" spans="1:7">
      <c r="A21" s="10">
        <v>45185</v>
      </c>
      <c r="B21">
        <v>2023</v>
      </c>
      <c r="C21">
        <v>9</v>
      </c>
      <c r="D21" t="s">
        <v>4304</v>
      </c>
      <c r="E21">
        <v>3</v>
      </c>
      <c r="F21">
        <v>16</v>
      </c>
      <c r="G21" t="s">
        <v>4298</v>
      </c>
    </row>
    <row r="22" spans="1:7">
      <c r="A22" s="10">
        <v>45482</v>
      </c>
      <c r="B22">
        <v>2024</v>
      </c>
      <c r="C22">
        <v>7</v>
      </c>
      <c r="D22" t="s">
        <v>4297</v>
      </c>
      <c r="E22">
        <v>3</v>
      </c>
      <c r="F22">
        <v>9</v>
      </c>
      <c r="G22" t="s">
        <v>4303</v>
      </c>
    </row>
    <row r="23" spans="1:7">
      <c r="A23" s="10">
        <v>45850</v>
      </c>
      <c r="B23">
        <v>2025</v>
      </c>
      <c r="C23">
        <v>7</v>
      </c>
      <c r="D23" t="s">
        <v>4297</v>
      </c>
      <c r="E23">
        <v>3</v>
      </c>
      <c r="F23">
        <v>12</v>
      </c>
      <c r="G23" t="s">
        <v>4298</v>
      </c>
    </row>
    <row r="24" spans="1:7">
      <c r="A24" s="10">
        <v>45425</v>
      </c>
      <c r="B24">
        <v>2024</v>
      </c>
      <c r="C24">
        <v>5</v>
      </c>
      <c r="D24" t="s">
        <v>4305</v>
      </c>
      <c r="E24">
        <v>2</v>
      </c>
      <c r="F24">
        <v>13</v>
      </c>
      <c r="G24" t="s">
        <v>4301</v>
      </c>
    </row>
    <row r="25" spans="1:7">
      <c r="A25" s="10">
        <v>45392</v>
      </c>
      <c r="B25">
        <v>2024</v>
      </c>
      <c r="C25">
        <v>4</v>
      </c>
      <c r="D25" t="s">
        <v>4314</v>
      </c>
      <c r="E25">
        <v>2</v>
      </c>
      <c r="F25">
        <v>10</v>
      </c>
      <c r="G25" t="s">
        <v>4308</v>
      </c>
    </row>
    <row r="26" spans="1:7">
      <c r="A26" s="10">
        <v>45549</v>
      </c>
      <c r="B26">
        <v>2024</v>
      </c>
      <c r="C26">
        <v>9</v>
      </c>
      <c r="D26" t="s">
        <v>4304</v>
      </c>
      <c r="E26">
        <v>3</v>
      </c>
      <c r="F26">
        <v>14</v>
      </c>
      <c r="G26" t="s">
        <v>4298</v>
      </c>
    </row>
    <row r="27" spans="1:7">
      <c r="A27" s="10">
        <v>45889</v>
      </c>
      <c r="B27">
        <v>2025</v>
      </c>
      <c r="C27">
        <v>8</v>
      </c>
      <c r="D27" t="s">
        <v>4313</v>
      </c>
      <c r="E27">
        <v>3</v>
      </c>
      <c r="F27">
        <v>20</v>
      </c>
      <c r="G27" t="s">
        <v>4308</v>
      </c>
    </row>
    <row r="28" spans="1:7">
      <c r="A28" s="10">
        <v>45091</v>
      </c>
      <c r="B28">
        <v>2023</v>
      </c>
      <c r="C28">
        <v>6</v>
      </c>
      <c r="D28" t="s">
        <v>4310</v>
      </c>
      <c r="E28">
        <v>2</v>
      </c>
      <c r="F28">
        <v>14</v>
      </c>
      <c r="G28" t="s">
        <v>4308</v>
      </c>
    </row>
    <row r="29" spans="1:7">
      <c r="A29" s="10">
        <v>45770</v>
      </c>
      <c r="B29">
        <v>2025</v>
      </c>
      <c r="C29">
        <v>4</v>
      </c>
      <c r="D29" t="s">
        <v>4314</v>
      </c>
      <c r="E29">
        <v>2</v>
      </c>
      <c r="F29">
        <v>23</v>
      </c>
      <c r="G29" t="s">
        <v>4308</v>
      </c>
    </row>
    <row r="30" spans="1:7">
      <c r="A30" s="10">
        <v>45417</v>
      </c>
      <c r="B30">
        <v>2024</v>
      </c>
      <c r="C30">
        <v>5</v>
      </c>
      <c r="D30" t="s">
        <v>4305</v>
      </c>
      <c r="E30">
        <v>2</v>
      </c>
      <c r="F30">
        <v>5</v>
      </c>
      <c r="G30" t="s">
        <v>4309</v>
      </c>
    </row>
    <row r="31" spans="1:7">
      <c r="A31" s="10">
        <v>44932</v>
      </c>
      <c r="B31">
        <v>2023</v>
      </c>
      <c r="C31">
        <v>1</v>
      </c>
      <c r="D31" t="s">
        <v>4307</v>
      </c>
      <c r="E31">
        <v>1</v>
      </c>
      <c r="F31">
        <v>6</v>
      </c>
      <c r="G31" t="s">
        <v>4306</v>
      </c>
    </row>
    <row r="32" spans="1:7">
      <c r="A32" s="10">
        <v>45576</v>
      </c>
      <c r="B32">
        <v>2024</v>
      </c>
      <c r="C32">
        <v>10</v>
      </c>
      <c r="D32" t="s">
        <v>4302</v>
      </c>
      <c r="E32">
        <v>4</v>
      </c>
      <c r="F32">
        <v>11</v>
      </c>
      <c r="G32" t="s">
        <v>4306</v>
      </c>
    </row>
    <row r="33" spans="1:7">
      <c r="A33" s="10">
        <v>45515</v>
      </c>
      <c r="B33">
        <v>2024</v>
      </c>
      <c r="C33">
        <v>8</v>
      </c>
      <c r="D33" t="s">
        <v>4313</v>
      </c>
      <c r="E33">
        <v>3</v>
      </c>
      <c r="F33">
        <v>11</v>
      </c>
      <c r="G33" t="s">
        <v>4309</v>
      </c>
    </row>
    <row r="34" spans="1:7">
      <c r="A34" s="10">
        <v>45868</v>
      </c>
      <c r="B34">
        <v>2025</v>
      </c>
      <c r="C34">
        <v>7</v>
      </c>
      <c r="D34" t="s">
        <v>4297</v>
      </c>
      <c r="E34">
        <v>3</v>
      </c>
      <c r="F34">
        <v>30</v>
      </c>
      <c r="G34" t="s">
        <v>4308</v>
      </c>
    </row>
    <row r="35" spans="1:7">
      <c r="A35" s="10">
        <v>45027</v>
      </c>
      <c r="B35">
        <v>2023</v>
      </c>
      <c r="C35">
        <v>4</v>
      </c>
      <c r="D35" t="s">
        <v>4314</v>
      </c>
      <c r="E35">
        <v>2</v>
      </c>
      <c r="F35">
        <v>11</v>
      </c>
      <c r="G35" t="s">
        <v>4303</v>
      </c>
    </row>
    <row r="36" spans="1:7">
      <c r="A36" s="10">
        <v>46014</v>
      </c>
      <c r="B36">
        <v>2025</v>
      </c>
      <c r="C36">
        <v>12</v>
      </c>
      <c r="D36" t="s">
        <v>4299</v>
      </c>
      <c r="E36">
        <v>4</v>
      </c>
      <c r="F36">
        <v>23</v>
      </c>
      <c r="G36" t="s">
        <v>4303</v>
      </c>
    </row>
    <row r="37" spans="1:7">
      <c r="A37" s="10">
        <v>45892</v>
      </c>
      <c r="B37">
        <v>2025</v>
      </c>
      <c r="C37">
        <v>8</v>
      </c>
      <c r="D37" t="s">
        <v>4313</v>
      </c>
      <c r="E37">
        <v>3</v>
      </c>
      <c r="F37">
        <v>23</v>
      </c>
      <c r="G37" t="s">
        <v>4298</v>
      </c>
    </row>
    <row r="38" spans="1:7">
      <c r="A38" s="10">
        <v>45929</v>
      </c>
      <c r="B38">
        <v>2025</v>
      </c>
      <c r="C38">
        <v>9</v>
      </c>
      <c r="D38" t="s">
        <v>4304</v>
      </c>
      <c r="E38">
        <v>3</v>
      </c>
      <c r="F38">
        <v>29</v>
      </c>
      <c r="G38" t="s">
        <v>4301</v>
      </c>
    </row>
    <row r="39" spans="1:7">
      <c r="A39" s="10">
        <v>45482</v>
      </c>
      <c r="B39">
        <v>2024</v>
      </c>
      <c r="C39">
        <v>7</v>
      </c>
      <c r="D39" t="s">
        <v>4297</v>
      </c>
      <c r="E39">
        <v>3</v>
      </c>
      <c r="F39">
        <v>9</v>
      </c>
      <c r="G39" t="s">
        <v>4303</v>
      </c>
    </row>
    <row r="40" spans="1:7">
      <c r="A40" s="10">
        <v>45150</v>
      </c>
      <c r="B40">
        <v>2023</v>
      </c>
      <c r="C40">
        <v>8</v>
      </c>
      <c r="D40" t="s">
        <v>4313</v>
      </c>
      <c r="E40">
        <v>3</v>
      </c>
      <c r="F40">
        <v>12</v>
      </c>
      <c r="G40" t="s">
        <v>4298</v>
      </c>
    </row>
    <row r="41" spans="1:7">
      <c r="A41" s="10">
        <v>45161</v>
      </c>
      <c r="B41">
        <v>2023</v>
      </c>
      <c r="C41">
        <v>8</v>
      </c>
      <c r="D41" t="s">
        <v>4313</v>
      </c>
      <c r="E41">
        <v>3</v>
      </c>
      <c r="F41">
        <v>23</v>
      </c>
      <c r="G41" t="s">
        <v>4308</v>
      </c>
    </row>
    <row r="42" spans="1:7">
      <c r="A42" s="10">
        <v>45177</v>
      </c>
      <c r="B42">
        <v>2023</v>
      </c>
      <c r="C42">
        <v>9</v>
      </c>
      <c r="D42" t="s">
        <v>4304</v>
      </c>
      <c r="E42">
        <v>3</v>
      </c>
      <c r="F42">
        <v>8</v>
      </c>
      <c r="G42" t="s">
        <v>4306</v>
      </c>
    </row>
    <row r="43" spans="1:7">
      <c r="A43" s="10">
        <v>45474</v>
      </c>
      <c r="B43">
        <v>2024</v>
      </c>
      <c r="C43">
        <v>7</v>
      </c>
      <c r="D43" t="s">
        <v>4297</v>
      </c>
      <c r="E43">
        <v>3</v>
      </c>
      <c r="F43">
        <v>1</v>
      </c>
      <c r="G43" t="s">
        <v>4301</v>
      </c>
    </row>
    <row r="44" spans="1:7">
      <c r="A44" s="10">
        <v>45094</v>
      </c>
      <c r="B44">
        <v>2023</v>
      </c>
      <c r="C44">
        <v>6</v>
      </c>
      <c r="D44" t="s">
        <v>4310</v>
      </c>
      <c r="E44">
        <v>2</v>
      </c>
      <c r="F44">
        <v>17</v>
      </c>
      <c r="G44" t="s">
        <v>4298</v>
      </c>
    </row>
    <row r="45" spans="1:7">
      <c r="A45" s="10">
        <v>46017</v>
      </c>
      <c r="B45">
        <v>2025</v>
      </c>
      <c r="C45">
        <v>12</v>
      </c>
      <c r="D45" t="s">
        <v>4299</v>
      </c>
      <c r="E45">
        <v>4</v>
      </c>
      <c r="F45">
        <v>26</v>
      </c>
      <c r="G45" t="s">
        <v>4306</v>
      </c>
    </row>
    <row r="46" spans="1:7">
      <c r="A46" s="10">
        <v>45482</v>
      </c>
      <c r="B46">
        <v>2024</v>
      </c>
      <c r="C46">
        <v>7</v>
      </c>
      <c r="D46" t="s">
        <v>4297</v>
      </c>
      <c r="E46">
        <v>3</v>
      </c>
      <c r="F46">
        <v>9</v>
      </c>
      <c r="G46" t="s">
        <v>4303</v>
      </c>
    </row>
    <row r="47" spans="1:7">
      <c r="A47" s="10">
        <v>45482</v>
      </c>
      <c r="B47">
        <v>2024</v>
      </c>
      <c r="C47">
        <v>7</v>
      </c>
      <c r="D47" t="s">
        <v>4297</v>
      </c>
      <c r="E47">
        <v>3</v>
      </c>
      <c r="F47">
        <v>9</v>
      </c>
      <c r="G47" t="s">
        <v>4303</v>
      </c>
    </row>
    <row r="48" spans="1:7">
      <c r="A48" s="10">
        <v>45901</v>
      </c>
      <c r="B48">
        <v>2025</v>
      </c>
      <c r="C48">
        <v>9</v>
      </c>
      <c r="D48" t="s">
        <v>4304</v>
      </c>
      <c r="E48">
        <v>3</v>
      </c>
      <c r="F48">
        <v>1</v>
      </c>
      <c r="G48" t="s">
        <v>4301</v>
      </c>
    </row>
    <row r="49" spans="1:7">
      <c r="A49" s="10">
        <v>45234</v>
      </c>
      <c r="B49">
        <v>2023</v>
      </c>
      <c r="C49">
        <v>11</v>
      </c>
      <c r="D49" t="s">
        <v>4315</v>
      </c>
      <c r="E49">
        <v>4</v>
      </c>
      <c r="F49">
        <v>4</v>
      </c>
      <c r="G49" t="s">
        <v>4298</v>
      </c>
    </row>
    <row r="50" spans="1:7">
      <c r="A50" s="10">
        <v>45390</v>
      </c>
      <c r="B50">
        <v>2024</v>
      </c>
      <c r="C50">
        <v>4</v>
      </c>
      <c r="D50" t="s">
        <v>4314</v>
      </c>
      <c r="E50">
        <v>2</v>
      </c>
      <c r="F50">
        <v>8</v>
      </c>
      <c r="G50" t="s">
        <v>4301</v>
      </c>
    </row>
    <row r="51" spans="1:7">
      <c r="A51" s="10">
        <v>45846</v>
      </c>
      <c r="B51">
        <v>2025</v>
      </c>
      <c r="C51">
        <v>7</v>
      </c>
      <c r="D51" t="s">
        <v>4297</v>
      </c>
      <c r="E51">
        <v>3</v>
      </c>
      <c r="F51">
        <v>8</v>
      </c>
      <c r="G51" t="s">
        <v>4303</v>
      </c>
    </row>
    <row r="52" spans="1:7">
      <c r="A52" s="10">
        <v>45847</v>
      </c>
      <c r="B52">
        <v>2025</v>
      </c>
      <c r="C52">
        <v>7</v>
      </c>
      <c r="D52" t="s">
        <v>4297</v>
      </c>
      <c r="E52">
        <v>3</v>
      </c>
      <c r="F52">
        <v>9</v>
      </c>
      <c r="G52" t="s">
        <v>4308</v>
      </c>
    </row>
    <row r="53" spans="1:7">
      <c r="A53" s="10">
        <v>45089</v>
      </c>
      <c r="B53">
        <v>2023</v>
      </c>
      <c r="C53">
        <v>6</v>
      </c>
      <c r="D53" t="s">
        <v>4310</v>
      </c>
      <c r="E53">
        <v>2</v>
      </c>
      <c r="F53">
        <v>12</v>
      </c>
      <c r="G53" t="s">
        <v>4301</v>
      </c>
    </row>
    <row r="54" spans="1:7">
      <c r="A54" s="10">
        <v>45102</v>
      </c>
      <c r="B54">
        <v>2023</v>
      </c>
      <c r="C54">
        <v>6</v>
      </c>
      <c r="D54" t="s">
        <v>4310</v>
      </c>
      <c r="E54">
        <v>2</v>
      </c>
      <c r="F54">
        <v>25</v>
      </c>
      <c r="G54" t="s">
        <v>4309</v>
      </c>
    </row>
    <row r="55" spans="1:7">
      <c r="A55" s="10">
        <v>45203</v>
      </c>
      <c r="B55">
        <v>2023</v>
      </c>
      <c r="C55">
        <v>10</v>
      </c>
      <c r="D55" t="s">
        <v>4302</v>
      </c>
      <c r="E55">
        <v>4</v>
      </c>
      <c r="F55">
        <v>4</v>
      </c>
      <c r="G55" t="s">
        <v>4308</v>
      </c>
    </row>
    <row r="56" spans="1:7">
      <c r="A56" s="10">
        <v>45309</v>
      </c>
      <c r="B56">
        <v>2024</v>
      </c>
      <c r="C56">
        <v>1</v>
      </c>
      <c r="D56" t="s">
        <v>4307</v>
      </c>
      <c r="E56">
        <v>1</v>
      </c>
      <c r="F56">
        <v>18</v>
      </c>
      <c r="G56" t="s">
        <v>4300</v>
      </c>
    </row>
    <row r="57" spans="1:7">
      <c r="A57" s="10">
        <v>45758</v>
      </c>
      <c r="B57">
        <v>2025</v>
      </c>
      <c r="C57">
        <v>4</v>
      </c>
      <c r="D57" t="s">
        <v>4314</v>
      </c>
      <c r="E57">
        <v>2</v>
      </c>
      <c r="F57">
        <v>11</v>
      </c>
      <c r="G57" t="s">
        <v>4306</v>
      </c>
    </row>
    <row r="58" spans="1:7">
      <c r="A58" s="10">
        <v>45308</v>
      </c>
      <c r="B58">
        <v>2024</v>
      </c>
      <c r="C58">
        <v>1</v>
      </c>
      <c r="D58" t="s">
        <v>4307</v>
      </c>
      <c r="E58">
        <v>1</v>
      </c>
      <c r="F58">
        <v>17</v>
      </c>
      <c r="G58" t="s">
        <v>4308</v>
      </c>
    </row>
    <row r="59" spans="1:7">
      <c r="A59" s="10">
        <v>45283</v>
      </c>
      <c r="B59">
        <v>2023</v>
      </c>
      <c r="C59">
        <v>12</v>
      </c>
      <c r="D59" t="s">
        <v>4299</v>
      </c>
      <c r="E59">
        <v>4</v>
      </c>
      <c r="F59">
        <v>23</v>
      </c>
      <c r="G59" t="s">
        <v>4298</v>
      </c>
    </row>
    <row r="60" spans="1:7">
      <c r="A60" s="10">
        <v>45189</v>
      </c>
      <c r="B60">
        <v>2023</v>
      </c>
      <c r="C60">
        <v>9</v>
      </c>
      <c r="D60" t="s">
        <v>4304</v>
      </c>
      <c r="E60">
        <v>3</v>
      </c>
      <c r="F60">
        <v>20</v>
      </c>
      <c r="G60" t="s">
        <v>4308</v>
      </c>
    </row>
    <row r="61" spans="1:7">
      <c r="A61" s="10">
        <v>45277</v>
      </c>
      <c r="B61">
        <v>2023</v>
      </c>
      <c r="C61">
        <v>12</v>
      </c>
      <c r="D61" t="s">
        <v>4299</v>
      </c>
      <c r="E61">
        <v>4</v>
      </c>
      <c r="F61">
        <v>17</v>
      </c>
      <c r="G61" t="s">
        <v>4309</v>
      </c>
    </row>
    <row r="62" spans="1:7">
      <c r="A62" s="10">
        <v>45623</v>
      </c>
      <c r="B62">
        <v>2024</v>
      </c>
      <c r="C62">
        <v>11</v>
      </c>
      <c r="D62" t="s">
        <v>4315</v>
      </c>
      <c r="E62">
        <v>4</v>
      </c>
      <c r="F62">
        <v>27</v>
      </c>
      <c r="G62" t="s">
        <v>4308</v>
      </c>
    </row>
    <row r="63" spans="1:7">
      <c r="A63" s="10">
        <v>45948</v>
      </c>
      <c r="B63">
        <v>2025</v>
      </c>
      <c r="C63">
        <v>10</v>
      </c>
      <c r="D63" t="s">
        <v>4302</v>
      </c>
      <c r="E63">
        <v>4</v>
      </c>
      <c r="F63">
        <v>18</v>
      </c>
      <c r="G63" t="s">
        <v>4298</v>
      </c>
    </row>
    <row r="64" spans="1:7">
      <c r="A64" s="10">
        <v>45959</v>
      </c>
      <c r="B64">
        <v>2025</v>
      </c>
      <c r="C64">
        <v>10</v>
      </c>
      <c r="D64" t="s">
        <v>4302</v>
      </c>
      <c r="E64">
        <v>4</v>
      </c>
      <c r="F64">
        <v>29</v>
      </c>
      <c r="G64" t="s">
        <v>4308</v>
      </c>
    </row>
    <row r="65" spans="1:7">
      <c r="A65" s="10">
        <v>45615</v>
      </c>
      <c r="B65">
        <v>2024</v>
      </c>
      <c r="C65">
        <v>11</v>
      </c>
      <c r="D65" t="s">
        <v>4315</v>
      </c>
      <c r="E65">
        <v>4</v>
      </c>
      <c r="F65">
        <v>19</v>
      </c>
      <c r="G65" t="s">
        <v>4303</v>
      </c>
    </row>
    <row r="66" spans="1:7">
      <c r="A66" s="10">
        <v>45152</v>
      </c>
      <c r="B66">
        <v>2023</v>
      </c>
      <c r="C66">
        <v>8</v>
      </c>
      <c r="D66" t="s">
        <v>4313</v>
      </c>
      <c r="E66">
        <v>3</v>
      </c>
      <c r="F66">
        <v>14</v>
      </c>
      <c r="G66" t="s">
        <v>4301</v>
      </c>
    </row>
    <row r="67" spans="1:7">
      <c r="A67" s="10">
        <v>45538</v>
      </c>
      <c r="B67">
        <v>2024</v>
      </c>
      <c r="C67">
        <v>9</v>
      </c>
      <c r="D67" t="s">
        <v>4304</v>
      </c>
      <c r="E67">
        <v>3</v>
      </c>
      <c r="F67">
        <v>3</v>
      </c>
      <c r="G67" t="s">
        <v>4303</v>
      </c>
    </row>
    <row r="68" spans="1:7">
      <c r="A68" s="10">
        <v>45483</v>
      </c>
      <c r="B68">
        <v>2024</v>
      </c>
      <c r="C68">
        <v>7</v>
      </c>
      <c r="D68" t="s">
        <v>4297</v>
      </c>
      <c r="E68">
        <v>3</v>
      </c>
      <c r="F68">
        <v>10</v>
      </c>
      <c r="G68" t="s">
        <v>4308</v>
      </c>
    </row>
    <row r="69" spans="1:7">
      <c r="A69" s="10">
        <v>45110</v>
      </c>
      <c r="B69">
        <v>2023</v>
      </c>
      <c r="C69">
        <v>7</v>
      </c>
      <c r="D69" t="s">
        <v>4297</v>
      </c>
      <c r="E69">
        <v>3</v>
      </c>
      <c r="F69">
        <v>3</v>
      </c>
      <c r="G69" t="s">
        <v>4301</v>
      </c>
    </row>
    <row r="70" spans="1:7">
      <c r="A70" s="10">
        <v>45259</v>
      </c>
      <c r="B70">
        <v>2023</v>
      </c>
      <c r="C70">
        <v>11</v>
      </c>
      <c r="D70" t="s">
        <v>4315</v>
      </c>
      <c r="E70">
        <v>4</v>
      </c>
      <c r="F70">
        <v>29</v>
      </c>
      <c r="G70" t="s">
        <v>4308</v>
      </c>
    </row>
    <row r="71" spans="1:7">
      <c r="A71" s="10">
        <v>45482</v>
      </c>
      <c r="B71">
        <v>2024</v>
      </c>
      <c r="C71">
        <v>7</v>
      </c>
      <c r="D71" t="s">
        <v>4297</v>
      </c>
      <c r="E71">
        <v>3</v>
      </c>
      <c r="F71">
        <v>9</v>
      </c>
      <c r="G71" t="s">
        <v>4303</v>
      </c>
    </row>
    <row r="72" spans="1:7">
      <c r="A72" s="10">
        <v>45094</v>
      </c>
      <c r="B72">
        <v>2023</v>
      </c>
      <c r="C72">
        <v>6</v>
      </c>
      <c r="D72" t="s">
        <v>4310</v>
      </c>
      <c r="E72">
        <v>2</v>
      </c>
      <c r="F72">
        <v>17</v>
      </c>
      <c r="G72" t="s">
        <v>4298</v>
      </c>
    </row>
    <row r="73" spans="1:7">
      <c r="A73" s="10">
        <v>45448</v>
      </c>
      <c r="B73">
        <v>2024</v>
      </c>
      <c r="C73">
        <v>6</v>
      </c>
      <c r="D73" t="s">
        <v>4310</v>
      </c>
      <c r="E73">
        <v>2</v>
      </c>
      <c r="F73">
        <v>5</v>
      </c>
      <c r="G73" t="s">
        <v>4308</v>
      </c>
    </row>
    <row r="74" spans="1:7">
      <c r="A74" s="10">
        <v>45731</v>
      </c>
      <c r="B74">
        <v>2025</v>
      </c>
      <c r="C74">
        <v>3</v>
      </c>
      <c r="D74" t="s">
        <v>4311</v>
      </c>
      <c r="E74">
        <v>1</v>
      </c>
      <c r="F74">
        <v>15</v>
      </c>
      <c r="G74" t="s">
        <v>4298</v>
      </c>
    </row>
    <row r="75" spans="1:7">
      <c r="A75" s="10">
        <v>44995</v>
      </c>
      <c r="B75">
        <v>2023</v>
      </c>
      <c r="C75">
        <v>3</v>
      </c>
      <c r="D75" t="s">
        <v>4311</v>
      </c>
      <c r="E75">
        <v>1</v>
      </c>
      <c r="F75">
        <v>10</v>
      </c>
      <c r="G75" t="s">
        <v>4306</v>
      </c>
    </row>
    <row r="76" spans="1:7">
      <c r="A76" s="10">
        <v>45285</v>
      </c>
      <c r="B76">
        <v>2023</v>
      </c>
      <c r="C76">
        <v>12</v>
      </c>
      <c r="D76" t="s">
        <v>4299</v>
      </c>
      <c r="E76">
        <v>4</v>
      </c>
      <c r="F76">
        <v>25</v>
      </c>
      <c r="G76" t="s">
        <v>4301</v>
      </c>
    </row>
    <row r="77" spans="1:7">
      <c r="A77" s="10">
        <v>45686</v>
      </c>
      <c r="B77">
        <v>2025</v>
      </c>
      <c r="C77">
        <v>1</v>
      </c>
      <c r="D77" t="s">
        <v>4307</v>
      </c>
      <c r="E77">
        <v>1</v>
      </c>
      <c r="F77">
        <v>29</v>
      </c>
      <c r="G77" t="s">
        <v>4308</v>
      </c>
    </row>
    <row r="78" spans="1:7">
      <c r="A78" s="10">
        <v>45417</v>
      </c>
      <c r="B78">
        <v>2024</v>
      </c>
      <c r="C78">
        <v>5</v>
      </c>
      <c r="D78" t="s">
        <v>4305</v>
      </c>
      <c r="E78">
        <v>2</v>
      </c>
      <c r="F78">
        <v>5</v>
      </c>
      <c r="G78" t="s">
        <v>4309</v>
      </c>
    </row>
    <row r="79" spans="1:7">
      <c r="A79" s="10">
        <v>45482</v>
      </c>
      <c r="B79">
        <v>2024</v>
      </c>
      <c r="C79">
        <v>7</v>
      </c>
      <c r="D79" t="s">
        <v>4297</v>
      </c>
      <c r="E79">
        <v>3</v>
      </c>
      <c r="F79">
        <v>9</v>
      </c>
      <c r="G79" t="s">
        <v>4303</v>
      </c>
    </row>
    <row r="80" spans="1:7">
      <c r="A80" s="10">
        <v>45400</v>
      </c>
      <c r="B80">
        <v>2024</v>
      </c>
      <c r="C80">
        <v>4</v>
      </c>
      <c r="D80" t="s">
        <v>4314</v>
      </c>
      <c r="E80">
        <v>2</v>
      </c>
      <c r="F80">
        <v>18</v>
      </c>
      <c r="G80" t="s">
        <v>4300</v>
      </c>
    </row>
    <row r="81" spans="1:7">
      <c r="A81" s="10">
        <v>46005</v>
      </c>
      <c r="B81">
        <v>2025</v>
      </c>
      <c r="C81">
        <v>12</v>
      </c>
      <c r="D81" t="s">
        <v>4299</v>
      </c>
      <c r="E81">
        <v>4</v>
      </c>
      <c r="F81">
        <v>14</v>
      </c>
      <c r="G81" t="s">
        <v>4309</v>
      </c>
    </row>
    <row r="82" spans="1:7">
      <c r="A82" s="10">
        <v>45359</v>
      </c>
      <c r="B82">
        <v>2024</v>
      </c>
      <c r="C82">
        <v>3</v>
      </c>
      <c r="D82" t="s">
        <v>4311</v>
      </c>
      <c r="E82">
        <v>1</v>
      </c>
      <c r="F82">
        <v>8</v>
      </c>
      <c r="G82" t="s">
        <v>4306</v>
      </c>
    </row>
    <row r="83" spans="1:7">
      <c r="A83" s="10">
        <v>45402</v>
      </c>
      <c r="B83">
        <v>2024</v>
      </c>
      <c r="C83">
        <v>4</v>
      </c>
      <c r="D83" t="s">
        <v>4314</v>
      </c>
      <c r="E83">
        <v>2</v>
      </c>
      <c r="F83">
        <v>20</v>
      </c>
      <c r="G83" t="s">
        <v>4298</v>
      </c>
    </row>
    <row r="84" spans="1:7">
      <c r="A84" s="10">
        <v>45114</v>
      </c>
      <c r="B84">
        <v>2023</v>
      </c>
      <c r="C84">
        <v>7</v>
      </c>
      <c r="D84" t="s">
        <v>4297</v>
      </c>
      <c r="E84">
        <v>3</v>
      </c>
      <c r="F84">
        <v>7</v>
      </c>
      <c r="G84" t="s">
        <v>4306</v>
      </c>
    </row>
    <row r="85" spans="1:7">
      <c r="A85" s="10">
        <v>45274</v>
      </c>
      <c r="B85">
        <v>2023</v>
      </c>
      <c r="C85">
        <v>12</v>
      </c>
      <c r="D85" t="s">
        <v>4299</v>
      </c>
      <c r="E85">
        <v>4</v>
      </c>
      <c r="F85">
        <v>14</v>
      </c>
      <c r="G85" t="s">
        <v>4300</v>
      </c>
    </row>
    <row r="86" spans="1:7">
      <c r="A86" s="10">
        <v>45482</v>
      </c>
      <c r="B86">
        <v>2024</v>
      </c>
      <c r="C86">
        <v>7</v>
      </c>
      <c r="D86" t="s">
        <v>4297</v>
      </c>
      <c r="E86">
        <v>3</v>
      </c>
      <c r="F86">
        <v>9</v>
      </c>
      <c r="G86" t="s">
        <v>4303</v>
      </c>
    </row>
    <row r="87" spans="1:7">
      <c r="A87" s="10">
        <v>45422</v>
      </c>
      <c r="B87">
        <v>2024</v>
      </c>
      <c r="C87">
        <v>5</v>
      </c>
      <c r="D87" t="s">
        <v>4305</v>
      </c>
      <c r="E87">
        <v>2</v>
      </c>
      <c r="F87">
        <v>10</v>
      </c>
      <c r="G87" t="s">
        <v>4306</v>
      </c>
    </row>
    <row r="88" spans="1:7">
      <c r="A88" s="10">
        <v>45745</v>
      </c>
      <c r="B88">
        <v>2025</v>
      </c>
      <c r="C88">
        <v>3</v>
      </c>
      <c r="D88" t="s">
        <v>4311</v>
      </c>
      <c r="E88">
        <v>1</v>
      </c>
      <c r="F88">
        <v>29</v>
      </c>
      <c r="G88" t="s">
        <v>4298</v>
      </c>
    </row>
    <row r="89" spans="1:7">
      <c r="A89" s="10">
        <v>45824</v>
      </c>
      <c r="B89">
        <v>2025</v>
      </c>
      <c r="C89">
        <v>6</v>
      </c>
      <c r="D89" t="s">
        <v>4310</v>
      </c>
      <c r="E89">
        <v>2</v>
      </c>
      <c r="F89">
        <v>16</v>
      </c>
      <c r="G89" t="s">
        <v>4301</v>
      </c>
    </row>
    <row r="90" spans="1:7">
      <c r="A90" s="10">
        <v>45366</v>
      </c>
      <c r="B90">
        <v>2024</v>
      </c>
      <c r="C90">
        <v>3</v>
      </c>
      <c r="D90" t="s">
        <v>4311</v>
      </c>
      <c r="E90">
        <v>1</v>
      </c>
      <c r="F90">
        <v>15</v>
      </c>
      <c r="G90" t="s">
        <v>4306</v>
      </c>
    </row>
    <row r="91" spans="1:7">
      <c r="A91" s="10">
        <v>45168</v>
      </c>
      <c r="B91">
        <v>2023</v>
      </c>
      <c r="C91">
        <v>8</v>
      </c>
      <c r="D91" t="s">
        <v>4313</v>
      </c>
      <c r="E91">
        <v>3</v>
      </c>
      <c r="F91">
        <v>30</v>
      </c>
      <c r="G91" t="s">
        <v>4308</v>
      </c>
    </row>
    <row r="92" spans="1:7">
      <c r="A92" s="10">
        <v>45778</v>
      </c>
      <c r="B92">
        <v>2025</v>
      </c>
      <c r="C92">
        <v>5</v>
      </c>
      <c r="D92" t="s">
        <v>4305</v>
      </c>
      <c r="E92">
        <v>2</v>
      </c>
      <c r="F92">
        <v>1</v>
      </c>
      <c r="G92" t="s">
        <v>4300</v>
      </c>
    </row>
    <row r="93" spans="1:7">
      <c r="A93" s="10">
        <v>45465</v>
      </c>
      <c r="B93">
        <v>2024</v>
      </c>
      <c r="C93">
        <v>6</v>
      </c>
      <c r="D93" t="s">
        <v>4310</v>
      </c>
      <c r="E93">
        <v>2</v>
      </c>
      <c r="F93">
        <v>22</v>
      </c>
      <c r="G93" t="s">
        <v>4298</v>
      </c>
    </row>
    <row r="94" spans="1:7">
      <c r="A94" s="10">
        <v>45186</v>
      </c>
      <c r="B94">
        <v>2023</v>
      </c>
      <c r="C94">
        <v>9</v>
      </c>
      <c r="D94" t="s">
        <v>4304</v>
      </c>
      <c r="E94">
        <v>3</v>
      </c>
      <c r="F94">
        <v>17</v>
      </c>
      <c r="G94" t="s">
        <v>4309</v>
      </c>
    </row>
    <row r="95" spans="1:7">
      <c r="A95" s="10">
        <v>46021</v>
      </c>
      <c r="B95">
        <v>2025</v>
      </c>
      <c r="C95">
        <v>12</v>
      </c>
      <c r="D95" t="s">
        <v>4299</v>
      </c>
      <c r="E95">
        <v>4</v>
      </c>
      <c r="F95">
        <v>30</v>
      </c>
      <c r="G95" t="s">
        <v>4303</v>
      </c>
    </row>
    <row r="96" spans="1:7">
      <c r="A96" s="10">
        <v>45665</v>
      </c>
      <c r="B96">
        <v>2025</v>
      </c>
      <c r="C96">
        <v>1</v>
      </c>
      <c r="D96" t="s">
        <v>4307</v>
      </c>
      <c r="E96">
        <v>1</v>
      </c>
      <c r="F96">
        <v>8</v>
      </c>
      <c r="G96" t="s">
        <v>4308</v>
      </c>
    </row>
    <row r="97" spans="1:7">
      <c r="A97" s="10">
        <v>45136</v>
      </c>
      <c r="B97">
        <v>2023</v>
      </c>
      <c r="C97">
        <v>7</v>
      </c>
      <c r="D97" t="s">
        <v>4297</v>
      </c>
      <c r="E97">
        <v>3</v>
      </c>
      <c r="F97">
        <v>29</v>
      </c>
      <c r="G97" t="s">
        <v>4298</v>
      </c>
    </row>
    <row r="98" spans="1:7">
      <c r="A98" s="10">
        <v>45494</v>
      </c>
      <c r="B98">
        <v>2024</v>
      </c>
      <c r="C98">
        <v>7</v>
      </c>
      <c r="D98" t="s">
        <v>4297</v>
      </c>
      <c r="E98">
        <v>3</v>
      </c>
      <c r="F98">
        <v>21</v>
      </c>
      <c r="G98" t="s">
        <v>4309</v>
      </c>
    </row>
    <row r="99" spans="1:7">
      <c r="A99" s="10">
        <v>45788</v>
      </c>
      <c r="B99">
        <v>2025</v>
      </c>
      <c r="C99">
        <v>5</v>
      </c>
      <c r="D99" t="s">
        <v>4305</v>
      </c>
      <c r="E99">
        <v>2</v>
      </c>
      <c r="F99">
        <v>11</v>
      </c>
      <c r="G99" t="s">
        <v>4309</v>
      </c>
    </row>
    <row r="100" spans="1:7">
      <c r="A100" s="10">
        <v>45062</v>
      </c>
      <c r="B100">
        <v>2023</v>
      </c>
      <c r="C100">
        <v>5</v>
      </c>
      <c r="D100" t="s">
        <v>4305</v>
      </c>
      <c r="E100">
        <v>2</v>
      </c>
      <c r="F100">
        <v>16</v>
      </c>
      <c r="G100" t="s">
        <v>4303</v>
      </c>
    </row>
    <row r="101" spans="1:7">
      <c r="A101" s="10">
        <v>45806</v>
      </c>
      <c r="B101">
        <v>2025</v>
      </c>
      <c r="C101">
        <v>5</v>
      </c>
      <c r="D101" t="s">
        <v>4305</v>
      </c>
      <c r="E101">
        <v>2</v>
      </c>
      <c r="F101">
        <v>29</v>
      </c>
      <c r="G101" t="s">
        <v>4300</v>
      </c>
    </row>
    <row r="102" spans="1:7">
      <c r="A102" s="10">
        <v>45779</v>
      </c>
      <c r="B102">
        <v>2025</v>
      </c>
      <c r="C102">
        <v>5</v>
      </c>
      <c r="D102" t="s">
        <v>4305</v>
      </c>
      <c r="E102">
        <v>2</v>
      </c>
      <c r="F102">
        <v>2</v>
      </c>
      <c r="G102" t="s">
        <v>4306</v>
      </c>
    </row>
    <row r="103" spans="1:7">
      <c r="A103" s="10">
        <v>45429</v>
      </c>
      <c r="B103">
        <v>2024</v>
      </c>
      <c r="C103">
        <v>5</v>
      </c>
      <c r="D103" t="s">
        <v>4305</v>
      </c>
      <c r="E103">
        <v>2</v>
      </c>
      <c r="F103">
        <v>17</v>
      </c>
      <c r="G103" t="s">
        <v>4306</v>
      </c>
    </row>
    <row r="104" spans="1:7">
      <c r="A104" s="10">
        <v>45122</v>
      </c>
      <c r="B104">
        <v>2023</v>
      </c>
      <c r="C104">
        <v>7</v>
      </c>
      <c r="D104" t="s">
        <v>4297</v>
      </c>
      <c r="E104">
        <v>3</v>
      </c>
      <c r="F104">
        <v>15</v>
      </c>
      <c r="G104" t="s">
        <v>4298</v>
      </c>
    </row>
    <row r="105" spans="1:7">
      <c r="A105" s="10">
        <v>45558</v>
      </c>
      <c r="B105">
        <v>2024</v>
      </c>
      <c r="C105">
        <v>9</v>
      </c>
      <c r="D105" t="s">
        <v>4304</v>
      </c>
      <c r="E105">
        <v>3</v>
      </c>
      <c r="F105">
        <v>23</v>
      </c>
      <c r="G105" t="s">
        <v>4301</v>
      </c>
    </row>
    <row r="106" spans="1:7">
      <c r="A106" s="10">
        <v>45382</v>
      </c>
      <c r="B106">
        <v>2024</v>
      </c>
      <c r="C106">
        <v>3</v>
      </c>
      <c r="D106" t="s">
        <v>4311</v>
      </c>
      <c r="E106">
        <v>1</v>
      </c>
      <c r="F106">
        <v>31</v>
      </c>
      <c r="G106" t="s">
        <v>4309</v>
      </c>
    </row>
    <row r="107" spans="1:7">
      <c r="A107" s="10">
        <v>45231</v>
      </c>
      <c r="B107">
        <v>2023</v>
      </c>
      <c r="C107">
        <v>11</v>
      </c>
      <c r="D107" t="s">
        <v>4315</v>
      </c>
      <c r="E107">
        <v>4</v>
      </c>
      <c r="F107">
        <v>1</v>
      </c>
      <c r="G107" t="s">
        <v>4308</v>
      </c>
    </row>
    <row r="108" spans="1:7">
      <c r="A108" s="10">
        <v>45893</v>
      </c>
      <c r="B108">
        <v>2025</v>
      </c>
      <c r="C108">
        <v>8</v>
      </c>
      <c r="D108" t="s">
        <v>4313</v>
      </c>
      <c r="E108">
        <v>3</v>
      </c>
      <c r="F108">
        <v>24</v>
      </c>
      <c r="G108" t="s">
        <v>4309</v>
      </c>
    </row>
    <row r="109" spans="1:7">
      <c r="A109" s="10">
        <v>45935</v>
      </c>
      <c r="B109">
        <v>2025</v>
      </c>
      <c r="C109">
        <v>10</v>
      </c>
      <c r="D109" t="s">
        <v>4302</v>
      </c>
      <c r="E109">
        <v>4</v>
      </c>
      <c r="F109">
        <v>5</v>
      </c>
      <c r="G109" t="s">
        <v>4309</v>
      </c>
    </row>
    <row r="110" spans="1:7">
      <c r="A110" s="10">
        <v>45133</v>
      </c>
      <c r="B110">
        <v>2023</v>
      </c>
      <c r="C110">
        <v>7</v>
      </c>
      <c r="D110" t="s">
        <v>4297</v>
      </c>
      <c r="E110">
        <v>3</v>
      </c>
      <c r="F110">
        <v>26</v>
      </c>
      <c r="G110" t="s">
        <v>4308</v>
      </c>
    </row>
    <row r="111" spans="1:7">
      <c r="A111" s="10">
        <v>45140</v>
      </c>
      <c r="B111">
        <v>2023</v>
      </c>
      <c r="C111">
        <v>8</v>
      </c>
      <c r="D111" t="s">
        <v>4313</v>
      </c>
      <c r="E111">
        <v>3</v>
      </c>
      <c r="F111">
        <v>2</v>
      </c>
      <c r="G111" t="s">
        <v>4308</v>
      </c>
    </row>
    <row r="112" spans="1:7">
      <c r="A112" s="10">
        <v>45388</v>
      </c>
      <c r="B112">
        <v>2024</v>
      </c>
      <c r="C112">
        <v>4</v>
      </c>
      <c r="D112" t="s">
        <v>4314</v>
      </c>
      <c r="E112">
        <v>2</v>
      </c>
      <c r="F112">
        <v>6</v>
      </c>
      <c r="G112" t="s">
        <v>4298</v>
      </c>
    </row>
    <row r="113" spans="1:7">
      <c r="A113" s="10">
        <v>45470</v>
      </c>
      <c r="B113">
        <v>2024</v>
      </c>
      <c r="C113">
        <v>6</v>
      </c>
      <c r="D113" t="s">
        <v>4310</v>
      </c>
      <c r="E113">
        <v>2</v>
      </c>
      <c r="F113">
        <v>27</v>
      </c>
      <c r="G113" t="s">
        <v>4300</v>
      </c>
    </row>
    <row r="114" spans="1:7">
      <c r="A114" s="10">
        <v>45708</v>
      </c>
      <c r="B114">
        <v>2025</v>
      </c>
      <c r="C114">
        <v>2</v>
      </c>
      <c r="D114" t="s">
        <v>4312</v>
      </c>
      <c r="E114">
        <v>1</v>
      </c>
      <c r="F114">
        <v>20</v>
      </c>
      <c r="G114" t="s">
        <v>4300</v>
      </c>
    </row>
    <row r="115" spans="1:7">
      <c r="A115" s="10">
        <v>45228</v>
      </c>
      <c r="B115">
        <v>2023</v>
      </c>
      <c r="C115">
        <v>10</v>
      </c>
      <c r="D115" t="s">
        <v>4302</v>
      </c>
      <c r="E115">
        <v>4</v>
      </c>
      <c r="F115">
        <v>29</v>
      </c>
      <c r="G115" t="s">
        <v>4309</v>
      </c>
    </row>
    <row r="116" spans="1:7">
      <c r="A116" s="10">
        <v>45786</v>
      </c>
      <c r="B116">
        <v>2025</v>
      </c>
      <c r="C116">
        <v>5</v>
      </c>
      <c r="D116" t="s">
        <v>4305</v>
      </c>
      <c r="E116">
        <v>2</v>
      </c>
      <c r="F116">
        <v>9</v>
      </c>
      <c r="G116" t="s">
        <v>4306</v>
      </c>
    </row>
    <row r="117" spans="1:7">
      <c r="A117" s="10">
        <v>44968</v>
      </c>
      <c r="B117">
        <v>2023</v>
      </c>
      <c r="C117">
        <v>2</v>
      </c>
      <c r="D117" t="s">
        <v>4312</v>
      </c>
      <c r="E117">
        <v>1</v>
      </c>
      <c r="F117">
        <v>11</v>
      </c>
      <c r="G117" t="s">
        <v>4298</v>
      </c>
    </row>
    <row r="118" spans="1:7">
      <c r="A118" s="10">
        <v>45964</v>
      </c>
      <c r="B118">
        <v>2025</v>
      </c>
      <c r="C118">
        <v>11</v>
      </c>
      <c r="D118" t="s">
        <v>4315</v>
      </c>
      <c r="E118">
        <v>4</v>
      </c>
      <c r="F118">
        <v>3</v>
      </c>
      <c r="G118" t="s">
        <v>4301</v>
      </c>
    </row>
    <row r="119" spans="1:7">
      <c r="A119" s="10">
        <v>45456</v>
      </c>
      <c r="B119">
        <v>2024</v>
      </c>
      <c r="C119">
        <v>6</v>
      </c>
      <c r="D119" t="s">
        <v>4310</v>
      </c>
      <c r="E119">
        <v>2</v>
      </c>
      <c r="F119">
        <v>13</v>
      </c>
      <c r="G119" t="s">
        <v>4300</v>
      </c>
    </row>
    <row r="120" spans="1:7">
      <c r="A120" s="10">
        <v>45641</v>
      </c>
      <c r="B120">
        <v>2024</v>
      </c>
      <c r="C120">
        <v>12</v>
      </c>
      <c r="D120" t="s">
        <v>4299</v>
      </c>
      <c r="E120">
        <v>4</v>
      </c>
      <c r="F120">
        <v>15</v>
      </c>
      <c r="G120" t="s">
        <v>4309</v>
      </c>
    </row>
    <row r="121" spans="1:7">
      <c r="A121" s="10">
        <v>45754</v>
      </c>
      <c r="B121">
        <v>2025</v>
      </c>
      <c r="C121">
        <v>4</v>
      </c>
      <c r="D121" t="s">
        <v>4314</v>
      </c>
      <c r="E121">
        <v>2</v>
      </c>
      <c r="F121">
        <v>7</v>
      </c>
      <c r="G121" t="s">
        <v>4301</v>
      </c>
    </row>
    <row r="122" spans="1:7">
      <c r="A122" s="10">
        <v>45482</v>
      </c>
      <c r="B122">
        <v>2024</v>
      </c>
      <c r="C122">
        <v>7</v>
      </c>
      <c r="D122" t="s">
        <v>4297</v>
      </c>
      <c r="E122">
        <v>3</v>
      </c>
      <c r="F122">
        <v>9</v>
      </c>
      <c r="G122" t="s">
        <v>4303</v>
      </c>
    </row>
    <row r="123" spans="1:7">
      <c r="A123" s="10">
        <v>45235</v>
      </c>
      <c r="B123">
        <v>2023</v>
      </c>
      <c r="C123">
        <v>11</v>
      </c>
      <c r="D123" t="s">
        <v>4315</v>
      </c>
      <c r="E123">
        <v>4</v>
      </c>
      <c r="F123">
        <v>5</v>
      </c>
      <c r="G123" t="s">
        <v>4309</v>
      </c>
    </row>
    <row r="124" spans="1:7">
      <c r="A124" s="10">
        <v>45004</v>
      </c>
      <c r="B124">
        <v>2023</v>
      </c>
      <c r="C124">
        <v>3</v>
      </c>
      <c r="D124" t="s">
        <v>4311</v>
      </c>
      <c r="E124">
        <v>1</v>
      </c>
      <c r="F124">
        <v>19</v>
      </c>
      <c r="G124" t="s">
        <v>4309</v>
      </c>
    </row>
    <row r="125" spans="1:7">
      <c r="A125" s="10">
        <v>45312</v>
      </c>
      <c r="B125">
        <v>2024</v>
      </c>
      <c r="C125">
        <v>1</v>
      </c>
      <c r="D125" t="s">
        <v>4307</v>
      </c>
      <c r="E125">
        <v>1</v>
      </c>
      <c r="F125">
        <v>21</v>
      </c>
      <c r="G125" t="s">
        <v>4309</v>
      </c>
    </row>
    <row r="126" spans="1:7">
      <c r="A126" s="10">
        <v>45898</v>
      </c>
      <c r="B126">
        <v>2025</v>
      </c>
      <c r="C126">
        <v>8</v>
      </c>
      <c r="D126" t="s">
        <v>4313</v>
      </c>
      <c r="E126">
        <v>3</v>
      </c>
      <c r="F126">
        <v>29</v>
      </c>
      <c r="G126" t="s">
        <v>4306</v>
      </c>
    </row>
    <row r="127" spans="1:7">
      <c r="A127" s="10">
        <v>45911</v>
      </c>
      <c r="B127">
        <v>2025</v>
      </c>
      <c r="C127">
        <v>9</v>
      </c>
      <c r="D127" t="s">
        <v>4304</v>
      </c>
      <c r="E127">
        <v>3</v>
      </c>
      <c r="F127">
        <v>11</v>
      </c>
      <c r="G127" t="s">
        <v>4300</v>
      </c>
    </row>
    <row r="128" spans="1:7">
      <c r="A128" s="10">
        <v>45210</v>
      </c>
      <c r="B128">
        <v>2023</v>
      </c>
      <c r="C128">
        <v>10</v>
      </c>
      <c r="D128" t="s">
        <v>4302</v>
      </c>
      <c r="E128">
        <v>4</v>
      </c>
      <c r="F128">
        <v>11</v>
      </c>
      <c r="G128" t="s">
        <v>4308</v>
      </c>
    </row>
    <row r="129" spans="1:7">
      <c r="A129" s="10">
        <v>45661</v>
      </c>
      <c r="B129">
        <v>2025</v>
      </c>
      <c r="C129">
        <v>1</v>
      </c>
      <c r="D129" t="s">
        <v>4307</v>
      </c>
      <c r="E129">
        <v>1</v>
      </c>
      <c r="F129">
        <v>4</v>
      </c>
      <c r="G129" t="s">
        <v>4298</v>
      </c>
    </row>
    <row r="130" spans="1:7">
      <c r="A130" s="10">
        <v>44950</v>
      </c>
      <c r="B130">
        <v>2023</v>
      </c>
      <c r="C130">
        <v>1</v>
      </c>
      <c r="D130" t="s">
        <v>4307</v>
      </c>
      <c r="E130">
        <v>1</v>
      </c>
      <c r="F130">
        <v>24</v>
      </c>
      <c r="G130" t="s">
        <v>4303</v>
      </c>
    </row>
    <row r="131" spans="1:7">
      <c r="A131" s="10">
        <v>44927</v>
      </c>
      <c r="B131">
        <v>2023</v>
      </c>
      <c r="C131">
        <v>1</v>
      </c>
      <c r="D131" t="s">
        <v>4307</v>
      </c>
      <c r="E131">
        <v>1</v>
      </c>
      <c r="F131">
        <v>1</v>
      </c>
      <c r="G131" t="s">
        <v>4309</v>
      </c>
    </row>
    <row r="132" spans="1:7">
      <c r="A132" s="10">
        <v>45263</v>
      </c>
      <c r="B132">
        <v>2023</v>
      </c>
      <c r="C132">
        <v>12</v>
      </c>
      <c r="D132" t="s">
        <v>4299</v>
      </c>
      <c r="E132">
        <v>4</v>
      </c>
      <c r="F132">
        <v>3</v>
      </c>
      <c r="G132" t="s">
        <v>4309</v>
      </c>
    </row>
    <row r="133" spans="1:7">
      <c r="A133" s="10">
        <v>45813</v>
      </c>
      <c r="B133">
        <v>2025</v>
      </c>
      <c r="C133">
        <v>6</v>
      </c>
      <c r="D133" t="s">
        <v>4310</v>
      </c>
      <c r="E133">
        <v>2</v>
      </c>
      <c r="F133">
        <v>5</v>
      </c>
      <c r="G133" t="s">
        <v>4300</v>
      </c>
    </row>
    <row r="134" spans="1:7">
      <c r="A134" s="10">
        <v>45372</v>
      </c>
      <c r="B134">
        <v>2024</v>
      </c>
      <c r="C134">
        <v>3</v>
      </c>
      <c r="D134" t="s">
        <v>4311</v>
      </c>
      <c r="E134">
        <v>1</v>
      </c>
      <c r="F134">
        <v>21</v>
      </c>
      <c r="G134" t="s">
        <v>4300</v>
      </c>
    </row>
    <row r="135" spans="1:7">
      <c r="A135" s="10">
        <v>45035</v>
      </c>
      <c r="B135">
        <v>2023</v>
      </c>
      <c r="C135">
        <v>4</v>
      </c>
      <c r="D135" t="s">
        <v>4314</v>
      </c>
      <c r="E135">
        <v>2</v>
      </c>
      <c r="F135">
        <v>19</v>
      </c>
      <c r="G135" t="s">
        <v>4308</v>
      </c>
    </row>
    <row r="136" spans="1:7">
      <c r="A136" s="10">
        <v>45721</v>
      </c>
      <c r="B136">
        <v>2025</v>
      </c>
      <c r="C136">
        <v>3</v>
      </c>
      <c r="D136" t="s">
        <v>4311</v>
      </c>
      <c r="E136">
        <v>1</v>
      </c>
      <c r="F136">
        <v>5</v>
      </c>
      <c r="G136" t="s">
        <v>4308</v>
      </c>
    </row>
    <row r="137" spans="1:7">
      <c r="A137" s="10">
        <v>45603</v>
      </c>
      <c r="B137">
        <v>2024</v>
      </c>
      <c r="C137">
        <v>11</v>
      </c>
      <c r="D137" t="s">
        <v>4315</v>
      </c>
      <c r="E137">
        <v>4</v>
      </c>
      <c r="F137">
        <v>7</v>
      </c>
      <c r="G137" t="s">
        <v>4300</v>
      </c>
    </row>
    <row r="138" spans="1:7">
      <c r="A138" s="10">
        <v>45665</v>
      </c>
      <c r="B138">
        <v>2025</v>
      </c>
      <c r="C138">
        <v>1</v>
      </c>
      <c r="D138" t="s">
        <v>4307</v>
      </c>
      <c r="E138">
        <v>1</v>
      </c>
      <c r="F138">
        <v>8</v>
      </c>
      <c r="G138" t="s">
        <v>4308</v>
      </c>
    </row>
    <row r="139" spans="1:7">
      <c r="A139" s="10">
        <v>45534</v>
      </c>
      <c r="B139">
        <v>2024</v>
      </c>
      <c r="C139">
        <v>8</v>
      </c>
      <c r="D139" t="s">
        <v>4313</v>
      </c>
      <c r="E139">
        <v>3</v>
      </c>
      <c r="F139">
        <v>30</v>
      </c>
      <c r="G139" t="s">
        <v>4306</v>
      </c>
    </row>
    <row r="140" spans="1:7">
      <c r="A140" s="10">
        <v>45761</v>
      </c>
      <c r="B140">
        <v>2025</v>
      </c>
      <c r="C140">
        <v>4</v>
      </c>
      <c r="D140" t="s">
        <v>4314</v>
      </c>
      <c r="E140">
        <v>2</v>
      </c>
      <c r="F140">
        <v>14</v>
      </c>
      <c r="G140" t="s">
        <v>4301</v>
      </c>
    </row>
    <row r="141" spans="1:7">
      <c r="A141" s="10">
        <v>45727</v>
      </c>
      <c r="B141">
        <v>2025</v>
      </c>
      <c r="C141">
        <v>3</v>
      </c>
      <c r="D141" t="s">
        <v>4311</v>
      </c>
      <c r="E141">
        <v>1</v>
      </c>
      <c r="F141">
        <v>11</v>
      </c>
      <c r="G141" t="s">
        <v>4303</v>
      </c>
    </row>
    <row r="142" spans="1:7">
      <c r="A142" s="10">
        <v>45038</v>
      </c>
      <c r="B142">
        <v>2023</v>
      </c>
      <c r="C142">
        <v>4</v>
      </c>
      <c r="D142" t="s">
        <v>4314</v>
      </c>
      <c r="E142">
        <v>2</v>
      </c>
      <c r="F142">
        <v>22</v>
      </c>
      <c r="G142" t="s">
        <v>4298</v>
      </c>
    </row>
    <row r="143" spans="1:7">
      <c r="A143" s="10">
        <v>45380</v>
      </c>
      <c r="B143">
        <v>2024</v>
      </c>
      <c r="C143">
        <v>3</v>
      </c>
      <c r="D143" t="s">
        <v>4311</v>
      </c>
      <c r="E143">
        <v>1</v>
      </c>
      <c r="F143">
        <v>29</v>
      </c>
      <c r="G143" t="s">
        <v>4306</v>
      </c>
    </row>
    <row r="144" spans="1:7">
      <c r="A144" s="10">
        <v>45362</v>
      </c>
      <c r="B144">
        <v>2024</v>
      </c>
      <c r="C144">
        <v>3</v>
      </c>
      <c r="D144" t="s">
        <v>4311</v>
      </c>
      <c r="E144">
        <v>1</v>
      </c>
      <c r="F144">
        <v>11</v>
      </c>
      <c r="G144" t="s">
        <v>4301</v>
      </c>
    </row>
    <row r="145" spans="1:7">
      <c r="A145" s="10">
        <v>45661</v>
      </c>
      <c r="B145">
        <v>2025</v>
      </c>
      <c r="C145">
        <v>1</v>
      </c>
      <c r="D145" t="s">
        <v>4307</v>
      </c>
      <c r="E145">
        <v>1</v>
      </c>
      <c r="F145">
        <v>4</v>
      </c>
      <c r="G145" t="s">
        <v>4298</v>
      </c>
    </row>
    <row r="146" spans="1:7">
      <c r="A146" s="10">
        <v>45442</v>
      </c>
      <c r="B146">
        <v>2024</v>
      </c>
      <c r="C146">
        <v>5</v>
      </c>
      <c r="D146" t="s">
        <v>4305</v>
      </c>
      <c r="E146">
        <v>2</v>
      </c>
      <c r="F146">
        <v>30</v>
      </c>
      <c r="G146" t="s">
        <v>4300</v>
      </c>
    </row>
    <row r="147" spans="1:7">
      <c r="A147" s="10">
        <v>45257</v>
      </c>
      <c r="B147">
        <v>2023</v>
      </c>
      <c r="C147">
        <v>11</v>
      </c>
      <c r="D147" t="s">
        <v>4315</v>
      </c>
      <c r="E147">
        <v>4</v>
      </c>
      <c r="F147">
        <v>27</v>
      </c>
      <c r="G147" t="s">
        <v>4301</v>
      </c>
    </row>
    <row r="148" spans="1:7">
      <c r="A148" s="10">
        <v>45299</v>
      </c>
      <c r="B148">
        <v>2024</v>
      </c>
      <c r="C148">
        <v>1</v>
      </c>
      <c r="D148" t="s">
        <v>4307</v>
      </c>
      <c r="E148">
        <v>1</v>
      </c>
      <c r="F148">
        <v>8</v>
      </c>
      <c r="G148" t="s">
        <v>4301</v>
      </c>
    </row>
    <row r="149" spans="1:7">
      <c r="A149" s="10">
        <v>45810</v>
      </c>
      <c r="B149">
        <v>2025</v>
      </c>
      <c r="C149">
        <v>6</v>
      </c>
      <c r="D149" t="s">
        <v>4310</v>
      </c>
      <c r="E149">
        <v>2</v>
      </c>
      <c r="F149">
        <v>2</v>
      </c>
      <c r="G149" t="s">
        <v>4301</v>
      </c>
    </row>
    <row r="150" spans="1:7">
      <c r="A150" s="10">
        <v>45695</v>
      </c>
      <c r="B150">
        <v>2025</v>
      </c>
      <c r="C150">
        <v>2</v>
      </c>
      <c r="D150" t="s">
        <v>4312</v>
      </c>
      <c r="E150">
        <v>1</v>
      </c>
      <c r="F150">
        <v>7</v>
      </c>
      <c r="G150" t="s">
        <v>4306</v>
      </c>
    </row>
    <row r="151" spans="1:7">
      <c r="A151" s="10">
        <v>45397</v>
      </c>
      <c r="B151">
        <v>2024</v>
      </c>
      <c r="C151">
        <v>4</v>
      </c>
      <c r="D151" t="s">
        <v>4314</v>
      </c>
      <c r="E151">
        <v>2</v>
      </c>
      <c r="F151">
        <v>15</v>
      </c>
      <c r="G151" t="s">
        <v>4301</v>
      </c>
    </row>
    <row r="152" spans="1:7">
      <c r="A152" s="10">
        <v>45044</v>
      </c>
      <c r="B152">
        <v>2023</v>
      </c>
      <c r="C152">
        <v>4</v>
      </c>
      <c r="D152" t="s">
        <v>4314</v>
      </c>
      <c r="E152">
        <v>2</v>
      </c>
      <c r="F152">
        <v>28</v>
      </c>
      <c r="G152" t="s">
        <v>4306</v>
      </c>
    </row>
    <row r="153" spans="1:7">
      <c r="A153" s="10">
        <v>45639</v>
      </c>
      <c r="B153">
        <v>2024</v>
      </c>
      <c r="C153">
        <v>12</v>
      </c>
      <c r="D153" t="s">
        <v>4299</v>
      </c>
      <c r="E153">
        <v>4</v>
      </c>
      <c r="F153">
        <v>13</v>
      </c>
      <c r="G153" t="s">
        <v>4306</v>
      </c>
    </row>
    <row r="154" spans="1:7">
      <c r="A154" s="10">
        <v>45870</v>
      </c>
      <c r="B154">
        <v>2025</v>
      </c>
      <c r="C154">
        <v>8</v>
      </c>
      <c r="D154" t="s">
        <v>4313</v>
      </c>
      <c r="E154">
        <v>3</v>
      </c>
      <c r="F154">
        <v>1</v>
      </c>
      <c r="G154" t="s">
        <v>4306</v>
      </c>
    </row>
    <row r="155" spans="1:7">
      <c r="A155" s="10">
        <v>45407</v>
      </c>
      <c r="B155">
        <v>2024</v>
      </c>
      <c r="C155">
        <v>4</v>
      </c>
      <c r="D155" t="s">
        <v>4314</v>
      </c>
      <c r="E155">
        <v>2</v>
      </c>
      <c r="F155">
        <v>25</v>
      </c>
      <c r="G155" t="s">
        <v>4300</v>
      </c>
    </row>
    <row r="156" spans="1:7">
      <c r="A156" s="10">
        <v>45189</v>
      </c>
      <c r="B156">
        <v>2023</v>
      </c>
      <c r="C156">
        <v>9</v>
      </c>
      <c r="D156" t="s">
        <v>4304</v>
      </c>
      <c r="E156">
        <v>3</v>
      </c>
      <c r="F156">
        <v>20</v>
      </c>
      <c r="G156" t="s">
        <v>4308</v>
      </c>
    </row>
    <row r="157" spans="1:7">
      <c r="A157" s="10">
        <v>45785</v>
      </c>
      <c r="B157">
        <v>2025</v>
      </c>
      <c r="C157">
        <v>5</v>
      </c>
      <c r="D157" t="s">
        <v>4305</v>
      </c>
      <c r="E157">
        <v>2</v>
      </c>
      <c r="F157">
        <v>8</v>
      </c>
      <c r="G157" t="s">
        <v>4300</v>
      </c>
    </row>
    <row r="158" spans="1:7">
      <c r="A158" s="10">
        <v>45440</v>
      </c>
      <c r="B158">
        <v>2024</v>
      </c>
      <c r="C158">
        <v>5</v>
      </c>
      <c r="D158" t="s">
        <v>4305</v>
      </c>
      <c r="E158">
        <v>2</v>
      </c>
      <c r="F158">
        <v>28</v>
      </c>
      <c r="G158" t="s">
        <v>4303</v>
      </c>
    </row>
    <row r="159" spans="1:7">
      <c r="A159" s="10">
        <v>45972</v>
      </c>
      <c r="B159">
        <v>2025</v>
      </c>
      <c r="C159">
        <v>11</v>
      </c>
      <c r="D159" t="s">
        <v>4315</v>
      </c>
      <c r="E159">
        <v>4</v>
      </c>
      <c r="F159">
        <v>11</v>
      </c>
      <c r="G159" t="s">
        <v>4303</v>
      </c>
    </row>
    <row r="160" spans="1:7">
      <c r="A160" s="10">
        <v>45849</v>
      </c>
      <c r="B160">
        <v>2025</v>
      </c>
      <c r="C160">
        <v>7</v>
      </c>
      <c r="D160" t="s">
        <v>4297</v>
      </c>
      <c r="E160">
        <v>3</v>
      </c>
      <c r="F160">
        <v>11</v>
      </c>
      <c r="G160" t="s">
        <v>4306</v>
      </c>
    </row>
    <row r="161" spans="1:7">
      <c r="A161" s="10">
        <v>45185</v>
      </c>
      <c r="B161">
        <v>2023</v>
      </c>
      <c r="C161">
        <v>9</v>
      </c>
      <c r="D161" t="s">
        <v>4304</v>
      </c>
      <c r="E161">
        <v>3</v>
      </c>
      <c r="F161">
        <v>16</v>
      </c>
      <c r="G161" t="s">
        <v>4298</v>
      </c>
    </row>
    <row r="162" spans="1:7">
      <c r="A162" s="10">
        <v>45548</v>
      </c>
      <c r="B162">
        <v>2024</v>
      </c>
      <c r="C162">
        <v>9</v>
      </c>
      <c r="D162" t="s">
        <v>4304</v>
      </c>
      <c r="E162">
        <v>3</v>
      </c>
      <c r="F162">
        <v>13</v>
      </c>
      <c r="G162" t="s">
        <v>4306</v>
      </c>
    </row>
    <row r="163" spans="1:7">
      <c r="A163" s="10">
        <v>45985</v>
      </c>
      <c r="B163">
        <v>2025</v>
      </c>
      <c r="C163">
        <v>11</v>
      </c>
      <c r="D163" t="s">
        <v>4315</v>
      </c>
      <c r="E163">
        <v>4</v>
      </c>
      <c r="F163">
        <v>24</v>
      </c>
      <c r="G163" t="s">
        <v>4301</v>
      </c>
    </row>
    <row r="164" spans="1:7">
      <c r="A164" s="10">
        <v>45627</v>
      </c>
      <c r="B164">
        <v>2024</v>
      </c>
      <c r="C164">
        <v>12</v>
      </c>
      <c r="D164" t="s">
        <v>4299</v>
      </c>
      <c r="E164">
        <v>4</v>
      </c>
      <c r="F164">
        <v>1</v>
      </c>
      <c r="G164" t="s">
        <v>4309</v>
      </c>
    </row>
    <row r="165" spans="1:7">
      <c r="A165" s="10">
        <v>45119</v>
      </c>
      <c r="B165">
        <v>2023</v>
      </c>
      <c r="C165">
        <v>7</v>
      </c>
      <c r="D165" t="s">
        <v>4297</v>
      </c>
      <c r="E165">
        <v>3</v>
      </c>
      <c r="F165">
        <v>12</v>
      </c>
      <c r="G165" t="s">
        <v>4308</v>
      </c>
    </row>
    <row r="166" spans="1:7">
      <c r="A166" s="10">
        <v>45900</v>
      </c>
      <c r="B166">
        <v>2025</v>
      </c>
      <c r="C166">
        <v>8</v>
      </c>
      <c r="D166" t="s">
        <v>4313</v>
      </c>
      <c r="E166">
        <v>3</v>
      </c>
      <c r="F166">
        <v>31</v>
      </c>
      <c r="G166" t="s">
        <v>4309</v>
      </c>
    </row>
    <row r="167" spans="1:7">
      <c r="A167" s="10">
        <v>45530</v>
      </c>
      <c r="B167">
        <v>2024</v>
      </c>
      <c r="C167">
        <v>8</v>
      </c>
      <c r="D167" t="s">
        <v>4313</v>
      </c>
      <c r="E167">
        <v>3</v>
      </c>
      <c r="F167">
        <v>26</v>
      </c>
      <c r="G167" t="s">
        <v>4301</v>
      </c>
    </row>
    <row r="168" spans="1:7">
      <c r="A168" s="10">
        <v>45720</v>
      </c>
      <c r="B168">
        <v>2025</v>
      </c>
      <c r="C168">
        <v>3</v>
      </c>
      <c r="D168" t="s">
        <v>4311</v>
      </c>
      <c r="E168">
        <v>1</v>
      </c>
      <c r="F168">
        <v>4</v>
      </c>
      <c r="G168" t="s">
        <v>4303</v>
      </c>
    </row>
    <row r="169" spans="1:7">
      <c r="A169" s="10">
        <v>45072</v>
      </c>
      <c r="B169">
        <v>2023</v>
      </c>
      <c r="C169">
        <v>5</v>
      </c>
      <c r="D169" t="s">
        <v>4305</v>
      </c>
      <c r="E169">
        <v>2</v>
      </c>
      <c r="F169">
        <v>26</v>
      </c>
      <c r="G169" t="s">
        <v>4306</v>
      </c>
    </row>
    <row r="170" spans="1:7">
      <c r="A170" s="10">
        <v>45777</v>
      </c>
      <c r="B170">
        <v>2025</v>
      </c>
      <c r="C170">
        <v>4</v>
      </c>
      <c r="D170" t="s">
        <v>4314</v>
      </c>
      <c r="E170">
        <v>2</v>
      </c>
      <c r="F170">
        <v>30</v>
      </c>
      <c r="G170" t="s">
        <v>4308</v>
      </c>
    </row>
    <row r="171" spans="1:7">
      <c r="A171" s="10">
        <v>45447</v>
      </c>
      <c r="B171">
        <v>2024</v>
      </c>
      <c r="C171">
        <v>6</v>
      </c>
      <c r="D171" t="s">
        <v>4310</v>
      </c>
      <c r="E171">
        <v>2</v>
      </c>
      <c r="F171">
        <v>4</v>
      </c>
      <c r="G171" t="s">
        <v>4303</v>
      </c>
    </row>
    <row r="172" spans="1:7">
      <c r="A172" s="10">
        <v>45438</v>
      </c>
      <c r="B172">
        <v>2024</v>
      </c>
      <c r="C172">
        <v>5</v>
      </c>
      <c r="D172" t="s">
        <v>4305</v>
      </c>
      <c r="E172">
        <v>2</v>
      </c>
      <c r="F172">
        <v>26</v>
      </c>
      <c r="G172" t="s">
        <v>4309</v>
      </c>
    </row>
    <row r="173" spans="1:7">
      <c r="A173" s="10">
        <v>44950</v>
      </c>
      <c r="B173">
        <v>2023</v>
      </c>
      <c r="C173">
        <v>1</v>
      </c>
      <c r="D173" t="s">
        <v>4307</v>
      </c>
      <c r="E173">
        <v>1</v>
      </c>
      <c r="F173">
        <v>24</v>
      </c>
      <c r="G173" t="s">
        <v>4303</v>
      </c>
    </row>
    <row r="174" spans="1:7">
      <c r="A174" s="10">
        <v>45332</v>
      </c>
      <c r="B174">
        <v>2024</v>
      </c>
      <c r="C174">
        <v>2</v>
      </c>
      <c r="D174" t="s">
        <v>4312</v>
      </c>
      <c r="E174">
        <v>1</v>
      </c>
      <c r="F174">
        <v>10</v>
      </c>
      <c r="G174" t="s">
        <v>4298</v>
      </c>
    </row>
    <row r="175" spans="1:7">
      <c r="A175" s="10">
        <v>45246</v>
      </c>
      <c r="B175">
        <v>2023</v>
      </c>
      <c r="C175">
        <v>11</v>
      </c>
      <c r="D175" t="s">
        <v>4315</v>
      </c>
      <c r="E175">
        <v>4</v>
      </c>
      <c r="F175">
        <v>16</v>
      </c>
      <c r="G175" t="s">
        <v>4300</v>
      </c>
    </row>
    <row r="176" spans="1:7">
      <c r="A176" s="10">
        <v>45338</v>
      </c>
      <c r="B176">
        <v>2024</v>
      </c>
      <c r="C176">
        <v>2</v>
      </c>
      <c r="D176" t="s">
        <v>4312</v>
      </c>
      <c r="E176">
        <v>1</v>
      </c>
      <c r="F176">
        <v>16</v>
      </c>
      <c r="G176" t="s">
        <v>4306</v>
      </c>
    </row>
    <row r="177" spans="1:7">
      <c r="A177" s="10">
        <v>45551</v>
      </c>
      <c r="B177">
        <v>2024</v>
      </c>
      <c r="C177">
        <v>9</v>
      </c>
      <c r="D177" t="s">
        <v>4304</v>
      </c>
      <c r="E177">
        <v>3</v>
      </c>
      <c r="F177">
        <v>16</v>
      </c>
      <c r="G177" t="s">
        <v>4301</v>
      </c>
    </row>
    <row r="178" spans="1:7">
      <c r="A178" s="10">
        <v>45392</v>
      </c>
      <c r="B178">
        <v>2024</v>
      </c>
      <c r="C178">
        <v>4</v>
      </c>
      <c r="D178" t="s">
        <v>4314</v>
      </c>
      <c r="E178">
        <v>2</v>
      </c>
      <c r="F178">
        <v>10</v>
      </c>
      <c r="G178" t="s">
        <v>4308</v>
      </c>
    </row>
    <row r="179" spans="1:7">
      <c r="A179" s="10">
        <v>45304</v>
      </c>
      <c r="B179">
        <v>2024</v>
      </c>
      <c r="C179">
        <v>1</v>
      </c>
      <c r="D179" t="s">
        <v>4307</v>
      </c>
      <c r="E179">
        <v>1</v>
      </c>
      <c r="F179">
        <v>13</v>
      </c>
      <c r="G179" t="s">
        <v>4298</v>
      </c>
    </row>
    <row r="180" spans="1:7">
      <c r="A180" s="10">
        <v>45955</v>
      </c>
      <c r="B180">
        <v>2025</v>
      </c>
      <c r="C180">
        <v>10</v>
      </c>
      <c r="D180" t="s">
        <v>4302</v>
      </c>
      <c r="E180">
        <v>4</v>
      </c>
      <c r="F180">
        <v>25</v>
      </c>
      <c r="G180" t="s">
        <v>4298</v>
      </c>
    </row>
    <row r="181" spans="1:7">
      <c r="A181" s="10">
        <v>45012</v>
      </c>
      <c r="B181">
        <v>2023</v>
      </c>
      <c r="C181">
        <v>3</v>
      </c>
      <c r="D181" t="s">
        <v>4311</v>
      </c>
      <c r="E181">
        <v>1</v>
      </c>
      <c r="F181">
        <v>27</v>
      </c>
      <c r="G181" t="s">
        <v>4301</v>
      </c>
    </row>
    <row r="182" spans="1:7">
      <c r="A182" s="10">
        <v>45876</v>
      </c>
      <c r="B182">
        <v>2025</v>
      </c>
      <c r="C182">
        <v>8</v>
      </c>
      <c r="D182" t="s">
        <v>4313</v>
      </c>
      <c r="E182">
        <v>3</v>
      </c>
      <c r="F182">
        <v>7</v>
      </c>
      <c r="G182" t="s">
        <v>4300</v>
      </c>
    </row>
    <row r="183" spans="1:7">
      <c r="A183" s="10">
        <v>45974</v>
      </c>
      <c r="B183">
        <v>2025</v>
      </c>
      <c r="C183">
        <v>11</v>
      </c>
      <c r="D183" t="s">
        <v>4315</v>
      </c>
      <c r="E183">
        <v>4</v>
      </c>
      <c r="F183">
        <v>13</v>
      </c>
      <c r="G183" t="s">
        <v>4300</v>
      </c>
    </row>
    <row r="184" spans="1:7">
      <c r="A184" s="10">
        <v>45937</v>
      </c>
      <c r="B184">
        <v>2025</v>
      </c>
      <c r="C184">
        <v>10</v>
      </c>
      <c r="D184" t="s">
        <v>4302</v>
      </c>
      <c r="E184">
        <v>4</v>
      </c>
      <c r="F184">
        <v>7</v>
      </c>
      <c r="G184" t="s">
        <v>4303</v>
      </c>
    </row>
    <row r="185" spans="1:7">
      <c r="A185" s="10">
        <v>45290</v>
      </c>
      <c r="B185">
        <v>2023</v>
      </c>
      <c r="C185">
        <v>12</v>
      </c>
      <c r="D185" t="s">
        <v>4299</v>
      </c>
      <c r="E185">
        <v>4</v>
      </c>
      <c r="F185">
        <v>30</v>
      </c>
      <c r="G185" t="s">
        <v>4298</v>
      </c>
    </row>
    <row r="186" spans="1:7">
      <c r="A186" s="10">
        <v>45801</v>
      </c>
      <c r="B186">
        <v>2025</v>
      </c>
      <c r="C186">
        <v>5</v>
      </c>
      <c r="D186" t="s">
        <v>4305</v>
      </c>
      <c r="E186">
        <v>2</v>
      </c>
      <c r="F186">
        <v>24</v>
      </c>
      <c r="G186" t="s">
        <v>4298</v>
      </c>
    </row>
    <row r="187" spans="1:7">
      <c r="A187" s="10">
        <v>44950</v>
      </c>
      <c r="B187">
        <v>2023</v>
      </c>
      <c r="C187">
        <v>1</v>
      </c>
      <c r="D187" t="s">
        <v>4307</v>
      </c>
      <c r="E187">
        <v>1</v>
      </c>
      <c r="F187">
        <v>24</v>
      </c>
      <c r="G187" t="s">
        <v>4303</v>
      </c>
    </row>
    <row r="188" spans="1:7">
      <c r="A188" s="10">
        <v>45041</v>
      </c>
      <c r="B188">
        <v>2023</v>
      </c>
      <c r="C188">
        <v>4</v>
      </c>
      <c r="D188" t="s">
        <v>4314</v>
      </c>
      <c r="E188">
        <v>2</v>
      </c>
      <c r="F188">
        <v>25</v>
      </c>
      <c r="G188" t="s">
        <v>4303</v>
      </c>
    </row>
    <row r="189" spans="1:7">
      <c r="A189" s="10">
        <v>45944</v>
      </c>
      <c r="B189">
        <v>2025</v>
      </c>
      <c r="C189">
        <v>10</v>
      </c>
      <c r="D189" t="s">
        <v>4302</v>
      </c>
      <c r="E189">
        <v>4</v>
      </c>
      <c r="F189">
        <v>14</v>
      </c>
      <c r="G189" t="s">
        <v>4303</v>
      </c>
    </row>
    <row r="190" spans="1:7">
      <c r="A190" s="10">
        <v>45996</v>
      </c>
      <c r="B190">
        <v>2025</v>
      </c>
      <c r="C190">
        <v>12</v>
      </c>
      <c r="D190" t="s">
        <v>4299</v>
      </c>
      <c r="E190">
        <v>4</v>
      </c>
      <c r="F190">
        <v>5</v>
      </c>
      <c r="G190" t="s">
        <v>4306</v>
      </c>
    </row>
    <row r="191" spans="1:7">
      <c r="A191" s="10">
        <v>45579</v>
      </c>
      <c r="B191">
        <v>2024</v>
      </c>
      <c r="C191">
        <v>10</v>
      </c>
      <c r="D191" t="s">
        <v>4302</v>
      </c>
      <c r="E191">
        <v>4</v>
      </c>
      <c r="F191">
        <v>14</v>
      </c>
      <c r="G191" t="s">
        <v>4301</v>
      </c>
    </row>
    <row r="192" spans="1:7">
      <c r="A192" s="10">
        <v>45332</v>
      </c>
      <c r="B192">
        <v>2024</v>
      </c>
      <c r="C192">
        <v>2</v>
      </c>
      <c r="D192" t="s">
        <v>4312</v>
      </c>
      <c r="E192">
        <v>1</v>
      </c>
      <c r="F192">
        <v>10</v>
      </c>
      <c r="G192" t="s">
        <v>4298</v>
      </c>
    </row>
    <row r="193" spans="1:7">
      <c r="A193" s="10">
        <v>45158</v>
      </c>
      <c r="B193">
        <v>2023</v>
      </c>
      <c r="C193">
        <v>8</v>
      </c>
      <c r="D193" t="s">
        <v>4313</v>
      </c>
      <c r="E193">
        <v>3</v>
      </c>
      <c r="F193">
        <v>20</v>
      </c>
      <c r="G193" t="s">
        <v>4309</v>
      </c>
    </row>
    <row r="194" spans="1:7">
      <c r="A194" s="10">
        <v>45281</v>
      </c>
      <c r="B194">
        <v>2023</v>
      </c>
      <c r="C194">
        <v>12</v>
      </c>
      <c r="D194" t="s">
        <v>4299</v>
      </c>
      <c r="E194">
        <v>4</v>
      </c>
      <c r="F194">
        <v>21</v>
      </c>
      <c r="G194" t="s">
        <v>4300</v>
      </c>
    </row>
    <row r="195" spans="1:7">
      <c r="A195" s="10">
        <v>46015</v>
      </c>
      <c r="B195">
        <v>2025</v>
      </c>
      <c r="C195">
        <v>12</v>
      </c>
      <c r="D195" t="s">
        <v>4299</v>
      </c>
      <c r="E195">
        <v>4</v>
      </c>
      <c r="F195">
        <v>24</v>
      </c>
      <c r="G195" t="s">
        <v>4308</v>
      </c>
    </row>
    <row r="196" spans="1:7">
      <c r="A196" s="10">
        <v>45811</v>
      </c>
      <c r="B196">
        <v>2025</v>
      </c>
      <c r="C196">
        <v>6</v>
      </c>
      <c r="D196" t="s">
        <v>4310</v>
      </c>
      <c r="E196">
        <v>2</v>
      </c>
      <c r="F196">
        <v>3</v>
      </c>
      <c r="G196" t="s">
        <v>4303</v>
      </c>
    </row>
    <row r="197" spans="1:7">
      <c r="A197" s="10">
        <v>45860</v>
      </c>
      <c r="B197">
        <v>2025</v>
      </c>
      <c r="C197">
        <v>7</v>
      </c>
      <c r="D197" t="s">
        <v>4297</v>
      </c>
      <c r="E197">
        <v>3</v>
      </c>
      <c r="F197">
        <v>22</v>
      </c>
      <c r="G197" t="s">
        <v>4303</v>
      </c>
    </row>
    <row r="198" spans="1:7">
      <c r="A198" s="10">
        <v>45985</v>
      </c>
      <c r="B198">
        <v>2025</v>
      </c>
      <c r="C198">
        <v>11</v>
      </c>
      <c r="D198" t="s">
        <v>4315</v>
      </c>
      <c r="E198">
        <v>4</v>
      </c>
      <c r="F198">
        <v>24</v>
      </c>
      <c r="G198" t="s">
        <v>4301</v>
      </c>
    </row>
    <row r="199" spans="1:7">
      <c r="A199" s="10">
        <v>45052</v>
      </c>
      <c r="B199">
        <v>2023</v>
      </c>
      <c r="C199">
        <v>5</v>
      </c>
      <c r="D199" t="s">
        <v>4305</v>
      </c>
      <c r="E199">
        <v>2</v>
      </c>
      <c r="F199">
        <v>6</v>
      </c>
      <c r="G199" t="s">
        <v>4298</v>
      </c>
    </row>
    <row r="200" spans="1:7">
      <c r="A200" s="10">
        <v>44994</v>
      </c>
      <c r="B200">
        <v>2023</v>
      </c>
      <c r="C200">
        <v>3</v>
      </c>
      <c r="D200" t="s">
        <v>4311</v>
      </c>
      <c r="E200">
        <v>1</v>
      </c>
      <c r="F200">
        <v>9</v>
      </c>
      <c r="G200" t="s">
        <v>4300</v>
      </c>
    </row>
    <row r="201" spans="1:7">
      <c r="A201" s="10">
        <v>46013</v>
      </c>
      <c r="B201">
        <v>2025</v>
      </c>
      <c r="C201">
        <v>12</v>
      </c>
      <c r="D201" t="s">
        <v>4299</v>
      </c>
      <c r="E201">
        <v>4</v>
      </c>
      <c r="F201">
        <v>22</v>
      </c>
      <c r="G201" t="s">
        <v>4301</v>
      </c>
    </row>
    <row r="202" spans="1:7">
      <c r="A202" s="10">
        <v>44944</v>
      </c>
      <c r="B202">
        <v>2023</v>
      </c>
      <c r="C202">
        <v>1</v>
      </c>
      <c r="D202" t="s">
        <v>4307</v>
      </c>
      <c r="E202">
        <v>1</v>
      </c>
      <c r="F202">
        <v>18</v>
      </c>
      <c r="G202" t="s">
        <v>4308</v>
      </c>
    </row>
    <row r="203" spans="1:7">
      <c r="A203" s="10">
        <v>45482</v>
      </c>
      <c r="B203">
        <v>2024</v>
      </c>
      <c r="C203">
        <v>7</v>
      </c>
      <c r="D203" t="s">
        <v>4297</v>
      </c>
      <c r="E203">
        <v>3</v>
      </c>
      <c r="F203">
        <v>9</v>
      </c>
      <c r="G203" t="s">
        <v>4303</v>
      </c>
    </row>
    <row r="204" spans="1:7">
      <c r="A204" s="10">
        <v>45457</v>
      </c>
      <c r="B204">
        <v>2024</v>
      </c>
      <c r="C204">
        <v>6</v>
      </c>
      <c r="D204" t="s">
        <v>4310</v>
      </c>
      <c r="E204">
        <v>2</v>
      </c>
      <c r="F204">
        <v>14</v>
      </c>
      <c r="G204" t="s">
        <v>4306</v>
      </c>
    </row>
    <row r="205" spans="1:7">
      <c r="A205" s="10">
        <v>45914</v>
      </c>
      <c r="B205">
        <v>2025</v>
      </c>
      <c r="C205">
        <v>9</v>
      </c>
      <c r="D205" t="s">
        <v>4304</v>
      </c>
      <c r="E205">
        <v>3</v>
      </c>
      <c r="F205">
        <v>14</v>
      </c>
      <c r="G205" t="s">
        <v>4309</v>
      </c>
    </row>
    <row r="206" spans="1:7">
      <c r="A206" s="10">
        <v>44978</v>
      </c>
      <c r="B206">
        <v>2023</v>
      </c>
      <c r="C206">
        <v>2</v>
      </c>
      <c r="D206" t="s">
        <v>4312</v>
      </c>
      <c r="E206">
        <v>1</v>
      </c>
      <c r="F206">
        <v>21</v>
      </c>
      <c r="G206" t="s">
        <v>4303</v>
      </c>
    </row>
    <row r="207" spans="1:7">
      <c r="A207" s="10">
        <v>45892</v>
      </c>
      <c r="B207">
        <v>2025</v>
      </c>
      <c r="C207">
        <v>8</v>
      </c>
      <c r="D207" t="s">
        <v>4313</v>
      </c>
      <c r="E207">
        <v>3</v>
      </c>
      <c r="F207">
        <v>23</v>
      </c>
      <c r="G207" t="s">
        <v>4298</v>
      </c>
    </row>
    <row r="208" spans="1:7">
      <c r="A208" s="10">
        <v>45363</v>
      </c>
      <c r="B208">
        <v>2024</v>
      </c>
      <c r="C208">
        <v>3</v>
      </c>
      <c r="D208" t="s">
        <v>4311</v>
      </c>
      <c r="E208">
        <v>1</v>
      </c>
      <c r="F208">
        <v>12</v>
      </c>
      <c r="G208" t="s">
        <v>4303</v>
      </c>
    </row>
    <row r="209" spans="1:7">
      <c r="A209" s="10">
        <v>45901</v>
      </c>
      <c r="B209">
        <v>2025</v>
      </c>
      <c r="C209">
        <v>9</v>
      </c>
      <c r="D209" t="s">
        <v>4304</v>
      </c>
      <c r="E209">
        <v>3</v>
      </c>
      <c r="F209">
        <v>1</v>
      </c>
      <c r="G209" t="s">
        <v>4301</v>
      </c>
    </row>
    <row r="210" spans="1:7">
      <c r="A210" s="10">
        <v>45157</v>
      </c>
      <c r="B210">
        <v>2023</v>
      </c>
      <c r="C210">
        <v>8</v>
      </c>
      <c r="D210" t="s">
        <v>4313</v>
      </c>
      <c r="E210">
        <v>3</v>
      </c>
      <c r="F210">
        <v>19</v>
      </c>
      <c r="G210" t="s">
        <v>4298</v>
      </c>
    </row>
    <row r="211" spans="1:7">
      <c r="A211" s="10">
        <v>45594</v>
      </c>
      <c r="B211">
        <v>2024</v>
      </c>
      <c r="C211">
        <v>10</v>
      </c>
      <c r="D211" t="s">
        <v>4302</v>
      </c>
      <c r="E211">
        <v>4</v>
      </c>
      <c r="F211">
        <v>29</v>
      </c>
      <c r="G211" t="s">
        <v>4303</v>
      </c>
    </row>
    <row r="212" spans="1:7">
      <c r="A212" s="10">
        <v>45154</v>
      </c>
      <c r="B212">
        <v>2023</v>
      </c>
      <c r="C212">
        <v>8</v>
      </c>
      <c r="D212" t="s">
        <v>4313</v>
      </c>
      <c r="E212">
        <v>3</v>
      </c>
      <c r="F212">
        <v>16</v>
      </c>
      <c r="G212" t="s">
        <v>4308</v>
      </c>
    </row>
    <row r="213" spans="1:7">
      <c r="A213" s="10">
        <v>44937</v>
      </c>
      <c r="B213">
        <v>2023</v>
      </c>
      <c r="C213">
        <v>1</v>
      </c>
      <c r="D213" t="s">
        <v>4307</v>
      </c>
      <c r="E213">
        <v>1</v>
      </c>
      <c r="F213">
        <v>11</v>
      </c>
      <c r="G213" t="s">
        <v>4308</v>
      </c>
    </row>
    <row r="214" spans="1:7">
      <c r="A214" s="10">
        <v>45934</v>
      </c>
      <c r="B214">
        <v>2025</v>
      </c>
      <c r="C214">
        <v>10</v>
      </c>
      <c r="D214" t="s">
        <v>4302</v>
      </c>
      <c r="E214">
        <v>4</v>
      </c>
      <c r="F214">
        <v>4</v>
      </c>
      <c r="G214" t="s">
        <v>4298</v>
      </c>
    </row>
    <row r="215" spans="1:7">
      <c r="A215" s="10">
        <v>45285</v>
      </c>
      <c r="B215">
        <v>2023</v>
      </c>
      <c r="C215">
        <v>12</v>
      </c>
      <c r="D215" t="s">
        <v>4299</v>
      </c>
      <c r="E215">
        <v>4</v>
      </c>
      <c r="F215">
        <v>25</v>
      </c>
      <c r="G215" t="s">
        <v>4301</v>
      </c>
    </row>
    <row r="216" spans="1:7">
      <c r="A216" s="10">
        <v>45852</v>
      </c>
      <c r="B216">
        <v>2025</v>
      </c>
      <c r="C216">
        <v>7</v>
      </c>
      <c r="D216" t="s">
        <v>4297</v>
      </c>
      <c r="E216">
        <v>3</v>
      </c>
      <c r="F216">
        <v>14</v>
      </c>
      <c r="G216" t="s">
        <v>4301</v>
      </c>
    </row>
    <row r="217" spans="1:7">
      <c r="A217" s="10">
        <v>44970</v>
      </c>
      <c r="B217">
        <v>2023</v>
      </c>
      <c r="C217">
        <v>2</v>
      </c>
      <c r="D217" t="s">
        <v>4312</v>
      </c>
      <c r="E217">
        <v>1</v>
      </c>
      <c r="F217">
        <v>13</v>
      </c>
      <c r="G217" t="s">
        <v>4301</v>
      </c>
    </row>
    <row r="218" spans="1:7">
      <c r="A218" s="10">
        <v>45511</v>
      </c>
      <c r="B218">
        <v>2024</v>
      </c>
      <c r="C218">
        <v>8</v>
      </c>
      <c r="D218" t="s">
        <v>4313</v>
      </c>
      <c r="E218">
        <v>3</v>
      </c>
      <c r="F218">
        <v>7</v>
      </c>
      <c r="G218" t="s">
        <v>4308</v>
      </c>
    </row>
    <row r="219" spans="1:7">
      <c r="A219" s="10">
        <v>45788</v>
      </c>
      <c r="B219">
        <v>2025</v>
      </c>
      <c r="C219">
        <v>5</v>
      </c>
      <c r="D219" t="s">
        <v>4305</v>
      </c>
      <c r="E219">
        <v>2</v>
      </c>
      <c r="F219">
        <v>11</v>
      </c>
      <c r="G219" t="s">
        <v>4309</v>
      </c>
    </row>
    <row r="220" spans="1:7">
      <c r="A220" s="10">
        <v>45839</v>
      </c>
      <c r="B220">
        <v>2025</v>
      </c>
      <c r="C220">
        <v>7</v>
      </c>
      <c r="D220" t="s">
        <v>4297</v>
      </c>
      <c r="E220">
        <v>3</v>
      </c>
      <c r="F220">
        <v>1</v>
      </c>
      <c r="G220" t="s">
        <v>4303</v>
      </c>
    </row>
    <row r="221" spans="1:7">
      <c r="A221" s="10">
        <v>45775</v>
      </c>
      <c r="B221">
        <v>2025</v>
      </c>
      <c r="C221">
        <v>4</v>
      </c>
      <c r="D221" t="s">
        <v>4314</v>
      </c>
      <c r="E221">
        <v>2</v>
      </c>
      <c r="F221">
        <v>28</v>
      </c>
      <c r="G221" t="s">
        <v>4301</v>
      </c>
    </row>
    <row r="222" spans="1:7">
      <c r="A222" s="10">
        <v>45876</v>
      </c>
      <c r="B222">
        <v>2025</v>
      </c>
      <c r="C222">
        <v>8</v>
      </c>
      <c r="D222" t="s">
        <v>4313</v>
      </c>
      <c r="E222">
        <v>3</v>
      </c>
      <c r="F222">
        <v>7</v>
      </c>
      <c r="G222" t="s">
        <v>4300</v>
      </c>
    </row>
    <row r="223" spans="1:7">
      <c r="A223" s="10">
        <v>44962</v>
      </c>
      <c r="B223">
        <v>2023</v>
      </c>
      <c r="C223">
        <v>2</v>
      </c>
      <c r="D223" t="s">
        <v>4312</v>
      </c>
      <c r="E223">
        <v>1</v>
      </c>
      <c r="F223">
        <v>5</v>
      </c>
      <c r="G223" t="s">
        <v>4309</v>
      </c>
    </row>
    <row r="224" spans="1:7">
      <c r="A224" s="10">
        <v>45669</v>
      </c>
      <c r="B224">
        <v>2025</v>
      </c>
      <c r="C224">
        <v>1</v>
      </c>
      <c r="D224" t="s">
        <v>4307</v>
      </c>
      <c r="E224">
        <v>1</v>
      </c>
      <c r="F224">
        <v>12</v>
      </c>
      <c r="G224" t="s">
        <v>4309</v>
      </c>
    </row>
    <row r="225" spans="1:7">
      <c r="A225" s="10">
        <v>45195</v>
      </c>
      <c r="B225">
        <v>2023</v>
      </c>
      <c r="C225">
        <v>9</v>
      </c>
      <c r="D225" t="s">
        <v>4304</v>
      </c>
      <c r="E225">
        <v>3</v>
      </c>
      <c r="F225">
        <v>26</v>
      </c>
      <c r="G225" t="s">
        <v>4303</v>
      </c>
    </row>
    <row r="226" spans="1:7">
      <c r="A226" s="10">
        <v>45329</v>
      </c>
      <c r="B226">
        <v>2024</v>
      </c>
      <c r="C226">
        <v>2</v>
      </c>
      <c r="D226" t="s">
        <v>4312</v>
      </c>
      <c r="E226">
        <v>1</v>
      </c>
      <c r="F226">
        <v>7</v>
      </c>
      <c r="G226" t="s">
        <v>4308</v>
      </c>
    </row>
    <row r="227" spans="1:7">
      <c r="A227" s="10">
        <v>44955</v>
      </c>
      <c r="B227">
        <v>2023</v>
      </c>
      <c r="C227">
        <v>1</v>
      </c>
      <c r="D227" t="s">
        <v>4307</v>
      </c>
      <c r="E227">
        <v>1</v>
      </c>
      <c r="F227">
        <v>29</v>
      </c>
      <c r="G227" t="s">
        <v>4309</v>
      </c>
    </row>
    <row r="228" spans="1:7">
      <c r="A228" s="10">
        <v>45666</v>
      </c>
      <c r="B228">
        <v>2025</v>
      </c>
      <c r="C228">
        <v>1</v>
      </c>
      <c r="D228" t="s">
        <v>4307</v>
      </c>
      <c r="E228">
        <v>1</v>
      </c>
      <c r="F228">
        <v>9</v>
      </c>
      <c r="G228" t="s">
        <v>4300</v>
      </c>
    </row>
    <row r="229" spans="1:7">
      <c r="A229" s="10">
        <v>45101</v>
      </c>
      <c r="B229">
        <v>2023</v>
      </c>
      <c r="C229">
        <v>6</v>
      </c>
      <c r="D229" t="s">
        <v>4310</v>
      </c>
      <c r="E229">
        <v>2</v>
      </c>
      <c r="F229">
        <v>24</v>
      </c>
      <c r="G229" t="s">
        <v>4298</v>
      </c>
    </row>
    <row r="230" spans="1:7">
      <c r="A230" s="10">
        <v>45177</v>
      </c>
      <c r="B230">
        <v>2023</v>
      </c>
      <c r="C230">
        <v>9</v>
      </c>
      <c r="D230" t="s">
        <v>4304</v>
      </c>
      <c r="E230">
        <v>3</v>
      </c>
      <c r="F230">
        <v>8</v>
      </c>
      <c r="G230" t="s">
        <v>4306</v>
      </c>
    </row>
    <row r="231" spans="1:7">
      <c r="A231" s="10">
        <v>45079</v>
      </c>
      <c r="B231">
        <v>2023</v>
      </c>
      <c r="C231">
        <v>6</v>
      </c>
      <c r="D231" t="s">
        <v>4310</v>
      </c>
      <c r="E231">
        <v>2</v>
      </c>
      <c r="F231">
        <v>2</v>
      </c>
      <c r="G231" t="s">
        <v>4306</v>
      </c>
    </row>
    <row r="232" spans="1:7">
      <c r="A232" s="10">
        <v>45466</v>
      </c>
      <c r="B232">
        <v>2024</v>
      </c>
      <c r="C232">
        <v>6</v>
      </c>
      <c r="D232" t="s">
        <v>4310</v>
      </c>
      <c r="E232">
        <v>2</v>
      </c>
      <c r="F232">
        <v>23</v>
      </c>
      <c r="G232" t="s">
        <v>4309</v>
      </c>
    </row>
    <row r="233" spans="1:7">
      <c r="A233" s="10">
        <v>45201</v>
      </c>
      <c r="B233">
        <v>2023</v>
      </c>
      <c r="C233">
        <v>10</v>
      </c>
      <c r="D233" t="s">
        <v>4302</v>
      </c>
      <c r="E233">
        <v>4</v>
      </c>
      <c r="F233">
        <v>2</v>
      </c>
      <c r="G233" t="s">
        <v>4301</v>
      </c>
    </row>
    <row r="234" spans="1:7">
      <c r="A234" s="10">
        <v>45081</v>
      </c>
      <c r="B234">
        <v>2023</v>
      </c>
      <c r="C234">
        <v>6</v>
      </c>
      <c r="D234" t="s">
        <v>4310</v>
      </c>
      <c r="E234">
        <v>2</v>
      </c>
      <c r="F234">
        <v>4</v>
      </c>
      <c r="G234" t="s">
        <v>4309</v>
      </c>
    </row>
    <row r="235" spans="1:7">
      <c r="A235" s="10">
        <v>44965</v>
      </c>
      <c r="B235">
        <v>2023</v>
      </c>
      <c r="C235">
        <v>2</v>
      </c>
      <c r="D235" t="s">
        <v>4312</v>
      </c>
      <c r="E235">
        <v>1</v>
      </c>
      <c r="F235">
        <v>8</v>
      </c>
      <c r="G235" t="s">
        <v>4308</v>
      </c>
    </row>
    <row r="236" spans="1:7">
      <c r="A236" s="10">
        <v>45410</v>
      </c>
      <c r="B236">
        <v>2024</v>
      </c>
      <c r="C236">
        <v>4</v>
      </c>
      <c r="D236" t="s">
        <v>4314</v>
      </c>
      <c r="E236">
        <v>2</v>
      </c>
      <c r="F236">
        <v>28</v>
      </c>
      <c r="G236" t="s">
        <v>4309</v>
      </c>
    </row>
    <row r="237" spans="1:7">
      <c r="A237" s="10">
        <v>45057</v>
      </c>
      <c r="B237">
        <v>2023</v>
      </c>
      <c r="C237">
        <v>5</v>
      </c>
      <c r="D237" t="s">
        <v>4305</v>
      </c>
      <c r="E237">
        <v>2</v>
      </c>
      <c r="F237">
        <v>11</v>
      </c>
      <c r="G237" t="s">
        <v>4300</v>
      </c>
    </row>
    <row r="238" spans="1:7">
      <c r="A238" s="10">
        <v>45489</v>
      </c>
      <c r="B238">
        <v>2024</v>
      </c>
      <c r="C238">
        <v>7</v>
      </c>
      <c r="D238" t="s">
        <v>4297</v>
      </c>
      <c r="E238">
        <v>3</v>
      </c>
      <c r="F238">
        <v>16</v>
      </c>
      <c r="G238" t="s">
        <v>4303</v>
      </c>
    </row>
    <row r="239" spans="1:7">
      <c r="A239" s="10">
        <v>45670</v>
      </c>
      <c r="B239">
        <v>2025</v>
      </c>
      <c r="C239">
        <v>1</v>
      </c>
      <c r="D239" t="s">
        <v>4307</v>
      </c>
      <c r="E239">
        <v>1</v>
      </c>
      <c r="F239">
        <v>13</v>
      </c>
      <c r="G239" t="s">
        <v>4301</v>
      </c>
    </row>
    <row r="240" spans="1:7">
      <c r="A240" s="10">
        <v>45792</v>
      </c>
      <c r="B240">
        <v>2025</v>
      </c>
      <c r="C240">
        <v>5</v>
      </c>
      <c r="D240" t="s">
        <v>4305</v>
      </c>
      <c r="E240">
        <v>2</v>
      </c>
      <c r="F240">
        <v>15</v>
      </c>
      <c r="G240" t="s">
        <v>4300</v>
      </c>
    </row>
    <row r="241" spans="1:7">
      <c r="A241" s="10">
        <v>45581</v>
      </c>
      <c r="B241">
        <v>2024</v>
      </c>
      <c r="C241">
        <v>10</v>
      </c>
      <c r="D241" t="s">
        <v>4302</v>
      </c>
      <c r="E241">
        <v>4</v>
      </c>
      <c r="F241">
        <v>16</v>
      </c>
      <c r="G241" t="s">
        <v>4308</v>
      </c>
    </row>
    <row r="242" spans="1:7">
      <c r="A242" s="10">
        <v>45232</v>
      </c>
      <c r="B242">
        <v>2023</v>
      </c>
      <c r="C242">
        <v>11</v>
      </c>
      <c r="D242" t="s">
        <v>4315</v>
      </c>
      <c r="E242">
        <v>4</v>
      </c>
      <c r="F242">
        <v>2</v>
      </c>
      <c r="G242" t="s">
        <v>4300</v>
      </c>
    </row>
    <row r="243" spans="1:7">
      <c r="A243" s="10">
        <v>45409</v>
      </c>
      <c r="B243">
        <v>2024</v>
      </c>
      <c r="C243">
        <v>4</v>
      </c>
      <c r="D243" t="s">
        <v>4314</v>
      </c>
      <c r="E243">
        <v>2</v>
      </c>
      <c r="F243">
        <v>27</v>
      </c>
      <c r="G243" t="s">
        <v>4298</v>
      </c>
    </row>
    <row r="244" spans="1:7">
      <c r="A244" s="10">
        <v>45546</v>
      </c>
      <c r="B244">
        <v>2024</v>
      </c>
      <c r="C244">
        <v>9</v>
      </c>
      <c r="D244" t="s">
        <v>4304</v>
      </c>
      <c r="E244">
        <v>3</v>
      </c>
      <c r="F244">
        <v>11</v>
      </c>
      <c r="G244" t="s">
        <v>4308</v>
      </c>
    </row>
    <row r="245" spans="1:7">
      <c r="A245" s="10">
        <v>45264</v>
      </c>
      <c r="B245">
        <v>2023</v>
      </c>
      <c r="C245">
        <v>12</v>
      </c>
      <c r="D245" t="s">
        <v>4299</v>
      </c>
      <c r="E245">
        <v>4</v>
      </c>
      <c r="F245">
        <v>4</v>
      </c>
      <c r="G245" t="s">
        <v>4301</v>
      </c>
    </row>
    <row r="246" spans="1:7">
      <c r="A246" s="10">
        <v>45230</v>
      </c>
      <c r="B246">
        <v>2023</v>
      </c>
      <c r="C246">
        <v>10</v>
      </c>
      <c r="D246" t="s">
        <v>4302</v>
      </c>
      <c r="E246">
        <v>4</v>
      </c>
      <c r="F246">
        <v>31</v>
      </c>
      <c r="G246" t="s">
        <v>4303</v>
      </c>
    </row>
    <row r="247" spans="1:7">
      <c r="A247" s="10">
        <v>45869</v>
      </c>
      <c r="B247">
        <v>2025</v>
      </c>
      <c r="C247">
        <v>7</v>
      </c>
      <c r="D247" t="s">
        <v>4297</v>
      </c>
      <c r="E247">
        <v>3</v>
      </c>
      <c r="F247">
        <v>31</v>
      </c>
      <c r="G247" t="s">
        <v>4300</v>
      </c>
    </row>
    <row r="248" spans="1:7">
      <c r="A248" s="10">
        <v>45353</v>
      </c>
      <c r="B248">
        <v>2024</v>
      </c>
      <c r="C248">
        <v>3</v>
      </c>
      <c r="D248" t="s">
        <v>4311</v>
      </c>
      <c r="E248">
        <v>1</v>
      </c>
      <c r="F248">
        <v>2</v>
      </c>
      <c r="G248" t="s">
        <v>4298</v>
      </c>
    </row>
    <row r="249" spans="1:7">
      <c r="A249" s="10">
        <v>45626</v>
      </c>
      <c r="B249">
        <v>2024</v>
      </c>
      <c r="C249">
        <v>11</v>
      </c>
      <c r="D249" t="s">
        <v>4315</v>
      </c>
      <c r="E249">
        <v>4</v>
      </c>
      <c r="F249">
        <v>30</v>
      </c>
      <c r="G249" t="s">
        <v>4298</v>
      </c>
    </row>
    <row r="250" spans="1:7">
      <c r="A250" s="10">
        <v>45445</v>
      </c>
      <c r="B250">
        <v>2024</v>
      </c>
      <c r="C250">
        <v>6</v>
      </c>
      <c r="D250" t="s">
        <v>4310</v>
      </c>
      <c r="E250">
        <v>2</v>
      </c>
      <c r="F250">
        <v>2</v>
      </c>
      <c r="G250" t="s">
        <v>4309</v>
      </c>
    </row>
    <row r="251" spans="1:7">
      <c r="A251" s="10">
        <v>44938</v>
      </c>
      <c r="B251">
        <v>2023</v>
      </c>
      <c r="C251">
        <v>1</v>
      </c>
      <c r="D251" t="s">
        <v>4307</v>
      </c>
      <c r="E251">
        <v>1</v>
      </c>
      <c r="F251">
        <v>12</v>
      </c>
      <c r="G251" t="s">
        <v>4300</v>
      </c>
    </row>
    <row r="252" spans="1:7">
      <c r="A252" s="10">
        <v>45482</v>
      </c>
      <c r="B252">
        <v>2024</v>
      </c>
      <c r="C252">
        <v>7</v>
      </c>
      <c r="D252" t="s">
        <v>4297</v>
      </c>
      <c r="E252">
        <v>3</v>
      </c>
      <c r="F252">
        <v>9</v>
      </c>
      <c r="G252" t="s">
        <v>4303</v>
      </c>
    </row>
    <row r="253" spans="1:7">
      <c r="A253" s="10">
        <v>45745</v>
      </c>
      <c r="B253">
        <v>2025</v>
      </c>
      <c r="C253">
        <v>3</v>
      </c>
      <c r="D253" t="s">
        <v>4311</v>
      </c>
      <c r="E253">
        <v>1</v>
      </c>
      <c r="F253">
        <v>29</v>
      </c>
      <c r="G253" t="s">
        <v>4298</v>
      </c>
    </row>
    <row r="254" spans="1:7">
      <c r="A254" s="10">
        <v>45886</v>
      </c>
      <c r="B254">
        <v>2025</v>
      </c>
      <c r="C254">
        <v>8</v>
      </c>
      <c r="D254" t="s">
        <v>4313</v>
      </c>
      <c r="E254">
        <v>3</v>
      </c>
      <c r="F254">
        <v>17</v>
      </c>
      <c r="G254" t="s">
        <v>4309</v>
      </c>
    </row>
    <row r="255" spans="1:7">
      <c r="A255" s="10">
        <v>45284</v>
      </c>
      <c r="B255">
        <v>2023</v>
      </c>
      <c r="C255">
        <v>12</v>
      </c>
      <c r="D255" t="s">
        <v>4299</v>
      </c>
      <c r="E255">
        <v>4</v>
      </c>
      <c r="F255">
        <v>24</v>
      </c>
      <c r="G255" t="s">
        <v>4309</v>
      </c>
    </row>
    <row r="256" spans="1:7">
      <c r="A256" s="10">
        <v>45012</v>
      </c>
      <c r="B256">
        <v>2023</v>
      </c>
      <c r="C256">
        <v>3</v>
      </c>
      <c r="D256" t="s">
        <v>4311</v>
      </c>
      <c r="E256">
        <v>1</v>
      </c>
      <c r="F256">
        <v>27</v>
      </c>
      <c r="G256" t="s">
        <v>4301</v>
      </c>
    </row>
    <row r="257" spans="1:7">
      <c r="A257" s="10">
        <v>45776</v>
      </c>
      <c r="B257">
        <v>2025</v>
      </c>
      <c r="C257">
        <v>4</v>
      </c>
      <c r="D257" t="s">
        <v>4314</v>
      </c>
      <c r="E257">
        <v>2</v>
      </c>
      <c r="F257">
        <v>29</v>
      </c>
      <c r="G257" t="s">
        <v>4303</v>
      </c>
    </row>
    <row r="258" spans="1:7">
      <c r="A258" s="10">
        <v>45482</v>
      </c>
      <c r="B258">
        <v>2024</v>
      </c>
      <c r="C258">
        <v>7</v>
      </c>
      <c r="D258" t="s">
        <v>4297</v>
      </c>
      <c r="E258">
        <v>3</v>
      </c>
      <c r="F258">
        <v>9</v>
      </c>
      <c r="G258" t="s">
        <v>4303</v>
      </c>
    </row>
    <row r="259" spans="1:7">
      <c r="A259" s="10">
        <v>45185</v>
      </c>
      <c r="B259">
        <v>2023</v>
      </c>
      <c r="C259">
        <v>9</v>
      </c>
      <c r="D259" t="s">
        <v>4304</v>
      </c>
      <c r="E259">
        <v>3</v>
      </c>
      <c r="F259">
        <v>16</v>
      </c>
      <c r="G259" t="s">
        <v>4298</v>
      </c>
    </row>
    <row r="260" spans="1:7">
      <c r="A260" s="10">
        <v>45855</v>
      </c>
      <c r="B260">
        <v>2025</v>
      </c>
      <c r="C260">
        <v>7</v>
      </c>
      <c r="D260" t="s">
        <v>4297</v>
      </c>
      <c r="E260">
        <v>3</v>
      </c>
      <c r="F260">
        <v>17</v>
      </c>
      <c r="G260" t="s">
        <v>4300</v>
      </c>
    </row>
    <row r="261" spans="1:7">
      <c r="A261" s="10">
        <v>46004</v>
      </c>
      <c r="B261">
        <v>2025</v>
      </c>
      <c r="C261">
        <v>12</v>
      </c>
      <c r="D261" t="s">
        <v>4299</v>
      </c>
      <c r="E261">
        <v>4</v>
      </c>
      <c r="F261">
        <v>13</v>
      </c>
      <c r="G261" t="s">
        <v>4298</v>
      </c>
    </row>
    <row r="262" spans="1:7">
      <c r="A262" s="10">
        <v>45174</v>
      </c>
      <c r="B262">
        <v>2023</v>
      </c>
      <c r="C262">
        <v>9</v>
      </c>
      <c r="D262" t="s">
        <v>4304</v>
      </c>
      <c r="E262">
        <v>3</v>
      </c>
      <c r="F262">
        <v>5</v>
      </c>
      <c r="G262" t="s">
        <v>4303</v>
      </c>
    </row>
    <row r="263" spans="1:7">
      <c r="A263" s="10">
        <v>45699</v>
      </c>
      <c r="B263">
        <v>2025</v>
      </c>
      <c r="C263">
        <v>2</v>
      </c>
      <c r="D263" t="s">
        <v>4312</v>
      </c>
      <c r="E263">
        <v>1</v>
      </c>
      <c r="F263">
        <v>11</v>
      </c>
      <c r="G263" t="s">
        <v>4303</v>
      </c>
    </row>
    <row r="264" spans="1:7">
      <c r="A264" s="10">
        <v>45101</v>
      </c>
      <c r="B264">
        <v>2023</v>
      </c>
      <c r="C264">
        <v>6</v>
      </c>
      <c r="D264" t="s">
        <v>4310</v>
      </c>
      <c r="E264">
        <v>2</v>
      </c>
      <c r="F264">
        <v>24</v>
      </c>
      <c r="G264" t="s">
        <v>4298</v>
      </c>
    </row>
    <row r="265" spans="1:7">
      <c r="A265" s="10">
        <v>46008</v>
      </c>
      <c r="B265">
        <v>2025</v>
      </c>
      <c r="C265">
        <v>12</v>
      </c>
      <c r="D265" t="s">
        <v>4299</v>
      </c>
      <c r="E265">
        <v>4</v>
      </c>
      <c r="F265">
        <v>17</v>
      </c>
      <c r="G265" t="s">
        <v>4308</v>
      </c>
    </row>
    <row r="266" spans="1:7">
      <c r="A266" s="10">
        <v>45411</v>
      </c>
      <c r="B266">
        <v>2024</v>
      </c>
      <c r="C266">
        <v>4</v>
      </c>
      <c r="D266" t="s">
        <v>4314</v>
      </c>
      <c r="E266">
        <v>2</v>
      </c>
      <c r="F266">
        <v>29</v>
      </c>
      <c r="G266" t="s">
        <v>4301</v>
      </c>
    </row>
    <row r="267" spans="1:7">
      <c r="A267" s="10">
        <v>45429</v>
      </c>
      <c r="B267">
        <v>2024</v>
      </c>
      <c r="C267">
        <v>5</v>
      </c>
      <c r="D267" t="s">
        <v>4305</v>
      </c>
      <c r="E267">
        <v>2</v>
      </c>
      <c r="F267">
        <v>17</v>
      </c>
      <c r="G267" t="s">
        <v>4306</v>
      </c>
    </row>
    <row r="268" spans="1:7">
      <c r="A268" s="10">
        <v>45213</v>
      </c>
      <c r="B268">
        <v>2023</v>
      </c>
      <c r="C268">
        <v>10</v>
      </c>
      <c r="D268" t="s">
        <v>4302</v>
      </c>
      <c r="E268">
        <v>4</v>
      </c>
      <c r="F268">
        <v>14</v>
      </c>
      <c r="G268" t="s">
        <v>4298</v>
      </c>
    </row>
    <row r="269" spans="1:7">
      <c r="A269" s="10">
        <v>45085</v>
      </c>
      <c r="B269">
        <v>2023</v>
      </c>
      <c r="C269">
        <v>6</v>
      </c>
      <c r="D269" t="s">
        <v>4310</v>
      </c>
      <c r="E269">
        <v>2</v>
      </c>
      <c r="F269">
        <v>8</v>
      </c>
      <c r="G269" t="s">
        <v>4300</v>
      </c>
    </row>
    <row r="270" spans="1:7">
      <c r="A270" s="10">
        <v>45406</v>
      </c>
      <c r="B270">
        <v>2024</v>
      </c>
      <c r="C270">
        <v>4</v>
      </c>
      <c r="D270" t="s">
        <v>4314</v>
      </c>
      <c r="E270">
        <v>2</v>
      </c>
      <c r="F270">
        <v>24</v>
      </c>
      <c r="G270" t="s">
        <v>4308</v>
      </c>
    </row>
    <row r="271" spans="1:7">
      <c r="A271" s="10">
        <v>45488</v>
      </c>
      <c r="B271">
        <v>2024</v>
      </c>
      <c r="C271">
        <v>7</v>
      </c>
      <c r="D271" t="s">
        <v>4297</v>
      </c>
      <c r="E271">
        <v>3</v>
      </c>
      <c r="F271">
        <v>15</v>
      </c>
      <c r="G271" t="s">
        <v>4301</v>
      </c>
    </row>
    <row r="272" spans="1:7">
      <c r="A272" s="10">
        <v>44978</v>
      </c>
      <c r="B272">
        <v>2023</v>
      </c>
      <c r="C272">
        <v>2</v>
      </c>
      <c r="D272" t="s">
        <v>4312</v>
      </c>
      <c r="E272">
        <v>1</v>
      </c>
      <c r="F272">
        <v>21</v>
      </c>
      <c r="G272" t="s">
        <v>4303</v>
      </c>
    </row>
    <row r="273" spans="1:7">
      <c r="A273" s="10">
        <v>45182</v>
      </c>
      <c r="B273">
        <v>2023</v>
      </c>
      <c r="C273">
        <v>9</v>
      </c>
      <c r="D273" t="s">
        <v>4304</v>
      </c>
      <c r="E273">
        <v>3</v>
      </c>
      <c r="F273">
        <v>13</v>
      </c>
      <c r="G273" t="s">
        <v>4308</v>
      </c>
    </row>
    <row r="274" spans="1:7">
      <c r="A274" s="10">
        <v>45134</v>
      </c>
      <c r="B274">
        <v>2023</v>
      </c>
      <c r="C274">
        <v>7</v>
      </c>
      <c r="D274" t="s">
        <v>4297</v>
      </c>
      <c r="E274">
        <v>3</v>
      </c>
      <c r="F274">
        <v>27</v>
      </c>
      <c r="G274" t="s">
        <v>4300</v>
      </c>
    </row>
    <row r="275" spans="1:7">
      <c r="A275" s="10">
        <v>45225</v>
      </c>
      <c r="B275">
        <v>2023</v>
      </c>
      <c r="C275">
        <v>10</v>
      </c>
      <c r="D275" t="s">
        <v>4302</v>
      </c>
      <c r="E275">
        <v>4</v>
      </c>
      <c r="F275">
        <v>26</v>
      </c>
      <c r="G275" t="s">
        <v>4300</v>
      </c>
    </row>
    <row r="276" spans="1:7">
      <c r="A276" s="10">
        <v>45540</v>
      </c>
      <c r="B276">
        <v>2024</v>
      </c>
      <c r="C276">
        <v>9</v>
      </c>
      <c r="D276" t="s">
        <v>4304</v>
      </c>
      <c r="E276">
        <v>3</v>
      </c>
      <c r="F276">
        <v>5</v>
      </c>
      <c r="G276" t="s">
        <v>4300</v>
      </c>
    </row>
    <row r="277" spans="1:7">
      <c r="A277" s="10">
        <v>44960</v>
      </c>
      <c r="B277">
        <v>2023</v>
      </c>
      <c r="C277">
        <v>2</v>
      </c>
      <c r="D277" t="s">
        <v>4312</v>
      </c>
      <c r="E277">
        <v>1</v>
      </c>
      <c r="F277">
        <v>3</v>
      </c>
      <c r="G277" t="s">
        <v>4306</v>
      </c>
    </row>
    <row r="278" spans="1:7">
      <c r="A278" s="10">
        <v>45169</v>
      </c>
      <c r="B278">
        <v>2023</v>
      </c>
      <c r="C278">
        <v>8</v>
      </c>
      <c r="D278" t="s">
        <v>4313</v>
      </c>
      <c r="E278">
        <v>3</v>
      </c>
      <c r="F278">
        <v>31</v>
      </c>
      <c r="G278" t="s">
        <v>4300</v>
      </c>
    </row>
    <row r="279" spans="1:7">
      <c r="A279" s="10">
        <v>45059</v>
      </c>
      <c r="B279">
        <v>2023</v>
      </c>
      <c r="C279">
        <v>5</v>
      </c>
      <c r="D279" t="s">
        <v>4305</v>
      </c>
      <c r="E279">
        <v>2</v>
      </c>
      <c r="F279">
        <v>13</v>
      </c>
      <c r="G279" t="s">
        <v>4298</v>
      </c>
    </row>
    <row r="280" spans="1:7">
      <c r="A280" s="10">
        <v>45693</v>
      </c>
      <c r="B280">
        <v>2025</v>
      </c>
      <c r="C280">
        <v>2</v>
      </c>
      <c r="D280" t="s">
        <v>4312</v>
      </c>
      <c r="E280">
        <v>1</v>
      </c>
      <c r="F280">
        <v>5</v>
      </c>
      <c r="G280" t="s">
        <v>4308</v>
      </c>
    </row>
    <row r="281" spans="1:7">
      <c r="A281" s="10">
        <v>45087</v>
      </c>
      <c r="B281">
        <v>2023</v>
      </c>
      <c r="C281">
        <v>6</v>
      </c>
      <c r="D281" t="s">
        <v>4310</v>
      </c>
      <c r="E281">
        <v>2</v>
      </c>
      <c r="F281">
        <v>10</v>
      </c>
      <c r="G281" t="s">
        <v>4298</v>
      </c>
    </row>
    <row r="282" spans="1:7">
      <c r="A282" s="10">
        <v>45893</v>
      </c>
      <c r="B282">
        <v>2025</v>
      </c>
      <c r="C282">
        <v>8</v>
      </c>
      <c r="D282" t="s">
        <v>4313</v>
      </c>
      <c r="E282">
        <v>3</v>
      </c>
      <c r="F282">
        <v>24</v>
      </c>
      <c r="G282" t="s">
        <v>4309</v>
      </c>
    </row>
    <row r="283" spans="1:7">
      <c r="A283" s="10">
        <v>45950</v>
      </c>
      <c r="B283">
        <v>2025</v>
      </c>
      <c r="C283">
        <v>10</v>
      </c>
      <c r="D283" t="s">
        <v>4302</v>
      </c>
      <c r="E283">
        <v>4</v>
      </c>
      <c r="F283">
        <v>20</v>
      </c>
      <c r="G283" t="s">
        <v>4301</v>
      </c>
    </row>
    <row r="284" spans="1:7">
      <c r="A284" s="10">
        <v>45927</v>
      </c>
      <c r="B284">
        <v>2025</v>
      </c>
      <c r="C284">
        <v>9</v>
      </c>
      <c r="D284" t="s">
        <v>4304</v>
      </c>
      <c r="E284">
        <v>3</v>
      </c>
      <c r="F284">
        <v>27</v>
      </c>
      <c r="G284" t="s">
        <v>4298</v>
      </c>
    </row>
    <row r="285" spans="1:7">
      <c r="A285" s="10">
        <v>45562</v>
      </c>
      <c r="B285">
        <v>2024</v>
      </c>
      <c r="C285">
        <v>9</v>
      </c>
      <c r="D285" t="s">
        <v>4304</v>
      </c>
      <c r="E285">
        <v>3</v>
      </c>
      <c r="F285">
        <v>27</v>
      </c>
      <c r="G285" t="s">
        <v>4306</v>
      </c>
    </row>
    <row r="286" spans="1:7">
      <c r="A286" s="10">
        <v>45811</v>
      </c>
      <c r="B286">
        <v>2025</v>
      </c>
      <c r="C286">
        <v>6</v>
      </c>
      <c r="D286" t="s">
        <v>4310</v>
      </c>
      <c r="E286">
        <v>2</v>
      </c>
      <c r="F286">
        <v>3</v>
      </c>
      <c r="G286" t="s">
        <v>4303</v>
      </c>
    </row>
    <row r="287" spans="1:7">
      <c r="A287" s="10">
        <v>45963</v>
      </c>
      <c r="B287">
        <v>2025</v>
      </c>
      <c r="C287">
        <v>11</v>
      </c>
      <c r="D287" t="s">
        <v>4315</v>
      </c>
      <c r="E287">
        <v>4</v>
      </c>
      <c r="F287">
        <v>2</v>
      </c>
      <c r="G287" t="s">
        <v>4309</v>
      </c>
    </row>
    <row r="288" spans="1:7">
      <c r="A288" s="10">
        <v>45529</v>
      </c>
      <c r="B288">
        <v>2024</v>
      </c>
      <c r="C288">
        <v>8</v>
      </c>
      <c r="D288" t="s">
        <v>4313</v>
      </c>
      <c r="E288">
        <v>3</v>
      </c>
      <c r="F288">
        <v>25</v>
      </c>
      <c r="G288" t="s">
        <v>4309</v>
      </c>
    </row>
    <row r="289" spans="1:7">
      <c r="A289" s="10">
        <v>45694</v>
      </c>
      <c r="B289">
        <v>2025</v>
      </c>
      <c r="C289">
        <v>2</v>
      </c>
      <c r="D289" t="s">
        <v>4312</v>
      </c>
      <c r="E289">
        <v>1</v>
      </c>
      <c r="F289">
        <v>6</v>
      </c>
      <c r="G289" t="s">
        <v>4300</v>
      </c>
    </row>
    <row r="290" spans="1:7">
      <c r="A290" s="10">
        <v>44957</v>
      </c>
      <c r="B290">
        <v>2023</v>
      </c>
      <c r="C290">
        <v>1</v>
      </c>
      <c r="D290" t="s">
        <v>4307</v>
      </c>
      <c r="E290">
        <v>1</v>
      </c>
      <c r="F290">
        <v>31</v>
      </c>
      <c r="G290" t="s">
        <v>4303</v>
      </c>
    </row>
    <row r="291" spans="1:7">
      <c r="A291" s="10">
        <v>45607</v>
      </c>
      <c r="B291">
        <v>2024</v>
      </c>
      <c r="C291">
        <v>11</v>
      </c>
      <c r="D291" t="s">
        <v>4315</v>
      </c>
      <c r="E291">
        <v>4</v>
      </c>
      <c r="F291">
        <v>11</v>
      </c>
      <c r="G291" t="s">
        <v>4301</v>
      </c>
    </row>
    <row r="292" spans="1:7">
      <c r="A292" s="10">
        <v>45414</v>
      </c>
      <c r="B292">
        <v>2024</v>
      </c>
      <c r="C292">
        <v>5</v>
      </c>
      <c r="D292" t="s">
        <v>4305</v>
      </c>
      <c r="E292">
        <v>2</v>
      </c>
      <c r="F292">
        <v>2</v>
      </c>
      <c r="G292" t="s">
        <v>4300</v>
      </c>
    </row>
    <row r="293" spans="1:7">
      <c r="A293" s="10">
        <v>45933</v>
      </c>
      <c r="B293">
        <v>2025</v>
      </c>
      <c r="C293">
        <v>10</v>
      </c>
      <c r="D293" t="s">
        <v>4302</v>
      </c>
      <c r="E293">
        <v>4</v>
      </c>
      <c r="F293">
        <v>3</v>
      </c>
      <c r="G293" t="s">
        <v>4306</v>
      </c>
    </row>
    <row r="294" spans="1:7">
      <c r="A294" s="10">
        <v>45891</v>
      </c>
      <c r="B294">
        <v>2025</v>
      </c>
      <c r="C294">
        <v>8</v>
      </c>
      <c r="D294" t="s">
        <v>4313</v>
      </c>
      <c r="E294">
        <v>3</v>
      </c>
      <c r="F294">
        <v>22</v>
      </c>
      <c r="G294" t="s">
        <v>4306</v>
      </c>
    </row>
    <row r="295" spans="1:7">
      <c r="A295" s="10">
        <v>45693</v>
      </c>
      <c r="B295">
        <v>2025</v>
      </c>
      <c r="C295">
        <v>2</v>
      </c>
      <c r="D295" t="s">
        <v>4312</v>
      </c>
      <c r="E295">
        <v>1</v>
      </c>
      <c r="F295">
        <v>5</v>
      </c>
      <c r="G295" t="s">
        <v>4308</v>
      </c>
    </row>
    <row r="296" spans="1:7">
      <c r="A296" s="10">
        <v>45905</v>
      </c>
      <c r="B296">
        <v>2025</v>
      </c>
      <c r="C296">
        <v>9</v>
      </c>
      <c r="D296" t="s">
        <v>4304</v>
      </c>
      <c r="E296">
        <v>3</v>
      </c>
      <c r="F296">
        <v>5</v>
      </c>
      <c r="G296" t="s">
        <v>4306</v>
      </c>
    </row>
    <row r="297" spans="1:7">
      <c r="A297" s="10">
        <v>45952</v>
      </c>
      <c r="B297">
        <v>2025</v>
      </c>
      <c r="C297">
        <v>10</v>
      </c>
      <c r="D297" t="s">
        <v>4302</v>
      </c>
      <c r="E297">
        <v>4</v>
      </c>
      <c r="F297">
        <v>22</v>
      </c>
      <c r="G297" t="s">
        <v>4308</v>
      </c>
    </row>
    <row r="298" spans="1:7">
      <c r="A298" s="10">
        <v>45923</v>
      </c>
      <c r="B298">
        <v>2025</v>
      </c>
      <c r="C298">
        <v>9</v>
      </c>
      <c r="D298" t="s">
        <v>4304</v>
      </c>
      <c r="E298">
        <v>3</v>
      </c>
      <c r="F298">
        <v>23</v>
      </c>
      <c r="G298" t="s">
        <v>4303</v>
      </c>
    </row>
    <row r="299" spans="1:7">
      <c r="A299" s="10">
        <v>45012</v>
      </c>
      <c r="B299">
        <v>2023</v>
      </c>
      <c r="C299">
        <v>3</v>
      </c>
      <c r="D299" t="s">
        <v>4311</v>
      </c>
      <c r="E299">
        <v>1</v>
      </c>
      <c r="F299">
        <v>27</v>
      </c>
      <c r="G299" t="s">
        <v>4301</v>
      </c>
    </row>
    <row r="300" spans="1:7">
      <c r="A300" s="10">
        <v>46013</v>
      </c>
      <c r="B300">
        <v>2025</v>
      </c>
      <c r="C300">
        <v>12</v>
      </c>
      <c r="D300" t="s">
        <v>4299</v>
      </c>
      <c r="E300">
        <v>4</v>
      </c>
      <c r="F300">
        <v>22</v>
      </c>
      <c r="G300" t="s">
        <v>4301</v>
      </c>
    </row>
    <row r="301" spans="1:7">
      <c r="A301" s="10">
        <v>45715</v>
      </c>
      <c r="B301">
        <v>2025</v>
      </c>
      <c r="C301">
        <v>2</v>
      </c>
      <c r="D301" t="s">
        <v>4312</v>
      </c>
      <c r="E301">
        <v>1</v>
      </c>
      <c r="F301">
        <v>27</v>
      </c>
      <c r="G301" t="s">
        <v>4300</v>
      </c>
    </row>
    <row r="302" spans="1:7">
      <c r="A302" s="10">
        <v>45454</v>
      </c>
      <c r="B302">
        <v>2024</v>
      </c>
      <c r="C302">
        <v>6</v>
      </c>
      <c r="D302" t="s">
        <v>4310</v>
      </c>
      <c r="E302">
        <v>2</v>
      </c>
      <c r="F302">
        <v>11</v>
      </c>
      <c r="G302" t="s">
        <v>4303</v>
      </c>
    </row>
    <row r="303" spans="1:7">
      <c r="A303" s="10">
        <v>45482</v>
      </c>
      <c r="B303">
        <v>2024</v>
      </c>
      <c r="C303">
        <v>7</v>
      </c>
      <c r="D303" t="s">
        <v>4297</v>
      </c>
      <c r="E303">
        <v>3</v>
      </c>
      <c r="F303">
        <v>9</v>
      </c>
      <c r="G303" t="s">
        <v>4303</v>
      </c>
    </row>
    <row r="304" spans="1:7">
      <c r="A304" s="10">
        <v>45228</v>
      </c>
      <c r="B304">
        <v>2023</v>
      </c>
      <c r="C304">
        <v>10</v>
      </c>
      <c r="D304" t="s">
        <v>4302</v>
      </c>
      <c r="E304">
        <v>4</v>
      </c>
      <c r="F304">
        <v>29</v>
      </c>
      <c r="G304" t="s">
        <v>4309</v>
      </c>
    </row>
    <row r="305" spans="1:7">
      <c r="A305" s="10">
        <v>45729</v>
      </c>
      <c r="B305">
        <v>2025</v>
      </c>
      <c r="C305">
        <v>3</v>
      </c>
      <c r="D305" t="s">
        <v>4311</v>
      </c>
      <c r="E305">
        <v>1</v>
      </c>
      <c r="F305">
        <v>13</v>
      </c>
      <c r="G305" t="s">
        <v>4300</v>
      </c>
    </row>
    <row r="306" spans="1:7">
      <c r="A306" s="10">
        <v>45915</v>
      </c>
      <c r="B306">
        <v>2025</v>
      </c>
      <c r="C306">
        <v>9</v>
      </c>
      <c r="D306" t="s">
        <v>4304</v>
      </c>
      <c r="E306">
        <v>3</v>
      </c>
      <c r="F306">
        <v>15</v>
      </c>
      <c r="G306" t="s">
        <v>4301</v>
      </c>
    </row>
    <row r="307" spans="1:7">
      <c r="A307" s="10">
        <v>45927</v>
      </c>
      <c r="B307">
        <v>2025</v>
      </c>
      <c r="C307">
        <v>9</v>
      </c>
      <c r="D307" t="s">
        <v>4304</v>
      </c>
      <c r="E307">
        <v>3</v>
      </c>
      <c r="F307">
        <v>27</v>
      </c>
      <c r="G307" t="s">
        <v>4298</v>
      </c>
    </row>
    <row r="308" spans="1:7">
      <c r="A308" s="10">
        <v>45538</v>
      </c>
      <c r="B308">
        <v>2024</v>
      </c>
      <c r="C308">
        <v>9</v>
      </c>
      <c r="D308" t="s">
        <v>4304</v>
      </c>
      <c r="E308">
        <v>3</v>
      </c>
      <c r="F308">
        <v>3</v>
      </c>
      <c r="G308" t="s">
        <v>4303</v>
      </c>
    </row>
    <row r="309" spans="1:7">
      <c r="A309" s="10">
        <v>45106</v>
      </c>
      <c r="B309">
        <v>2023</v>
      </c>
      <c r="C309">
        <v>6</v>
      </c>
      <c r="D309" t="s">
        <v>4310</v>
      </c>
      <c r="E309">
        <v>2</v>
      </c>
      <c r="F309">
        <v>29</v>
      </c>
      <c r="G309" t="s">
        <v>4300</v>
      </c>
    </row>
    <row r="310" spans="1:7">
      <c r="A310" s="10">
        <v>45217</v>
      </c>
      <c r="B310">
        <v>2023</v>
      </c>
      <c r="C310">
        <v>10</v>
      </c>
      <c r="D310" t="s">
        <v>4302</v>
      </c>
      <c r="E310">
        <v>4</v>
      </c>
      <c r="F310">
        <v>18</v>
      </c>
      <c r="G310" t="s">
        <v>4308</v>
      </c>
    </row>
    <row r="311" spans="1:7">
      <c r="A311" s="10">
        <v>45974</v>
      </c>
      <c r="B311">
        <v>2025</v>
      </c>
      <c r="C311">
        <v>11</v>
      </c>
      <c r="D311" t="s">
        <v>4315</v>
      </c>
      <c r="E311">
        <v>4</v>
      </c>
      <c r="F311">
        <v>13</v>
      </c>
      <c r="G311" t="s">
        <v>4300</v>
      </c>
    </row>
    <row r="312" spans="1:7">
      <c r="A312" s="10">
        <v>46005</v>
      </c>
      <c r="B312">
        <v>2025</v>
      </c>
      <c r="C312">
        <v>12</v>
      </c>
      <c r="D312" t="s">
        <v>4299</v>
      </c>
      <c r="E312">
        <v>4</v>
      </c>
      <c r="F312">
        <v>14</v>
      </c>
      <c r="G312" t="s">
        <v>4309</v>
      </c>
    </row>
    <row r="313" spans="1:7">
      <c r="A313" s="10">
        <v>45245</v>
      </c>
      <c r="B313">
        <v>2023</v>
      </c>
      <c r="C313">
        <v>11</v>
      </c>
      <c r="D313" t="s">
        <v>4315</v>
      </c>
      <c r="E313">
        <v>4</v>
      </c>
      <c r="F313">
        <v>15</v>
      </c>
      <c r="G313" t="s">
        <v>4308</v>
      </c>
    </row>
    <row r="314" spans="1:7">
      <c r="A314" s="10">
        <v>45111</v>
      </c>
      <c r="B314">
        <v>2023</v>
      </c>
      <c r="C314">
        <v>7</v>
      </c>
      <c r="D314" t="s">
        <v>4297</v>
      </c>
      <c r="E314">
        <v>3</v>
      </c>
      <c r="F314">
        <v>4</v>
      </c>
      <c r="G314" t="s">
        <v>4303</v>
      </c>
    </row>
    <row r="315" spans="1:7">
      <c r="A315" s="10">
        <v>46008</v>
      </c>
      <c r="B315">
        <v>2025</v>
      </c>
      <c r="C315">
        <v>12</v>
      </c>
      <c r="D315" t="s">
        <v>4299</v>
      </c>
      <c r="E315">
        <v>4</v>
      </c>
      <c r="F315">
        <v>17</v>
      </c>
      <c r="G315" t="s">
        <v>4308</v>
      </c>
    </row>
    <row r="316" spans="1:7">
      <c r="A316" s="10">
        <v>45482</v>
      </c>
      <c r="B316">
        <v>2024</v>
      </c>
      <c r="C316">
        <v>7</v>
      </c>
      <c r="D316" t="s">
        <v>4297</v>
      </c>
      <c r="E316">
        <v>3</v>
      </c>
      <c r="F316">
        <v>9</v>
      </c>
      <c r="G316" t="s">
        <v>4303</v>
      </c>
    </row>
    <row r="317" spans="1:7">
      <c r="A317" s="10">
        <v>45673</v>
      </c>
      <c r="B317">
        <v>2025</v>
      </c>
      <c r="C317">
        <v>1</v>
      </c>
      <c r="D317" t="s">
        <v>4307</v>
      </c>
      <c r="E317">
        <v>1</v>
      </c>
      <c r="F317">
        <v>16</v>
      </c>
      <c r="G317" t="s">
        <v>4300</v>
      </c>
    </row>
    <row r="318" spans="1:7">
      <c r="A318" s="10">
        <v>45187</v>
      </c>
      <c r="B318">
        <v>2023</v>
      </c>
      <c r="C318">
        <v>9</v>
      </c>
      <c r="D318" t="s">
        <v>4304</v>
      </c>
      <c r="E318">
        <v>3</v>
      </c>
      <c r="F318">
        <v>18</v>
      </c>
      <c r="G318" t="s">
        <v>4301</v>
      </c>
    </row>
    <row r="319" spans="1:7">
      <c r="A319" s="10">
        <v>45162</v>
      </c>
      <c r="B319">
        <v>2023</v>
      </c>
      <c r="C319">
        <v>8</v>
      </c>
      <c r="D319" t="s">
        <v>4313</v>
      </c>
      <c r="E319">
        <v>3</v>
      </c>
      <c r="F319">
        <v>24</v>
      </c>
      <c r="G319" t="s">
        <v>4300</v>
      </c>
    </row>
    <row r="320" spans="1:7">
      <c r="A320" s="10">
        <v>45908</v>
      </c>
      <c r="B320">
        <v>2025</v>
      </c>
      <c r="C320">
        <v>9</v>
      </c>
      <c r="D320" t="s">
        <v>4304</v>
      </c>
      <c r="E320">
        <v>3</v>
      </c>
      <c r="F320">
        <v>8</v>
      </c>
      <c r="G320" t="s">
        <v>4301</v>
      </c>
    </row>
    <row r="321" spans="1:7">
      <c r="A321" s="10">
        <v>45193</v>
      </c>
      <c r="B321">
        <v>2023</v>
      </c>
      <c r="C321">
        <v>9</v>
      </c>
      <c r="D321" t="s">
        <v>4304</v>
      </c>
      <c r="E321">
        <v>3</v>
      </c>
      <c r="F321">
        <v>24</v>
      </c>
      <c r="G321" t="s">
        <v>4309</v>
      </c>
    </row>
    <row r="322" spans="1:7">
      <c r="A322" s="10">
        <v>45016</v>
      </c>
      <c r="B322">
        <v>2023</v>
      </c>
      <c r="C322">
        <v>3</v>
      </c>
      <c r="D322" t="s">
        <v>4311</v>
      </c>
      <c r="E322">
        <v>1</v>
      </c>
      <c r="F322">
        <v>31</v>
      </c>
      <c r="G322" t="s">
        <v>4306</v>
      </c>
    </row>
    <row r="323" spans="1:7">
      <c r="A323" s="10">
        <v>45970</v>
      </c>
      <c r="B323">
        <v>2025</v>
      </c>
      <c r="C323">
        <v>11</v>
      </c>
      <c r="D323" t="s">
        <v>4315</v>
      </c>
      <c r="E323">
        <v>4</v>
      </c>
      <c r="F323">
        <v>9</v>
      </c>
      <c r="G323" t="s">
        <v>4309</v>
      </c>
    </row>
    <row r="324" spans="1:7">
      <c r="A324" s="10">
        <v>45436</v>
      </c>
      <c r="B324">
        <v>2024</v>
      </c>
      <c r="C324">
        <v>5</v>
      </c>
      <c r="D324" t="s">
        <v>4305</v>
      </c>
      <c r="E324">
        <v>2</v>
      </c>
      <c r="F324">
        <v>24</v>
      </c>
      <c r="G324" t="s">
        <v>4306</v>
      </c>
    </row>
    <row r="325" spans="1:7">
      <c r="A325" s="10">
        <v>45349</v>
      </c>
      <c r="B325">
        <v>2024</v>
      </c>
      <c r="C325">
        <v>2</v>
      </c>
      <c r="D325" t="s">
        <v>4312</v>
      </c>
      <c r="E325">
        <v>1</v>
      </c>
      <c r="F325">
        <v>27</v>
      </c>
      <c r="G325" t="s">
        <v>4303</v>
      </c>
    </row>
    <row r="326" spans="1:7">
      <c r="A326" s="10">
        <v>45429</v>
      </c>
      <c r="B326">
        <v>2024</v>
      </c>
      <c r="C326">
        <v>5</v>
      </c>
      <c r="D326" t="s">
        <v>4305</v>
      </c>
      <c r="E326">
        <v>2</v>
      </c>
      <c r="F326">
        <v>17</v>
      </c>
      <c r="G326" t="s">
        <v>4306</v>
      </c>
    </row>
    <row r="327" spans="1:7">
      <c r="A327" s="10">
        <v>45261</v>
      </c>
      <c r="B327">
        <v>2023</v>
      </c>
      <c r="C327">
        <v>12</v>
      </c>
      <c r="D327" t="s">
        <v>4299</v>
      </c>
      <c r="E327">
        <v>4</v>
      </c>
      <c r="F327">
        <v>1</v>
      </c>
      <c r="G327" t="s">
        <v>4306</v>
      </c>
    </row>
    <row r="328" spans="1:7">
      <c r="A328" s="10">
        <v>45504</v>
      </c>
      <c r="B328">
        <v>2024</v>
      </c>
      <c r="C328">
        <v>7</v>
      </c>
      <c r="D328" t="s">
        <v>4297</v>
      </c>
      <c r="E328">
        <v>3</v>
      </c>
      <c r="F328">
        <v>31</v>
      </c>
      <c r="G328" t="s">
        <v>4308</v>
      </c>
    </row>
    <row r="329" spans="1:7">
      <c r="A329" s="10">
        <v>45227</v>
      </c>
      <c r="B329">
        <v>2023</v>
      </c>
      <c r="C329">
        <v>10</v>
      </c>
      <c r="D329" t="s">
        <v>4302</v>
      </c>
      <c r="E329">
        <v>4</v>
      </c>
      <c r="F329">
        <v>28</v>
      </c>
      <c r="G329" t="s">
        <v>4298</v>
      </c>
    </row>
    <row r="330" spans="1:7">
      <c r="A330" s="10">
        <v>45935</v>
      </c>
      <c r="B330">
        <v>2025</v>
      </c>
      <c r="C330">
        <v>10</v>
      </c>
      <c r="D330" t="s">
        <v>4302</v>
      </c>
      <c r="E330">
        <v>4</v>
      </c>
      <c r="F330">
        <v>5</v>
      </c>
      <c r="G330" t="s">
        <v>4309</v>
      </c>
    </row>
    <row r="331" spans="1:7">
      <c r="A331" s="10">
        <v>45423</v>
      </c>
      <c r="B331">
        <v>2024</v>
      </c>
      <c r="C331">
        <v>5</v>
      </c>
      <c r="D331" t="s">
        <v>4305</v>
      </c>
      <c r="E331">
        <v>2</v>
      </c>
      <c r="F331">
        <v>11</v>
      </c>
      <c r="G331" t="s">
        <v>4298</v>
      </c>
    </row>
    <row r="332" spans="1:7">
      <c r="A332" s="10">
        <v>46007</v>
      </c>
      <c r="B332">
        <v>2025</v>
      </c>
      <c r="C332">
        <v>12</v>
      </c>
      <c r="D332" t="s">
        <v>4299</v>
      </c>
      <c r="E332">
        <v>4</v>
      </c>
      <c r="F332">
        <v>16</v>
      </c>
      <c r="G332" t="s">
        <v>4303</v>
      </c>
    </row>
    <row r="333" spans="1:7">
      <c r="A333" s="10">
        <v>45360</v>
      </c>
      <c r="B333">
        <v>2024</v>
      </c>
      <c r="C333">
        <v>3</v>
      </c>
      <c r="D333" t="s">
        <v>4311</v>
      </c>
      <c r="E333">
        <v>1</v>
      </c>
      <c r="F333">
        <v>9</v>
      </c>
      <c r="G333" t="s">
        <v>4298</v>
      </c>
    </row>
    <row r="334" spans="1:7">
      <c r="A334" s="10">
        <v>44949</v>
      </c>
      <c r="B334">
        <v>2023</v>
      </c>
      <c r="C334">
        <v>1</v>
      </c>
      <c r="D334" t="s">
        <v>4307</v>
      </c>
      <c r="E334">
        <v>1</v>
      </c>
      <c r="F334">
        <v>23</v>
      </c>
      <c r="G334" t="s">
        <v>4301</v>
      </c>
    </row>
    <row r="335" spans="1:7">
      <c r="A335" s="10">
        <v>45234</v>
      </c>
      <c r="B335">
        <v>2023</v>
      </c>
      <c r="C335">
        <v>11</v>
      </c>
      <c r="D335" t="s">
        <v>4315</v>
      </c>
      <c r="E335">
        <v>4</v>
      </c>
      <c r="F335">
        <v>4</v>
      </c>
      <c r="G335" t="s">
        <v>4298</v>
      </c>
    </row>
    <row r="336" spans="1:7">
      <c r="A336" s="10">
        <v>45720</v>
      </c>
      <c r="B336">
        <v>2025</v>
      </c>
      <c r="C336">
        <v>3</v>
      </c>
      <c r="D336" t="s">
        <v>4311</v>
      </c>
      <c r="E336">
        <v>1</v>
      </c>
      <c r="F336">
        <v>4</v>
      </c>
      <c r="G336" t="s">
        <v>4303</v>
      </c>
    </row>
    <row r="337" spans="1:7">
      <c r="A337" s="10">
        <v>45214</v>
      </c>
      <c r="B337">
        <v>2023</v>
      </c>
      <c r="C337">
        <v>10</v>
      </c>
      <c r="D337" t="s">
        <v>4302</v>
      </c>
      <c r="E337">
        <v>4</v>
      </c>
      <c r="F337">
        <v>15</v>
      </c>
      <c r="G337" t="s">
        <v>4309</v>
      </c>
    </row>
    <row r="338" spans="1:7">
      <c r="A338" s="10">
        <v>45696</v>
      </c>
      <c r="B338">
        <v>2025</v>
      </c>
      <c r="C338">
        <v>2</v>
      </c>
      <c r="D338" t="s">
        <v>4312</v>
      </c>
      <c r="E338">
        <v>1</v>
      </c>
      <c r="F338">
        <v>8</v>
      </c>
      <c r="G338" t="s">
        <v>4298</v>
      </c>
    </row>
    <row r="339" spans="1:7">
      <c r="A339" s="10">
        <v>45005</v>
      </c>
      <c r="B339">
        <v>2023</v>
      </c>
      <c r="C339">
        <v>3</v>
      </c>
      <c r="D339" t="s">
        <v>4311</v>
      </c>
      <c r="E339">
        <v>1</v>
      </c>
      <c r="F339">
        <v>20</v>
      </c>
      <c r="G339" t="s">
        <v>4301</v>
      </c>
    </row>
    <row r="340" spans="1:7">
      <c r="A340" s="10">
        <v>45458</v>
      </c>
      <c r="B340">
        <v>2024</v>
      </c>
      <c r="C340">
        <v>6</v>
      </c>
      <c r="D340" t="s">
        <v>4310</v>
      </c>
      <c r="E340">
        <v>2</v>
      </c>
      <c r="F340">
        <v>15</v>
      </c>
      <c r="G340" t="s">
        <v>4298</v>
      </c>
    </row>
    <row r="341" spans="1:7">
      <c r="A341" s="10">
        <v>45949</v>
      </c>
      <c r="B341">
        <v>2025</v>
      </c>
      <c r="C341">
        <v>10</v>
      </c>
      <c r="D341" t="s">
        <v>4302</v>
      </c>
      <c r="E341">
        <v>4</v>
      </c>
      <c r="F341">
        <v>19</v>
      </c>
      <c r="G341" t="s">
        <v>4309</v>
      </c>
    </row>
    <row r="342" spans="1:7">
      <c r="A342" s="10">
        <v>45545</v>
      </c>
      <c r="B342">
        <v>2024</v>
      </c>
      <c r="C342">
        <v>9</v>
      </c>
      <c r="D342" t="s">
        <v>4304</v>
      </c>
      <c r="E342">
        <v>3</v>
      </c>
      <c r="F342">
        <v>10</v>
      </c>
      <c r="G342" t="s">
        <v>4303</v>
      </c>
    </row>
    <row r="343" spans="1:7">
      <c r="A343" s="10">
        <v>44960</v>
      </c>
      <c r="B343">
        <v>2023</v>
      </c>
      <c r="C343">
        <v>2</v>
      </c>
      <c r="D343" t="s">
        <v>4312</v>
      </c>
      <c r="E343">
        <v>1</v>
      </c>
      <c r="F343">
        <v>3</v>
      </c>
      <c r="G343" t="s">
        <v>4306</v>
      </c>
    </row>
    <row r="344" spans="1:7">
      <c r="A344" s="10">
        <v>45468</v>
      </c>
      <c r="B344">
        <v>2024</v>
      </c>
      <c r="C344">
        <v>6</v>
      </c>
      <c r="D344" t="s">
        <v>4310</v>
      </c>
      <c r="E344">
        <v>2</v>
      </c>
      <c r="F344">
        <v>25</v>
      </c>
      <c r="G344" t="s">
        <v>4303</v>
      </c>
    </row>
    <row r="345" spans="1:7">
      <c r="A345" s="10">
        <v>45578</v>
      </c>
      <c r="B345">
        <v>2024</v>
      </c>
      <c r="C345">
        <v>10</v>
      </c>
      <c r="D345" t="s">
        <v>4302</v>
      </c>
      <c r="E345">
        <v>4</v>
      </c>
      <c r="F345">
        <v>13</v>
      </c>
      <c r="G345" t="s">
        <v>4309</v>
      </c>
    </row>
    <row r="346" spans="1:7">
      <c r="A346" s="10">
        <v>45381</v>
      </c>
      <c r="B346">
        <v>2024</v>
      </c>
      <c r="C346">
        <v>3</v>
      </c>
      <c r="D346" t="s">
        <v>4311</v>
      </c>
      <c r="E346">
        <v>1</v>
      </c>
      <c r="F346">
        <v>30</v>
      </c>
      <c r="G346" t="s">
        <v>4298</v>
      </c>
    </row>
    <row r="347" spans="1:7">
      <c r="A347" s="10">
        <v>45083</v>
      </c>
      <c r="B347">
        <v>2023</v>
      </c>
      <c r="C347">
        <v>6</v>
      </c>
      <c r="D347" t="s">
        <v>4310</v>
      </c>
      <c r="E347">
        <v>2</v>
      </c>
      <c r="F347">
        <v>6</v>
      </c>
      <c r="G347" t="s">
        <v>4303</v>
      </c>
    </row>
    <row r="348" spans="1:7">
      <c r="A348" s="10">
        <v>45482</v>
      </c>
      <c r="B348">
        <v>2024</v>
      </c>
      <c r="C348">
        <v>7</v>
      </c>
      <c r="D348" t="s">
        <v>4297</v>
      </c>
      <c r="E348">
        <v>3</v>
      </c>
      <c r="F348">
        <v>9</v>
      </c>
      <c r="G348" t="s">
        <v>4303</v>
      </c>
    </row>
    <row r="349" spans="1:7">
      <c r="A349" s="10">
        <v>45840</v>
      </c>
      <c r="B349">
        <v>2025</v>
      </c>
      <c r="C349">
        <v>7</v>
      </c>
      <c r="D349" t="s">
        <v>4297</v>
      </c>
      <c r="E349">
        <v>3</v>
      </c>
      <c r="F349">
        <v>2</v>
      </c>
      <c r="G349" t="s">
        <v>4308</v>
      </c>
    </row>
    <row r="350" spans="1:7">
      <c r="A350" s="10">
        <v>45429</v>
      </c>
      <c r="B350">
        <v>2024</v>
      </c>
      <c r="C350">
        <v>5</v>
      </c>
      <c r="D350" t="s">
        <v>4305</v>
      </c>
      <c r="E350">
        <v>2</v>
      </c>
      <c r="F350">
        <v>17</v>
      </c>
      <c r="G350" t="s">
        <v>4306</v>
      </c>
    </row>
    <row r="351" spans="1:7">
      <c r="A351" s="10">
        <v>45330</v>
      </c>
      <c r="B351">
        <v>2024</v>
      </c>
      <c r="C351">
        <v>2</v>
      </c>
      <c r="D351" t="s">
        <v>4312</v>
      </c>
      <c r="E351">
        <v>1</v>
      </c>
      <c r="F351">
        <v>8</v>
      </c>
      <c r="G351" t="s">
        <v>4300</v>
      </c>
    </row>
    <row r="352" spans="1:7">
      <c r="A352" s="10">
        <v>45576</v>
      </c>
      <c r="B352">
        <v>2024</v>
      </c>
      <c r="C352">
        <v>10</v>
      </c>
      <c r="D352" t="s">
        <v>4302</v>
      </c>
      <c r="E352">
        <v>4</v>
      </c>
      <c r="F352">
        <v>11</v>
      </c>
      <c r="G352" t="s">
        <v>4306</v>
      </c>
    </row>
    <row r="353" spans="1:7">
      <c r="A353" s="10">
        <v>45034</v>
      </c>
      <c r="B353">
        <v>2023</v>
      </c>
      <c r="C353">
        <v>4</v>
      </c>
      <c r="D353" t="s">
        <v>4314</v>
      </c>
      <c r="E353">
        <v>2</v>
      </c>
      <c r="F353">
        <v>18</v>
      </c>
      <c r="G353" t="s">
        <v>4303</v>
      </c>
    </row>
    <row r="354" spans="1:7">
      <c r="A354" s="10">
        <v>45915</v>
      </c>
      <c r="B354">
        <v>2025</v>
      </c>
      <c r="C354">
        <v>9</v>
      </c>
      <c r="D354" t="s">
        <v>4304</v>
      </c>
      <c r="E354">
        <v>3</v>
      </c>
      <c r="F354">
        <v>15</v>
      </c>
      <c r="G354" t="s">
        <v>4301</v>
      </c>
    </row>
    <row r="355" spans="1:7">
      <c r="A355" s="10">
        <v>45960</v>
      </c>
      <c r="B355">
        <v>2025</v>
      </c>
      <c r="C355">
        <v>10</v>
      </c>
      <c r="D355" t="s">
        <v>4302</v>
      </c>
      <c r="E355">
        <v>4</v>
      </c>
      <c r="F355">
        <v>30</v>
      </c>
      <c r="G355" t="s">
        <v>4300</v>
      </c>
    </row>
    <row r="356" spans="1:7">
      <c r="A356" s="10">
        <v>45361</v>
      </c>
      <c r="B356">
        <v>2024</v>
      </c>
      <c r="C356">
        <v>3</v>
      </c>
      <c r="D356" t="s">
        <v>4311</v>
      </c>
      <c r="E356">
        <v>1</v>
      </c>
      <c r="F356">
        <v>10</v>
      </c>
      <c r="G356" t="s">
        <v>4309</v>
      </c>
    </row>
    <row r="357" spans="1:7">
      <c r="A357" s="10">
        <v>45061</v>
      </c>
      <c r="B357">
        <v>2023</v>
      </c>
      <c r="C357">
        <v>5</v>
      </c>
      <c r="D357" t="s">
        <v>4305</v>
      </c>
      <c r="E357">
        <v>2</v>
      </c>
      <c r="F357">
        <v>15</v>
      </c>
      <c r="G357" t="s">
        <v>4301</v>
      </c>
    </row>
    <row r="358" spans="1:7">
      <c r="A358" s="10">
        <v>45859</v>
      </c>
      <c r="B358">
        <v>2025</v>
      </c>
      <c r="C358">
        <v>7</v>
      </c>
      <c r="D358" t="s">
        <v>4297</v>
      </c>
      <c r="E358">
        <v>3</v>
      </c>
      <c r="F358">
        <v>21</v>
      </c>
      <c r="G358" t="s">
        <v>4301</v>
      </c>
    </row>
    <row r="359" spans="1:7">
      <c r="A359" s="10">
        <v>45482</v>
      </c>
      <c r="B359">
        <v>2024</v>
      </c>
      <c r="C359">
        <v>7</v>
      </c>
      <c r="D359" t="s">
        <v>4297</v>
      </c>
      <c r="E359">
        <v>3</v>
      </c>
      <c r="F359">
        <v>9</v>
      </c>
      <c r="G359" t="s">
        <v>4303</v>
      </c>
    </row>
    <row r="360" spans="1:7">
      <c r="A360" s="10">
        <v>45109</v>
      </c>
      <c r="B360">
        <v>2023</v>
      </c>
      <c r="C360">
        <v>7</v>
      </c>
      <c r="D360" t="s">
        <v>4297</v>
      </c>
      <c r="E360">
        <v>3</v>
      </c>
      <c r="F360">
        <v>2</v>
      </c>
      <c r="G360" t="s">
        <v>4309</v>
      </c>
    </row>
    <row r="361" spans="1:7">
      <c r="A361" s="10">
        <v>45948</v>
      </c>
      <c r="B361">
        <v>2025</v>
      </c>
      <c r="C361">
        <v>10</v>
      </c>
      <c r="D361" t="s">
        <v>4302</v>
      </c>
      <c r="E361">
        <v>4</v>
      </c>
      <c r="F361">
        <v>18</v>
      </c>
      <c r="G361" t="s">
        <v>4298</v>
      </c>
    </row>
    <row r="362" spans="1:7">
      <c r="A362" s="10">
        <v>45481</v>
      </c>
      <c r="B362">
        <v>2024</v>
      </c>
      <c r="C362">
        <v>7</v>
      </c>
      <c r="D362" t="s">
        <v>4297</v>
      </c>
      <c r="E362">
        <v>3</v>
      </c>
      <c r="F362">
        <v>8</v>
      </c>
      <c r="G362" t="s">
        <v>4301</v>
      </c>
    </row>
    <row r="363" spans="1:7">
      <c r="A363" s="10">
        <v>45871</v>
      </c>
      <c r="B363">
        <v>2025</v>
      </c>
      <c r="C363">
        <v>8</v>
      </c>
      <c r="D363" t="s">
        <v>4313</v>
      </c>
      <c r="E363">
        <v>3</v>
      </c>
      <c r="F363">
        <v>2</v>
      </c>
      <c r="G363" t="s">
        <v>4298</v>
      </c>
    </row>
    <row r="364" spans="1:7">
      <c r="A364" s="10">
        <v>45036</v>
      </c>
      <c r="B364">
        <v>2023</v>
      </c>
      <c r="C364">
        <v>4</v>
      </c>
      <c r="D364" t="s">
        <v>4314</v>
      </c>
      <c r="E364">
        <v>2</v>
      </c>
      <c r="F364">
        <v>20</v>
      </c>
      <c r="G364" t="s">
        <v>4300</v>
      </c>
    </row>
    <row r="365" spans="1:7">
      <c r="A365" s="10">
        <v>44940</v>
      </c>
      <c r="B365">
        <v>2023</v>
      </c>
      <c r="C365">
        <v>1</v>
      </c>
      <c r="D365" t="s">
        <v>4307</v>
      </c>
      <c r="E365">
        <v>1</v>
      </c>
      <c r="F365">
        <v>14</v>
      </c>
      <c r="G365" t="s">
        <v>4298</v>
      </c>
    </row>
    <row r="366" spans="1:7">
      <c r="A366" s="10">
        <v>45482</v>
      </c>
      <c r="B366">
        <v>2024</v>
      </c>
      <c r="C366">
        <v>7</v>
      </c>
      <c r="D366" t="s">
        <v>4297</v>
      </c>
      <c r="E366">
        <v>3</v>
      </c>
      <c r="F366">
        <v>9</v>
      </c>
      <c r="G366" t="s">
        <v>4303</v>
      </c>
    </row>
    <row r="367" spans="1:7">
      <c r="A367" s="10">
        <v>45837</v>
      </c>
      <c r="B367">
        <v>2025</v>
      </c>
      <c r="C367">
        <v>6</v>
      </c>
      <c r="D367" t="s">
        <v>4310</v>
      </c>
      <c r="E367">
        <v>2</v>
      </c>
      <c r="F367">
        <v>29</v>
      </c>
      <c r="G367" t="s">
        <v>4309</v>
      </c>
    </row>
    <row r="368" spans="1:7">
      <c r="A368" s="10">
        <v>45296</v>
      </c>
      <c r="B368">
        <v>2024</v>
      </c>
      <c r="C368">
        <v>1</v>
      </c>
      <c r="D368" t="s">
        <v>4307</v>
      </c>
      <c r="E368">
        <v>1</v>
      </c>
      <c r="F368">
        <v>5</v>
      </c>
      <c r="G368" t="s">
        <v>4306</v>
      </c>
    </row>
    <row r="369" spans="1:7">
      <c r="A369" s="10">
        <v>45053</v>
      </c>
      <c r="B369">
        <v>2023</v>
      </c>
      <c r="C369">
        <v>5</v>
      </c>
      <c r="D369" t="s">
        <v>4305</v>
      </c>
      <c r="E369">
        <v>2</v>
      </c>
      <c r="F369">
        <v>7</v>
      </c>
      <c r="G369" t="s">
        <v>4309</v>
      </c>
    </row>
    <row r="370" spans="1:7">
      <c r="A370" s="10">
        <v>45124</v>
      </c>
      <c r="B370">
        <v>2023</v>
      </c>
      <c r="C370">
        <v>7</v>
      </c>
      <c r="D370" t="s">
        <v>4297</v>
      </c>
      <c r="E370">
        <v>3</v>
      </c>
      <c r="F370">
        <v>17</v>
      </c>
      <c r="G370" t="s">
        <v>4301</v>
      </c>
    </row>
    <row r="371" spans="1:7">
      <c r="A371" s="10">
        <v>45032</v>
      </c>
      <c r="B371">
        <v>2023</v>
      </c>
      <c r="C371">
        <v>4</v>
      </c>
      <c r="D371" t="s">
        <v>4314</v>
      </c>
      <c r="E371">
        <v>2</v>
      </c>
      <c r="F371">
        <v>16</v>
      </c>
      <c r="G371" t="s">
        <v>4309</v>
      </c>
    </row>
    <row r="372" spans="1:7">
      <c r="A372" s="10">
        <v>45345</v>
      </c>
      <c r="B372">
        <v>2024</v>
      </c>
      <c r="C372">
        <v>2</v>
      </c>
      <c r="D372" t="s">
        <v>4312</v>
      </c>
      <c r="E372">
        <v>1</v>
      </c>
      <c r="F372">
        <v>23</v>
      </c>
      <c r="G372" t="s">
        <v>4306</v>
      </c>
    </row>
    <row r="373" spans="1:7">
      <c r="A373" s="10">
        <v>45703</v>
      </c>
      <c r="B373">
        <v>2025</v>
      </c>
      <c r="C373">
        <v>2</v>
      </c>
      <c r="D373" t="s">
        <v>4312</v>
      </c>
      <c r="E373">
        <v>1</v>
      </c>
      <c r="F373">
        <v>15</v>
      </c>
      <c r="G373" t="s">
        <v>4298</v>
      </c>
    </row>
    <row r="374" spans="1:7">
      <c r="A374" s="10">
        <v>45043</v>
      </c>
      <c r="B374">
        <v>2023</v>
      </c>
      <c r="C374">
        <v>4</v>
      </c>
      <c r="D374" t="s">
        <v>4314</v>
      </c>
      <c r="E374">
        <v>2</v>
      </c>
      <c r="F374">
        <v>27</v>
      </c>
      <c r="G374" t="s">
        <v>4300</v>
      </c>
    </row>
    <row r="375" spans="1:7">
      <c r="A375" s="10">
        <v>46005</v>
      </c>
      <c r="B375">
        <v>2025</v>
      </c>
      <c r="C375">
        <v>12</v>
      </c>
      <c r="D375" t="s">
        <v>4299</v>
      </c>
      <c r="E375">
        <v>4</v>
      </c>
      <c r="F375">
        <v>14</v>
      </c>
      <c r="G375" t="s">
        <v>4309</v>
      </c>
    </row>
    <row r="376" spans="1:7">
      <c r="A376" s="10">
        <v>45496</v>
      </c>
      <c r="B376">
        <v>2024</v>
      </c>
      <c r="C376">
        <v>7</v>
      </c>
      <c r="D376" t="s">
        <v>4297</v>
      </c>
      <c r="E376">
        <v>3</v>
      </c>
      <c r="F376">
        <v>23</v>
      </c>
      <c r="G376" t="s">
        <v>4303</v>
      </c>
    </row>
    <row r="377" spans="1:7">
      <c r="A377" s="10">
        <v>45815</v>
      </c>
      <c r="B377">
        <v>2025</v>
      </c>
      <c r="C377">
        <v>6</v>
      </c>
      <c r="D377" t="s">
        <v>4310</v>
      </c>
      <c r="E377">
        <v>2</v>
      </c>
      <c r="F377">
        <v>7</v>
      </c>
      <c r="G377" t="s">
        <v>4298</v>
      </c>
    </row>
    <row r="378" spans="1:7">
      <c r="A378" s="10">
        <v>45488</v>
      </c>
      <c r="B378">
        <v>2024</v>
      </c>
      <c r="C378">
        <v>7</v>
      </c>
      <c r="D378" t="s">
        <v>4297</v>
      </c>
      <c r="E378">
        <v>3</v>
      </c>
      <c r="F378">
        <v>15</v>
      </c>
      <c r="G378" t="s">
        <v>4301</v>
      </c>
    </row>
    <row r="379" spans="1:7">
      <c r="A379" s="10">
        <v>45940</v>
      </c>
      <c r="B379">
        <v>2025</v>
      </c>
      <c r="C379">
        <v>10</v>
      </c>
      <c r="D379" t="s">
        <v>4302</v>
      </c>
      <c r="E379">
        <v>4</v>
      </c>
      <c r="F379">
        <v>10</v>
      </c>
      <c r="G379" t="s">
        <v>4306</v>
      </c>
    </row>
    <row r="380" spans="1:7">
      <c r="A380" s="10">
        <v>45085</v>
      </c>
      <c r="B380">
        <v>2023</v>
      </c>
      <c r="C380">
        <v>6</v>
      </c>
      <c r="D380" t="s">
        <v>4310</v>
      </c>
      <c r="E380">
        <v>2</v>
      </c>
      <c r="F380">
        <v>8</v>
      </c>
      <c r="G380" t="s">
        <v>4300</v>
      </c>
    </row>
    <row r="381" spans="1:7">
      <c r="A381" s="10">
        <v>45631</v>
      </c>
      <c r="B381">
        <v>2024</v>
      </c>
      <c r="C381">
        <v>12</v>
      </c>
      <c r="D381" t="s">
        <v>4299</v>
      </c>
      <c r="E381">
        <v>4</v>
      </c>
      <c r="F381">
        <v>5</v>
      </c>
      <c r="G381" t="s">
        <v>4300</v>
      </c>
    </row>
    <row r="382" spans="1:7">
      <c r="A382" s="10">
        <v>45860</v>
      </c>
      <c r="B382">
        <v>2025</v>
      </c>
      <c r="C382">
        <v>7</v>
      </c>
      <c r="D382" t="s">
        <v>4297</v>
      </c>
      <c r="E382">
        <v>3</v>
      </c>
      <c r="F382">
        <v>22</v>
      </c>
      <c r="G382" t="s">
        <v>4303</v>
      </c>
    </row>
    <row r="383" spans="1:7">
      <c r="A383" s="10">
        <v>45569</v>
      </c>
      <c r="B383">
        <v>2024</v>
      </c>
      <c r="C383">
        <v>10</v>
      </c>
      <c r="D383" t="s">
        <v>4302</v>
      </c>
      <c r="E383">
        <v>4</v>
      </c>
      <c r="F383">
        <v>4</v>
      </c>
      <c r="G383" t="s">
        <v>4306</v>
      </c>
    </row>
    <row r="384" spans="1:7">
      <c r="A384" s="10">
        <v>45421</v>
      </c>
      <c r="B384">
        <v>2024</v>
      </c>
      <c r="C384">
        <v>5</v>
      </c>
      <c r="D384" t="s">
        <v>4305</v>
      </c>
      <c r="E384">
        <v>2</v>
      </c>
      <c r="F384">
        <v>9</v>
      </c>
      <c r="G384" t="s">
        <v>4300</v>
      </c>
    </row>
    <row r="385" spans="1:7">
      <c r="A385" s="10">
        <v>45499</v>
      </c>
      <c r="B385">
        <v>2024</v>
      </c>
      <c r="C385">
        <v>7</v>
      </c>
      <c r="D385" t="s">
        <v>4297</v>
      </c>
      <c r="E385">
        <v>3</v>
      </c>
      <c r="F385">
        <v>26</v>
      </c>
      <c r="G385" t="s">
        <v>4306</v>
      </c>
    </row>
    <row r="386" spans="1:7">
      <c r="A386" s="10">
        <v>45385</v>
      </c>
      <c r="B386">
        <v>2024</v>
      </c>
      <c r="C386">
        <v>4</v>
      </c>
      <c r="D386" t="s">
        <v>4314</v>
      </c>
      <c r="E386">
        <v>2</v>
      </c>
      <c r="F386">
        <v>3</v>
      </c>
      <c r="G386" t="s">
        <v>4308</v>
      </c>
    </row>
    <row r="387" spans="1:7">
      <c r="A387" s="10">
        <v>45172</v>
      </c>
      <c r="B387">
        <v>2023</v>
      </c>
      <c r="C387">
        <v>9</v>
      </c>
      <c r="D387" t="s">
        <v>4304</v>
      </c>
      <c r="E387">
        <v>3</v>
      </c>
      <c r="F387">
        <v>3</v>
      </c>
      <c r="G387" t="s">
        <v>4309</v>
      </c>
    </row>
    <row r="388" spans="1:7">
      <c r="A388" s="10">
        <v>44999</v>
      </c>
      <c r="B388">
        <v>2023</v>
      </c>
      <c r="C388">
        <v>3</v>
      </c>
      <c r="D388" t="s">
        <v>4311</v>
      </c>
      <c r="E388">
        <v>1</v>
      </c>
      <c r="F388">
        <v>14</v>
      </c>
      <c r="G388" t="s">
        <v>4303</v>
      </c>
    </row>
    <row r="389" spans="1:7">
      <c r="A389" s="10">
        <v>45401</v>
      </c>
      <c r="B389">
        <v>2024</v>
      </c>
      <c r="C389">
        <v>4</v>
      </c>
      <c r="D389" t="s">
        <v>4314</v>
      </c>
      <c r="E389">
        <v>2</v>
      </c>
      <c r="F389">
        <v>19</v>
      </c>
      <c r="G389" t="s">
        <v>4306</v>
      </c>
    </row>
    <row r="390" spans="1:7">
      <c r="A390" s="10">
        <v>45522</v>
      </c>
      <c r="B390">
        <v>2024</v>
      </c>
      <c r="C390">
        <v>8</v>
      </c>
      <c r="D390" t="s">
        <v>4313</v>
      </c>
      <c r="E390">
        <v>3</v>
      </c>
      <c r="F390">
        <v>18</v>
      </c>
      <c r="G390" t="s">
        <v>4309</v>
      </c>
    </row>
    <row r="391" spans="1:7">
      <c r="A391" s="10">
        <v>45602</v>
      </c>
      <c r="B391">
        <v>2024</v>
      </c>
      <c r="C391">
        <v>11</v>
      </c>
      <c r="D391" t="s">
        <v>4315</v>
      </c>
      <c r="E391">
        <v>4</v>
      </c>
      <c r="F391">
        <v>6</v>
      </c>
      <c r="G391" t="s">
        <v>4308</v>
      </c>
    </row>
    <row r="392" spans="1:7">
      <c r="A392" s="10">
        <v>44968</v>
      </c>
      <c r="B392">
        <v>2023</v>
      </c>
      <c r="C392">
        <v>2</v>
      </c>
      <c r="D392" t="s">
        <v>4312</v>
      </c>
      <c r="E392">
        <v>1</v>
      </c>
      <c r="F392">
        <v>11</v>
      </c>
      <c r="G392" t="s">
        <v>4298</v>
      </c>
    </row>
    <row r="393" spans="1:7">
      <c r="A393" s="10">
        <v>45728</v>
      </c>
      <c r="B393">
        <v>2025</v>
      </c>
      <c r="C393">
        <v>3</v>
      </c>
      <c r="D393" t="s">
        <v>4311</v>
      </c>
      <c r="E393">
        <v>1</v>
      </c>
      <c r="F393">
        <v>12</v>
      </c>
      <c r="G393" t="s">
        <v>4308</v>
      </c>
    </row>
    <row r="394" spans="1:7">
      <c r="A394" s="10">
        <v>45148</v>
      </c>
      <c r="B394">
        <v>2023</v>
      </c>
      <c r="C394">
        <v>8</v>
      </c>
      <c r="D394" t="s">
        <v>4313</v>
      </c>
      <c r="E394">
        <v>3</v>
      </c>
      <c r="F394">
        <v>10</v>
      </c>
      <c r="G394" t="s">
        <v>4300</v>
      </c>
    </row>
    <row r="395" spans="1:7">
      <c r="A395" s="10">
        <v>45618</v>
      </c>
      <c r="B395">
        <v>2024</v>
      </c>
      <c r="C395">
        <v>11</v>
      </c>
      <c r="D395" t="s">
        <v>4315</v>
      </c>
      <c r="E395">
        <v>4</v>
      </c>
      <c r="F395">
        <v>22</v>
      </c>
      <c r="G395" t="s">
        <v>4306</v>
      </c>
    </row>
    <row r="396" spans="1:7">
      <c r="A396" s="10">
        <v>45537</v>
      </c>
      <c r="B396">
        <v>2024</v>
      </c>
      <c r="C396">
        <v>9</v>
      </c>
      <c r="D396" t="s">
        <v>4304</v>
      </c>
      <c r="E396">
        <v>3</v>
      </c>
      <c r="F396">
        <v>2</v>
      </c>
      <c r="G396" t="s">
        <v>4301</v>
      </c>
    </row>
    <row r="397" spans="1:7">
      <c r="A397" s="10">
        <v>45990</v>
      </c>
      <c r="B397">
        <v>2025</v>
      </c>
      <c r="C397">
        <v>11</v>
      </c>
      <c r="D397" t="s">
        <v>4315</v>
      </c>
      <c r="E397">
        <v>4</v>
      </c>
      <c r="F397">
        <v>29</v>
      </c>
      <c r="G397" t="s">
        <v>4298</v>
      </c>
    </row>
    <row r="398" spans="1:7">
      <c r="A398" s="10">
        <v>45509</v>
      </c>
      <c r="B398">
        <v>2024</v>
      </c>
      <c r="C398">
        <v>8</v>
      </c>
      <c r="D398" t="s">
        <v>4313</v>
      </c>
      <c r="E398">
        <v>3</v>
      </c>
      <c r="F398">
        <v>5</v>
      </c>
      <c r="G398" t="s">
        <v>4301</v>
      </c>
    </row>
    <row r="399" spans="1:7">
      <c r="A399" s="10">
        <v>45401</v>
      </c>
      <c r="B399">
        <v>2024</v>
      </c>
      <c r="C399">
        <v>4</v>
      </c>
      <c r="D399" t="s">
        <v>4314</v>
      </c>
      <c r="E399">
        <v>2</v>
      </c>
      <c r="F399">
        <v>19</v>
      </c>
      <c r="G399" t="s">
        <v>4306</v>
      </c>
    </row>
    <row r="400" spans="1:7">
      <c r="A400" s="10">
        <v>45495</v>
      </c>
      <c r="B400">
        <v>2024</v>
      </c>
      <c r="C400">
        <v>7</v>
      </c>
      <c r="D400" t="s">
        <v>4297</v>
      </c>
      <c r="E400">
        <v>3</v>
      </c>
      <c r="F400">
        <v>22</v>
      </c>
      <c r="G400" t="s">
        <v>4301</v>
      </c>
    </row>
    <row r="401" spans="1:7">
      <c r="A401" s="10">
        <v>45562</v>
      </c>
      <c r="B401">
        <v>2024</v>
      </c>
      <c r="C401">
        <v>9</v>
      </c>
      <c r="D401" t="s">
        <v>4304</v>
      </c>
      <c r="E401">
        <v>3</v>
      </c>
      <c r="F401">
        <v>27</v>
      </c>
      <c r="G401" t="s">
        <v>4306</v>
      </c>
    </row>
    <row r="402" spans="1:7">
      <c r="A402" s="10">
        <v>45240</v>
      </c>
      <c r="B402">
        <v>2023</v>
      </c>
      <c r="C402">
        <v>11</v>
      </c>
      <c r="D402" t="s">
        <v>4315</v>
      </c>
      <c r="E402">
        <v>4</v>
      </c>
      <c r="F402">
        <v>10</v>
      </c>
      <c r="G402" t="s">
        <v>4306</v>
      </c>
    </row>
    <row r="403" spans="1:7">
      <c r="A403" s="10">
        <v>45954</v>
      </c>
      <c r="B403">
        <v>2025</v>
      </c>
      <c r="C403">
        <v>10</v>
      </c>
      <c r="D403" t="s">
        <v>4302</v>
      </c>
      <c r="E403">
        <v>4</v>
      </c>
      <c r="F403">
        <v>24</v>
      </c>
      <c r="G403" t="s">
        <v>4306</v>
      </c>
    </row>
    <row r="404" spans="1:7">
      <c r="A404" s="10">
        <v>45273</v>
      </c>
      <c r="B404">
        <v>2023</v>
      </c>
      <c r="C404">
        <v>12</v>
      </c>
      <c r="D404" t="s">
        <v>4299</v>
      </c>
      <c r="E404">
        <v>4</v>
      </c>
      <c r="F404">
        <v>13</v>
      </c>
      <c r="G404" t="s">
        <v>4308</v>
      </c>
    </row>
    <row r="405" spans="1:7">
      <c r="A405" s="10">
        <v>45654</v>
      </c>
      <c r="B405">
        <v>2024</v>
      </c>
      <c r="C405">
        <v>12</v>
      </c>
      <c r="D405" t="s">
        <v>4299</v>
      </c>
      <c r="E405">
        <v>4</v>
      </c>
      <c r="F405">
        <v>28</v>
      </c>
      <c r="G405" t="s">
        <v>4298</v>
      </c>
    </row>
    <row r="406" spans="1:7">
      <c r="A406" s="10">
        <v>45588</v>
      </c>
      <c r="B406">
        <v>2024</v>
      </c>
      <c r="C406">
        <v>10</v>
      </c>
      <c r="D406" t="s">
        <v>4302</v>
      </c>
      <c r="E406">
        <v>4</v>
      </c>
      <c r="F406">
        <v>23</v>
      </c>
      <c r="G406" t="s">
        <v>4308</v>
      </c>
    </row>
    <row r="407" spans="1:7">
      <c r="A407" s="10">
        <v>45618</v>
      </c>
      <c r="B407">
        <v>2024</v>
      </c>
      <c r="C407">
        <v>11</v>
      </c>
      <c r="D407" t="s">
        <v>4315</v>
      </c>
      <c r="E407">
        <v>4</v>
      </c>
      <c r="F407">
        <v>22</v>
      </c>
      <c r="G407" t="s">
        <v>4306</v>
      </c>
    </row>
    <row r="408" spans="1:7">
      <c r="A408" s="10">
        <v>45737</v>
      </c>
      <c r="B408">
        <v>2025</v>
      </c>
      <c r="C408">
        <v>3</v>
      </c>
      <c r="D408" t="s">
        <v>4311</v>
      </c>
      <c r="E408">
        <v>1</v>
      </c>
      <c r="F408">
        <v>21</v>
      </c>
      <c r="G408" t="s">
        <v>4306</v>
      </c>
    </row>
    <row r="409" spans="1:7">
      <c r="A409" s="10">
        <v>45200</v>
      </c>
      <c r="B409">
        <v>2023</v>
      </c>
      <c r="C409">
        <v>10</v>
      </c>
      <c r="D409" t="s">
        <v>4302</v>
      </c>
      <c r="E409">
        <v>4</v>
      </c>
      <c r="F409">
        <v>1</v>
      </c>
      <c r="G409" t="s">
        <v>4309</v>
      </c>
    </row>
    <row r="410" spans="1:7">
      <c r="A410" s="10">
        <v>45295</v>
      </c>
      <c r="B410">
        <v>2024</v>
      </c>
      <c r="C410">
        <v>1</v>
      </c>
      <c r="D410" t="s">
        <v>4307</v>
      </c>
      <c r="E410">
        <v>1</v>
      </c>
      <c r="F410">
        <v>4</v>
      </c>
      <c r="G410" t="s">
        <v>4300</v>
      </c>
    </row>
    <row r="411" spans="1:7">
      <c r="A411" s="10">
        <v>45164</v>
      </c>
      <c r="B411">
        <v>2023</v>
      </c>
      <c r="C411">
        <v>8</v>
      </c>
      <c r="D411" t="s">
        <v>4313</v>
      </c>
      <c r="E411">
        <v>3</v>
      </c>
      <c r="F411">
        <v>26</v>
      </c>
      <c r="G411" t="s">
        <v>4298</v>
      </c>
    </row>
    <row r="412" spans="1:7">
      <c r="A412" s="10">
        <v>45683</v>
      </c>
      <c r="B412">
        <v>2025</v>
      </c>
      <c r="C412">
        <v>1</v>
      </c>
      <c r="D412" t="s">
        <v>4307</v>
      </c>
      <c r="E412">
        <v>1</v>
      </c>
      <c r="F412">
        <v>26</v>
      </c>
      <c r="G412" t="s">
        <v>4309</v>
      </c>
    </row>
    <row r="413" spans="1:7">
      <c r="A413" s="10">
        <v>45999</v>
      </c>
      <c r="B413">
        <v>2025</v>
      </c>
      <c r="C413">
        <v>12</v>
      </c>
      <c r="D413" t="s">
        <v>4299</v>
      </c>
      <c r="E413">
        <v>4</v>
      </c>
      <c r="F413">
        <v>8</v>
      </c>
      <c r="G413" t="s">
        <v>4301</v>
      </c>
    </row>
    <row r="414" spans="1:7">
      <c r="A414" s="10">
        <v>45979</v>
      </c>
      <c r="B414">
        <v>2025</v>
      </c>
      <c r="C414">
        <v>11</v>
      </c>
      <c r="D414" t="s">
        <v>4315</v>
      </c>
      <c r="E414">
        <v>4</v>
      </c>
      <c r="F414">
        <v>18</v>
      </c>
      <c r="G414" t="s">
        <v>4303</v>
      </c>
    </row>
    <row r="415" spans="1:7">
      <c r="A415" s="10">
        <v>44964</v>
      </c>
      <c r="B415">
        <v>2023</v>
      </c>
      <c r="C415">
        <v>2</v>
      </c>
      <c r="D415" t="s">
        <v>4312</v>
      </c>
      <c r="E415">
        <v>1</v>
      </c>
      <c r="F415">
        <v>7</v>
      </c>
      <c r="G415" t="s">
        <v>4303</v>
      </c>
    </row>
    <row r="416" spans="1:7">
      <c r="A416" s="10">
        <v>45352</v>
      </c>
      <c r="B416">
        <v>2024</v>
      </c>
      <c r="C416">
        <v>3</v>
      </c>
      <c r="D416" t="s">
        <v>4311</v>
      </c>
      <c r="E416">
        <v>1</v>
      </c>
      <c r="F416">
        <v>1</v>
      </c>
      <c r="G416" t="s">
        <v>4306</v>
      </c>
    </row>
    <row r="417" spans="1:7">
      <c r="A417" s="10">
        <v>45292</v>
      </c>
      <c r="B417">
        <v>2024</v>
      </c>
      <c r="C417">
        <v>1</v>
      </c>
      <c r="D417" t="s">
        <v>4307</v>
      </c>
      <c r="E417">
        <v>1</v>
      </c>
      <c r="F417">
        <v>1</v>
      </c>
      <c r="G417" t="s">
        <v>4301</v>
      </c>
    </row>
    <row r="418" spans="1:7">
      <c r="A418" s="10">
        <v>45128</v>
      </c>
      <c r="B418">
        <v>2023</v>
      </c>
      <c r="C418">
        <v>7</v>
      </c>
      <c r="D418" t="s">
        <v>4297</v>
      </c>
      <c r="E418">
        <v>3</v>
      </c>
      <c r="F418">
        <v>21</v>
      </c>
      <c r="G418" t="s">
        <v>4306</v>
      </c>
    </row>
    <row r="419" spans="1:7">
      <c r="A419" s="10">
        <v>45682</v>
      </c>
      <c r="B419">
        <v>2025</v>
      </c>
      <c r="C419">
        <v>1</v>
      </c>
      <c r="D419" t="s">
        <v>4307</v>
      </c>
      <c r="E419">
        <v>1</v>
      </c>
      <c r="F419">
        <v>25</v>
      </c>
      <c r="G419" t="s">
        <v>4298</v>
      </c>
    </row>
    <row r="420" spans="1:7">
      <c r="A420" s="10">
        <v>45991</v>
      </c>
      <c r="B420">
        <v>2025</v>
      </c>
      <c r="C420">
        <v>11</v>
      </c>
      <c r="D420" t="s">
        <v>4315</v>
      </c>
      <c r="E420">
        <v>4</v>
      </c>
      <c r="F420">
        <v>30</v>
      </c>
      <c r="G420" t="s">
        <v>4309</v>
      </c>
    </row>
    <row r="421" spans="1:7">
      <c r="A421" s="10">
        <v>45482</v>
      </c>
      <c r="B421">
        <v>2024</v>
      </c>
      <c r="C421">
        <v>7</v>
      </c>
      <c r="D421" t="s">
        <v>4297</v>
      </c>
      <c r="E421">
        <v>3</v>
      </c>
      <c r="F421">
        <v>9</v>
      </c>
      <c r="G421" t="s">
        <v>4303</v>
      </c>
    </row>
    <row r="422" spans="1:7">
      <c r="A422" s="10">
        <v>45523</v>
      </c>
      <c r="B422">
        <v>2024</v>
      </c>
      <c r="C422">
        <v>8</v>
      </c>
      <c r="D422" t="s">
        <v>4313</v>
      </c>
      <c r="E422">
        <v>3</v>
      </c>
      <c r="F422">
        <v>19</v>
      </c>
      <c r="G422" t="s">
        <v>4301</v>
      </c>
    </row>
    <row r="423" spans="1:7">
      <c r="A423" s="10">
        <v>45953</v>
      </c>
      <c r="B423">
        <v>2025</v>
      </c>
      <c r="C423">
        <v>10</v>
      </c>
      <c r="D423" t="s">
        <v>4302</v>
      </c>
      <c r="E423">
        <v>4</v>
      </c>
      <c r="F423">
        <v>23</v>
      </c>
      <c r="G423" t="s">
        <v>4300</v>
      </c>
    </row>
    <row r="424" spans="1:7">
      <c r="A424" s="10">
        <v>45341</v>
      </c>
      <c r="B424">
        <v>2024</v>
      </c>
      <c r="C424">
        <v>2</v>
      </c>
      <c r="D424" t="s">
        <v>4312</v>
      </c>
      <c r="E424">
        <v>1</v>
      </c>
      <c r="F424">
        <v>19</v>
      </c>
      <c r="G424" t="s">
        <v>4301</v>
      </c>
    </row>
    <row r="425" spans="1:7">
      <c r="A425" s="10">
        <v>45057</v>
      </c>
      <c r="B425">
        <v>2023</v>
      </c>
      <c r="C425">
        <v>5</v>
      </c>
      <c r="D425" t="s">
        <v>4305</v>
      </c>
      <c r="E425">
        <v>2</v>
      </c>
      <c r="F425">
        <v>11</v>
      </c>
      <c r="G425" t="s">
        <v>4300</v>
      </c>
    </row>
    <row r="426" spans="1:7">
      <c r="A426" s="10">
        <v>45861</v>
      </c>
      <c r="B426">
        <v>2025</v>
      </c>
      <c r="C426">
        <v>7</v>
      </c>
      <c r="D426" t="s">
        <v>4297</v>
      </c>
      <c r="E426">
        <v>3</v>
      </c>
      <c r="F426">
        <v>23</v>
      </c>
      <c r="G426" t="s">
        <v>4308</v>
      </c>
    </row>
    <row r="427" spans="1:7">
      <c r="A427" s="10">
        <v>45811</v>
      </c>
      <c r="B427">
        <v>2025</v>
      </c>
      <c r="C427">
        <v>6</v>
      </c>
      <c r="D427" t="s">
        <v>4310</v>
      </c>
      <c r="E427">
        <v>2</v>
      </c>
      <c r="F427">
        <v>3</v>
      </c>
      <c r="G427" t="s">
        <v>4303</v>
      </c>
    </row>
    <row r="428" spans="1:7">
      <c r="A428" s="10">
        <v>45780</v>
      </c>
      <c r="B428">
        <v>2025</v>
      </c>
      <c r="C428">
        <v>5</v>
      </c>
      <c r="D428" t="s">
        <v>4305</v>
      </c>
      <c r="E428">
        <v>2</v>
      </c>
      <c r="F428">
        <v>3</v>
      </c>
      <c r="G428" t="s">
        <v>4298</v>
      </c>
    </row>
    <row r="429" spans="1:7">
      <c r="A429" s="10">
        <v>45586</v>
      </c>
      <c r="B429">
        <v>2024</v>
      </c>
      <c r="C429">
        <v>10</v>
      </c>
      <c r="D429" t="s">
        <v>4302</v>
      </c>
      <c r="E429">
        <v>4</v>
      </c>
      <c r="F429">
        <v>21</v>
      </c>
      <c r="G429" t="s">
        <v>4301</v>
      </c>
    </row>
    <row r="430" spans="1:7">
      <c r="A430" s="10">
        <v>45683</v>
      </c>
      <c r="B430">
        <v>2025</v>
      </c>
      <c r="C430">
        <v>1</v>
      </c>
      <c r="D430" t="s">
        <v>4307</v>
      </c>
      <c r="E430">
        <v>1</v>
      </c>
      <c r="F430">
        <v>26</v>
      </c>
      <c r="G430" t="s">
        <v>4309</v>
      </c>
    </row>
    <row r="431" spans="1:7">
      <c r="A431" s="10">
        <v>45366</v>
      </c>
      <c r="B431">
        <v>2024</v>
      </c>
      <c r="C431">
        <v>3</v>
      </c>
      <c r="D431" t="s">
        <v>4311</v>
      </c>
      <c r="E431">
        <v>1</v>
      </c>
      <c r="F431">
        <v>15</v>
      </c>
      <c r="G431" t="s">
        <v>4306</v>
      </c>
    </row>
    <row r="432" spans="1:7">
      <c r="A432" s="10">
        <v>45610</v>
      </c>
      <c r="B432">
        <v>2024</v>
      </c>
      <c r="C432">
        <v>11</v>
      </c>
      <c r="D432" t="s">
        <v>4315</v>
      </c>
      <c r="E432">
        <v>4</v>
      </c>
      <c r="F432">
        <v>14</v>
      </c>
      <c r="G432" t="s">
        <v>4300</v>
      </c>
    </row>
    <row r="433" spans="1:7">
      <c r="A433" s="10">
        <v>44940</v>
      </c>
      <c r="B433">
        <v>2023</v>
      </c>
      <c r="C433">
        <v>1</v>
      </c>
      <c r="D433" t="s">
        <v>4307</v>
      </c>
      <c r="E433">
        <v>1</v>
      </c>
      <c r="F433">
        <v>14</v>
      </c>
      <c r="G433" t="s">
        <v>4298</v>
      </c>
    </row>
    <row r="434" spans="1:7">
      <c r="A434" s="10">
        <v>45597</v>
      </c>
      <c r="B434">
        <v>2024</v>
      </c>
      <c r="C434">
        <v>11</v>
      </c>
      <c r="D434" t="s">
        <v>4315</v>
      </c>
      <c r="E434">
        <v>4</v>
      </c>
      <c r="F434">
        <v>1</v>
      </c>
      <c r="G434" t="s">
        <v>4306</v>
      </c>
    </row>
    <row r="435" spans="1:7">
      <c r="A435" s="10">
        <v>45984</v>
      </c>
      <c r="B435">
        <v>2025</v>
      </c>
      <c r="C435">
        <v>11</v>
      </c>
      <c r="D435" t="s">
        <v>4315</v>
      </c>
      <c r="E435">
        <v>4</v>
      </c>
      <c r="F435">
        <v>23</v>
      </c>
      <c r="G435" t="s">
        <v>4309</v>
      </c>
    </row>
    <row r="436" spans="1:7">
      <c r="A436" s="10">
        <v>45725</v>
      </c>
      <c r="B436">
        <v>2025</v>
      </c>
      <c r="C436">
        <v>3</v>
      </c>
      <c r="D436" t="s">
        <v>4311</v>
      </c>
      <c r="E436">
        <v>1</v>
      </c>
      <c r="F436">
        <v>9</v>
      </c>
      <c r="G436" t="s">
        <v>4309</v>
      </c>
    </row>
    <row r="437" spans="1:7">
      <c r="A437" s="10">
        <v>45259</v>
      </c>
      <c r="B437">
        <v>2023</v>
      </c>
      <c r="C437">
        <v>11</v>
      </c>
      <c r="D437" t="s">
        <v>4315</v>
      </c>
      <c r="E437">
        <v>4</v>
      </c>
      <c r="F437">
        <v>29</v>
      </c>
      <c r="G437" t="s">
        <v>4308</v>
      </c>
    </row>
    <row r="438" spans="1:7">
      <c r="A438" s="10">
        <v>45202</v>
      </c>
      <c r="B438">
        <v>2023</v>
      </c>
      <c r="C438">
        <v>10</v>
      </c>
      <c r="D438" t="s">
        <v>4302</v>
      </c>
      <c r="E438">
        <v>4</v>
      </c>
      <c r="F438">
        <v>3</v>
      </c>
      <c r="G438" t="s">
        <v>4303</v>
      </c>
    </row>
    <row r="439" spans="1:7">
      <c r="A439" s="10">
        <v>45393</v>
      </c>
      <c r="B439">
        <v>2024</v>
      </c>
      <c r="C439">
        <v>4</v>
      </c>
      <c r="D439" t="s">
        <v>4314</v>
      </c>
      <c r="E439">
        <v>2</v>
      </c>
      <c r="F439">
        <v>11</v>
      </c>
      <c r="G439" t="s">
        <v>4300</v>
      </c>
    </row>
    <row r="440" spans="1:7">
      <c r="A440" s="10">
        <v>45855</v>
      </c>
      <c r="B440">
        <v>2025</v>
      </c>
      <c r="C440">
        <v>7</v>
      </c>
      <c r="D440" t="s">
        <v>4297</v>
      </c>
      <c r="E440">
        <v>3</v>
      </c>
      <c r="F440">
        <v>17</v>
      </c>
      <c r="G440" t="s">
        <v>4300</v>
      </c>
    </row>
    <row r="441" spans="1:7">
      <c r="A441" s="10">
        <v>45532</v>
      </c>
      <c r="B441">
        <v>2024</v>
      </c>
      <c r="C441">
        <v>8</v>
      </c>
      <c r="D441" t="s">
        <v>4313</v>
      </c>
      <c r="E441">
        <v>3</v>
      </c>
      <c r="F441">
        <v>28</v>
      </c>
      <c r="G441" t="s">
        <v>4308</v>
      </c>
    </row>
    <row r="442" spans="1:7">
      <c r="A442" s="10">
        <v>45268</v>
      </c>
      <c r="B442">
        <v>2023</v>
      </c>
      <c r="C442">
        <v>12</v>
      </c>
      <c r="D442" t="s">
        <v>4299</v>
      </c>
      <c r="E442">
        <v>4</v>
      </c>
      <c r="F442">
        <v>8</v>
      </c>
      <c r="G442" t="s">
        <v>4306</v>
      </c>
    </row>
    <row r="443" spans="1:7">
      <c r="A443" s="10">
        <v>45482</v>
      </c>
      <c r="B443">
        <v>2024</v>
      </c>
      <c r="C443">
        <v>7</v>
      </c>
      <c r="D443" t="s">
        <v>4297</v>
      </c>
      <c r="E443">
        <v>3</v>
      </c>
      <c r="F443">
        <v>9</v>
      </c>
      <c r="G443" t="s">
        <v>4303</v>
      </c>
    </row>
    <row r="444" spans="1:7">
      <c r="A444" s="10">
        <v>45891</v>
      </c>
      <c r="B444">
        <v>2025</v>
      </c>
      <c r="C444">
        <v>8</v>
      </c>
      <c r="D444" t="s">
        <v>4313</v>
      </c>
      <c r="E444">
        <v>3</v>
      </c>
      <c r="F444">
        <v>22</v>
      </c>
      <c r="G444" t="s">
        <v>4306</v>
      </c>
    </row>
    <row r="445" spans="1:7">
      <c r="A445" s="10">
        <v>45812</v>
      </c>
      <c r="B445">
        <v>2025</v>
      </c>
      <c r="C445">
        <v>6</v>
      </c>
      <c r="D445" t="s">
        <v>4310</v>
      </c>
      <c r="E445">
        <v>2</v>
      </c>
      <c r="F445">
        <v>4</v>
      </c>
      <c r="G445" t="s">
        <v>4308</v>
      </c>
    </row>
    <row r="446" spans="1:7">
      <c r="A446" s="10">
        <v>45128</v>
      </c>
      <c r="B446">
        <v>2023</v>
      </c>
      <c r="C446">
        <v>7</v>
      </c>
      <c r="D446" t="s">
        <v>4297</v>
      </c>
      <c r="E446">
        <v>3</v>
      </c>
      <c r="F446">
        <v>21</v>
      </c>
      <c r="G446" t="s">
        <v>4306</v>
      </c>
    </row>
    <row r="447" spans="1:7">
      <c r="A447" s="10">
        <v>45862</v>
      </c>
      <c r="B447">
        <v>2025</v>
      </c>
      <c r="C447">
        <v>7</v>
      </c>
      <c r="D447" t="s">
        <v>4297</v>
      </c>
      <c r="E447">
        <v>3</v>
      </c>
      <c r="F447">
        <v>24</v>
      </c>
      <c r="G447" t="s">
        <v>4300</v>
      </c>
    </row>
    <row r="448" spans="1:7">
      <c r="A448" s="10">
        <v>45758</v>
      </c>
      <c r="B448">
        <v>2025</v>
      </c>
      <c r="C448">
        <v>4</v>
      </c>
      <c r="D448" t="s">
        <v>4314</v>
      </c>
      <c r="E448">
        <v>2</v>
      </c>
      <c r="F448">
        <v>11</v>
      </c>
      <c r="G448" t="s">
        <v>4306</v>
      </c>
    </row>
    <row r="449" spans="1:7">
      <c r="A449" s="10">
        <v>45755</v>
      </c>
      <c r="B449">
        <v>2025</v>
      </c>
      <c r="C449">
        <v>4</v>
      </c>
      <c r="D449" t="s">
        <v>4314</v>
      </c>
      <c r="E449">
        <v>2</v>
      </c>
      <c r="F449">
        <v>8</v>
      </c>
      <c r="G449" t="s">
        <v>4303</v>
      </c>
    </row>
    <row r="450" spans="1:7">
      <c r="A450" s="10">
        <v>45426</v>
      </c>
      <c r="B450">
        <v>2024</v>
      </c>
      <c r="C450">
        <v>5</v>
      </c>
      <c r="D450" t="s">
        <v>4305</v>
      </c>
      <c r="E450">
        <v>2</v>
      </c>
      <c r="F450">
        <v>14</v>
      </c>
      <c r="G450" t="s">
        <v>4303</v>
      </c>
    </row>
    <row r="451" spans="1:7">
      <c r="A451" s="10">
        <v>45190</v>
      </c>
      <c r="B451">
        <v>2023</v>
      </c>
      <c r="C451">
        <v>9</v>
      </c>
      <c r="D451" t="s">
        <v>4304</v>
      </c>
      <c r="E451">
        <v>3</v>
      </c>
      <c r="F451">
        <v>21</v>
      </c>
      <c r="G451" t="s">
        <v>4300</v>
      </c>
    </row>
    <row r="452" spans="1:7">
      <c r="A452" s="10">
        <v>45443</v>
      </c>
      <c r="B452">
        <v>2024</v>
      </c>
      <c r="C452">
        <v>5</v>
      </c>
      <c r="D452" t="s">
        <v>4305</v>
      </c>
      <c r="E452">
        <v>2</v>
      </c>
      <c r="F452">
        <v>31</v>
      </c>
      <c r="G452" t="s">
        <v>4306</v>
      </c>
    </row>
    <row r="453" spans="1:7">
      <c r="A453" s="10">
        <v>45257</v>
      </c>
      <c r="B453">
        <v>2023</v>
      </c>
      <c r="C453">
        <v>11</v>
      </c>
      <c r="D453" t="s">
        <v>4315</v>
      </c>
      <c r="E453">
        <v>4</v>
      </c>
      <c r="F453">
        <v>27</v>
      </c>
      <c r="G453" t="s">
        <v>4301</v>
      </c>
    </row>
    <row r="454" spans="1:7">
      <c r="A454" s="10">
        <v>45094</v>
      </c>
      <c r="B454">
        <v>2023</v>
      </c>
      <c r="C454">
        <v>6</v>
      </c>
      <c r="D454" t="s">
        <v>4310</v>
      </c>
      <c r="E454">
        <v>2</v>
      </c>
      <c r="F454">
        <v>17</v>
      </c>
      <c r="G454" t="s">
        <v>4298</v>
      </c>
    </row>
    <row r="455" spans="1:7">
      <c r="A455" s="10">
        <v>45693</v>
      </c>
      <c r="B455">
        <v>2025</v>
      </c>
      <c r="C455">
        <v>2</v>
      </c>
      <c r="D455" t="s">
        <v>4312</v>
      </c>
      <c r="E455">
        <v>1</v>
      </c>
      <c r="F455">
        <v>5</v>
      </c>
      <c r="G455" t="s">
        <v>4308</v>
      </c>
    </row>
    <row r="456" spans="1:7">
      <c r="A456" s="10">
        <v>45061</v>
      </c>
      <c r="B456">
        <v>2023</v>
      </c>
      <c r="C456">
        <v>5</v>
      </c>
      <c r="D456" t="s">
        <v>4305</v>
      </c>
      <c r="E456">
        <v>2</v>
      </c>
      <c r="F456">
        <v>15</v>
      </c>
      <c r="G456" t="s">
        <v>4301</v>
      </c>
    </row>
    <row r="457" spans="1:7">
      <c r="A457" s="10">
        <v>45754</v>
      </c>
      <c r="B457">
        <v>2025</v>
      </c>
      <c r="C457">
        <v>4</v>
      </c>
      <c r="D457" t="s">
        <v>4314</v>
      </c>
      <c r="E457">
        <v>2</v>
      </c>
      <c r="F457">
        <v>7</v>
      </c>
      <c r="G457" t="s">
        <v>4301</v>
      </c>
    </row>
    <row r="458" spans="1:7">
      <c r="A458" s="10">
        <v>45815</v>
      </c>
      <c r="B458">
        <v>2025</v>
      </c>
      <c r="C458">
        <v>6</v>
      </c>
      <c r="D458" t="s">
        <v>4310</v>
      </c>
      <c r="E458">
        <v>2</v>
      </c>
      <c r="F458">
        <v>7</v>
      </c>
      <c r="G458" t="s">
        <v>4298</v>
      </c>
    </row>
    <row r="459" spans="1:7">
      <c r="A459" s="10">
        <v>45750</v>
      </c>
      <c r="B459">
        <v>2025</v>
      </c>
      <c r="C459">
        <v>4</v>
      </c>
      <c r="D459" t="s">
        <v>4314</v>
      </c>
      <c r="E459">
        <v>2</v>
      </c>
      <c r="F459">
        <v>3</v>
      </c>
      <c r="G459" t="s">
        <v>4300</v>
      </c>
    </row>
    <row r="460" spans="1:7">
      <c r="A460" s="10">
        <v>45383</v>
      </c>
      <c r="B460">
        <v>2024</v>
      </c>
      <c r="C460">
        <v>4</v>
      </c>
      <c r="D460" t="s">
        <v>4314</v>
      </c>
      <c r="E460">
        <v>2</v>
      </c>
      <c r="F460">
        <v>1</v>
      </c>
      <c r="G460" t="s">
        <v>4301</v>
      </c>
    </row>
    <row r="461" spans="1:7">
      <c r="A461" s="10">
        <v>45907</v>
      </c>
      <c r="B461">
        <v>2025</v>
      </c>
      <c r="C461">
        <v>9</v>
      </c>
      <c r="D461" t="s">
        <v>4304</v>
      </c>
      <c r="E461">
        <v>3</v>
      </c>
      <c r="F461">
        <v>7</v>
      </c>
      <c r="G461" t="s">
        <v>4309</v>
      </c>
    </row>
    <row r="462" spans="1:7">
      <c r="A462" s="10">
        <v>45873</v>
      </c>
      <c r="B462">
        <v>2025</v>
      </c>
      <c r="C462">
        <v>8</v>
      </c>
      <c r="D462" t="s">
        <v>4313</v>
      </c>
      <c r="E462">
        <v>3</v>
      </c>
      <c r="F462">
        <v>4</v>
      </c>
      <c r="G462" t="s">
        <v>4301</v>
      </c>
    </row>
    <row r="463" spans="1:7">
      <c r="A463" s="10">
        <v>45585</v>
      </c>
      <c r="B463">
        <v>2024</v>
      </c>
      <c r="C463">
        <v>10</v>
      </c>
      <c r="D463" t="s">
        <v>4302</v>
      </c>
      <c r="E463">
        <v>4</v>
      </c>
      <c r="F463">
        <v>20</v>
      </c>
      <c r="G463" t="s">
        <v>4309</v>
      </c>
    </row>
    <row r="464" spans="1:7">
      <c r="A464" s="10">
        <v>45240</v>
      </c>
      <c r="B464">
        <v>2023</v>
      </c>
      <c r="C464">
        <v>11</v>
      </c>
      <c r="D464" t="s">
        <v>4315</v>
      </c>
      <c r="E464">
        <v>4</v>
      </c>
      <c r="F464">
        <v>10</v>
      </c>
      <c r="G464" t="s">
        <v>4306</v>
      </c>
    </row>
    <row r="465" spans="1:7">
      <c r="A465" s="10">
        <v>45836</v>
      </c>
      <c r="B465">
        <v>2025</v>
      </c>
      <c r="C465">
        <v>6</v>
      </c>
      <c r="D465" t="s">
        <v>4310</v>
      </c>
      <c r="E465">
        <v>2</v>
      </c>
      <c r="F465">
        <v>28</v>
      </c>
      <c r="G465" t="s">
        <v>4298</v>
      </c>
    </row>
    <row r="466" spans="1:7">
      <c r="A466" s="10">
        <v>45247</v>
      </c>
      <c r="B466">
        <v>2023</v>
      </c>
      <c r="C466">
        <v>11</v>
      </c>
      <c r="D466" t="s">
        <v>4315</v>
      </c>
      <c r="E466">
        <v>4</v>
      </c>
      <c r="F466">
        <v>17</v>
      </c>
      <c r="G466" t="s">
        <v>4306</v>
      </c>
    </row>
    <row r="467" spans="1:7">
      <c r="A467" s="10">
        <v>44970</v>
      </c>
      <c r="B467">
        <v>2023</v>
      </c>
      <c r="C467">
        <v>2</v>
      </c>
      <c r="D467" t="s">
        <v>4312</v>
      </c>
      <c r="E467">
        <v>1</v>
      </c>
      <c r="F467">
        <v>13</v>
      </c>
      <c r="G467" t="s">
        <v>4301</v>
      </c>
    </row>
    <row r="468" spans="1:7">
      <c r="A468" s="10">
        <v>45888</v>
      </c>
      <c r="B468">
        <v>2025</v>
      </c>
      <c r="C468">
        <v>8</v>
      </c>
      <c r="D468" t="s">
        <v>4313</v>
      </c>
      <c r="E468">
        <v>3</v>
      </c>
      <c r="F468">
        <v>19</v>
      </c>
      <c r="G468" t="s">
        <v>4303</v>
      </c>
    </row>
    <row r="469" spans="1:7">
      <c r="A469" s="10">
        <v>45733</v>
      </c>
      <c r="B469">
        <v>2025</v>
      </c>
      <c r="C469">
        <v>3</v>
      </c>
      <c r="D469" t="s">
        <v>4311</v>
      </c>
      <c r="E469">
        <v>1</v>
      </c>
      <c r="F469">
        <v>17</v>
      </c>
      <c r="G469" t="s">
        <v>4301</v>
      </c>
    </row>
    <row r="470" spans="1:7">
      <c r="A470" s="10">
        <v>45485</v>
      </c>
      <c r="B470">
        <v>2024</v>
      </c>
      <c r="C470">
        <v>7</v>
      </c>
      <c r="D470" t="s">
        <v>4297</v>
      </c>
      <c r="E470">
        <v>3</v>
      </c>
      <c r="F470">
        <v>12</v>
      </c>
      <c r="G470" t="s">
        <v>4306</v>
      </c>
    </row>
    <row r="471" spans="1:7">
      <c r="A471" s="10">
        <v>45503</v>
      </c>
      <c r="B471">
        <v>2024</v>
      </c>
      <c r="C471">
        <v>7</v>
      </c>
      <c r="D471" t="s">
        <v>4297</v>
      </c>
      <c r="E471">
        <v>3</v>
      </c>
      <c r="F471">
        <v>30</v>
      </c>
      <c r="G471" t="s">
        <v>4303</v>
      </c>
    </row>
    <row r="472" spans="1:7">
      <c r="A472" s="10">
        <v>45143</v>
      </c>
      <c r="B472">
        <v>2023</v>
      </c>
      <c r="C472">
        <v>8</v>
      </c>
      <c r="D472" t="s">
        <v>4313</v>
      </c>
      <c r="E472">
        <v>3</v>
      </c>
      <c r="F472">
        <v>5</v>
      </c>
      <c r="G472" t="s">
        <v>4298</v>
      </c>
    </row>
    <row r="473" spans="1:7">
      <c r="A473" s="10">
        <v>45287</v>
      </c>
      <c r="B473">
        <v>2023</v>
      </c>
      <c r="C473">
        <v>12</v>
      </c>
      <c r="D473" t="s">
        <v>4299</v>
      </c>
      <c r="E473">
        <v>4</v>
      </c>
      <c r="F473">
        <v>27</v>
      </c>
      <c r="G473" t="s">
        <v>4308</v>
      </c>
    </row>
    <row r="474" spans="1:7">
      <c r="A474" s="10">
        <v>45938</v>
      </c>
      <c r="B474">
        <v>2025</v>
      </c>
      <c r="C474">
        <v>10</v>
      </c>
      <c r="D474" t="s">
        <v>4302</v>
      </c>
      <c r="E474">
        <v>4</v>
      </c>
      <c r="F474">
        <v>8</v>
      </c>
      <c r="G474" t="s">
        <v>4308</v>
      </c>
    </row>
    <row r="475" spans="1:7">
      <c r="A475" s="10">
        <v>45766</v>
      </c>
      <c r="B475">
        <v>2025</v>
      </c>
      <c r="C475">
        <v>4</v>
      </c>
      <c r="D475" t="s">
        <v>4314</v>
      </c>
      <c r="E475">
        <v>2</v>
      </c>
      <c r="F475">
        <v>19</v>
      </c>
      <c r="G475" t="s">
        <v>4298</v>
      </c>
    </row>
    <row r="476" spans="1:7">
      <c r="A476" s="10">
        <v>45617</v>
      </c>
      <c r="B476">
        <v>2024</v>
      </c>
      <c r="C476">
        <v>11</v>
      </c>
      <c r="D476" t="s">
        <v>4315</v>
      </c>
      <c r="E476">
        <v>4</v>
      </c>
      <c r="F476">
        <v>21</v>
      </c>
      <c r="G476" t="s">
        <v>4300</v>
      </c>
    </row>
    <row r="477" spans="1:7">
      <c r="A477" s="10">
        <v>45563</v>
      </c>
      <c r="B477">
        <v>2024</v>
      </c>
      <c r="C477">
        <v>9</v>
      </c>
      <c r="D477" t="s">
        <v>4304</v>
      </c>
      <c r="E477">
        <v>3</v>
      </c>
      <c r="F477">
        <v>28</v>
      </c>
      <c r="G477" t="s">
        <v>4298</v>
      </c>
    </row>
    <row r="478" spans="1:7">
      <c r="A478" s="10">
        <v>45586</v>
      </c>
      <c r="B478">
        <v>2024</v>
      </c>
      <c r="C478">
        <v>10</v>
      </c>
      <c r="D478" t="s">
        <v>4302</v>
      </c>
      <c r="E478">
        <v>4</v>
      </c>
      <c r="F478">
        <v>21</v>
      </c>
      <c r="G478" t="s">
        <v>4301</v>
      </c>
    </row>
    <row r="479" spans="1:7">
      <c r="A479" s="10">
        <v>44933</v>
      </c>
      <c r="B479">
        <v>2023</v>
      </c>
      <c r="C479">
        <v>1</v>
      </c>
      <c r="D479" t="s">
        <v>4307</v>
      </c>
      <c r="E479">
        <v>1</v>
      </c>
      <c r="F479">
        <v>7</v>
      </c>
      <c r="G479" t="s">
        <v>4298</v>
      </c>
    </row>
    <row r="480" spans="1:7">
      <c r="A480" s="10">
        <v>44986</v>
      </c>
      <c r="B480">
        <v>2023</v>
      </c>
      <c r="C480">
        <v>3</v>
      </c>
      <c r="D480" t="s">
        <v>4311</v>
      </c>
      <c r="E480">
        <v>1</v>
      </c>
      <c r="F480">
        <v>1</v>
      </c>
      <c r="G480" t="s">
        <v>4308</v>
      </c>
    </row>
    <row r="481" spans="1:7">
      <c r="A481" s="10">
        <v>45816</v>
      </c>
      <c r="B481">
        <v>2025</v>
      </c>
      <c r="C481">
        <v>6</v>
      </c>
      <c r="D481" t="s">
        <v>4310</v>
      </c>
      <c r="E481">
        <v>2</v>
      </c>
      <c r="F481">
        <v>8</v>
      </c>
      <c r="G481" t="s">
        <v>4309</v>
      </c>
    </row>
    <row r="482" spans="1:7">
      <c r="A482" s="10">
        <v>45054</v>
      </c>
      <c r="B482">
        <v>2023</v>
      </c>
      <c r="C482">
        <v>5</v>
      </c>
      <c r="D482" t="s">
        <v>4305</v>
      </c>
      <c r="E482">
        <v>2</v>
      </c>
      <c r="F482">
        <v>8</v>
      </c>
      <c r="G482" t="s">
        <v>4301</v>
      </c>
    </row>
    <row r="483" spans="1:7">
      <c r="A483" s="10">
        <v>45520</v>
      </c>
      <c r="B483">
        <v>2024</v>
      </c>
      <c r="C483">
        <v>8</v>
      </c>
      <c r="D483" t="s">
        <v>4313</v>
      </c>
      <c r="E483">
        <v>3</v>
      </c>
      <c r="F483">
        <v>16</v>
      </c>
      <c r="G483" t="s">
        <v>4306</v>
      </c>
    </row>
    <row r="484" spans="1:7">
      <c r="A484" s="10">
        <v>45612</v>
      </c>
      <c r="B484">
        <v>2024</v>
      </c>
      <c r="C484">
        <v>11</v>
      </c>
      <c r="D484" t="s">
        <v>4315</v>
      </c>
      <c r="E484">
        <v>4</v>
      </c>
      <c r="F484">
        <v>16</v>
      </c>
      <c r="G484" t="s">
        <v>4298</v>
      </c>
    </row>
    <row r="485" spans="1:7">
      <c r="A485" s="10">
        <v>45397</v>
      </c>
      <c r="B485">
        <v>2024</v>
      </c>
      <c r="C485">
        <v>4</v>
      </c>
      <c r="D485" t="s">
        <v>4314</v>
      </c>
      <c r="E485">
        <v>2</v>
      </c>
      <c r="F485">
        <v>15</v>
      </c>
      <c r="G485" t="s">
        <v>4301</v>
      </c>
    </row>
    <row r="486" spans="1:7">
      <c r="A486" s="10">
        <v>45548</v>
      </c>
      <c r="B486">
        <v>2024</v>
      </c>
      <c r="C486">
        <v>9</v>
      </c>
      <c r="D486" t="s">
        <v>4304</v>
      </c>
      <c r="E486">
        <v>3</v>
      </c>
      <c r="F486">
        <v>13</v>
      </c>
      <c r="G486" t="s">
        <v>4306</v>
      </c>
    </row>
    <row r="487" spans="1:7">
      <c r="A487" s="10">
        <v>45103</v>
      </c>
      <c r="B487">
        <v>2023</v>
      </c>
      <c r="C487">
        <v>6</v>
      </c>
      <c r="D487" t="s">
        <v>4310</v>
      </c>
      <c r="E487">
        <v>2</v>
      </c>
      <c r="F487">
        <v>26</v>
      </c>
      <c r="G487" t="s">
        <v>4301</v>
      </c>
    </row>
    <row r="488" spans="1:7">
      <c r="A488" s="10">
        <v>45483</v>
      </c>
      <c r="B488">
        <v>2024</v>
      </c>
      <c r="C488">
        <v>7</v>
      </c>
      <c r="D488" t="s">
        <v>4297</v>
      </c>
      <c r="E488">
        <v>3</v>
      </c>
      <c r="F488">
        <v>10</v>
      </c>
      <c r="G488" t="s">
        <v>4308</v>
      </c>
    </row>
    <row r="489" spans="1:7">
      <c r="A489" s="10">
        <v>45884</v>
      </c>
      <c r="B489">
        <v>2025</v>
      </c>
      <c r="C489">
        <v>8</v>
      </c>
      <c r="D489" t="s">
        <v>4313</v>
      </c>
      <c r="E489">
        <v>3</v>
      </c>
      <c r="F489">
        <v>15</v>
      </c>
      <c r="G489" t="s">
        <v>4306</v>
      </c>
    </row>
    <row r="490" spans="1:7">
      <c r="A490" s="10">
        <v>45738</v>
      </c>
      <c r="B490">
        <v>2025</v>
      </c>
      <c r="C490">
        <v>3</v>
      </c>
      <c r="D490" t="s">
        <v>4311</v>
      </c>
      <c r="E490">
        <v>1</v>
      </c>
      <c r="F490">
        <v>22</v>
      </c>
      <c r="G490" t="s">
        <v>4298</v>
      </c>
    </row>
    <row r="491" spans="1:7">
      <c r="A491" s="10">
        <v>45312</v>
      </c>
      <c r="B491">
        <v>2024</v>
      </c>
      <c r="C491">
        <v>1</v>
      </c>
      <c r="D491" t="s">
        <v>4307</v>
      </c>
      <c r="E491">
        <v>1</v>
      </c>
      <c r="F491">
        <v>21</v>
      </c>
      <c r="G491" t="s">
        <v>4309</v>
      </c>
    </row>
    <row r="492" spans="1:7">
      <c r="A492" s="10">
        <v>45541</v>
      </c>
      <c r="B492">
        <v>2024</v>
      </c>
      <c r="C492">
        <v>9</v>
      </c>
      <c r="D492" t="s">
        <v>4304</v>
      </c>
      <c r="E492">
        <v>3</v>
      </c>
      <c r="F492">
        <v>6</v>
      </c>
      <c r="G492" t="s">
        <v>4306</v>
      </c>
    </row>
    <row r="493" spans="1:7">
      <c r="A493" s="10">
        <v>45104</v>
      </c>
      <c r="B493">
        <v>2023</v>
      </c>
      <c r="C493">
        <v>6</v>
      </c>
      <c r="D493" t="s">
        <v>4310</v>
      </c>
      <c r="E493">
        <v>2</v>
      </c>
      <c r="F493">
        <v>27</v>
      </c>
      <c r="G493" t="s">
        <v>4303</v>
      </c>
    </row>
    <row r="494" spans="1:7">
      <c r="A494" s="10">
        <v>45026</v>
      </c>
      <c r="B494">
        <v>2023</v>
      </c>
      <c r="C494">
        <v>4</v>
      </c>
      <c r="D494" t="s">
        <v>4314</v>
      </c>
      <c r="E494">
        <v>2</v>
      </c>
      <c r="F494">
        <v>10</v>
      </c>
      <c r="G494" t="s">
        <v>4301</v>
      </c>
    </row>
    <row r="495" spans="1:7">
      <c r="A495" s="10">
        <v>45482</v>
      </c>
      <c r="B495">
        <v>2024</v>
      </c>
      <c r="C495">
        <v>7</v>
      </c>
      <c r="D495" t="s">
        <v>4297</v>
      </c>
      <c r="E495">
        <v>3</v>
      </c>
      <c r="F495">
        <v>9</v>
      </c>
      <c r="G495" t="s">
        <v>4303</v>
      </c>
    </row>
    <row r="496" spans="1:7">
      <c r="A496" s="10">
        <v>45103</v>
      </c>
      <c r="B496">
        <v>2023</v>
      </c>
      <c r="C496">
        <v>6</v>
      </c>
      <c r="D496" t="s">
        <v>4310</v>
      </c>
      <c r="E496">
        <v>2</v>
      </c>
      <c r="F496">
        <v>26</v>
      </c>
      <c r="G496" t="s">
        <v>4301</v>
      </c>
    </row>
    <row r="497" spans="1:7">
      <c r="A497" s="10">
        <v>45426</v>
      </c>
      <c r="B497">
        <v>2024</v>
      </c>
      <c r="C497">
        <v>5</v>
      </c>
      <c r="D497" t="s">
        <v>4305</v>
      </c>
      <c r="E497">
        <v>2</v>
      </c>
      <c r="F497">
        <v>14</v>
      </c>
      <c r="G497" t="s">
        <v>4303</v>
      </c>
    </row>
    <row r="498" spans="1:7">
      <c r="A498" s="10">
        <v>45735</v>
      </c>
      <c r="B498">
        <v>2025</v>
      </c>
      <c r="C498">
        <v>3</v>
      </c>
      <c r="D498" t="s">
        <v>4311</v>
      </c>
      <c r="E498">
        <v>1</v>
      </c>
      <c r="F498">
        <v>19</v>
      </c>
      <c r="G498" t="s">
        <v>4308</v>
      </c>
    </row>
    <row r="499" spans="1:7">
      <c r="A499" s="10">
        <v>45626</v>
      </c>
      <c r="B499">
        <v>2024</v>
      </c>
      <c r="C499">
        <v>11</v>
      </c>
      <c r="D499" t="s">
        <v>4315</v>
      </c>
      <c r="E499">
        <v>4</v>
      </c>
      <c r="F499">
        <v>30</v>
      </c>
      <c r="G499" t="s">
        <v>4298</v>
      </c>
    </row>
    <row r="500" spans="1:7">
      <c r="A500" s="10">
        <v>45318</v>
      </c>
      <c r="B500">
        <v>2024</v>
      </c>
      <c r="C500">
        <v>1</v>
      </c>
      <c r="D500" t="s">
        <v>4307</v>
      </c>
      <c r="E500">
        <v>1</v>
      </c>
      <c r="F500">
        <v>27</v>
      </c>
      <c r="G500" t="s">
        <v>4298</v>
      </c>
    </row>
    <row r="501" spans="1:7">
      <c r="A501" s="10">
        <v>45617</v>
      </c>
      <c r="B501">
        <v>2024</v>
      </c>
      <c r="C501">
        <v>11</v>
      </c>
      <c r="D501" t="s">
        <v>4315</v>
      </c>
      <c r="E501">
        <v>4</v>
      </c>
      <c r="F501">
        <v>21</v>
      </c>
      <c r="G501" t="s">
        <v>4300</v>
      </c>
    </row>
    <row r="502" spans="1:7">
      <c r="A502" s="10">
        <v>45334</v>
      </c>
      <c r="B502">
        <v>2024</v>
      </c>
      <c r="C502">
        <v>2</v>
      </c>
      <c r="D502" t="s">
        <v>4312</v>
      </c>
      <c r="E502">
        <v>1</v>
      </c>
      <c r="F502">
        <v>12</v>
      </c>
      <c r="G502" t="s">
        <v>4301</v>
      </c>
    </row>
    <row r="503" spans="1:7">
      <c r="A503" s="10">
        <v>45509</v>
      </c>
      <c r="B503">
        <v>2024</v>
      </c>
      <c r="C503">
        <v>8</v>
      </c>
      <c r="D503" t="s">
        <v>4313</v>
      </c>
      <c r="E503">
        <v>3</v>
      </c>
      <c r="F503">
        <v>5</v>
      </c>
      <c r="G503" t="s">
        <v>4301</v>
      </c>
    </row>
    <row r="504" spans="1:7">
      <c r="A504" s="10">
        <v>45499</v>
      </c>
      <c r="B504">
        <v>2024</v>
      </c>
      <c r="C504">
        <v>7</v>
      </c>
      <c r="D504" t="s">
        <v>4297</v>
      </c>
      <c r="E504">
        <v>3</v>
      </c>
      <c r="F504">
        <v>26</v>
      </c>
      <c r="G504" t="s">
        <v>4306</v>
      </c>
    </row>
    <row r="505" spans="1:7">
      <c r="A505" s="10">
        <v>45721</v>
      </c>
      <c r="B505">
        <v>2025</v>
      </c>
      <c r="C505">
        <v>3</v>
      </c>
      <c r="D505" t="s">
        <v>4311</v>
      </c>
      <c r="E505">
        <v>1</v>
      </c>
      <c r="F505">
        <v>5</v>
      </c>
      <c r="G505" t="s">
        <v>4308</v>
      </c>
    </row>
    <row r="506" spans="1:7">
      <c r="A506" s="10">
        <v>45663</v>
      </c>
      <c r="B506">
        <v>2025</v>
      </c>
      <c r="C506">
        <v>1</v>
      </c>
      <c r="D506" t="s">
        <v>4307</v>
      </c>
      <c r="E506">
        <v>1</v>
      </c>
      <c r="F506">
        <v>6</v>
      </c>
      <c r="G506" t="s">
        <v>4301</v>
      </c>
    </row>
    <row r="507" spans="1:7">
      <c r="A507" s="10">
        <v>45217</v>
      </c>
      <c r="B507">
        <v>2023</v>
      </c>
      <c r="C507">
        <v>10</v>
      </c>
      <c r="D507" t="s">
        <v>4302</v>
      </c>
      <c r="E507">
        <v>4</v>
      </c>
      <c r="F507">
        <v>18</v>
      </c>
      <c r="G507" t="s">
        <v>4308</v>
      </c>
    </row>
    <row r="508" spans="1:7">
      <c r="A508" s="10">
        <v>45682</v>
      </c>
      <c r="B508">
        <v>2025</v>
      </c>
      <c r="C508">
        <v>1</v>
      </c>
      <c r="D508" t="s">
        <v>4307</v>
      </c>
      <c r="E508">
        <v>1</v>
      </c>
      <c r="F508">
        <v>25</v>
      </c>
      <c r="G508" t="s">
        <v>4298</v>
      </c>
    </row>
    <row r="509" spans="1:7">
      <c r="A509" s="10">
        <v>45482</v>
      </c>
      <c r="B509">
        <v>2024</v>
      </c>
      <c r="C509">
        <v>7</v>
      </c>
      <c r="D509" t="s">
        <v>4297</v>
      </c>
      <c r="E509">
        <v>3</v>
      </c>
      <c r="F509">
        <v>9</v>
      </c>
      <c r="G509" t="s">
        <v>4303</v>
      </c>
    </row>
    <row r="510" spans="1:7">
      <c r="A510" s="10">
        <v>45538</v>
      </c>
      <c r="B510">
        <v>2024</v>
      </c>
      <c r="C510">
        <v>9</v>
      </c>
      <c r="D510" t="s">
        <v>4304</v>
      </c>
      <c r="E510">
        <v>3</v>
      </c>
      <c r="F510">
        <v>3</v>
      </c>
      <c r="G510" t="s">
        <v>4303</v>
      </c>
    </row>
    <row r="511" spans="1:7">
      <c r="A511" s="10">
        <v>45346</v>
      </c>
      <c r="B511">
        <v>2024</v>
      </c>
      <c r="C511">
        <v>2</v>
      </c>
      <c r="D511" t="s">
        <v>4312</v>
      </c>
      <c r="E511">
        <v>1</v>
      </c>
      <c r="F511">
        <v>24</v>
      </c>
      <c r="G511" t="s">
        <v>4298</v>
      </c>
    </row>
    <row r="512" spans="1:7">
      <c r="A512" s="10">
        <v>45479</v>
      </c>
      <c r="B512">
        <v>2024</v>
      </c>
      <c r="C512">
        <v>7</v>
      </c>
      <c r="D512" t="s">
        <v>4297</v>
      </c>
      <c r="E512">
        <v>3</v>
      </c>
      <c r="F512">
        <v>6</v>
      </c>
      <c r="G512" t="s">
        <v>4298</v>
      </c>
    </row>
    <row r="513" spans="1:7">
      <c r="A513" s="10">
        <v>45827</v>
      </c>
      <c r="B513">
        <v>2025</v>
      </c>
      <c r="C513">
        <v>6</v>
      </c>
      <c r="D513" t="s">
        <v>4310</v>
      </c>
      <c r="E513">
        <v>2</v>
      </c>
      <c r="F513">
        <v>19</v>
      </c>
      <c r="G513" t="s">
        <v>4300</v>
      </c>
    </row>
    <row r="514" spans="1:7">
      <c r="A514" s="10">
        <v>45886</v>
      </c>
      <c r="B514">
        <v>2025</v>
      </c>
      <c r="C514">
        <v>8</v>
      </c>
      <c r="D514" t="s">
        <v>4313</v>
      </c>
      <c r="E514">
        <v>3</v>
      </c>
      <c r="F514">
        <v>17</v>
      </c>
      <c r="G514" t="s">
        <v>4309</v>
      </c>
    </row>
    <row r="515" spans="1:7">
      <c r="A515" s="10">
        <v>45948</v>
      </c>
      <c r="B515">
        <v>2025</v>
      </c>
      <c r="C515">
        <v>10</v>
      </c>
      <c r="D515" t="s">
        <v>4302</v>
      </c>
      <c r="E515">
        <v>4</v>
      </c>
      <c r="F515">
        <v>18</v>
      </c>
      <c r="G515" t="s">
        <v>4298</v>
      </c>
    </row>
    <row r="516" spans="1:7">
      <c r="A516" s="10">
        <v>45775</v>
      </c>
      <c r="B516">
        <v>2025</v>
      </c>
      <c r="C516">
        <v>4</v>
      </c>
      <c r="D516" t="s">
        <v>4314</v>
      </c>
      <c r="E516">
        <v>2</v>
      </c>
      <c r="F516">
        <v>28</v>
      </c>
      <c r="G516" t="s">
        <v>4301</v>
      </c>
    </row>
    <row r="517" spans="1:7">
      <c r="A517" s="10">
        <v>45238</v>
      </c>
      <c r="B517">
        <v>2023</v>
      </c>
      <c r="C517">
        <v>11</v>
      </c>
      <c r="D517" t="s">
        <v>4315</v>
      </c>
      <c r="E517">
        <v>4</v>
      </c>
      <c r="F517">
        <v>8</v>
      </c>
      <c r="G517" t="s">
        <v>4308</v>
      </c>
    </row>
    <row r="518" spans="1:7">
      <c r="A518" s="10">
        <v>46004</v>
      </c>
      <c r="B518">
        <v>2025</v>
      </c>
      <c r="C518">
        <v>12</v>
      </c>
      <c r="D518" t="s">
        <v>4299</v>
      </c>
      <c r="E518">
        <v>4</v>
      </c>
      <c r="F518">
        <v>13</v>
      </c>
      <c r="G518" t="s">
        <v>4298</v>
      </c>
    </row>
    <row r="519" spans="1:7">
      <c r="A519" s="10">
        <v>45595</v>
      </c>
      <c r="B519">
        <v>2024</v>
      </c>
      <c r="C519">
        <v>10</v>
      </c>
      <c r="D519" t="s">
        <v>4302</v>
      </c>
      <c r="E519">
        <v>4</v>
      </c>
      <c r="F519">
        <v>30</v>
      </c>
      <c r="G519" t="s">
        <v>4308</v>
      </c>
    </row>
    <row r="520" spans="1:7">
      <c r="A520" s="10">
        <v>44996</v>
      </c>
      <c r="B520">
        <v>2023</v>
      </c>
      <c r="C520">
        <v>3</v>
      </c>
      <c r="D520" t="s">
        <v>4311</v>
      </c>
      <c r="E520">
        <v>1</v>
      </c>
      <c r="F520">
        <v>11</v>
      </c>
      <c r="G520" t="s">
        <v>4298</v>
      </c>
    </row>
    <row r="521" spans="1:7">
      <c r="A521" s="10">
        <v>45230</v>
      </c>
      <c r="B521">
        <v>2023</v>
      </c>
      <c r="C521">
        <v>10</v>
      </c>
      <c r="D521" t="s">
        <v>4302</v>
      </c>
      <c r="E521">
        <v>4</v>
      </c>
      <c r="F521">
        <v>31</v>
      </c>
      <c r="G521" t="s">
        <v>4303</v>
      </c>
    </row>
    <row r="522" spans="1:7">
      <c r="A522" s="10">
        <v>45329</v>
      </c>
      <c r="B522">
        <v>2024</v>
      </c>
      <c r="C522">
        <v>2</v>
      </c>
      <c r="D522" t="s">
        <v>4312</v>
      </c>
      <c r="E522">
        <v>1</v>
      </c>
      <c r="F522">
        <v>7</v>
      </c>
      <c r="G522" t="s">
        <v>4308</v>
      </c>
    </row>
    <row r="523" spans="1:7">
      <c r="A523" s="10">
        <v>45447</v>
      </c>
      <c r="B523">
        <v>2024</v>
      </c>
      <c r="C523">
        <v>6</v>
      </c>
      <c r="D523" t="s">
        <v>4310</v>
      </c>
      <c r="E523">
        <v>2</v>
      </c>
      <c r="F523">
        <v>4</v>
      </c>
      <c r="G523" t="s">
        <v>4303</v>
      </c>
    </row>
    <row r="524" spans="1:7">
      <c r="A524" s="10">
        <v>45599</v>
      </c>
      <c r="B524">
        <v>2024</v>
      </c>
      <c r="C524">
        <v>11</v>
      </c>
      <c r="D524" t="s">
        <v>4315</v>
      </c>
      <c r="E524">
        <v>4</v>
      </c>
      <c r="F524">
        <v>3</v>
      </c>
      <c r="G524" t="s">
        <v>4309</v>
      </c>
    </row>
    <row r="525" spans="1:7">
      <c r="A525" s="10">
        <v>45245</v>
      </c>
      <c r="B525">
        <v>2023</v>
      </c>
      <c r="C525">
        <v>11</v>
      </c>
      <c r="D525" t="s">
        <v>4315</v>
      </c>
      <c r="E525">
        <v>4</v>
      </c>
      <c r="F525">
        <v>15</v>
      </c>
      <c r="G525" t="s">
        <v>4308</v>
      </c>
    </row>
    <row r="526" spans="1:7">
      <c r="A526" s="10">
        <v>45259</v>
      </c>
      <c r="B526">
        <v>2023</v>
      </c>
      <c r="C526">
        <v>11</v>
      </c>
      <c r="D526" t="s">
        <v>4315</v>
      </c>
      <c r="E526">
        <v>4</v>
      </c>
      <c r="F526">
        <v>29</v>
      </c>
      <c r="G526" t="s">
        <v>4308</v>
      </c>
    </row>
    <row r="527" spans="1:7">
      <c r="A527" s="10">
        <v>45682</v>
      </c>
      <c r="B527">
        <v>2025</v>
      </c>
      <c r="C527">
        <v>1</v>
      </c>
      <c r="D527" t="s">
        <v>4307</v>
      </c>
      <c r="E527">
        <v>1</v>
      </c>
      <c r="F527">
        <v>25</v>
      </c>
      <c r="G527" t="s">
        <v>4298</v>
      </c>
    </row>
    <row r="528" spans="1:7">
      <c r="A528" s="10">
        <v>45576</v>
      </c>
      <c r="B528">
        <v>2024</v>
      </c>
      <c r="C528">
        <v>10</v>
      </c>
      <c r="D528" t="s">
        <v>4302</v>
      </c>
      <c r="E528">
        <v>4</v>
      </c>
      <c r="F528">
        <v>11</v>
      </c>
      <c r="G528" t="s">
        <v>4306</v>
      </c>
    </row>
    <row r="529" spans="1:7">
      <c r="A529" s="10">
        <v>45132</v>
      </c>
      <c r="B529">
        <v>2023</v>
      </c>
      <c r="C529">
        <v>7</v>
      </c>
      <c r="D529" t="s">
        <v>4297</v>
      </c>
      <c r="E529">
        <v>3</v>
      </c>
      <c r="F529">
        <v>25</v>
      </c>
      <c r="G529" t="s">
        <v>4303</v>
      </c>
    </row>
    <row r="530" spans="1:7">
      <c r="A530" s="10">
        <v>45145</v>
      </c>
      <c r="B530">
        <v>2023</v>
      </c>
      <c r="C530">
        <v>8</v>
      </c>
      <c r="D530" t="s">
        <v>4313</v>
      </c>
      <c r="E530">
        <v>3</v>
      </c>
      <c r="F530">
        <v>7</v>
      </c>
      <c r="G530" t="s">
        <v>4301</v>
      </c>
    </row>
    <row r="531" spans="1:7">
      <c r="A531" s="10">
        <v>45048</v>
      </c>
      <c r="B531">
        <v>2023</v>
      </c>
      <c r="C531">
        <v>5</v>
      </c>
      <c r="D531" t="s">
        <v>4305</v>
      </c>
      <c r="E531">
        <v>2</v>
      </c>
      <c r="F531">
        <v>2</v>
      </c>
      <c r="G531" t="s">
        <v>4303</v>
      </c>
    </row>
    <row r="532" spans="1:7">
      <c r="A532" s="10">
        <v>45399</v>
      </c>
      <c r="B532">
        <v>2024</v>
      </c>
      <c r="C532">
        <v>4</v>
      </c>
      <c r="D532" t="s">
        <v>4314</v>
      </c>
      <c r="E532">
        <v>2</v>
      </c>
      <c r="F532">
        <v>17</v>
      </c>
      <c r="G532" t="s">
        <v>4308</v>
      </c>
    </row>
    <row r="533" spans="1:7">
      <c r="A533" s="10">
        <v>45350</v>
      </c>
      <c r="B533">
        <v>2024</v>
      </c>
      <c r="C533">
        <v>2</v>
      </c>
      <c r="D533" t="s">
        <v>4312</v>
      </c>
      <c r="E533">
        <v>1</v>
      </c>
      <c r="F533">
        <v>28</v>
      </c>
      <c r="G533" t="s">
        <v>4308</v>
      </c>
    </row>
    <row r="534" spans="1:7">
      <c r="A534" s="10">
        <v>45386</v>
      </c>
      <c r="B534">
        <v>2024</v>
      </c>
      <c r="C534">
        <v>4</v>
      </c>
      <c r="D534" t="s">
        <v>4314</v>
      </c>
      <c r="E534">
        <v>2</v>
      </c>
      <c r="F534">
        <v>4</v>
      </c>
      <c r="G534" t="s">
        <v>4300</v>
      </c>
    </row>
    <row r="535" spans="1:7">
      <c r="A535" s="10">
        <v>45174</v>
      </c>
      <c r="B535">
        <v>2023</v>
      </c>
      <c r="C535">
        <v>9</v>
      </c>
      <c r="D535" t="s">
        <v>4304</v>
      </c>
      <c r="E535">
        <v>3</v>
      </c>
      <c r="F535">
        <v>5</v>
      </c>
      <c r="G535" t="s">
        <v>4303</v>
      </c>
    </row>
    <row r="536" spans="1:7">
      <c r="A536" s="10">
        <v>45750</v>
      </c>
      <c r="B536">
        <v>2025</v>
      </c>
      <c r="C536">
        <v>4</v>
      </c>
      <c r="D536" t="s">
        <v>4314</v>
      </c>
      <c r="E536">
        <v>2</v>
      </c>
      <c r="F536">
        <v>3</v>
      </c>
      <c r="G536" t="s">
        <v>4300</v>
      </c>
    </row>
    <row r="537" spans="1:7">
      <c r="A537" s="10">
        <v>45374</v>
      </c>
      <c r="B537">
        <v>2024</v>
      </c>
      <c r="C537">
        <v>3</v>
      </c>
      <c r="D537" t="s">
        <v>4311</v>
      </c>
      <c r="E537">
        <v>1</v>
      </c>
      <c r="F537">
        <v>23</v>
      </c>
      <c r="G537" t="s">
        <v>4298</v>
      </c>
    </row>
    <row r="538" spans="1:7">
      <c r="A538" s="10">
        <v>45770</v>
      </c>
      <c r="B538">
        <v>2025</v>
      </c>
      <c r="C538">
        <v>4</v>
      </c>
      <c r="D538" t="s">
        <v>4314</v>
      </c>
      <c r="E538">
        <v>2</v>
      </c>
      <c r="F538">
        <v>23</v>
      </c>
      <c r="G538" t="s">
        <v>4308</v>
      </c>
    </row>
    <row r="539" spans="1:7">
      <c r="A539" s="10">
        <v>44991</v>
      </c>
      <c r="B539">
        <v>2023</v>
      </c>
      <c r="C539">
        <v>3</v>
      </c>
      <c r="D539" t="s">
        <v>4311</v>
      </c>
      <c r="E539">
        <v>1</v>
      </c>
      <c r="F539">
        <v>6</v>
      </c>
      <c r="G539" t="s">
        <v>4301</v>
      </c>
    </row>
    <row r="540" spans="1:7">
      <c r="A540" s="10">
        <v>46014</v>
      </c>
      <c r="B540">
        <v>2025</v>
      </c>
      <c r="C540">
        <v>12</v>
      </c>
      <c r="D540" t="s">
        <v>4299</v>
      </c>
      <c r="E540">
        <v>4</v>
      </c>
      <c r="F540">
        <v>23</v>
      </c>
      <c r="G540" t="s">
        <v>4303</v>
      </c>
    </row>
    <row r="541" spans="1:7">
      <c r="A541" s="10">
        <v>45203</v>
      </c>
      <c r="B541">
        <v>2023</v>
      </c>
      <c r="C541">
        <v>10</v>
      </c>
      <c r="D541" t="s">
        <v>4302</v>
      </c>
      <c r="E541">
        <v>4</v>
      </c>
      <c r="F541">
        <v>4</v>
      </c>
      <c r="G541" t="s">
        <v>4308</v>
      </c>
    </row>
    <row r="542" spans="1:7">
      <c r="A542" s="10">
        <v>45791</v>
      </c>
      <c r="B542">
        <v>2025</v>
      </c>
      <c r="C542">
        <v>5</v>
      </c>
      <c r="D542" t="s">
        <v>4305</v>
      </c>
      <c r="E542">
        <v>2</v>
      </c>
      <c r="F542">
        <v>14</v>
      </c>
      <c r="G542" t="s">
        <v>4308</v>
      </c>
    </row>
    <row r="543" spans="1:7">
      <c r="A543" s="10">
        <v>44979</v>
      </c>
      <c r="B543">
        <v>2023</v>
      </c>
      <c r="C543">
        <v>2</v>
      </c>
      <c r="D543" t="s">
        <v>4312</v>
      </c>
      <c r="E543">
        <v>1</v>
      </c>
      <c r="F543">
        <v>22</v>
      </c>
      <c r="G543" t="s">
        <v>4308</v>
      </c>
    </row>
    <row r="544" spans="1:7">
      <c r="A544" s="10">
        <v>45027</v>
      </c>
      <c r="B544">
        <v>2023</v>
      </c>
      <c r="C544">
        <v>4</v>
      </c>
      <c r="D544" t="s">
        <v>4314</v>
      </c>
      <c r="E544">
        <v>2</v>
      </c>
      <c r="F544">
        <v>11</v>
      </c>
      <c r="G544" t="s">
        <v>4303</v>
      </c>
    </row>
    <row r="545" spans="1:7">
      <c r="A545" s="10">
        <v>45759</v>
      </c>
      <c r="B545">
        <v>2025</v>
      </c>
      <c r="C545">
        <v>4</v>
      </c>
      <c r="D545" t="s">
        <v>4314</v>
      </c>
      <c r="E545">
        <v>2</v>
      </c>
      <c r="F545">
        <v>12</v>
      </c>
      <c r="G545" t="s">
        <v>4298</v>
      </c>
    </row>
    <row r="546" spans="1:7">
      <c r="A546" s="10">
        <v>45324</v>
      </c>
      <c r="B546">
        <v>2024</v>
      </c>
      <c r="C546">
        <v>2</v>
      </c>
      <c r="D546" t="s">
        <v>4312</v>
      </c>
      <c r="E546">
        <v>1</v>
      </c>
      <c r="F546">
        <v>2</v>
      </c>
      <c r="G546" t="s">
        <v>4306</v>
      </c>
    </row>
    <row r="547" spans="1:7">
      <c r="A547" s="10">
        <v>45010</v>
      </c>
      <c r="B547">
        <v>2023</v>
      </c>
      <c r="C547">
        <v>3</v>
      </c>
      <c r="D547" t="s">
        <v>4311</v>
      </c>
      <c r="E547">
        <v>1</v>
      </c>
      <c r="F547">
        <v>25</v>
      </c>
      <c r="G547" t="s">
        <v>4298</v>
      </c>
    </row>
    <row r="548" spans="1:7">
      <c r="A548" s="10">
        <v>44973</v>
      </c>
      <c r="B548">
        <v>2023</v>
      </c>
      <c r="C548">
        <v>2</v>
      </c>
      <c r="D548" t="s">
        <v>4312</v>
      </c>
      <c r="E548">
        <v>1</v>
      </c>
      <c r="F548">
        <v>16</v>
      </c>
      <c r="G548" t="s">
        <v>4300</v>
      </c>
    </row>
    <row r="549" spans="1:7">
      <c r="A549" s="10">
        <v>45136</v>
      </c>
      <c r="B549">
        <v>2023</v>
      </c>
      <c r="C549">
        <v>7</v>
      </c>
      <c r="D549" t="s">
        <v>4297</v>
      </c>
      <c r="E549">
        <v>3</v>
      </c>
      <c r="F549">
        <v>29</v>
      </c>
      <c r="G549" t="s">
        <v>4298</v>
      </c>
    </row>
    <row r="550" spans="1:7">
      <c r="A550" s="10">
        <v>45952</v>
      </c>
      <c r="B550">
        <v>2025</v>
      </c>
      <c r="C550">
        <v>10</v>
      </c>
      <c r="D550" t="s">
        <v>4302</v>
      </c>
      <c r="E550">
        <v>4</v>
      </c>
      <c r="F550">
        <v>22</v>
      </c>
      <c r="G550" t="s">
        <v>4308</v>
      </c>
    </row>
    <row r="551" spans="1:7">
      <c r="A551" s="10">
        <v>45364</v>
      </c>
      <c r="B551">
        <v>2024</v>
      </c>
      <c r="C551">
        <v>3</v>
      </c>
      <c r="D551" t="s">
        <v>4311</v>
      </c>
      <c r="E551">
        <v>1</v>
      </c>
      <c r="F551">
        <v>13</v>
      </c>
      <c r="G551" t="s">
        <v>4308</v>
      </c>
    </row>
    <row r="552" spans="1:7">
      <c r="A552" s="10">
        <v>45418</v>
      </c>
      <c r="B552">
        <v>2024</v>
      </c>
      <c r="C552">
        <v>5</v>
      </c>
      <c r="D552" t="s">
        <v>4305</v>
      </c>
      <c r="E552">
        <v>2</v>
      </c>
      <c r="F552">
        <v>6</v>
      </c>
      <c r="G552" t="s">
        <v>4301</v>
      </c>
    </row>
    <row r="553" spans="1:7">
      <c r="A553" s="10">
        <v>45322</v>
      </c>
      <c r="B553">
        <v>2024</v>
      </c>
      <c r="C553">
        <v>1</v>
      </c>
      <c r="D553" t="s">
        <v>4307</v>
      </c>
      <c r="E553">
        <v>1</v>
      </c>
      <c r="F553">
        <v>31</v>
      </c>
      <c r="G553" t="s">
        <v>4308</v>
      </c>
    </row>
    <row r="554" spans="1:7">
      <c r="A554" s="10">
        <v>45920</v>
      </c>
      <c r="B554">
        <v>2025</v>
      </c>
      <c r="C554">
        <v>9</v>
      </c>
      <c r="D554" t="s">
        <v>4304</v>
      </c>
      <c r="E554">
        <v>3</v>
      </c>
      <c r="F554">
        <v>20</v>
      </c>
      <c r="G554" t="s">
        <v>4298</v>
      </c>
    </row>
    <row r="555" spans="1:7">
      <c r="A555" s="10">
        <v>45685</v>
      </c>
      <c r="B555">
        <v>2025</v>
      </c>
      <c r="C555">
        <v>1</v>
      </c>
      <c r="D555" t="s">
        <v>4307</v>
      </c>
      <c r="E555">
        <v>1</v>
      </c>
      <c r="F555">
        <v>28</v>
      </c>
      <c r="G555" t="s">
        <v>4303</v>
      </c>
    </row>
    <row r="556" spans="1:7">
      <c r="A556" s="10">
        <v>45482</v>
      </c>
      <c r="B556">
        <v>2024</v>
      </c>
      <c r="C556">
        <v>7</v>
      </c>
      <c r="D556" t="s">
        <v>4297</v>
      </c>
      <c r="E556">
        <v>3</v>
      </c>
      <c r="F556">
        <v>9</v>
      </c>
      <c r="G556" t="s">
        <v>4303</v>
      </c>
    </row>
    <row r="557" spans="1:7">
      <c r="A557" s="10">
        <v>44974</v>
      </c>
      <c r="B557">
        <v>2023</v>
      </c>
      <c r="C557">
        <v>2</v>
      </c>
      <c r="D557" t="s">
        <v>4312</v>
      </c>
      <c r="E557">
        <v>1</v>
      </c>
      <c r="F557">
        <v>17</v>
      </c>
      <c r="G557" t="s">
        <v>4306</v>
      </c>
    </row>
    <row r="558" spans="1:7">
      <c r="A558" s="10">
        <v>45482</v>
      </c>
      <c r="B558">
        <v>2024</v>
      </c>
      <c r="C558">
        <v>7</v>
      </c>
      <c r="D558" t="s">
        <v>4297</v>
      </c>
      <c r="E558">
        <v>3</v>
      </c>
      <c r="F558">
        <v>9</v>
      </c>
      <c r="G558" t="s">
        <v>4303</v>
      </c>
    </row>
    <row r="559" spans="1:7">
      <c r="A559" s="10">
        <v>45616</v>
      </c>
      <c r="B559">
        <v>2024</v>
      </c>
      <c r="C559">
        <v>11</v>
      </c>
      <c r="D559" t="s">
        <v>4315</v>
      </c>
      <c r="E559">
        <v>4</v>
      </c>
      <c r="F559">
        <v>20</v>
      </c>
      <c r="G559" t="s">
        <v>4308</v>
      </c>
    </row>
    <row r="560" spans="1:7">
      <c r="A560" s="10">
        <v>45322</v>
      </c>
      <c r="B560">
        <v>2024</v>
      </c>
      <c r="C560">
        <v>1</v>
      </c>
      <c r="D560" t="s">
        <v>4307</v>
      </c>
      <c r="E560">
        <v>1</v>
      </c>
      <c r="F560">
        <v>31</v>
      </c>
      <c r="G560" t="s">
        <v>4308</v>
      </c>
    </row>
    <row r="561" spans="1:7">
      <c r="A561" s="10">
        <v>45829</v>
      </c>
      <c r="B561">
        <v>2025</v>
      </c>
      <c r="C561">
        <v>6</v>
      </c>
      <c r="D561" t="s">
        <v>4310</v>
      </c>
      <c r="E561">
        <v>2</v>
      </c>
      <c r="F561">
        <v>21</v>
      </c>
      <c r="G561" t="s">
        <v>4298</v>
      </c>
    </row>
    <row r="562" spans="1:7">
      <c r="A562" s="10">
        <v>46019</v>
      </c>
      <c r="B562">
        <v>2025</v>
      </c>
      <c r="C562">
        <v>12</v>
      </c>
      <c r="D562" t="s">
        <v>4299</v>
      </c>
      <c r="E562">
        <v>4</v>
      </c>
      <c r="F562">
        <v>28</v>
      </c>
      <c r="G562" t="s">
        <v>4309</v>
      </c>
    </row>
    <row r="563" spans="1:7">
      <c r="A563" s="10">
        <v>45978</v>
      </c>
      <c r="B563">
        <v>2025</v>
      </c>
      <c r="C563">
        <v>11</v>
      </c>
      <c r="D563" t="s">
        <v>4315</v>
      </c>
      <c r="E563">
        <v>4</v>
      </c>
      <c r="F563">
        <v>17</v>
      </c>
      <c r="G563" t="s">
        <v>4301</v>
      </c>
    </row>
    <row r="564" spans="1:7">
      <c r="A564" s="10">
        <v>45135</v>
      </c>
      <c r="B564">
        <v>2023</v>
      </c>
      <c r="C564">
        <v>7</v>
      </c>
      <c r="D564" t="s">
        <v>4297</v>
      </c>
      <c r="E564">
        <v>3</v>
      </c>
      <c r="F564">
        <v>28</v>
      </c>
      <c r="G564" t="s">
        <v>4306</v>
      </c>
    </row>
    <row r="565" spans="1:7">
      <c r="A565" s="10">
        <v>45424</v>
      </c>
      <c r="B565">
        <v>2024</v>
      </c>
      <c r="C565">
        <v>5</v>
      </c>
      <c r="D565" t="s">
        <v>4305</v>
      </c>
      <c r="E565">
        <v>2</v>
      </c>
      <c r="F565">
        <v>12</v>
      </c>
      <c r="G565" t="s">
        <v>4309</v>
      </c>
    </row>
    <row r="566" spans="1:7">
      <c r="A566" s="10">
        <v>45221</v>
      </c>
      <c r="B566">
        <v>2023</v>
      </c>
      <c r="C566">
        <v>10</v>
      </c>
      <c r="D566" t="s">
        <v>4302</v>
      </c>
      <c r="E566">
        <v>4</v>
      </c>
      <c r="F566">
        <v>22</v>
      </c>
      <c r="G566" t="s">
        <v>4309</v>
      </c>
    </row>
    <row r="567" spans="1:7">
      <c r="A567" s="10">
        <v>46021</v>
      </c>
      <c r="B567">
        <v>2025</v>
      </c>
      <c r="C567">
        <v>12</v>
      </c>
      <c r="D567" t="s">
        <v>4299</v>
      </c>
      <c r="E567">
        <v>4</v>
      </c>
      <c r="F567">
        <v>30</v>
      </c>
      <c r="G567" t="s">
        <v>4303</v>
      </c>
    </row>
    <row r="568" spans="1:7">
      <c r="A568" s="10">
        <v>45637</v>
      </c>
      <c r="B568">
        <v>2024</v>
      </c>
      <c r="C568">
        <v>12</v>
      </c>
      <c r="D568" t="s">
        <v>4299</v>
      </c>
      <c r="E568">
        <v>4</v>
      </c>
      <c r="F568">
        <v>11</v>
      </c>
      <c r="G568" t="s">
        <v>4308</v>
      </c>
    </row>
    <row r="569" spans="1:7">
      <c r="A569" s="10">
        <v>45820</v>
      </c>
      <c r="B569">
        <v>2025</v>
      </c>
      <c r="C569">
        <v>6</v>
      </c>
      <c r="D569" t="s">
        <v>4310</v>
      </c>
      <c r="E569">
        <v>2</v>
      </c>
      <c r="F569">
        <v>12</v>
      </c>
      <c r="G569" t="s">
        <v>4300</v>
      </c>
    </row>
    <row r="570" spans="1:7">
      <c r="A570" s="10">
        <v>45005</v>
      </c>
      <c r="B570">
        <v>2023</v>
      </c>
      <c r="C570">
        <v>3</v>
      </c>
      <c r="D570" t="s">
        <v>4311</v>
      </c>
      <c r="E570">
        <v>1</v>
      </c>
      <c r="F570">
        <v>20</v>
      </c>
      <c r="G570" t="s">
        <v>4301</v>
      </c>
    </row>
    <row r="571" spans="1:7">
      <c r="A571" s="10">
        <v>45623</v>
      </c>
      <c r="B571">
        <v>2024</v>
      </c>
      <c r="C571">
        <v>11</v>
      </c>
      <c r="D571" t="s">
        <v>4315</v>
      </c>
      <c r="E571">
        <v>4</v>
      </c>
      <c r="F571">
        <v>27</v>
      </c>
      <c r="G571" t="s">
        <v>4308</v>
      </c>
    </row>
    <row r="572" spans="1:7">
      <c r="A572" s="10">
        <v>45482</v>
      </c>
      <c r="B572">
        <v>2024</v>
      </c>
      <c r="C572">
        <v>7</v>
      </c>
      <c r="D572" t="s">
        <v>4297</v>
      </c>
      <c r="E572">
        <v>3</v>
      </c>
      <c r="F572">
        <v>9</v>
      </c>
      <c r="G572" t="s">
        <v>4303</v>
      </c>
    </row>
    <row r="573" spans="1:7">
      <c r="A573" s="10">
        <v>45107</v>
      </c>
      <c r="B573">
        <v>2023</v>
      </c>
      <c r="C573">
        <v>6</v>
      </c>
      <c r="D573" t="s">
        <v>4310</v>
      </c>
      <c r="E573">
        <v>2</v>
      </c>
      <c r="F573">
        <v>30</v>
      </c>
      <c r="G573" t="s">
        <v>4306</v>
      </c>
    </row>
    <row r="574" spans="1:7">
      <c r="A574" s="10">
        <v>45862</v>
      </c>
      <c r="B574">
        <v>2025</v>
      </c>
      <c r="C574">
        <v>7</v>
      </c>
      <c r="D574" t="s">
        <v>4297</v>
      </c>
      <c r="E574">
        <v>3</v>
      </c>
      <c r="F574">
        <v>24</v>
      </c>
      <c r="G574" t="s">
        <v>4300</v>
      </c>
    </row>
    <row r="575" spans="1:7">
      <c r="A575" s="10">
        <v>45832</v>
      </c>
      <c r="B575">
        <v>2025</v>
      </c>
      <c r="C575">
        <v>6</v>
      </c>
      <c r="D575" t="s">
        <v>4310</v>
      </c>
      <c r="E575">
        <v>2</v>
      </c>
      <c r="F575">
        <v>24</v>
      </c>
      <c r="G575" t="s">
        <v>4303</v>
      </c>
    </row>
    <row r="576" spans="1:7">
      <c r="A576" s="10">
        <v>45014</v>
      </c>
      <c r="B576">
        <v>2023</v>
      </c>
      <c r="C576">
        <v>3</v>
      </c>
      <c r="D576" t="s">
        <v>4311</v>
      </c>
      <c r="E576">
        <v>1</v>
      </c>
      <c r="F576">
        <v>29</v>
      </c>
      <c r="G576" t="s">
        <v>4308</v>
      </c>
    </row>
    <row r="577" spans="1:7">
      <c r="A577" s="10">
        <v>45717</v>
      </c>
      <c r="B577">
        <v>2025</v>
      </c>
      <c r="C577">
        <v>3</v>
      </c>
      <c r="D577" t="s">
        <v>4311</v>
      </c>
      <c r="E577">
        <v>1</v>
      </c>
      <c r="F577">
        <v>1</v>
      </c>
      <c r="G577" t="s">
        <v>4298</v>
      </c>
    </row>
    <row r="578" spans="1:7">
      <c r="A578" s="10">
        <v>45200</v>
      </c>
      <c r="B578">
        <v>2023</v>
      </c>
      <c r="C578">
        <v>10</v>
      </c>
      <c r="D578" t="s">
        <v>4302</v>
      </c>
      <c r="E578">
        <v>4</v>
      </c>
      <c r="F578">
        <v>1</v>
      </c>
      <c r="G578" t="s">
        <v>4309</v>
      </c>
    </row>
    <row r="579" spans="1:7">
      <c r="A579" s="10">
        <v>45460</v>
      </c>
      <c r="B579">
        <v>2024</v>
      </c>
      <c r="C579">
        <v>6</v>
      </c>
      <c r="D579" t="s">
        <v>4310</v>
      </c>
      <c r="E579">
        <v>2</v>
      </c>
      <c r="F579">
        <v>17</v>
      </c>
      <c r="G579" t="s">
        <v>4301</v>
      </c>
    </row>
    <row r="580" spans="1:7">
      <c r="A580" s="10">
        <v>45371</v>
      </c>
      <c r="B580">
        <v>2024</v>
      </c>
      <c r="C580">
        <v>3</v>
      </c>
      <c r="D580" t="s">
        <v>4311</v>
      </c>
      <c r="E580">
        <v>1</v>
      </c>
      <c r="F580">
        <v>20</v>
      </c>
      <c r="G580" t="s">
        <v>4308</v>
      </c>
    </row>
    <row r="581" spans="1:7">
      <c r="A581" s="10">
        <v>45582</v>
      </c>
      <c r="B581">
        <v>2024</v>
      </c>
      <c r="C581">
        <v>10</v>
      </c>
      <c r="D581" t="s">
        <v>4302</v>
      </c>
      <c r="E581">
        <v>4</v>
      </c>
      <c r="F581">
        <v>17</v>
      </c>
      <c r="G581" t="s">
        <v>4300</v>
      </c>
    </row>
    <row r="582" spans="1:7">
      <c r="A582" s="10">
        <v>45284</v>
      </c>
      <c r="B582">
        <v>2023</v>
      </c>
      <c r="C582">
        <v>12</v>
      </c>
      <c r="D582" t="s">
        <v>4299</v>
      </c>
      <c r="E582">
        <v>4</v>
      </c>
      <c r="F582">
        <v>24</v>
      </c>
      <c r="G582" t="s">
        <v>4309</v>
      </c>
    </row>
    <row r="583" spans="1:7">
      <c r="A583" s="10">
        <v>45928</v>
      </c>
      <c r="B583">
        <v>2025</v>
      </c>
      <c r="C583">
        <v>9</v>
      </c>
      <c r="D583" t="s">
        <v>4304</v>
      </c>
      <c r="E583">
        <v>3</v>
      </c>
      <c r="F583">
        <v>28</v>
      </c>
      <c r="G583" t="s">
        <v>4309</v>
      </c>
    </row>
    <row r="584" spans="1:7">
      <c r="A584" s="10">
        <v>45583</v>
      </c>
      <c r="B584">
        <v>2024</v>
      </c>
      <c r="C584">
        <v>10</v>
      </c>
      <c r="D584" t="s">
        <v>4302</v>
      </c>
      <c r="E584">
        <v>4</v>
      </c>
      <c r="F584">
        <v>18</v>
      </c>
      <c r="G584" t="s">
        <v>4306</v>
      </c>
    </row>
    <row r="585" spans="1:7">
      <c r="A585" s="10">
        <v>45950</v>
      </c>
      <c r="B585">
        <v>2025</v>
      </c>
      <c r="C585">
        <v>10</v>
      </c>
      <c r="D585" t="s">
        <v>4302</v>
      </c>
      <c r="E585">
        <v>4</v>
      </c>
      <c r="F585">
        <v>20</v>
      </c>
      <c r="G585" t="s">
        <v>4301</v>
      </c>
    </row>
    <row r="586" spans="1:7">
      <c r="A586" s="10">
        <v>45841</v>
      </c>
      <c r="B586">
        <v>2025</v>
      </c>
      <c r="C586">
        <v>7</v>
      </c>
      <c r="D586" t="s">
        <v>4297</v>
      </c>
      <c r="E586">
        <v>3</v>
      </c>
      <c r="F586">
        <v>3</v>
      </c>
      <c r="G586" t="s">
        <v>4300</v>
      </c>
    </row>
    <row r="587" spans="1:7">
      <c r="A587" s="10">
        <v>45735</v>
      </c>
      <c r="B587">
        <v>2025</v>
      </c>
      <c r="C587">
        <v>3</v>
      </c>
      <c r="D587" t="s">
        <v>4311</v>
      </c>
      <c r="E587">
        <v>1</v>
      </c>
      <c r="F587">
        <v>19</v>
      </c>
      <c r="G587" t="s">
        <v>4308</v>
      </c>
    </row>
    <row r="588" spans="1:7">
      <c r="A588" s="10">
        <v>45943</v>
      </c>
      <c r="B588">
        <v>2025</v>
      </c>
      <c r="C588">
        <v>10</v>
      </c>
      <c r="D588" t="s">
        <v>4302</v>
      </c>
      <c r="E588">
        <v>4</v>
      </c>
      <c r="F588">
        <v>13</v>
      </c>
      <c r="G588" t="s">
        <v>4301</v>
      </c>
    </row>
    <row r="589" spans="1:7">
      <c r="A589" s="10">
        <v>45496</v>
      </c>
      <c r="B589">
        <v>2024</v>
      </c>
      <c r="C589">
        <v>7</v>
      </c>
      <c r="D589" t="s">
        <v>4297</v>
      </c>
      <c r="E589">
        <v>3</v>
      </c>
      <c r="F589">
        <v>23</v>
      </c>
      <c r="G589" t="s">
        <v>4303</v>
      </c>
    </row>
    <row r="590" spans="1:7">
      <c r="A590" s="10">
        <v>45943</v>
      </c>
      <c r="B590">
        <v>2025</v>
      </c>
      <c r="C590">
        <v>10</v>
      </c>
      <c r="D590" t="s">
        <v>4302</v>
      </c>
      <c r="E590">
        <v>4</v>
      </c>
      <c r="F590">
        <v>13</v>
      </c>
      <c r="G590" t="s">
        <v>4301</v>
      </c>
    </row>
    <row r="591" spans="1:7">
      <c r="A591" s="10">
        <v>45771</v>
      </c>
      <c r="B591">
        <v>2025</v>
      </c>
      <c r="C591">
        <v>4</v>
      </c>
      <c r="D591" t="s">
        <v>4314</v>
      </c>
      <c r="E591">
        <v>2</v>
      </c>
      <c r="F591">
        <v>24</v>
      </c>
      <c r="G591" t="s">
        <v>4300</v>
      </c>
    </row>
    <row r="592" spans="1:7">
      <c r="A592" s="10">
        <v>45607</v>
      </c>
      <c r="B592">
        <v>2024</v>
      </c>
      <c r="C592">
        <v>11</v>
      </c>
      <c r="D592" t="s">
        <v>4315</v>
      </c>
      <c r="E592">
        <v>4</v>
      </c>
      <c r="F592">
        <v>11</v>
      </c>
      <c r="G592" t="s">
        <v>4301</v>
      </c>
    </row>
    <row r="593" spans="1:7">
      <c r="A593" s="10">
        <v>45337</v>
      </c>
      <c r="B593">
        <v>2024</v>
      </c>
      <c r="C593">
        <v>2</v>
      </c>
      <c r="D593" t="s">
        <v>4312</v>
      </c>
      <c r="E593">
        <v>1</v>
      </c>
      <c r="F593">
        <v>15</v>
      </c>
      <c r="G593" t="s">
        <v>4300</v>
      </c>
    </row>
    <row r="594" spans="1:7">
      <c r="A594" s="10">
        <v>45884</v>
      </c>
      <c r="B594">
        <v>2025</v>
      </c>
      <c r="C594">
        <v>8</v>
      </c>
      <c r="D594" t="s">
        <v>4313</v>
      </c>
      <c r="E594">
        <v>3</v>
      </c>
      <c r="F594">
        <v>15</v>
      </c>
      <c r="G594" t="s">
        <v>4306</v>
      </c>
    </row>
    <row r="595" spans="1:7">
      <c r="A595" s="10">
        <v>45385</v>
      </c>
      <c r="B595">
        <v>2024</v>
      </c>
      <c r="C595">
        <v>4</v>
      </c>
      <c r="D595" t="s">
        <v>4314</v>
      </c>
      <c r="E595">
        <v>2</v>
      </c>
      <c r="F595">
        <v>3</v>
      </c>
      <c r="G595" t="s">
        <v>4308</v>
      </c>
    </row>
    <row r="596" spans="1:7">
      <c r="A596" s="10">
        <v>45160</v>
      </c>
      <c r="B596">
        <v>2023</v>
      </c>
      <c r="C596">
        <v>8</v>
      </c>
      <c r="D596" t="s">
        <v>4313</v>
      </c>
      <c r="E596">
        <v>3</v>
      </c>
      <c r="F596">
        <v>22</v>
      </c>
      <c r="G596" t="s">
        <v>4303</v>
      </c>
    </row>
    <row r="597" spans="1:7">
      <c r="A597" s="10">
        <v>45977</v>
      </c>
      <c r="B597">
        <v>2025</v>
      </c>
      <c r="C597">
        <v>11</v>
      </c>
      <c r="D597" t="s">
        <v>4315</v>
      </c>
      <c r="E597">
        <v>4</v>
      </c>
      <c r="F597">
        <v>16</v>
      </c>
      <c r="G597" t="s">
        <v>4309</v>
      </c>
    </row>
    <row r="598" spans="1:7">
      <c r="A598" s="10">
        <v>45692</v>
      </c>
      <c r="B598">
        <v>2025</v>
      </c>
      <c r="C598">
        <v>2</v>
      </c>
      <c r="D598" t="s">
        <v>4312</v>
      </c>
      <c r="E598">
        <v>1</v>
      </c>
      <c r="F598">
        <v>4</v>
      </c>
      <c r="G598" t="s">
        <v>4303</v>
      </c>
    </row>
    <row r="599" spans="1:7">
      <c r="A599" s="10">
        <v>45960</v>
      </c>
      <c r="B599">
        <v>2025</v>
      </c>
      <c r="C599">
        <v>10</v>
      </c>
      <c r="D599" t="s">
        <v>4302</v>
      </c>
      <c r="E599">
        <v>4</v>
      </c>
      <c r="F599">
        <v>30</v>
      </c>
      <c r="G599" t="s">
        <v>4300</v>
      </c>
    </row>
    <row r="600" spans="1:7">
      <c r="A600" s="10">
        <v>45869</v>
      </c>
      <c r="B600">
        <v>2025</v>
      </c>
      <c r="C600">
        <v>7</v>
      </c>
      <c r="D600" t="s">
        <v>4297</v>
      </c>
      <c r="E600">
        <v>3</v>
      </c>
      <c r="F600">
        <v>31</v>
      </c>
      <c r="G600" t="s">
        <v>4300</v>
      </c>
    </row>
    <row r="601" spans="1:7">
      <c r="A601" s="10">
        <v>45956</v>
      </c>
      <c r="B601">
        <v>2025</v>
      </c>
      <c r="C601">
        <v>10</v>
      </c>
      <c r="D601" t="s">
        <v>4302</v>
      </c>
      <c r="E601">
        <v>4</v>
      </c>
      <c r="F601">
        <v>26</v>
      </c>
      <c r="G601" t="s">
        <v>4309</v>
      </c>
    </row>
    <row r="602" spans="1:7">
      <c r="A602" s="10">
        <v>45345</v>
      </c>
      <c r="B602">
        <v>2024</v>
      </c>
      <c r="C602">
        <v>2</v>
      </c>
      <c r="D602" t="s">
        <v>4312</v>
      </c>
      <c r="E602">
        <v>1</v>
      </c>
      <c r="F602">
        <v>23</v>
      </c>
      <c r="G602" t="s">
        <v>4306</v>
      </c>
    </row>
    <row r="603" spans="1:7">
      <c r="A603" s="10">
        <v>45779</v>
      </c>
      <c r="B603">
        <v>2025</v>
      </c>
      <c r="C603">
        <v>5</v>
      </c>
      <c r="D603" t="s">
        <v>4305</v>
      </c>
      <c r="E603">
        <v>2</v>
      </c>
      <c r="F603">
        <v>2</v>
      </c>
      <c r="G603" t="s">
        <v>4306</v>
      </c>
    </row>
    <row r="604" spans="1:7">
      <c r="A604" s="10">
        <v>45698</v>
      </c>
      <c r="B604">
        <v>2025</v>
      </c>
      <c r="C604">
        <v>2</v>
      </c>
      <c r="D604" t="s">
        <v>4312</v>
      </c>
      <c r="E604">
        <v>1</v>
      </c>
      <c r="F604">
        <v>10</v>
      </c>
      <c r="G604" t="s">
        <v>4301</v>
      </c>
    </row>
    <row r="605" spans="1:7">
      <c r="A605" s="10">
        <v>45018</v>
      </c>
      <c r="B605">
        <v>2023</v>
      </c>
      <c r="C605">
        <v>4</v>
      </c>
      <c r="D605" t="s">
        <v>4314</v>
      </c>
      <c r="E605">
        <v>2</v>
      </c>
      <c r="F605">
        <v>2</v>
      </c>
      <c r="G605" t="s">
        <v>4309</v>
      </c>
    </row>
    <row r="606" spans="1:7">
      <c r="A606" s="10">
        <v>45439</v>
      </c>
      <c r="B606">
        <v>2024</v>
      </c>
      <c r="C606">
        <v>5</v>
      </c>
      <c r="D606" t="s">
        <v>4305</v>
      </c>
      <c r="E606">
        <v>2</v>
      </c>
      <c r="F606">
        <v>27</v>
      </c>
      <c r="G606" t="s">
        <v>4301</v>
      </c>
    </row>
    <row r="607" spans="1:7">
      <c r="A607" s="10">
        <v>45797</v>
      </c>
      <c r="B607">
        <v>2025</v>
      </c>
      <c r="C607">
        <v>5</v>
      </c>
      <c r="D607" t="s">
        <v>4305</v>
      </c>
      <c r="E607">
        <v>2</v>
      </c>
      <c r="F607">
        <v>20</v>
      </c>
      <c r="G607" t="s">
        <v>4303</v>
      </c>
    </row>
    <row r="608" spans="1:7">
      <c r="A608" s="10">
        <v>45906</v>
      </c>
      <c r="B608">
        <v>2025</v>
      </c>
      <c r="C608">
        <v>9</v>
      </c>
      <c r="D608" t="s">
        <v>4304</v>
      </c>
      <c r="E608">
        <v>3</v>
      </c>
      <c r="F608">
        <v>6</v>
      </c>
      <c r="G608" t="s">
        <v>4298</v>
      </c>
    </row>
    <row r="609" spans="1:7">
      <c r="A609" s="10">
        <v>45089</v>
      </c>
      <c r="B609">
        <v>2023</v>
      </c>
      <c r="C609">
        <v>6</v>
      </c>
      <c r="D609" t="s">
        <v>4310</v>
      </c>
      <c r="E609">
        <v>2</v>
      </c>
      <c r="F609">
        <v>12</v>
      </c>
      <c r="G609" t="s">
        <v>4301</v>
      </c>
    </row>
    <row r="610" spans="1:7">
      <c r="A610" s="10">
        <v>45644</v>
      </c>
      <c r="B610">
        <v>2024</v>
      </c>
      <c r="C610">
        <v>12</v>
      </c>
      <c r="D610" t="s">
        <v>4299</v>
      </c>
      <c r="E610">
        <v>4</v>
      </c>
      <c r="F610">
        <v>18</v>
      </c>
      <c r="G610" t="s">
        <v>4308</v>
      </c>
    </row>
    <row r="611" spans="1:7">
      <c r="A611" s="10">
        <v>45843</v>
      </c>
      <c r="B611">
        <v>2025</v>
      </c>
      <c r="C611">
        <v>7</v>
      </c>
      <c r="D611" t="s">
        <v>4297</v>
      </c>
      <c r="E611">
        <v>3</v>
      </c>
      <c r="F611">
        <v>5</v>
      </c>
      <c r="G611" t="s">
        <v>4298</v>
      </c>
    </row>
    <row r="612" spans="1:7">
      <c r="A612" s="10">
        <v>45012</v>
      </c>
      <c r="B612">
        <v>2023</v>
      </c>
      <c r="C612">
        <v>3</v>
      </c>
      <c r="D612" t="s">
        <v>4311</v>
      </c>
      <c r="E612">
        <v>1</v>
      </c>
      <c r="F612">
        <v>27</v>
      </c>
      <c r="G612" t="s">
        <v>4301</v>
      </c>
    </row>
    <row r="613" spans="1:7">
      <c r="A613" s="10">
        <v>45797</v>
      </c>
      <c r="B613">
        <v>2025</v>
      </c>
      <c r="C613">
        <v>5</v>
      </c>
      <c r="D613" t="s">
        <v>4305</v>
      </c>
      <c r="E613">
        <v>2</v>
      </c>
      <c r="F613">
        <v>20</v>
      </c>
      <c r="G613" t="s">
        <v>4303</v>
      </c>
    </row>
    <row r="614" spans="1:7">
      <c r="A614" s="10">
        <v>45861</v>
      </c>
      <c r="B614">
        <v>2025</v>
      </c>
      <c r="C614">
        <v>7</v>
      </c>
      <c r="D614" t="s">
        <v>4297</v>
      </c>
      <c r="E614">
        <v>3</v>
      </c>
      <c r="F614">
        <v>23</v>
      </c>
      <c r="G614" t="s">
        <v>4308</v>
      </c>
    </row>
    <row r="615" spans="1:7">
      <c r="A615" s="10">
        <v>45707</v>
      </c>
      <c r="B615">
        <v>2025</v>
      </c>
      <c r="C615">
        <v>2</v>
      </c>
      <c r="D615" t="s">
        <v>4312</v>
      </c>
      <c r="E615">
        <v>1</v>
      </c>
      <c r="F615">
        <v>19</v>
      </c>
      <c r="G615" t="s">
        <v>4308</v>
      </c>
    </row>
    <row r="616" spans="1:7">
      <c r="A616" s="10">
        <v>45166</v>
      </c>
      <c r="B616">
        <v>2023</v>
      </c>
      <c r="C616">
        <v>8</v>
      </c>
      <c r="D616" t="s">
        <v>4313</v>
      </c>
      <c r="E616">
        <v>3</v>
      </c>
      <c r="F616">
        <v>28</v>
      </c>
      <c r="G616" t="s">
        <v>4301</v>
      </c>
    </row>
    <row r="617" spans="1:7">
      <c r="A617" s="10">
        <v>45101</v>
      </c>
      <c r="B617">
        <v>2023</v>
      </c>
      <c r="C617">
        <v>6</v>
      </c>
      <c r="D617" t="s">
        <v>4310</v>
      </c>
      <c r="E617">
        <v>2</v>
      </c>
      <c r="F617">
        <v>24</v>
      </c>
      <c r="G617" t="s">
        <v>4298</v>
      </c>
    </row>
    <row r="618" spans="1:7">
      <c r="A618" s="10">
        <v>45079</v>
      </c>
      <c r="B618">
        <v>2023</v>
      </c>
      <c r="C618">
        <v>6</v>
      </c>
      <c r="D618" t="s">
        <v>4310</v>
      </c>
      <c r="E618">
        <v>2</v>
      </c>
      <c r="F618">
        <v>2</v>
      </c>
      <c r="G618" t="s">
        <v>4306</v>
      </c>
    </row>
    <row r="619" spans="1:7">
      <c r="A619" s="10">
        <v>45888</v>
      </c>
      <c r="B619">
        <v>2025</v>
      </c>
      <c r="C619">
        <v>8</v>
      </c>
      <c r="D619" t="s">
        <v>4313</v>
      </c>
      <c r="E619">
        <v>3</v>
      </c>
      <c r="F619">
        <v>19</v>
      </c>
      <c r="G619" t="s">
        <v>4303</v>
      </c>
    </row>
    <row r="620" spans="1:7">
      <c r="A620" s="10">
        <v>45686</v>
      </c>
      <c r="B620">
        <v>2025</v>
      </c>
      <c r="C620">
        <v>1</v>
      </c>
      <c r="D620" t="s">
        <v>4307</v>
      </c>
      <c r="E620">
        <v>1</v>
      </c>
      <c r="F620">
        <v>29</v>
      </c>
      <c r="G620" t="s">
        <v>4308</v>
      </c>
    </row>
    <row r="621" spans="1:7">
      <c r="A621" s="10">
        <v>45482</v>
      </c>
      <c r="B621">
        <v>2024</v>
      </c>
      <c r="C621">
        <v>7</v>
      </c>
      <c r="D621" t="s">
        <v>4297</v>
      </c>
      <c r="E621">
        <v>3</v>
      </c>
      <c r="F621">
        <v>9</v>
      </c>
      <c r="G621" t="s">
        <v>4303</v>
      </c>
    </row>
    <row r="622" spans="1:7">
      <c r="A622" s="10">
        <v>45976</v>
      </c>
      <c r="B622">
        <v>2025</v>
      </c>
      <c r="C622">
        <v>11</v>
      </c>
      <c r="D622" t="s">
        <v>4315</v>
      </c>
      <c r="E622">
        <v>4</v>
      </c>
      <c r="F622">
        <v>15</v>
      </c>
      <c r="G622" t="s">
        <v>4298</v>
      </c>
    </row>
    <row r="623" spans="1:7">
      <c r="A623" s="10">
        <v>45766</v>
      </c>
      <c r="B623">
        <v>2025</v>
      </c>
      <c r="C623">
        <v>4</v>
      </c>
      <c r="D623" t="s">
        <v>4314</v>
      </c>
      <c r="E623">
        <v>2</v>
      </c>
      <c r="F623">
        <v>19</v>
      </c>
      <c r="G623" t="s">
        <v>4298</v>
      </c>
    </row>
    <row r="624" spans="1:7">
      <c r="A624" s="10">
        <v>45691</v>
      </c>
      <c r="B624">
        <v>2025</v>
      </c>
      <c r="C624">
        <v>2</v>
      </c>
      <c r="D624" t="s">
        <v>4312</v>
      </c>
      <c r="E624">
        <v>1</v>
      </c>
      <c r="F624">
        <v>3</v>
      </c>
      <c r="G624" t="s">
        <v>4301</v>
      </c>
    </row>
    <row r="625" spans="1:7">
      <c r="A625" s="10">
        <v>45808</v>
      </c>
      <c r="B625">
        <v>2025</v>
      </c>
      <c r="C625">
        <v>5</v>
      </c>
      <c r="D625" t="s">
        <v>4305</v>
      </c>
      <c r="E625">
        <v>2</v>
      </c>
      <c r="F625">
        <v>31</v>
      </c>
      <c r="G625" t="s">
        <v>4298</v>
      </c>
    </row>
    <row r="626" spans="1:7">
      <c r="A626" s="10">
        <v>45341</v>
      </c>
      <c r="B626">
        <v>2024</v>
      </c>
      <c r="C626">
        <v>2</v>
      </c>
      <c r="D626" t="s">
        <v>4312</v>
      </c>
      <c r="E626">
        <v>1</v>
      </c>
      <c r="F626">
        <v>19</v>
      </c>
      <c r="G626" t="s">
        <v>4301</v>
      </c>
    </row>
    <row r="627" spans="1:7">
      <c r="A627" s="10">
        <v>45486</v>
      </c>
      <c r="B627">
        <v>2024</v>
      </c>
      <c r="C627">
        <v>7</v>
      </c>
      <c r="D627" t="s">
        <v>4297</v>
      </c>
      <c r="E627">
        <v>3</v>
      </c>
      <c r="F627">
        <v>13</v>
      </c>
      <c r="G627" t="s">
        <v>4298</v>
      </c>
    </row>
    <row r="628" spans="1:7">
      <c r="A628" s="10">
        <v>45029</v>
      </c>
      <c r="B628">
        <v>2023</v>
      </c>
      <c r="C628">
        <v>4</v>
      </c>
      <c r="D628" t="s">
        <v>4314</v>
      </c>
      <c r="E628">
        <v>2</v>
      </c>
      <c r="F628">
        <v>13</v>
      </c>
      <c r="G628" t="s">
        <v>4300</v>
      </c>
    </row>
    <row r="629" spans="1:7">
      <c r="A629" s="10">
        <v>45121</v>
      </c>
      <c r="B629">
        <v>2023</v>
      </c>
      <c r="C629">
        <v>7</v>
      </c>
      <c r="D629" t="s">
        <v>4297</v>
      </c>
      <c r="E629">
        <v>3</v>
      </c>
      <c r="F629">
        <v>14</v>
      </c>
      <c r="G629" t="s">
        <v>4306</v>
      </c>
    </row>
    <row r="630" spans="1:7">
      <c r="A630" s="10">
        <v>45250</v>
      </c>
      <c r="B630">
        <v>2023</v>
      </c>
      <c r="C630">
        <v>11</v>
      </c>
      <c r="D630" t="s">
        <v>4315</v>
      </c>
      <c r="E630">
        <v>4</v>
      </c>
      <c r="F630">
        <v>20</v>
      </c>
      <c r="G630" t="s">
        <v>4301</v>
      </c>
    </row>
    <row r="631" spans="1:7">
      <c r="A631" s="10">
        <v>45676</v>
      </c>
      <c r="B631">
        <v>2025</v>
      </c>
      <c r="C631">
        <v>1</v>
      </c>
      <c r="D631" t="s">
        <v>4307</v>
      </c>
      <c r="E631">
        <v>1</v>
      </c>
      <c r="F631">
        <v>19</v>
      </c>
      <c r="G631" t="s">
        <v>4309</v>
      </c>
    </row>
    <row r="632" spans="1:7">
      <c r="A632" s="10">
        <v>45616</v>
      </c>
      <c r="B632">
        <v>2024</v>
      </c>
      <c r="C632">
        <v>11</v>
      </c>
      <c r="D632" t="s">
        <v>4315</v>
      </c>
      <c r="E632">
        <v>4</v>
      </c>
      <c r="F632">
        <v>20</v>
      </c>
      <c r="G632" t="s">
        <v>4308</v>
      </c>
    </row>
    <row r="633" spans="1:7">
      <c r="A633" s="10">
        <v>45183</v>
      </c>
      <c r="B633">
        <v>2023</v>
      </c>
      <c r="C633">
        <v>9</v>
      </c>
      <c r="D633" t="s">
        <v>4304</v>
      </c>
      <c r="E633">
        <v>3</v>
      </c>
      <c r="F633">
        <v>14</v>
      </c>
      <c r="G633" t="s">
        <v>4300</v>
      </c>
    </row>
    <row r="634" spans="1:7">
      <c r="A634" s="10">
        <v>45303</v>
      </c>
      <c r="B634">
        <v>2024</v>
      </c>
      <c r="C634">
        <v>1</v>
      </c>
      <c r="D634" t="s">
        <v>4307</v>
      </c>
      <c r="E634">
        <v>1</v>
      </c>
      <c r="F634">
        <v>12</v>
      </c>
      <c r="G634" t="s">
        <v>4306</v>
      </c>
    </row>
    <row r="635" spans="1:7">
      <c r="A635" s="10">
        <v>45205</v>
      </c>
      <c r="B635">
        <v>2023</v>
      </c>
      <c r="C635">
        <v>10</v>
      </c>
      <c r="D635" t="s">
        <v>4302</v>
      </c>
      <c r="E635">
        <v>4</v>
      </c>
      <c r="F635">
        <v>6</v>
      </c>
      <c r="G635" t="s">
        <v>4306</v>
      </c>
    </row>
    <row r="636" spans="1:7">
      <c r="A636" s="10">
        <v>45700</v>
      </c>
      <c r="B636">
        <v>2025</v>
      </c>
      <c r="C636">
        <v>2</v>
      </c>
      <c r="D636" t="s">
        <v>4312</v>
      </c>
      <c r="E636">
        <v>1</v>
      </c>
      <c r="F636">
        <v>12</v>
      </c>
      <c r="G636" t="s">
        <v>4308</v>
      </c>
    </row>
    <row r="637" spans="1:7">
      <c r="A637" s="10">
        <v>45170</v>
      </c>
      <c r="B637">
        <v>2023</v>
      </c>
      <c r="C637">
        <v>9</v>
      </c>
      <c r="D637" t="s">
        <v>4304</v>
      </c>
      <c r="E637">
        <v>3</v>
      </c>
      <c r="F637">
        <v>1</v>
      </c>
      <c r="G637" t="s">
        <v>4306</v>
      </c>
    </row>
    <row r="638" spans="1:7">
      <c r="A638" s="10">
        <v>45243</v>
      </c>
      <c r="B638">
        <v>2023</v>
      </c>
      <c r="C638">
        <v>11</v>
      </c>
      <c r="D638" t="s">
        <v>4315</v>
      </c>
      <c r="E638">
        <v>4</v>
      </c>
      <c r="F638">
        <v>13</v>
      </c>
      <c r="G638" t="s">
        <v>4301</v>
      </c>
    </row>
    <row r="639" spans="1:7">
      <c r="A639" s="10">
        <v>45497</v>
      </c>
      <c r="B639">
        <v>2024</v>
      </c>
      <c r="C639">
        <v>7</v>
      </c>
      <c r="D639" t="s">
        <v>4297</v>
      </c>
      <c r="E639">
        <v>3</v>
      </c>
      <c r="F639">
        <v>24</v>
      </c>
      <c r="G639" t="s">
        <v>4308</v>
      </c>
    </row>
    <row r="640" spans="1:7">
      <c r="A640" s="10">
        <v>45324</v>
      </c>
      <c r="B640">
        <v>2024</v>
      </c>
      <c r="C640">
        <v>2</v>
      </c>
      <c r="D640" t="s">
        <v>4312</v>
      </c>
      <c r="E640">
        <v>1</v>
      </c>
      <c r="F640">
        <v>2</v>
      </c>
      <c r="G640" t="s">
        <v>4306</v>
      </c>
    </row>
    <row r="641" spans="1:7">
      <c r="A641" s="10">
        <v>45078</v>
      </c>
      <c r="B641">
        <v>2023</v>
      </c>
      <c r="C641">
        <v>6</v>
      </c>
      <c r="D641" t="s">
        <v>4310</v>
      </c>
      <c r="E641">
        <v>2</v>
      </c>
      <c r="F641">
        <v>1</v>
      </c>
      <c r="G641" t="s">
        <v>4300</v>
      </c>
    </row>
    <row r="642" spans="1:7">
      <c r="A642" s="10">
        <v>45732</v>
      </c>
      <c r="B642">
        <v>2025</v>
      </c>
      <c r="C642">
        <v>3</v>
      </c>
      <c r="D642" t="s">
        <v>4311</v>
      </c>
      <c r="E642">
        <v>1</v>
      </c>
      <c r="F642">
        <v>16</v>
      </c>
      <c r="G642" t="s">
        <v>4309</v>
      </c>
    </row>
    <row r="643" spans="1:7">
      <c r="A643" s="10">
        <v>45269</v>
      </c>
      <c r="B643">
        <v>2023</v>
      </c>
      <c r="C643">
        <v>12</v>
      </c>
      <c r="D643" t="s">
        <v>4299</v>
      </c>
      <c r="E643">
        <v>4</v>
      </c>
      <c r="F643">
        <v>9</v>
      </c>
      <c r="G643" t="s">
        <v>4298</v>
      </c>
    </row>
    <row r="644" spans="1:7">
      <c r="A644" s="10">
        <v>45761</v>
      </c>
      <c r="B644">
        <v>2025</v>
      </c>
      <c r="C644">
        <v>4</v>
      </c>
      <c r="D644" t="s">
        <v>4314</v>
      </c>
      <c r="E644">
        <v>2</v>
      </c>
      <c r="F644">
        <v>14</v>
      </c>
      <c r="G644" t="s">
        <v>4301</v>
      </c>
    </row>
    <row r="645" spans="1:7">
      <c r="A645" s="10">
        <v>46010</v>
      </c>
      <c r="B645">
        <v>2025</v>
      </c>
      <c r="C645">
        <v>12</v>
      </c>
      <c r="D645" t="s">
        <v>4299</v>
      </c>
      <c r="E645">
        <v>4</v>
      </c>
      <c r="F645">
        <v>19</v>
      </c>
      <c r="G645" t="s">
        <v>4306</v>
      </c>
    </row>
    <row r="646" spans="1:7">
      <c r="A646" s="10">
        <v>45956</v>
      </c>
      <c r="B646">
        <v>2025</v>
      </c>
      <c r="C646">
        <v>10</v>
      </c>
      <c r="D646" t="s">
        <v>4302</v>
      </c>
      <c r="E646">
        <v>4</v>
      </c>
      <c r="F646">
        <v>26</v>
      </c>
      <c r="G646" t="s">
        <v>4309</v>
      </c>
    </row>
    <row r="647" spans="1:7">
      <c r="A647" s="10">
        <v>45855</v>
      </c>
      <c r="B647">
        <v>2025</v>
      </c>
      <c r="C647">
        <v>7</v>
      </c>
      <c r="D647" t="s">
        <v>4297</v>
      </c>
      <c r="E647">
        <v>3</v>
      </c>
      <c r="F647">
        <v>17</v>
      </c>
      <c r="G647" t="s">
        <v>4300</v>
      </c>
    </row>
    <row r="648" spans="1:7">
      <c r="A648" s="10">
        <v>44964</v>
      </c>
      <c r="B648">
        <v>2023</v>
      </c>
      <c r="C648">
        <v>2</v>
      </c>
      <c r="D648" t="s">
        <v>4312</v>
      </c>
      <c r="E648">
        <v>1</v>
      </c>
      <c r="F648">
        <v>7</v>
      </c>
      <c r="G648" t="s">
        <v>4303</v>
      </c>
    </row>
    <row r="649" spans="1:7">
      <c r="A649" s="10">
        <v>45947</v>
      </c>
      <c r="B649">
        <v>2025</v>
      </c>
      <c r="C649">
        <v>10</v>
      </c>
      <c r="D649" t="s">
        <v>4302</v>
      </c>
      <c r="E649">
        <v>4</v>
      </c>
      <c r="F649">
        <v>17</v>
      </c>
      <c r="G649" t="s">
        <v>4306</v>
      </c>
    </row>
    <row r="650" spans="1:7">
      <c r="A650" s="10">
        <v>45055</v>
      </c>
      <c r="B650">
        <v>2023</v>
      </c>
      <c r="C650">
        <v>5</v>
      </c>
      <c r="D650" t="s">
        <v>4305</v>
      </c>
      <c r="E650">
        <v>2</v>
      </c>
      <c r="F650">
        <v>9</v>
      </c>
      <c r="G650" t="s">
        <v>4303</v>
      </c>
    </row>
    <row r="651" spans="1:7">
      <c r="A651" s="10">
        <v>45104</v>
      </c>
      <c r="B651">
        <v>2023</v>
      </c>
      <c r="C651">
        <v>6</v>
      </c>
      <c r="D651" t="s">
        <v>4310</v>
      </c>
      <c r="E651">
        <v>2</v>
      </c>
      <c r="F651">
        <v>27</v>
      </c>
      <c r="G651" t="s">
        <v>4303</v>
      </c>
    </row>
    <row r="652" spans="1:7">
      <c r="A652" s="10">
        <v>45833</v>
      </c>
      <c r="B652">
        <v>2025</v>
      </c>
      <c r="C652">
        <v>6</v>
      </c>
      <c r="D652" t="s">
        <v>4310</v>
      </c>
      <c r="E652">
        <v>2</v>
      </c>
      <c r="F652">
        <v>25</v>
      </c>
      <c r="G652" t="s">
        <v>4308</v>
      </c>
    </row>
    <row r="653" spans="1:7">
      <c r="A653" s="10">
        <v>45251</v>
      </c>
      <c r="B653">
        <v>2023</v>
      </c>
      <c r="C653">
        <v>11</v>
      </c>
      <c r="D653" t="s">
        <v>4315</v>
      </c>
      <c r="E653">
        <v>4</v>
      </c>
      <c r="F653">
        <v>21</v>
      </c>
      <c r="G653" t="s">
        <v>4303</v>
      </c>
    </row>
    <row r="654" spans="1:7">
      <c r="A654" s="10">
        <v>45224</v>
      </c>
      <c r="B654">
        <v>2023</v>
      </c>
      <c r="C654">
        <v>10</v>
      </c>
      <c r="D654" t="s">
        <v>4302</v>
      </c>
      <c r="E654">
        <v>4</v>
      </c>
      <c r="F654">
        <v>25</v>
      </c>
      <c r="G654" t="s">
        <v>4308</v>
      </c>
    </row>
    <row r="655" spans="1:7">
      <c r="A655" s="10">
        <v>45618</v>
      </c>
      <c r="B655">
        <v>2024</v>
      </c>
      <c r="C655">
        <v>11</v>
      </c>
      <c r="D655" t="s">
        <v>4315</v>
      </c>
      <c r="E655">
        <v>4</v>
      </c>
      <c r="F655">
        <v>22</v>
      </c>
      <c r="G655" t="s">
        <v>4306</v>
      </c>
    </row>
    <row r="656" spans="1:7">
      <c r="A656" s="10">
        <v>45748</v>
      </c>
      <c r="B656">
        <v>2025</v>
      </c>
      <c r="C656">
        <v>4</v>
      </c>
      <c r="D656" t="s">
        <v>4314</v>
      </c>
      <c r="E656">
        <v>2</v>
      </c>
      <c r="F656">
        <v>1</v>
      </c>
      <c r="G656" t="s">
        <v>4303</v>
      </c>
    </row>
    <row r="657" spans="1:7">
      <c r="A657" s="10">
        <v>44961</v>
      </c>
      <c r="B657">
        <v>2023</v>
      </c>
      <c r="C657">
        <v>2</v>
      </c>
      <c r="D657" t="s">
        <v>4312</v>
      </c>
      <c r="E657">
        <v>1</v>
      </c>
      <c r="F657">
        <v>4</v>
      </c>
      <c r="G657" t="s">
        <v>4298</v>
      </c>
    </row>
    <row r="658" spans="1:7">
      <c r="A658" s="10">
        <v>45807</v>
      </c>
      <c r="B658">
        <v>2025</v>
      </c>
      <c r="C658">
        <v>5</v>
      </c>
      <c r="D658" t="s">
        <v>4305</v>
      </c>
      <c r="E658">
        <v>2</v>
      </c>
      <c r="F658">
        <v>30</v>
      </c>
      <c r="G658" t="s">
        <v>4306</v>
      </c>
    </row>
    <row r="659" spans="1:7">
      <c r="A659" s="10">
        <v>45787</v>
      </c>
      <c r="B659">
        <v>2025</v>
      </c>
      <c r="C659">
        <v>5</v>
      </c>
      <c r="D659" t="s">
        <v>4305</v>
      </c>
      <c r="E659">
        <v>2</v>
      </c>
      <c r="F659">
        <v>10</v>
      </c>
      <c r="G659" t="s">
        <v>4298</v>
      </c>
    </row>
    <row r="660" spans="1:7">
      <c r="A660" s="10">
        <v>44941</v>
      </c>
      <c r="B660">
        <v>2023</v>
      </c>
      <c r="C660">
        <v>1</v>
      </c>
      <c r="D660" t="s">
        <v>4307</v>
      </c>
      <c r="E660">
        <v>1</v>
      </c>
      <c r="F660">
        <v>15</v>
      </c>
      <c r="G660" t="s">
        <v>4309</v>
      </c>
    </row>
    <row r="661" spans="1:7">
      <c r="A661" s="10">
        <v>45890</v>
      </c>
      <c r="B661">
        <v>2025</v>
      </c>
      <c r="C661">
        <v>8</v>
      </c>
      <c r="D661" t="s">
        <v>4313</v>
      </c>
      <c r="E661">
        <v>3</v>
      </c>
      <c r="F661">
        <v>21</v>
      </c>
      <c r="G661" t="s">
        <v>4300</v>
      </c>
    </row>
    <row r="662" spans="1:7">
      <c r="A662" s="10">
        <v>45800</v>
      </c>
      <c r="B662">
        <v>2025</v>
      </c>
      <c r="C662">
        <v>5</v>
      </c>
      <c r="D662" t="s">
        <v>4305</v>
      </c>
      <c r="E662">
        <v>2</v>
      </c>
      <c r="F662">
        <v>23</v>
      </c>
      <c r="G662" t="s">
        <v>4306</v>
      </c>
    </row>
    <row r="663" spans="1:7">
      <c r="A663" s="10">
        <v>45427</v>
      </c>
      <c r="B663">
        <v>2024</v>
      </c>
      <c r="C663">
        <v>5</v>
      </c>
      <c r="D663" t="s">
        <v>4305</v>
      </c>
      <c r="E663">
        <v>2</v>
      </c>
      <c r="F663">
        <v>15</v>
      </c>
      <c r="G663" t="s">
        <v>4308</v>
      </c>
    </row>
    <row r="664" spans="1:7">
      <c r="A664" s="10">
        <v>45139</v>
      </c>
      <c r="B664">
        <v>2023</v>
      </c>
      <c r="C664">
        <v>8</v>
      </c>
      <c r="D664" t="s">
        <v>4313</v>
      </c>
      <c r="E664">
        <v>3</v>
      </c>
      <c r="F664">
        <v>1</v>
      </c>
      <c r="G664" t="s">
        <v>4303</v>
      </c>
    </row>
    <row r="665" spans="1:7">
      <c r="A665" s="10">
        <v>45058</v>
      </c>
      <c r="B665">
        <v>2023</v>
      </c>
      <c r="C665">
        <v>5</v>
      </c>
      <c r="D665" t="s">
        <v>4305</v>
      </c>
      <c r="E665">
        <v>2</v>
      </c>
      <c r="F665">
        <v>12</v>
      </c>
      <c r="G665" t="s">
        <v>4306</v>
      </c>
    </row>
    <row r="666" spans="1:7">
      <c r="A666" s="10">
        <v>45374</v>
      </c>
      <c r="B666">
        <v>2024</v>
      </c>
      <c r="C666">
        <v>3</v>
      </c>
      <c r="D666" t="s">
        <v>4311</v>
      </c>
      <c r="E666">
        <v>1</v>
      </c>
      <c r="F666">
        <v>23</v>
      </c>
      <c r="G666" t="s">
        <v>4298</v>
      </c>
    </row>
    <row r="667" spans="1:7">
      <c r="A667" s="10">
        <v>45147</v>
      </c>
      <c r="B667">
        <v>2023</v>
      </c>
      <c r="C667">
        <v>8</v>
      </c>
      <c r="D667" t="s">
        <v>4313</v>
      </c>
      <c r="E667">
        <v>3</v>
      </c>
      <c r="F667">
        <v>9</v>
      </c>
      <c r="G667" t="s">
        <v>4308</v>
      </c>
    </row>
    <row r="668" spans="1:7">
      <c r="A668" s="10">
        <v>45545</v>
      </c>
      <c r="B668">
        <v>2024</v>
      </c>
      <c r="C668">
        <v>9</v>
      </c>
      <c r="D668" t="s">
        <v>4304</v>
      </c>
      <c r="E668">
        <v>3</v>
      </c>
      <c r="F668">
        <v>10</v>
      </c>
      <c r="G668" t="s">
        <v>4303</v>
      </c>
    </row>
    <row r="669" spans="1:7">
      <c r="A669" s="10">
        <v>45748</v>
      </c>
      <c r="B669">
        <v>2025</v>
      </c>
      <c r="C669">
        <v>4</v>
      </c>
      <c r="D669" t="s">
        <v>4314</v>
      </c>
      <c r="E669">
        <v>2</v>
      </c>
      <c r="F669">
        <v>1</v>
      </c>
      <c r="G669" t="s">
        <v>4303</v>
      </c>
    </row>
    <row r="670" spans="1:7">
      <c r="A670" s="10">
        <v>45456</v>
      </c>
      <c r="B670">
        <v>2024</v>
      </c>
      <c r="C670">
        <v>6</v>
      </c>
      <c r="D670" t="s">
        <v>4310</v>
      </c>
      <c r="E670">
        <v>2</v>
      </c>
      <c r="F670">
        <v>13</v>
      </c>
      <c r="G670" t="s">
        <v>4300</v>
      </c>
    </row>
    <row r="671" spans="1:7">
      <c r="A671" s="10">
        <v>45941</v>
      </c>
      <c r="B671">
        <v>2025</v>
      </c>
      <c r="C671">
        <v>10</v>
      </c>
      <c r="D671" t="s">
        <v>4302</v>
      </c>
      <c r="E671">
        <v>4</v>
      </c>
      <c r="F671">
        <v>11</v>
      </c>
      <c r="G671" t="s">
        <v>4298</v>
      </c>
    </row>
    <row r="672" spans="1:7">
      <c r="A672" s="10">
        <v>45482</v>
      </c>
      <c r="B672">
        <v>2024</v>
      </c>
      <c r="C672">
        <v>7</v>
      </c>
      <c r="D672" t="s">
        <v>4297</v>
      </c>
      <c r="E672">
        <v>3</v>
      </c>
      <c r="F672">
        <v>9</v>
      </c>
      <c r="G672" t="s">
        <v>4303</v>
      </c>
    </row>
    <row r="673" spans="1:7">
      <c r="A673" s="10">
        <v>45000</v>
      </c>
      <c r="B673">
        <v>2023</v>
      </c>
      <c r="C673">
        <v>3</v>
      </c>
      <c r="D673" t="s">
        <v>4311</v>
      </c>
      <c r="E673">
        <v>1</v>
      </c>
      <c r="F673">
        <v>15</v>
      </c>
      <c r="G673" t="s">
        <v>4308</v>
      </c>
    </row>
    <row r="674" spans="1:7">
      <c r="A674" s="10">
        <v>45710</v>
      </c>
      <c r="B674">
        <v>2025</v>
      </c>
      <c r="C674">
        <v>2</v>
      </c>
      <c r="D674" t="s">
        <v>4312</v>
      </c>
      <c r="E674">
        <v>1</v>
      </c>
      <c r="F674">
        <v>22</v>
      </c>
      <c r="G674" t="s">
        <v>4298</v>
      </c>
    </row>
    <row r="675" spans="1:7">
      <c r="A675" s="10">
        <v>45568</v>
      </c>
      <c r="B675">
        <v>2024</v>
      </c>
      <c r="C675">
        <v>10</v>
      </c>
      <c r="D675" t="s">
        <v>4302</v>
      </c>
      <c r="E675">
        <v>4</v>
      </c>
      <c r="F675">
        <v>3</v>
      </c>
      <c r="G675" t="s">
        <v>4300</v>
      </c>
    </row>
    <row r="676" spans="1:7">
      <c r="A676" s="10">
        <v>45201</v>
      </c>
      <c r="B676">
        <v>2023</v>
      </c>
      <c r="C676">
        <v>10</v>
      </c>
      <c r="D676" t="s">
        <v>4302</v>
      </c>
      <c r="E676">
        <v>4</v>
      </c>
      <c r="F676">
        <v>2</v>
      </c>
      <c r="G676" t="s">
        <v>4301</v>
      </c>
    </row>
    <row r="677" spans="1:7">
      <c r="A677" s="10">
        <v>45082</v>
      </c>
      <c r="B677">
        <v>2023</v>
      </c>
      <c r="C677">
        <v>6</v>
      </c>
      <c r="D677" t="s">
        <v>4310</v>
      </c>
      <c r="E677">
        <v>2</v>
      </c>
      <c r="F677">
        <v>5</v>
      </c>
      <c r="G677" t="s">
        <v>4301</v>
      </c>
    </row>
    <row r="678" spans="1:7">
      <c r="A678" s="10">
        <v>45974</v>
      </c>
      <c r="B678">
        <v>2025</v>
      </c>
      <c r="C678">
        <v>11</v>
      </c>
      <c r="D678" t="s">
        <v>4315</v>
      </c>
      <c r="E678">
        <v>4</v>
      </c>
      <c r="F678">
        <v>13</v>
      </c>
      <c r="G678" t="s">
        <v>4300</v>
      </c>
    </row>
    <row r="679" spans="1:7">
      <c r="A679" s="10">
        <v>45910</v>
      </c>
      <c r="B679">
        <v>2025</v>
      </c>
      <c r="C679">
        <v>9</v>
      </c>
      <c r="D679" t="s">
        <v>4304</v>
      </c>
      <c r="E679">
        <v>3</v>
      </c>
      <c r="F679">
        <v>10</v>
      </c>
      <c r="G679" t="s">
        <v>4308</v>
      </c>
    </row>
    <row r="680" spans="1:7">
      <c r="A680" s="10">
        <v>45371</v>
      </c>
      <c r="B680">
        <v>2024</v>
      </c>
      <c r="C680">
        <v>3</v>
      </c>
      <c r="D680" t="s">
        <v>4311</v>
      </c>
      <c r="E680">
        <v>1</v>
      </c>
      <c r="F680">
        <v>20</v>
      </c>
      <c r="G680" t="s">
        <v>4308</v>
      </c>
    </row>
    <row r="681" spans="1:7">
      <c r="A681" s="10">
        <v>45329</v>
      </c>
      <c r="B681">
        <v>2024</v>
      </c>
      <c r="C681">
        <v>2</v>
      </c>
      <c r="D681" t="s">
        <v>4312</v>
      </c>
      <c r="E681">
        <v>1</v>
      </c>
      <c r="F681">
        <v>7</v>
      </c>
      <c r="G681" t="s">
        <v>4308</v>
      </c>
    </row>
    <row r="682" spans="1:7">
      <c r="A682" s="10">
        <v>45863</v>
      </c>
      <c r="B682">
        <v>2025</v>
      </c>
      <c r="C682">
        <v>7</v>
      </c>
      <c r="D682" t="s">
        <v>4297</v>
      </c>
      <c r="E682">
        <v>3</v>
      </c>
      <c r="F682">
        <v>25</v>
      </c>
      <c r="G682" t="s">
        <v>4306</v>
      </c>
    </row>
    <row r="683" spans="1:7">
      <c r="A683" s="10">
        <v>45551</v>
      </c>
      <c r="B683">
        <v>2024</v>
      </c>
      <c r="C683">
        <v>9</v>
      </c>
      <c r="D683" t="s">
        <v>4304</v>
      </c>
      <c r="E683">
        <v>3</v>
      </c>
      <c r="F683">
        <v>16</v>
      </c>
      <c r="G683" t="s">
        <v>4301</v>
      </c>
    </row>
    <row r="684" spans="1:7">
      <c r="A684" s="10">
        <v>45015</v>
      </c>
      <c r="B684">
        <v>2023</v>
      </c>
      <c r="C684">
        <v>3</v>
      </c>
      <c r="D684" t="s">
        <v>4311</v>
      </c>
      <c r="E684">
        <v>1</v>
      </c>
      <c r="F684">
        <v>30</v>
      </c>
      <c r="G684" t="s">
        <v>4300</v>
      </c>
    </row>
    <row r="685" spans="1:7">
      <c r="A685" s="10">
        <v>45291</v>
      </c>
      <c r="B685">
        <v>2023</v>
      </c>
      <c r="C685">
        <v>12</v>
      </c>
      <c r="D685" t="s">
        <v>4299</v>
      </c>
      <c r="E685">
        <v>4</v>
      </c>
      <c r="F685">
        <v>31</v>
      </c>
      <c r="G685" t="s">
        <v>4309</v>
      </c>
    </row>
    <row r="686" spans="1:7">
      <c r="A686" s="10">
        <v>45537</v>
      </c>
      <c r="B686">
        <v>2024</v>
      </c>
      <c r="C686">
        <v>9</v>
      </c>
      <c r="D686" t="s">
        <v>4304</v>
      </c>
      <c r="E686">
        <v>3</v>
      </c>
      <c r="F686">
        <v>2</v>
      </c>
      <c r="G686" t="s">
        <v>4301</v>
      </c>
    </row>
    <row r="687" spans="1:7">
      <c r="A687" s="10">
        <v>45081</v>
      </c>
      <c r="B687">
        <v>2023</v>
      </c>
      <c r="C687">
        <v>6</v>
      </c>
      <c r="D687" t="s">
        <v>4310</v>
      </c>
      <c r="E687">
        <v>2</v>
      </c>
      <c r="F687">
        <v>4</v>
      </c>
      <c r="G687" t="s">
        <v>4309</v>
      </c>
    </row>
    <row r="688" spans="1:7">
      <c r="A688" s="10">
        <v>45743</v>
      </c>
      <c r="B688">
        <v>2025</v>
      </c>
      <c r="C688">
        <v>3</v>
      </c>
      <c r="D688" t="s">
        <v>4311</v>
      </c>
      <c r="E688">
        <v>1</v>
      </c>
      <c r="F688">
        <v>27</v>
      </c>
      <c r="G688" t="s">
        <v>4300</v>
      </c>
    </row>
    <row r="689" spans="1:7">
      <c r="A689" s="10">
        <v>45482</v>
      </c>
      <c r="B689">
        <v>2024</v>
      </c>
      <c r="C689">
        <v>7</v>
      </c>
      <c r="D689" t="s">
        <v>4297</v>
      </c>
      <c r="E689">
        <v>3</v>
      </c>
      <c r="F689">
        <v>9</v>
      </c>
      <c r="G689" t="s">
        <v>4303</v>
      </c>
    </row>
    <row r="690" spans="1:7">
      <c r="A690" s="10">
        <v>45319</v>
      </c>
      <c r="B690">
        <v>2024</v>
      </c>
      <c r="C690">
        <v>1</v>
      </c>
      <c r="D690" t="s">
        <v>4307</v>
      </c>
      <c r="E690">
        <v>1</v>
      </c>
      <c r="F690">
        <v>28</v>
      </c>
      <c r="G690" t="s">
        <v>4309</v>
      </c>
    </row>
    <row r="691" spans="1:7">
      <c r="A691" s="10">
        <v>45015</v>
      </c>
      <c r="B691">
        <v>2023</v>
      </c>
      <c r="C691">
        <v>3</v>
      </c>
      <c r="D691" t="s">
        <v>4311</v>
      </c>
      <c r="E691">
        <v>1</v>
      </c>
      <c r="F691">
        <v>30</v>
      </c>
      <c r="G691" t="s">
        <v>4300</v>
      </c>
    </row>
    <row r="692" spans="1:7">
      <c r="A692" s="10">
        <v>45368</v>
      </c>
      <c r="B692">
        <v>2024</v>
      </c>
      <c r="C692">
        <v>3</v>
      </c>
      <c r="D692" t="s">
        <v>4311</v>
      </c>
      <c r="E692">
        <v>1</v>
      </c>
      <c r="F692">
        <v>17</v>
      </c>
      <c r="G692" t="s">
        <v>4309</v>
      </c>
    </row>
    <row r="693" spans="1:7">
      <c r="A693" s="10">
        <v>45482</v>
      </c>
      <c r="B693">
        <v>2024</v>
      </c>
      <c r="C693">
        <v>7</v>
      </c>
      <c r="D693" t="s">
        <v>4297</v>
      </c>
      <c r="E693">
        <v>3</v>
      </c>
      <c r="F693">
        <v>9</v>
      </c>
      <c r="G693" t="s">
        <v>4303</v>
      </c>
    </row>
    <row r="694" spans="1:7">
      <c r="A694" s="10">
        <v>45275</v>
      </c>
      <c r="B694">
        <v>2023</v>
      </c>
      <c r="C694">
        <v>12</v>
      </c>
      <c r="D694" t="s">
        <v>4299</v>
      </c>
      <c r="E694">
        <v>4</v>
      </c>
      <c r="F694">
        <v>15</v>
      </c>
      <c r="G694" t="s">
        <v>4306</v>
      </c>
    </row>
    <row r="695" spans="1:7">
      <c r="A695" s="10">
        <v>45532</v>
      </c>
      <c r="B695">
        <v>2024</v>
      </c>
      <c r="C695">
        <v>8</v>
      </c>
      <c r="D695" t="s">
        <v>4313</v>
      </c>
      <c r="E695">
        <v>3</v>
      </c>
      <c r="F695">
        <v>28</v>
      </c>
      <c r="G695" t="s">
        <v>4308</v>
      </c>
    </row>
    <row r="696" spans="1:7">
      <c r="A696" s="10">
        <v>45801</v>
      </c>
      <c r="B696">
        <v>2025</v>
      </c>
      <c r="C696">
        <v>5</v>
      </c>
      <c r="D696" t="s">
        <v>4305</v>
      </c>
      <c r="E696">
        <v>2</v>
      </c>
      <c r="F696">
        <v>24</v>
      </c>
      <c r="G696" t="s">
        <v>4298</v>
      </c>
    </row>
    <row r="697" spans="1:7">
      <c r="A697" s="10">
        <v>45146</v>
      </c>
      <c r="B697">
        <v>2023</v>
      </c>
      <c r="C697">
        <v>8</v>
      </c>
      <c r="D697" t="s">
        <v>4313</v>
      </c>
      <c r="E697">
        <v>3</v>
      </c>
      <c r="F697">
        <v>8</v>
      </c>
      <c r="G697" t="s">
        <v>4303</v>
      </c>
    </row>
    <row r="698" spans="1:7">
      <c r="A698" s="10">
        <v>44986</v>
      </c>
      <c r="B698">
        <v>2023</v>
      </c>
      <c r="C698">
        <v>3</v>
      </c>
      <c r="D698" t="s">
        <v>4311</v>
      </c>
      <c r="E698">
        <v>1</v>
      </c>
      <c r="F698">
        <v>1</v>
      </c>
      <c r="G698" t="s">
        <v>4308</v>
      </c>
    </row>
    <row r="699" spans="1:7">
      <c r="A699" s="10">
        <v>45276</v>
      </c>
      <c r="B699">
        <v>2023</v>
      </c>
      <c r="C699">
        <v>12</v>
      </c>
      <c r="D699" t="s">
        <v>4299</v>
      </c>
      <c r="E699">
        <v>4</v>
      </c>
      <c r="F699">
        <v>16</v>
      </c>
      <c r="G699" t="s">
        <v>4298</v>
      </c>
    </row>
    <row r="700" spans="1:7">
      <c r="A700" s="10">
        <v>45852</v>
      </c>
      <c r="B700">
        <v>2025</v>
      </c>
      <c r="C700">
        <v>7</v>
      </c>
      <c r="D700" t="s">
        <v>4297</v>
      </c>
      <c r="E700">
        <v>3</v>
      </c>
      <c r="F700">
        <v>14</v>
      </c>
      <c r="G700" t="s">
        <v>4301</v>
      </c>
    </row>
    <row r="701" spans="1:7">
      <c r="A701" s="10">
        <v>45490</v>
      </c>
      <c r="B701">
        <v>2024</v>
      </c>
      <c r="C701">
        <v>7</v>
      </c>
      <c r="D701" t="s">
        <v>4297</v>
      </c>
      <c r="E701">
        <v>3</v>
      </c>
      <c r="F701">
        <v>17</v>
      </c>
      <c r="G701" t="s">
        <v>4308</v>
      </c>
    </row>
    <row r="702" spans="1:7">
      <c r="A702" s="10">
        <v>45735</v>
      </c>
      <c r="B702">
        <v>2025</v>
      </c>
      <c r="C702">
        <v>3</v>
      </c>
      <c r="D702" t="s">
        <v>4311</v>
      </c>
      <c r="E702">
        <v>1</v>
      </c>
      <c r="F702">
        <v>19</v>
      </c>
      <c r="G702" t="s">
        <v>4308</v>
      </c>
    </row>
    <row r="703" spans="1:7">
      <c r="A703" s="10">
        <v>45540</v>
      </c>
      <c r="B703">
        <v>2024</v>
      </c>
      <c r="C703">
        <v>9</v>
      </c>
      <c r="D703" t="s">
        <v>4304</v>
      </c>
      <c r="E703">
        <v>3</v>
      </c>
      <c r="F703">
        <v>5</v>
      </c>
      <c r="G703" t="s">
        <v>4300</v>
      </c>
    </row>
    <row r="704" spans="1:7">
      <c r="A704" s="10">
        <v>45431</v>
      </c>
      <c r="B704">
        <v>2024</v>
      </c>
      <c r="C704">
        <v>5</v>
      </c>
      <c r="D704" t="s">
        <v>4305</v>
      </c>
      <c r="E704">
        <v>2</v>
      </c>
      <c r="F704">
        <v>19</v>
      </c>
      <c r="G704" t="s">
        <v>4309</v>
      </c>
    </row>
    <row r="705" spans="1:7">
      <c r="A705" s="10">
        <v>45289</v>
      </c>
      <c r="B705">
        <v>2023</v>
      </c>
      <c r="C705">
        <v>12</v>
      </c>
      <c r="D705" t="s">
        <v>4299</v>
      </c>
      <c r="E705">
        <v>4</v>
      </c>
      <c r="F705">
        <v>29</v>
      </c>
      <c r="G705" t="s">
        <v>4306</v>
      </c>
    </row>
    <row r="706" spans="1:7">
      <c r="A706" s="10">
        <v>44943</v>
      </c>
      <c r="B706">
        <v>2023</v>
      </c>
      <c r="C706">
        <v>1</v>
      </c>
      <c r="D706" t="s">
        <v>4307</v>
      </c>
      <c r="E706">
        <v>1</v>
      </c>
      <c r="F706">
        <v>17</v>
      </c>
      <c r="G706" t="s">
        <v>4303</v>
      </c>
    </row>
    <row r="707" spans="1:7">
      <c r="A707" s="10">
        <v>45962</v>
      </c>
      <c r="B707">
        <v>2025</v>
      </c>
      <c r="C707">
        <v>11</v>
      </c>
      <c r="D707" t="s">
        <v>4315</v>
      </c>
      <c r="E707">
        <v>4</v>
      </c>
      <c r="F707">
        <v>1</v>
      </c>
      <c r="G707" t="s">
        <v>4298</v>
      </c>
    </row>
    <row r="708" spans="1:7">
      <c r="A708" s="10">
        <v>44998</v>
      </c>
      <c r="B708">
        <v>2023</v>
      </c>
      <c r="C708">
        <v>3</v>
      </c>
      <c r="D708" t="s">
        <v>4311</v>
      </c>
      <c r="E708">
        <v>1</v>
      </c>
      <c r="F708">
        <v>13</v>
      </c>
      <c r="G708" t="s">
        <v>4301</v>
      </c>
    </row>
    <row r="709" spans="1:7">
      <c r="A709" s="10">
        <v>45785</v>
      </c>
      <c r="B709">
        <v>2025</v>
      </c>
      <c r="C709">
        <v>5</v>
      </c>
      <c r="D709" t="s">
        <v>4305</v>
      </c>
      <c r="E709">
        <v>2</v>
      </c>
      <c r="F709">
        <v>8</v>
      </c>
      <c r="G709" t="s">
        <v>4300</v>
      </c>
    </row>
    <row r="710" spans="1:7">
      <c r="A710" s="10">
        <v>45687</v>
      </c>
      <c r="B710">
        <v>2025</v>
      </c>
      <c r="C710">
        <v>1</v>
      </c>
      <c r="D710" t="s">
        <v>4307</v>
      </c>
      <c r="E710">
        <v>1</v>
      </c>
      <c r="F710">
        <v>30</v>
      </c>
      <c r="G710" t="s">
        <v>4300</v>
      </c>
    </row>
    <row r="711" spans="1:7">
      <c r="A711" s="10">
        <v>45520</v>
      </c>
      <c r="B711">
        <v>2024</v>
      </c>
      <c r="C711">
        <v>8</v>
      </c>
      <c r="D711" t="s">
        <v>4313</v>
      </c>
      <c r="E711">
        <v>3</v>
      </c>
      <c r="F711">
        <v>16</v>
      </c>
      <c r="G711" t="s">
        <v>4306</v>
      </c>
    </row>
    <row r="712" spans="1:7">
      <c r="A712" s="10">
        <v>45775</v>
      </c>
      <c r="B712">
        <v>2025</v>
      </c>
      <c r="C712">
        <v>4</v>
      </c>
      <c r="D712" t="s">
        <v>4314</v>
      </c>
      <c r="E712">
        <v>2</v>
      </c>
      <c r="F712">
        <v>28</v>
      </c>
      <c r="G712" t="s">
        <v>4301</v>
      </c>
    </row>
    <row r="713" spans="1:7">
      <c r="A713" s="10">
        <v>45706</v>
      </c>
      <c r="B713">
        <v>2025</v>
      </c>
      <c r="C713">
        <v>2</v>
      </c>
      <c r="D713" t="s">
        <v>4312</v>
      </c>
      <c r="E713">
        <v>1</v>
      </c>
      <c r="F713">
        <v>18</v>
      </c>
      <c r="G713" t="s">
        <v>4303</v>
      </c>
    </row>
    <row r="714" spans="1:7">
      <c r="A714" s="10">
        <v>45544</v>
      </c>
      <c r="B714">
        <v>2024</v>
      </c>
      <c r="C714">
        <v>9</v>
      </c>
      <c r="D714" t="s">
        <v>4304</v>
      </c>
      <c r="E714">
        <v>3</v>
      </c>
      <c r="F714">
        <v>9</v>
      </c>
      <c r="G714" t="s">
        <v>4301</v>
      </c>
    </row>
    <row r="715" spans="1:7">
      <c r="A715" s="10">
        <v>45788</v>
      </c>
      <c r="B715">
        <v>2025</v>
      </c>
      <c r="C715">
        <v>5</v>
      </c>
      <c r="D715" t="s">
        <v>4305</v>
      </c>
      <c r="E715">
        <v>2</v>
      </c>
      <c r="F715">
        <v>11</v>
      </c>
      <c r="G715" t="s">
        <v>4309</v>
      </c>
    </row>
    <row r="716" spans="1:7">
      <c r="A716" s="10">
        <v>45755</v>
      </c>
      <c r="B716">
        <v>2025</v>
      </c>
      <c r="C716">
        <v>4</v>
      </c>
      <c r="D716" t="s">
        <v>4314</v>
      </c>
      <c r="E716">
        <v>2</v>
      </c>
      <c r="F716">
        <v>8</v>
      </c>
      <c r="G716" t="s">
        <v>4303</v>
      </c>
    </row>
    <row r="717" spans="1:7">
      <c r="A717" s="10">
        <v>45524</v>
      </c>
      <c r="B717">
        <v>2024</v>
      </c>
      <c r="C717">
        <v>8</v>
      </c>
      <c r="D717" t="s">
        <v>4313</v>
      </c>
      <c r="E717">
        <v>3</v>
      </c>
      <c r="F717">
        <v>20</v>
      </c>
      <c r="G717" t="s">
        <v>4303</v>
      </c>
    </row>
    <row r="718" spans="1:7">
      <c r="A718" s="10">
        <v>45310</v>
      </c>
      <c r="B718">
        <v>2024</v>
      </c>
      <c r="C718">
        <v>1</v>
      </c>
      <c r="D718" t="s">
        <v>4307</v>
      </c>
      <c r="E718">
        <v>1</v>
      </c>
      <c r="F718">
        <v>19</v>
      </c>
      <c r="G718" t="s">
        <v>4306</v>
      </c>
    </row>
    <row r="719" spans="1:7">
      <c r="A719" s="10">
        <v>45994</v>
      </c>
      <c r="B719">
        <v>2025</v>
      </c>
      <c r="C719">
        <v>12</v>
      </c>
      <c r="D719" t="s">
        <v>4299</v>
      </c>
      <c r="E719">
        <v>4</v>
      </c>
      <c r="F719">
        <v>3</v>
      </c>
      <c r="G719" t="s">
        <v>4308</v>
      </c>
    </row>
    <row r="720" spans="1:7">
      <c r="A720" s="10">
        <v>45797</v>
      </c>
      <c r="B720">
        <v>2025</v>
      </c>
      <c r="C720">
        <v>5</v>
      </c>
      <c r="D720" t="s">
        <v>4305</v>
      </c>
      <c r="E720">
        <v>2</v>
      </c>
      <c r="F720">
        <v>20</v>
      </c>
      <c r="G720" t="s">
        <v>4303</v>
      </c>
    </row>
    <row r="721" spans="1:7">
      <c r="A721" s="10">
        <v>45559</v>
      </c>
      <c r="B721">
        <v>2024</v>
      </c>
      <c r="C721">
        <v>9</v>
      </c>
      <c r="D721" t="s">
        <v>4304</v>
      </c>
      <c r="E721">
        <v>3</v>
      </c>
      <c r="F721">
        <v>24</v>
      </c>
      <c r="G721" t="s">
        <v>4303</v>
      </c>
    </row>
    <row r="722" spans="1:7">
      <c r="A722" s="10">
        <v>44959</v>
      </c>
      <c r="B722">
        <v>2023</v>
      </c>
      <c r="C722">
        <v>2</v>
      </c>
      <c r="D722" t="s">
        <v>4312</v>
      </c>
      <c r="E722">
        <v>1</v>
      </c>
      <c r="F722">
        <v>2</v>
      </c>
      <c r="G722" t="s">
        <v>4300</v>
      </c>
    </row>
    <row r="723" spans="1:7">
      <c r="A723" s="10">
        <v>45857</v>
      </c>
      <c r="B723">
        <v>2025</v>
      </c>
      <c r="C723">
        <v>7</v>
      </c>
      <c r="D723" t="s">
        <v>4297</v>
      </c>
      <c r="E723">
        <v>3</v>
      </c>
      <c r="F723">
        <v>19</v>
      </c>
      <c r="G723" t="s">
        <v>4298</v>
      </c>
    </row>
    <row r="724" spans="1:7">
      <c r="A724" s="10">
        <v>45423</v>
      </c>
      <c r="B724">
        <v>2024</v>
      </c>
      <c r="C724">
        <v>5</v>
      </c>
      <c r="D724" t="s">
        <v>4305</v>
      </c>
      <c r="E724">
        <v>2</v>
      </c>
      <c r="F724">
        <v>11</v>
      </c>
      <c r="G724" t="s">
        <v>4298</v>
      </c>
    </row>
    <row r="725" spans="1:7">
      <c r="A725" s="10">
        <v>45290</v>
      </c>
      <c r="B725">
        <v>2023</v>
      </c>
      <c r="C725">
        <v>12</v>
      </c>
      <c r="D725" t="s">
        <v>4299</v>
      </c>
      <c r="E725">
        <v>4</v>
      </c>
      <c r="F725">
        <v>30</v>
      </c>
      <c r="G725" t="s">
        <v>4298</v>
      </c>
    </row>
    <row r="726" spans="1:7">
      <c r="A726" s="10">
        <v>45302</v>
      </c>
      <c r="B726">
        <v>2024</v>
      </c>
      <c r="C726">
        <v>1</v>
      </c>
      <c r="D726" t="s">
        <v>4307</v>
      </c>
      <c r="E726">
        <v>1</v>
      </c>
      <c r="F726">
        <v>11</v>
      </c>
      <c r="G726" t="s">
        <v>4300</v>
      </c>
    </row>
    <row r="727" spans="1:7">
      <c r="A727" s="10">
        <v>44957</v>
      </c>
      <c r="B727">
        <v>2023</v>
      </c>
      <c r="C727">
        <v>1</v>
      </c>
      <c r="D727" t="s">
        <v>4307</v>
      </c>
      <c r="E727">
        <v>1</v>
      </c>
      <c r="F727">
        <v>31</v>
      </c>
      <c r="G727" t="s">
        <v>4303</v>
      </c>
    </row>
    <row r="728" spans="1:7">
      <c r="A728" s="10">
        <v>45279</v>
      </c>
      <c r="B728">
        <v>2023</v>
      </c>
      <c r="C728">
        <v>12</v>
      </c>
      <c r="D728" t="s">
        <v>4299</v>
      </c>
      <c r="E728">
        <v>4</v>
      </c>
      <c r="F728">
        <v>19</v>
      </c>
      <c r="G728" t="s">
        <v>4303</v>
      </c>
    </row>
    <row r="729" spans="1:7">
      <c r="A729" s="10">
        <v>45786</v>
      </c>
      <c r="B729">
        <v>2025</v>
      </c>
      <c r="C729">
        <v>5</v>
      </c>
      <c r="D729" t="s">
        <v>4305</v>
      </c>
      <c r="E729">
        <v>2</v>
      </c>
      <c r="F729">
        <v>9</v>
      </c>
      <c r="G729" t="s">
        <v>4306</v>
      </c>
    </row>
    <row r="730" spans="1:7">
      <c r="A730" s="10">
        <v>45218</v>
      </c>
      <c r="B730">
        <v>2023</v>
      </c>
      <c r="C730">
        <v>10</v>
      </c>
      <c r="D730" t="s">
        <v>4302</v>
      </c>
      <c r="E730">
        <v>4</v>
      </c>
      <c r="F730">
        <v>19</v>
      </c>
      <c r="G730" t="s">
        <v>4300</v>
      </c>
    </row>
    <row r="731" spans="1:7">
      <c r="A731" s="10">
        <v>45776</v>
      </c>
      <c r="B731">
        <v>2025</v>
      </c>
      <c r="C731">
        <v>4</v>
      </c>
      <c r="D731" t="s">
        <v>4314</v>
      </c>
      <c r="E731">
        <v>2</v>
      </c>
      <c r="F731">
        <v>29</v>
      </c>
      <c r="G731" t="s">
        <v>4303</v>
      </c>
    </row>
    <row r="732" spans="1:7">
      <c r="A732" s="10">
        <v>46009</v>
      </c>
      <c r="B732">
        <v>2025</v>
      </c>
      <c r="C732">
        <v>12</v>
      </c>
      <c r="D732" t="s">
        <v>4299</v>
      </c>
      <c r="E732">
        <v>4</v>
      </c>
      <c r="F732">
        <v>18</v>
      </c>
      <c r="G732" t="s">
        <v>4300</v>
      </c>
    </row>
    <row r="733" spans="1:7">
      <c r="A733" s="10">
        <v>45391</v>
      </c>
      <c r="B733">
        <v>2024</v>
      </c>
      <c r="C733">
        <v>4</v>
      </c>
      <c r="D733" t="s">
        <v>4314</v>
      </c>
      <c r="E733">
        <v>2</v>
      </c>
      <c r="F733">
        <v>9</v>
      </c>
      <c r="G733" t="s">
        <v>4303</v>
      </c>
    </row>
    <row r="734" spans="1:7">
      <c r="A734" s="10">
        <v>45710</v>
      </c>
      <c r="B734">
        <v>2025</v>
      </c>
      <c r="C734">
        <v>2</v>
      </c>
      <c r="D734" t="s">
        <v>4312</v>
      </c>
      <c r="E734">
        <v>1</v>
      </c>
      <c r="F734">
        <v>22</v>
      </c>
      <c r="G734" t="s">
        <v>4298</v>
      </c>
    </row>
    <row r="735" spans="1:7">
      <c r="A735" s="10">
        <v>45331</v>
      </c>
      <c r="B735">
        <v>2024</v>
      </c>
      <c r="C735">
        <v>2</v>
      </c>
      <c r="D735" t="s">
        <v>4312</v>
      </c>
      <c r="E735">
        <v>1</v>
      </c>
      <c r="F735">
        <v>9</v>
      </c>
      <c r="G735" t="s">
        <v>4306</v>
      </c>
    </row>
    <row r="736" spans="1:7">
      <c r="A736" s="10">
        <v>45681</v>
      </c>
      <c r="B736">
        <v>2025</v>
      </c>
      <c r="C736">
        <v>1</v>
      </c>
      <c r="D736" t="s">
        <v>4307</v>
      </c>
      <c r="E736">
        <v>1</v>
      </c>
      <c r="F736">
        <v>24</v>
      </c>
      <c r="G736" t="s">
        <v>4306</v>
      </c>
    </row>
    <row r="737" spans="1:7">
      <c r="A737" s="10">
        <v>45894</v>
      </c>
      <c r="B737">
        <v>2025</v>
      </c>
      <c r="C737">
        <v>8</v>
      </c>
      <c r="D737" t="s">
        <v>4313</v>
      </c>
      <c r="E737">
        <v>3</v>
      </c>
      <c r="F737">
        <v>25</v>
      </c>
      <c r="G737" t="s">
        <v>4301</v>
      </c>
    </row>
    <row r="738" spans="1:7">
      <c r="A738" s="10">
        <v>45241</v>
      </c>
      <c r="B738">
        <v>2023</v>
      </c>
      <c r="C738">
        <v>11</v>
      </c>
      <c r="D738" t="s">
        <v>4315</v>
      </c>
      <c r="E738">
        <v>4</v>
      </c>
      <c r="F738">
        <v>11</v>
      </c>
      <c r="G738" t="s">
        <v>4298</v>
      </c>
    </row>
    <row r="739" spans="1:7">
      <c r="A739" s="10">
        <v>45394</v>
      </c>
      <c r="B739">
        <v>2024</v>
      </c>
      <c r="C739">
        <v>4</v>
      </c>
      <c r="D739" t="s">
        <v>4314</v>
      </c>
      <c r="E739">
        <v>2</v>
      </c>
      <c r="F739">
        <v>12</v>
      </c>
      <c r="G739" t="s">
        <v>4306</v>
      </c>
    </row>
    <row r="740" spans="1:7">
      <c r="A740" s="10">
        <v>44948</v>
      </c>
      <c r="B740">
        <v>2023</v>
      </c>
      <c r="C740">
        <v>1</v>
      </c>
      <c r="D740" t="s">
        <v>4307</v>
      </c>
      <c r="E740">
        <v>1</v>
      </c>
      <c r="F740">
        <v>22</v>
      </c>
      <c r="G740" t="s">
        <v>4309</v>
      </c>
    </row>
    <row r="741" spans="1:7">
      <c r="A741" s="10">
        <v>45405</v>
      </c>
      <c r="B741">
        <v>2024</v>
      </c>
      <c r="C741">
        <v>4</v>
      </c>
      <c r="D741" t="s">
        <v>4314</v>
      </c>
      <c r="E741">
        <v>2</v>
      </c>
      <c r="F741">
        <v>23</v>
      </c>
      <c r="G741" t="s">
        <v>4303</v>
      </c>
    </row>
    <row r="742" spans="1:7">
      <c r="A742" s="10">
        <v>45482</v>
      </c>
      <c r="B742">
        <v>2024</v>
      </c>
      <c r="C742">
        <v>7</v>
      </c>
      <c r="D742" t="s">
        <v>4297</v>
      </c>
      <c r="E742">
        <v>3</v>
      </c>
      <c r="F742">
        <v>9</v>
      </c>
      <c r="G742" t="s">
        <v>4303</v>
      </c>
    </row>
    <row r="743" spans="1:7">
      <c r="A743" s="10">
        <v>45878</v>
      </c>
      <c r="B743">
        <v>2025</v>
      </c>
      <c r="C743">
        <v>8</v>
      </c>
      <c r="D743" t="s">
        <v>4313</v>
      </c>
      <c r="E743">
        <v>3</v>
      </c>
      <c r="F743">
        <v>9</v>
      </c>
      <c r="G743" t="s">
        <v>4298</v>
      </c>
    </row>
    <row r="744" spans="1:7">
      <c r="A744" s="10">
        <v>45773</v>
      </c>
      <c r="B744">
        <v>2025</v>
      </c>
      <c r="C744">
        <v>4</v>
      </c>
      <c r="D744" t="s">
        <v>4314</v>
      </c>
      <c r="E744">
        <v>2</v>
      </c>
      <c r="F744">
        <v>26</v>
      </c>
      <c r="G744" t="s">
        <v>4298</v>
      </c>
    </row>
    <row r="745" spans="1:7">
      <c r="A745" s="10">
        <v>45698</v>
      </c>
      <c r="B745">
        <v>2025</v>
      </c>
      <c r="C745">
        <v>2</v>
      </c>
      <c r="D745" t="s">
        <v>4312</v>
      </c>
      <c r="E745">
        <v>1</v>
      </c>
      <c r="F745">
        <v>10</v>
      </c>
      <c r="G745" t="s">
        <v>4301</v>
      </c>
    </row>
    <row r="746" spans="1:7">
      <c r="A746" s="10">
        <v>45250</v>
      </c>
      <c r="B746">
        <v>2023</v>
      </c>
      <c r="C746">
        <v>11</v>
      </c>
      <c r="D746" t="s">
        <v>4315</v>
      </c>
      <c r="E746">
        <v>4</v>
      </c>
      <c r="F746">
        <v>20</v>
      </c>
      <c r="G746" t="s">
        <v>4301</v>
      </c>
    </row>
    <row r="747" spans="1:7">
      <c r="A747" s="10">
        <v>45692</v>
      </c>
      <c r="B747">
        <v>2025</v>
      </c>
      <c r="C747">
        <v>2</v>
      </c>
      <c r="D747" t="s">
        <v>4312</v>
      </c>
      <c r="E747">
        <v>1</v>
      </c>
      <c r="F747">
        <v>4</v>
      </c>
      <c r="G747" t="s">
        <v>4303</v>
      </c>
    </row>
    <row r="748" spans="1:7">
      <c r="A748" s="10">
        <v>44997</v>
      </c>
      <c r="B748">
        <v>2023</v>
      </c>
      <c r="C748">
        <v>3</v>
      </c>
      <c r="D748" t="s">
        <v>4311</v>
      </c>
      <c r="E748">
        <v>1</v>
      </c>
      <c r="F748">
        <v>12</v>
      </c>
      <c r="G748" t="s">
        <v>4309</v>
      </c>
    </row>
    <row r="749" spans="1:7">
      <c r="A749" s="10">
        <v>45510</v>
      </c>
      <c r="B749">
        <v>2024</v>
      </c>
      <c r="C749">
        <v>8</v>
      </c>
      <c r="D749" t="s">
        <v>4313</v>
      </c>
      <c r="E749">
        <v>3</v>
      </c>
      <c r="F749">
        <v>6</v>
      </c>
      <c r="G749" t="s">
        <v>4303</v>
      </c>
    </row>
    <row r="750" spans="1:7">
      <c r="A750" s="10">
        <v>45731</v>
      </c>
      <c r="B750">
        <v>2025</v>
      </c>
      <c r="C750">
        <v>3</v>
      </c>
      <c r="D750" t="s">
        <v>4311</v>
      </c>
      <c r="E750">
        <v>1</v>
      </c>
      <c r="F750">
        <v>15</v>
      </c>
      <c r="G750" t="s">
        <v>4298</v>
      </c>
    </row>
    <row r="751" spans="1:7">
      <c r="A751" s="10">
        <v>45082</v>
      </c>
      <c r="B751">
        <v>2023</v>
      </c>
      <c r="C751">
        <v>6</v>
      </c>
      <c r="D751" t="s">
        <v>4310</v>
      </c>
      <c r="E751">
        <v>2</v>
      </c>
      <c r="F751">
        <v>5</v>
      </c>
      <c r="G751" t="s">
        <v>4301</v>
      </c>
    </row>
    <row r="752" spans="1:7">
      <c r="A752" s="10">
        <v>45052</v>
      </c>
      <c r="B752">
        <v>2023</v>
      </c>
      <c r="C752">
        <v>5</v>
      </c>
      <c r="D752" t="s">
        <v>4305</v>
      </c>
      <c r="E752">
        <v>2</v>
      </c>
      <c r="F752">
        <v>6</v>
      </c>
      <c r="G752" t="s">
        <v>4298</v>
      </c>
    </row>
    <row r="753" spans="1:7">
      <c r="A753" s="10">
        <v>45118</v>
      </c>
      <c r="B753">
        <v>2023</v>
      </c>
      <c r="C753">
        <v>7</v>
      </c>
      <c r="D753" t="s">
        <v>4297</v>
      </c>
      <c r="E753">
        <v>3</v>
      </c>
      <c r="F753">
        <v>11</v>
      </c>
      <c r="G753" t="s">
        <v>4303</v>
      </c>
    </row>
    <row r="754" spans="1:7">
      <c r="A754" s="10">
        <v>45044</v>
      </c>
      <c r="B754">
        <v>2023</v>
      </c>
      <c r="C754">
        <v>4</v>
      </c>
      <c r="D754" t="s">
        <v>4314</v>
      </c>
      <c r="E754">
        <v>2</v>
      </c>
      <c r="F754">
        <v>28</v>
      </c>
      <c r="G754" t="s">
        <v>4306</v>
      </c>
    </row>
    <row r="755" spans="1:7">
      <c r="A755" s="10">
        <v>45580</v>
      </c>
      <c r="B755">
        <v>2024</v>
      </c>
      <c r="C755">
        <v>10</v>
      </c>
      <c r="D755" t="s">
        <v>4302</v>
      </c>
      <c r="E755">
        <v>4</v>
      </c>
      <c r="F755">
        <v>15</v>
      </c>
      <c r="G755" t="s">
        <v>4303</v>
      </c>
    </row>
    <row r="756" spans="1:7">
      <c r="A756" s="10">
        <v>45515</v>
      </c>
      <c r="B756">
        <v>2024</v>
      </c>
      <c r="C756">
        <v>8</v>
      </c>
      <c r="D756" t="s">
        <v>4313</v>
      </c>
      <c r="E756">
        <v>3</v>
      </c>
      <c r="F756">
        <v>11</v>
      </c>
      <c r="G756" t="s">
        <v>4309</v>
      </c>
    </row>
    <row r="757" spans="1:7">
      <c r="A757" s="10">
        <v>45290</v>
      </c>
      <c r="B757">
        <v>2023</v>
      </c>
      <c r="C757">
        <v>12</v>
      </c>
      <c r="D757" t="s">
        <v>4299</v>
      </c>
      <c r="E757">
        <v>4</v>
      </c>
      <c r="F757">
        <v>30</v>
      </c>
      <c r="G757" t="s">
        <v>4298</v>
      </c>
    </row>
    <row r="758" spans="1:7">
      <c r="A758" s="10">
        <v>45651</v>
      </c>
      <c r="B758">
        <v>2024</v>
      </c>
      <c r="C758">
        <v>12</v>
      </c>
      <c r="D758" t="s">
        <v>4299</v>
      </c>
      <c r="E758">
        <v>4</v>
      </c>
      <c r="F758">
        <v>25</v>
      </c>
      <c r="G758" t="s">
        <v>4308</v>
      </c>
    </row>
    <row r="759" spans="1:7">
      <c r="A759" s="10">
        <v>45641</v>
      </c>
      <c r="B759">
        <v>2024</v>
      </c>
      <c r="C759">
        <v>12</v>
      </c>
      <c r="D759" t="s">
        <v>4299</v>
      </c>
      <c r="E759">
        <v>4</v>
      </c>
      <c r="F759">
        <v>15</v>
      </c>
      <c r="G759" t="s">
        <v>4309</v>
      </c>
    </row>
    <row r="760" spans="1:7">
      <c r="A760" s="10">
        <v>45830</v>
      </c>
      <c r="B760">
        <v>2025</v>
      </c>
      <c r="C760">
        <v>6</v>
      </c>
      <c r="D760" t="s">
        <v>4310</v>
      </c>
      <c r="E760">
        <v>2</v>
      </c>
      <c r="F760">
        <v>22</v>
      </c>
      <c r="G760" t="s">
        <v>4309</v>
      </c>
    </row>
    <row r="761" spans="1:7">
      <c r="A761" s="10">
        <v>44949</v>
      </c>
      <c r="B761">
        <v>2023</v>
      </c>
      <c r="C761">
        <v>1</v>
      </c>
      <c r="D761" t="s">
        <v>4307</v>
      </c>
      <c r="E761">
        <v>1</v>
      </c>
      <c r="F761">
        <v>23</v>
      </c>
      <c r="G761" t="s">
        <v>4301</v>
      </c>
    </row>
    <row r="762" spans="1:7">
      <c r="A762" s="10">
        <v>45497</v>
      </c>
      <c r="B762">
        <v>2024</v>
      </c>
      <c r="C762">
        <v>7</v>
      </c>
      <c r="D762" t="s">
        <v>4297</v>
      </c>
      <c r="E762">
        <v>3</v>
      </c>
      <c r="F762">
        <v>24</v>
      </c>
      <c r="G762" t="s">
        <v>4308</v>
      </c>
    </row>
    <row r="763" spans="1:7">
      <c r="A763" s="10">
        <v>45646</v>
      </c>
      <c r="B763">
        <v>2024</v>
      </c>
      <c r="C763">
        <v>12</v>
      </c>
      <c r="D763" t="s">
        <v>4299</v>
      </c>
      <c r="E763">
        <v>4</v>
      </c>
      <c r="F763">
        <v>20</v>
      </c>
      <c r="G763" t="s">
        <v>4306</v>
      </c>
    </row>
    <row r="764" spans="1:7">
      <c r="A764" s="10">
        <v>45857</v>
      </c>
      <c r="B764">
        <v>2025</v>
      </c>
      <c r="C764">
        <v>7</v>
      </c>
      <c r="D764" t="s">
        <v>4297</v>
      </c>
      <c r="E764">
        <v>3</v>
      </c>
      <c r="F764">
        <v>19</v>
      </c>
      <c r="G764" t="s">
        <v>4298</v>
      </c>
    </row>
    <row r="765" spans="1:7">
      <c r="A765" s="10">
        <v>45966</v>
      </c>
      <c r="B765">
        <v>2025</v>
      </c>
      <c r="C765">
        <v>11</v>
      </c>
      <c r="D765" t="s">
        <v>4315</v>
      </c>
      <c r="E765">
        <v>4</v>
      </c>
      <c r="F765">
        <v>5</v>
      </c>
      <c r="G765" t="s">
        <v>4308</v>
      </c>
    </row>
    <row r="766" spans="1:7">
      <c r="A766" s="10">
        <v>45587</v>
      </c>
      <c r="B766">
        <v>2024</v>
      </c>
      <c r="C766">
        <v>10</v>
      </c>
      <c r="D766" t="s">
        <v>4302</v>
      </c>
      <c r="E766">
        <v>4</v>
      </c>
      <c r="F766">
        <v>22</v>
      </c>
      <c r="G766" t="s">
        <v>4303</v>
      </c>
    </row>
    <row r="767" spans="1:7">
      <c r="A767" s="10">
        <v>45290</v>
      </c>
      <c r="B767">
        <v>2023</v>
      </c>
      <c r="C767">
        <v>12</v>
      </c>
      <c r="D767" t="s">
        <v>4299</v>
      </c>
      <c r="E767">
        <v>4</v>
      </c>
      <c r="F767">
        <v>30</v>
      </c>
      <c r="G767" t="s">
        <v>4298</v>
      </c>
    </row>
    <row r="768" spans="1:7">
      <c r="A768" s="10">
        <v>45413</v>
      </c>
      <c r="B768">
        <v>2024</v>
      </c>
      <c r="C768">
        <v>5</v>
      </c>
      <c r="D768" t="s">
        <v>4305</v>
      </c>
      <c r="E768">
        <v>2</v>
      </c>
      <c r="F768">
        <v>1</v>
      </c>
      <c r="G768" t="s">
        <v>4308</v>
      </c>
    </row>
    <row r="769" spans="1:7">
      <c r="A769" s="10">
        <v>45038</v>
      </c>
      <c r="B769">
        <v>2023</v>
      </c>
      <c r="C769">
        <v>4</v>
      </c>
      <c r="D769" t="s">
        <v>4314</v>
      </c>
      <c r="E769">
        <v>2</v>
      </c>
      <c r="F769">
        <v>22</v>
      </c>
      <c r="G769" t="s">
        <v>4298</v>
      </c>
    </row>
    <row r="770" spans="1:7">
      <c r="A770" s="10">
        <v>45117</v>
      </c>
      <c r="B770">
        <v>2023</v>
      </c>
      <c r="C770">
        <v>7</v>
      </c>
      <c r="D770" t="s">
        <v>4297</v>
      </c>
      <c r="E770">
        <v>3</v>
      </c>
      <c r="F770">
        <v>10</v>
      </c>
      <c r="G770" t="s">
        <v>4301</v>
      </c>
    </row>
    <row r="771" spans="1:7">
      <c r="A771" s="10">
        <v>45539</v>
      </c>
      <c r="B771">
        <v>2024</v>
      </c>
      <c r="C771">
        <v>9</v>
      </c>
      <c r="D771" t="s">
        <v>4304</v>
      </c>
      <c r="E771">
        <v>3</v>
      </c>
      <c r="F771">
        <v>4</v>
      </c>
      <c r="G771" t="s">
        <v>4308</v>
      </c>
    </row>
    <row r="772" spans="1:7">
      <c r="A772" s="10">
        <v>45172</v>
      </c>
      <c r="B772">
        <v>2023</v>
      </c>
      <c r="C772">
        <v>9</v>
      </c>
      <c r="D772" t="s">
        <v>4304</v>
      </c>
      <c r="E772">
        <v>3</v>
      </c>
      <c r="F772">
        <v>3</v>
      </c>
      <c r="G772" t="s">
        <v>4309</v>
      </c>
    </row>
    <row r="773" spans="1:7">
      <c r="A773" s="10">
        <v>45531</v>
      </c>
      <c r="B773">
        <v>2024</v>
      </c>
      <c r="C773">
        <v>8</v>
      </c>
      <c r="D773" t="s">
        <v>4313</v>
      </c>
      <c r="E773">
        <v>3</v>
      </c>
      <c r="F773">
        <v>27</v>
      </c>
      <c r="G773" t="s">
        <v>4303</v>
      </c>
    </row>
    <row r="774" spans="1:7">
      <c r="A774" s="10">
        <v>45558</v>
      </c>
      <c r="B774">
        <v>2024</v>
      </c>
      <c r="C774">
        <v>9</v>
      </c>
      <c r="D774" t="s">
        <v>4304</v>
      </c>
      <c r="E774">
        <v>3</v>
      </c>
      <c r="F774">
        <v>23</v>
      </c>
      <c r="G774" t="s">
        <v>4301</v>
      </c>
    </row>
    <row r="775" spans="1:7">
      <c r="A775" s="10">
        <v>45746</v>
      </c>
      <c r="B775">
        <v>2025</v>
      </c>
      <c r="C775">
        <v>3</v>
      </c>
      <c r="D775" t="s">
        <v>4311</v>
      </c>
      <c r="E775">
        <v>1</v>
      </c>
      <c r="F775">
        <v>30</v>
      </c>
      <c r="G775" t="s">
        <v>4309</v>
      </c>
    </row>
    <row r="776" spans="1:7">
      <c r="A776" s="10">
        <v>45190</v>
      </c>
      <c r="B776">
        <v>2023</v>
      </c>
      <c r="C776">
        <v>9</v>
      </c>
      <c r="D776" t="s">
        <v>4304</v>
      </c>
      <c r="E776">
        <v>3</v>
      </c>
      <c r="F776">
        <v>21</v>
      </c>
      <c r="G776" t="s">
        <v>4300</v>
      </c>
    </row>
    <row r="777" spans="1:7">
      <c r="A777" s="10">
        <v>46002</v>
      </c>
      <c r="B777">
        <v>2025</v>
      </c>
      <c r="C777">
        <v>12</v>
      </c>
      <c r="D777" t="s">
        <v>4299</v>
      </c>
      <c r="E777">
        <v>4</v>
      </c>
      <c r="F777">
        <v>11</v>
      </c>
      <c r="G777" t="s">
        <v>4300</v>
      </c>
    </row>
    <row r="778" spans="1:7">
      <c r="A778" s="10">
        <v>45551</v>
      </c>
      <c r="B778">
        <v>2024</v>
      </c>
      <c r="C778">
        <v>9</v>
      </c>
      <c r="D778" t="s">
        <v>4304</v>
      </c>
      <c r="E778">
        <v>3</v>
      </c>
      <c r="F778">
        <v>16</v>
      </c>
      <c r="G778" t="s">
        <v>4301</v>
      </c>
    </row>
    <row r="779" spans="1:7">
      <c r="A779" s="10">
        <v>45236</v>
      </c>
      <c r="B779">
        <v>2023</v>
      </c>
      <c r="C779">
        <v>11</v>
      </c>
      <c r="D779" t="s">
        <v>4315</v>
      </c>
      <c r="E779">
        <v>4</v>
      </c>
      <c r="F779">
        <v>6</v>
      </c>
      <c r="G779" t="s">
        <v>4301</v>
      </c>
    </row>
    <row r="780" spans="1:7">
      <c r="A780" s="10">
        <v>45673</v>
      </c>
      <c r="B780">
        <v>2025</v>
      </c>
      <c r="C780">
        <v>1</v>
      </c>
      <c r="D780" t="s">
        <v>4307</v>
      </c>
      <c r="E780">
        <v>1</v>
      </c>
      <c r="F780">
        <v>16</v>
      </c>
      <c r="G780" t="s">
        <v>4300</v>
      </c>
    </row>
    <row r="781" spans="1:7">
      <c r="A781" s="10">
        <v>45943</v>
      </c>
      <c r="B781">
        <v>2025</v>
      </c>
      <c r="C781">
        <v>10</v>
      </c>
      <c r="D781" t="s">
        <v>4302</v>
      </c>
      <c r="E781">
        <v>4</v>
      </c>
      <c r="F781">
        <v>13</v>
      </c>
      <c r="G781" t="s">
        <v>4301</v>
      </c>
    </row>
    <row r="782" spans="1:7">
      <c r="A782" s="10">
        <v>45528</v>
      </c>
      <c r="B782">
        <v>2024</v>
      </c>
      <c r="C782">
        <v>8</v>
      </c>
      <c r="D782" t="s">
        <v>4313</v>
      </c>
      <c r="E782">
        <v>3</v>
      </c>
      <c r="F782">
        <v>24</v>
      </c>
      <c r="G782" t="s">
        <v>4298</v>
      </c>
    </row>
    <row r="783" spans="1:7">
      <c r="A783" s="10">
        <v>45267</v>
      </c>
      <c r="B783">
        <v>2023</v>
      </c>
      <c r="C783">
        <v>12</v>
      </c>
      <c r="D783" t="s">
        <v>4299</v>
      </c>
      <c r="E783">
        <v>4</v>
      </c>
      <c r="F783">
        <v>7</v>
      </c>
      <c r="G783" t="s">
        <v>4300</v>
      </c>
    </row>
    <row r="784" spans="1:7">
      <c r="A784" s="10">
        <v>45111</v>
      </c>
      <c r="B784">
        <v>2023</v>
      </c>
      <c r="C784">
        <v>7</v>
      </c>
      <c r="D784" t="s">
        <v>4297</v>
      </c>
      <c r="E784">
        <v>3</v>
      </c>
      <c r="F784">
        <v>4</v>
      </c>
      <c r="G784" t="s">
        <v>4303</v>
      </c>
    </row>
    <row r="785" spans="1:7">
      <c r="A785" s="10">
        <v>45497</v>
      </c>
      <c r="B785">
        <v>2024</v>
      </c>
      <c r="C785">
        <v>7</v>
      </c>
      <c r="D785" t="s">
        <v>4297</v>
      </c>
      <c r="E785">
        <v>3</v>
      </c>
      <c r="F785">
        <v>24</v>
      </c>
      <c r="G785" t="s">
        <v>4308</v>
      </c>
    </row>
    <row r="786" spans="1:7">
      <c r="A786" s="10">
        <v>45014</v>
      </c>
      <c r="B786">
        <v>2023</v>
      </c>
      <c r="C786">
        <v>3</v>
      </c>
      <c r="D786" t="s">
        <v>4311</v>
      </c>
      <c r="E786">
        <v>1</v>
      </c>
      <c r="F786">
        <v>29</v>
      </c>
      <c r="G786" t="s">
        <v>4308</v>
      </c>
    </row>
    <row r="787" spans="1:7">
      <c r="A787" s="10">
        <v>45308</v>
      </c>
      <c r="B787">
        <v>2024</v>
      </c>
      <c r="C787">
        <v>1</v>
      </c>
      <c r="D787" t="s">
        <v>4307</v>
      </c>
      <c r="E787">
        <v>1</v>
      </c>
      <c r="F787">
        <v>17</v>
      </c>
      <c r="G787" t="s">
        <v>4308</v>
      </c>
    </row>
    <row r="788" spans="1:7">
      <c r="A788" s="10">
        <v>45057</v>
      </c>
      <c r="B788">
        <v>2023</v>
      </c>
      <c r="C788">
        <v>5</v>
      </c>
      <c r="D788" t="s">
        <v>4305</v>
      </c>
      <c r="E788">
        <v>2</v>
      </c>
      <c r="F788">
        <v>11</v>
      </c>
      <c r="G788" t="s">
        <v>4300</v>
      </c>
    </row>
    <row r="789" spans="1:7">
      <c r="A789" s="10">
        <v>44939</v>
      </c>
      <c r="B789">
        <v>2023</v>
      </c>
      <c r="C789">
        <v>1</v>
      </c>
      <c r="D789" t="s">
        <v>4307</v>
      </c>
      <c r="E789">
        <v>1</v>
      </c>
      <c r="F789">
        <v>13</v>
      </c>
      <c r="G789" t="s">
        <v>4306</v>
      </c>
    </row>
    <row r="790" spans="1:7">
      <c r="A790" s="10">
        <v>45047</v>
      </c>
      <c r="B790">
        <v>2023</v>
      </c>
      <c r="C790">
        <v>5</v>
      </c>
      <c r="D790" t="s">
        <v>4305</v>
      </c>
      <c r="E790">
        <v>2</v>
      </c>
      <c r="F790">
        <v>1</v>
      </c>
      <c r="G790" t="s">
        <v>4301</v>
      </c>
    </row>
    <row r="791" spans="1:7">
      <c r="A791" s="10">
        <v>45585</v>
      </c>
      <c r="B791">
        <v>2024</v>
      </c>
      <c r="C791">
        <v>10</v>
      </c>
      <c r="D791" t="s">
        <v>4302</v>
      </c>
      <c r="E791">
        <v>4</v>
      </c>
      <c r="F791">
        <v>20</v>
      </c>
      <c r="G791" t="s">
        <v>4309</v>
      </c>
    </row>
    <row r="792" spans="1:7">
      <c r="A792" s="10">
        <v>45270</v>
      </c>
      <c r="B792">
        <v>2023</v>
      </c>
      <c r="C792">
        <v>12</v>
      </c>
      <c r="D792" t="s">
        <v>4299</v>
      </c>
      <c r="E792">
        <v>4</v>
      </c>
      <c r="F792">
        <v>10</v>
      </c>
      <c r="G792" t="s">
        <v>4309</v>
      </c>
    </row>
    <row r="793" spans="1:7">
      <c r="A793" s="10">
        <v>45693</v>
      </c>
      <c r="B793">
        <v>2025</v>
      </c>
      <c r="C793">
        <v>2</v>
      </c>
      <c r="D793" t="s">
        <v>4312</v>
      </c>
      <c r="E793">
        <v>1</v>
      </c>
      <c r="F793">
        <v>5</v>
      </c>
      <c r="G793" t="s">
        <v>4308</v>
      </c>
    </row>
    <row r="794" spans="1:7">
      <c r="A794" s="10">
        <v>45884</v>
      </c>
      <c r="B794">
        <v>2025</v>
      </c>
      <c r="C794">
        <v>8</v>
      </c>
      <c r="D794" t="s">
        <v>4313</v>
      </c>
      <c r="E794">
        <v>3</v>
      </c>
      <c r="F794">
        <v>15</v>
      </c>
      <c r="G794" t="s">
        <v>4306</v>
      </c>
    </row>
    <row r="795" spans="1:7">
      <c r="A795" s="10">
        <v>45906</v>
      </c>
      <c r="B795">
        <v>2025</v>
      </c>
      <c r="C795">
        <v>9</v>
      </c>
      <c r="D795" t="s">
        <v>4304</v>
      </c>
      <c r="E795">
        <v>3</v>
      </c>
      <c r="F795">
        <v>6</v>
      </c>
      <c r="G795" t="s">
        <v>4298</v>
      </c>
    </row>
    <row r="796" spans="1:7">
      <c r="A796" s="10">
        <v>45200</v>
      </c>
      <c r="B796">
        <v>2023</v>
      </c>
      <c r="C796">
        <v>10</v>
      </c>
      <c r="D796" t="s">
        <v>4302</v>
      </c>
      <c r="E796">
        <v>4</v>
      </c>
      <c r="F796">
        <v>1</v>
      </c>
      <c r="G796" t="s">
        <v>4309</v>
      </c>
    </row>
    <row r="797" spans="1:7">
      <c r="A797" s="10">
        <v>45285</v>
      </c>
      <c r="B797">
        <v>2023</v>
      </c>
      <c r="C797">
        <v>12</v>
      </c>
      <c r="D797" t="s">
        <v>4299</v>
      </c>
      <c r="E797">
        <v>4</v>
      </c>
      <c r="F797">
        <v>25</v>
      </c>
      <c r="G797" t="s">
        <v>4301</v>
      </c>
    </row>
    <row r="798" spans="1:7">
      <c r="A798" s="10">
        <v>45732</v>
      </c>
      <c r="B798">
        <v>2025</v>
      </c>
      <c r="C798">
        <v>3</v>
      </c>
      <c r="D798" t="s">
        <v>4311</v>
      </c>
      <c r="E798">
        <v>1</v>
      </c>
      <c r="F798">
        <v>16</v>
      </c>
      <c r="G798" t="s">
        <v>4309</v>
      </c>
    </row>
    <row r="799" spans="1:7">
      <c r="A799" s="10">
        <v>45414</v>
      </c>
      <c r="B799">
        <v>2024</v>
      </c>
      <c r="C799">
        <v>5</v>
      </c>
      <c r="D799" t="s">
        <v>4305</v>
      </c>
      <c r="E799">
        <v>2</v>
      </c>
      <c r="F799">
        <v>2</v>
      </c>
      <c r="G799" t="s">
        <v>4300</v>
      </c>
    </row>
    <row r="800" spans="1:7">
      <c r="A800" s="10">
        <v>45807</v>
      </c>
      <c r="B800">
        <v>2025</v>
      </c>
      <c r="C800">
        <v>5</v>
      </c>
      <c r="D800" t="s">
        <v>4305</v>
      </c>
      <c r="E800">
        <v>2</v>
      </c>
      <c r="F800">
        <v>30</v>
      </c>
      <c r="G800" t="s">
        <v>4306</v>
      </c>
    </row>
    <row r="801" spans="1:7">
      <c r="A801" s="10">
        <v>45495</v>
      </c>
      <c r="B801">
        <v>2024</v>
      </c>
      <c r="C801">
        <v>7</v>
      </c>
      <c r="D801" t="s">
        <v>4297</v>
      </c>
      <c r="E801">
        <v>3</v>
      </c>
      <c r="F801">
        <v>22</v>
      </c>
      <c r="G801" t="s">
        <v>4301</v>
      </c>
    </row>
    <row r="802" spans="1:7">
      <c r="A802" s="10">
        <v>45079</v>
      </c>
      <c r="B802">
        <v>2023</v>
      </c>
      <c r="C802">
        <v>6</v>
      </c>
      <c r="D802" t="s">
        <v>4310</v>
      </c>
      <c r="E802">
        <v>2</v>
      </c>
      <c r="F802">
        <v>2</v>
      </c>
      <c r="G802" t="s">
        <v>4306</v>
      </c>
    </row>
    <row r="803" spans="1:7">
      <c r="A803" s="10">
        <v>45978</v>
      </c>
      <c r="B803">
        <v>2025</v>
      </c>
      <c r="C803">
        <v>11</v>
      </c>
      <c r="D803" t="s">
        <v>4315</v>
      </c>
      <c r="E803">
        <v>4</v>
      </c>
      <c r="F803">
        <v>17</v>
      </c>
      <c r="G803" t="s">
        <v>4301</v>
      </c>
    </row>
    <row r="804" spans="1:7">
      <c r="A804" s="10">
        <v>45591</v>
      </c>
      <c r="B804">
        <v>2024</v>
      </c>
      <c r="C804">
        <v>10</v>
      </c>
      <c r="D804" t="s">
        <v>4302</v>
      </c>
      <c r="E804">
        <v>4</v>
      </c>
      <c r="F804">
        <v>26</v>
      </c>
      <c r="G804" t="s">
        <v>4298</v>
      </c>
    </row>
    <row r="805" spans="1:7">
      <c r="A805" s="10">
        <v>45847</v>
      </c>
      <c r="B805">
        <v>2025</v>
      </c>
      <c r="C805">
        <v>7</v>
      </c>
      <c r="D805" t="s">
        <v>4297</v>
      </c>
      <c r="E805">
        <v>3</v>
      </c>
      <c r="F805">
        <v>9</v>
      </c>
      <c r="G805" t="s">
        <v>4308</v>
      </c>
    </row>
    <row r="806" spans="1:7">
      <c r="A806" s="10">
        <v>45449</v>
      </c>
      <c r="B806">
        <v>2024</v>
      </c>
      <c r="C806">
        <v>6</v>
      </c>
      <c r="D806" t="s">
        <v>4310</v>
      </c>
      <c r="E806">
        <v>2</v>
      </c>
      <c r="F806">
        <v>6</v>
      </c>
      <c r="G806" t="s">
        <v>4300</v>
      </c>
    </row>
    <row r="807" spans="1:7">
      <c r="A807" s="10">
        <v>45475</v>
      </c>
      <c r="B807">
        <v>2024</v>
      </c>
      <c r="C807">
        <v>7</v>
      </c>
      <c r="D807" t="s">
        <v>4297</v>
      </c>
      <c r="E807">
        <v>3</v>
      </c>
      <c r="F807">
        <v>2</v>
      </c>
      <c r="G807" t="s">
        <v>4303</v>
      </c>
    </row>
    <row r="808" spans="1:7">
      <c r="A808" s="10">
        <v>45240</v>
      </c>
      <c r="B808">
        <v>2023</v>
      </c>
      <c r="C808">
        <v>11</v>
      </c>
      <c r="D808" t="s">
        <v>4315</v>
      </c>
      <c r="E808">
        <v>4</v>
      </c>
      <c r="F808">
        <v>10</v>
      </c>
      <c r="G808" t="s">
        <v>4306</v>
      </c>
    </row>
    <row r="809" spans="1:7">
      <c r="A809" s="10">
        <v>45812</v>
      </c>
      <c r="B809">
        <v>2025</v>
      </c>
      <c r="C809">
        <v>6</v>
      </c>
      <c r="D809" t="s">
        <v>4310</v>
      </c>
      <c r="E809">
        <v>2</v>
      </c>
      <c r="F809">
        <v>4</v>
      </c>
      <c r="G809" t="s">
        <v>4308</v>
      </c>
    </row>
    <row r="810" spans="1:7">
      <c r="A810" s="10">
        <v>45675</v>
      </c>
      <c r="B810">
        <v>2025</v>
      </c>
      <c r="C810">
        <v>1</v>
      </c>
      <c r="D810" t="s">
        <v>4307</v>
      </c>
      <c r="E810">
        <v>1</v>
      </c>
      <c r="F810">
        <v>18</v>
      </c>
      <c r="G810" t="s">
        <v>4298</v>
      </c>
    </row>
    <row r="811" spans="1:7">
      <c r="A811" s="10">
        <v>45665</v>
      </c>
      <c r="B811">
        <v>2025</v>
      </c>
      <c r="C811">
        <v>1</v>
      </c>
      <c r="D811" t="s">
        <v>4307</v>
      </c>
      <c r="E811">
        <v>1</v>
      </c>
      <c r="F811">
        <v>8</v>
      </c>
      <c r="G811" t="s">
        <v>4308</v>
      </c>
    </row>
    <row r="812" spans="1:7">
      <c r="A812" s="10">
        <v>45227</v>
      </c>
      <c r="B812">
        <v>2023</v>
      </c>
      <c r="C812">
        <v>10</v>
      </c>
      <c r="D812" t="s">
        <v>4302</v>
      </c>
      <c r="E812">
        <v>4</v>
      </c>
      <c r="F812">
        <v>28</v>
      </c>
      <c r="G812" t="s">
        <v>4298</v>
      </c>
    </row>
    <row r="813" spans="1:7">
      <c r="A813" s="10">
        <v>45844</v>
      </c>
      <c r="B813">
        <v>2025</v>
      </c>
      <c r="C813">
        <v>7</v>
      </c>
      <c r="D813" t="s">
        <v>4297</v>
      </c>
      <c r="E813">
        <v>3</v>
      </c>
      <c r="F813">
        <v>6</v>
      </c>
      <c r="G813" t="s">
        <v>4309</v>
      </c>
    </row>
    <row r="814" spans="1:7">
      <c r="A814" s="10">
        <v>45546</v>
      </c>
      <c r="B814">
        <v>2024</v>
      </c>
      <c r="C814">
        <v>9</v>
      </c>
      <c r="D814" t="s">
        <v>4304</v>
      </c>
      <c r="E814">
        <v>3</v>
      </c>
      <c r="F814">
        <v>11</v>
      </c>
      <c r="G814" t="s">
        <v>4308</v>
      </c>
    </row>
    <row r="815" spans="1:7">
      <c r="A815" s="10">
        <v>45131</v>
      </c>
      <c r="B815">
        <v>2023</v>
      </c>
      <c r="C815">
        <v>7</v>
      </c>
      <c r="D815" t="s">
        <v>4297</v>
      </c>
      <c r="E815">
        <v>3</v>
      </c>
      <c r="F815">
        <v>24</v>
      </c>
      <c r="G815" t="s">
        <v>4301</v>
      </c>
    </row>
    <row r="816" spans="1:7">
      <c r="A816" s="10">
        <v>45857</v>
      </c>
      <c r="B816">
        <v>2025</v>
      </c>
      <c r="C816">
        <v>7</v>
      </c>
      <c r="D816" t="s">
        <v>4297</v>
      </c>
      <c r="E816">
        <v>3</v>
      </c>
      <c r="F816">
        <v>19</v>
      </c>
      <c r="G816" t="s">
        <v>4298</v>
      </c>
    </row>
    <row r="817" spans="1:7">
      <c r="A817" s="10">
        <v>45578</v>
      </c>
      <c r="B817">
        <v>2024</v>
      </c>
      <c r="C817">
        <v>10</v>
      </c>
      <c r="D817" t="s">
        <v>4302</v>
      </c>
      <c r="E817">
        <v>4</v>
      </c>
      <c r="F817">
        <v>13</v>
      </c>
      <c r="G817" t="s">
        <v>4309</v>
      </c>
    </row>
    <row r="818" spans="1:7">
      <c r="A818" s="10">
        <v>45587</v>
      </c>
      <c r="B818">
        <v>2024</v>
      </c>
      <c r="C818">
        <v>10</v>
      </c>
      <c r="D818" t="s">
        <v>4302</v>
      </c>
      <c r="E818">
        <v>4</v>
      </c>
      <c r="F818">
        <v>22</v>
      </c>
      <c r="G818" t="s">
        <v>4303</v>
      </c>
    </row>
    <row r="819" spans="1:7">
      <c r="A819" s="10">
        <v>45482</v>
      </c>
      <c r="B819">
        <v>2024</v>
      </c>
      <c r="C819">
        <v>7</v>
      </c>
      <c r="D819" t="s">
        <v>4297</v>
      </c>
      <c r="E819">
        <v>3</v>
      </c>
      <c r="F819">
        <v>9</v>
      </c>
      <c r="G819" t="s">
        <v>4303</v>
      </c>
    </row>
    <row r="820" spans="1:7">
      <c r="A820" s="10">
        <v>45353</v>
      </c>
      <c r="B820">
        <v>2024</v>
      </c>
      <c r="C820">
        <v>3</v>
      </c>
      <c r="D820" t="s">
        <v>4311</v>
      </c>
      <c r="E820">
        <v>1</v>
      </c>
      <c r="F820">
        <v>2</v>
      </c>
      <c r="G820" t="s">
        <v>4298</v>
      </c>
    </row>
    <row r="821" spans="1:7">
      <c r="A821" s="10">
        <v>45714</v>
      </c>
      <c r="B821">
        <v>2025</v>
      </c>
      <c r="C821">
        <v>2</v>
      </c>
      <c r="D821" t="s">
        <v>4312</v>
      </c>
      <c r="E821">
        <v>1</v>
      </c>
      <c r="F821">
        <v>26</v>
      </c>
      <c r="G821" t="s">
        <v>4308</v>
      </c>
    </row>
    <row r="822" spans="1:7">
      <c r="A822" s="10">
        <v>45487</v>
      </c>
      <c r="B822">
        <v>2024</v>
      </c>
      <c r="C822">
        <v>7</v>
      </c>
      <c r="D822" t="s">
        <v>4297</v>
      </c>
      <c r="E822">
        <v>3</v>
      </c>
      <c r="F822">
        <v>14</v>
      </c>
      <c r="G822" t="s">
        <v>4309</v>
      </c>
    </row>
    <row r="823" spans="1:7">
      <c r="A823" s="10">
        <v>45310</v>
      </c>
      <c r="B823">
        <v>2024</v>
      </c>
      <c r="C823">
        <v>1</v>
      </c>
      <c r="D823" t="s">
        <v>4307</v>
      </c>
      <c r="E823">
        <v>1</v>
      </c>
      <c r="F823">
        <v>19</v>
      </c>
      <c r="G823" t="s">
        <v>4306</v>
      </c>
    </row>
    <row r="824" spans="1:7">
      <c r="A824" s="10">
        <v>45075</v>
      </c>
      <c r="B824">
        <v>2023</v>
      </c>
      <c r="C824">
        <v>5</v>
      </c>
      <c r="D824" t="s">
        <v>4305</v>
      </c>
      <c r="E824">
        <v>2</v>
      </c>
      <c r="F824">
        <v>29</v>
      </c>
      <c r="G824" t="s">
        <v>4301</v>
      </c>
    </row>
    <row r="825" spans="1:7">
      <c r="A825" s="10">
        <v>45698</v>
      </c>
      <c r="B825">
        <v>2025</v>
      </c>
      <c r="C825">
        <v>2</v>
      </c>
      <c r="D825" t="s">
        <v>4312</v>
      </c>
      <c r="E825">
        <v>1</v>
      </c>
      <c r="F825">
        <v>10</v>
      </c>
      <c r="G825" t="s">
        <v>4301</v>
      </c>
    </row>
    <row r="826" spans="1:7">
      <c r="A826" s="10">
        <v>45612</v>
      </c>
      <c r="B826">
        <v>2024</v>
      </c>
      <c r="C826">
        <v>11</v>
      </c>
      <c r="D826" t="s">
        <v>4315</v>
      </c>
      <c r="E826">
        <v>4</v>
      </c>
      <c r="F826">
        <v>16</v>
      </c>
      <c r="G826" t="s">
        <v>4298</v>
      </c>
    </row>
    <row r="827" spans="1:7">
      <c r="A827" s="10">
        <v>45659</v>
      </c>
      <c r="B827">
        <v>2025</v>
      </c>
      <c r="C827">
        <v>1</v>
      </c>
      <c r="D827" t="s">
        <v>4307</v>
      </c>
      <c r="E827">
        <v>1</v>
      </c>
      <c r="F827">
        <v>2</v>
      </c>
      <c r="G827" t="s">
        <v>4300</v>
      </c>
    </row>
    <row r="828" spans="1:7">
      <c r="A828" s="10">
        <v>45910</v>
      </c>
      <c r="B828">
        <v>2025</v>
      </c>
      <c r="C828">
        <v>9</v>
      </c>
      <c r="D828" t="s">
        <v>4304</v>
      </c>
      <c r="E828">
        <v>3</v>
      </c>
      <c r="F828">
        <v>10</v>
      </c>
      <c r="G828" t="s">
        <v>4308</v>
      </c>
    </row>
    <row r="829" spans="1:7">
      <c r="A829" s="10">
        <v>44931</v>
      </c>
      <c r="B829">
        <v>2023</v>
      </c>
      <c r="C829">
        <v>1</v>
      </c>
      <c r="D829" t="s">
        <v>4307</v>
      </c>
      <c r="E829">
        <v>1</v>
      </c>
      <c r="F829">
        <v>5</v>
      </c>
      <c r="G829" t="s">
        <v>4300</v>
      </c>
    </row>
    <row r="830" spans="1:7">
      <c r="A830" s="10">
        <v>45122</v>
      </c>
      <c r="B830">
        <v>2023</v>
      </c>
      <c r="C830">
        <v>7</v>
      </c>
      <c r="D830" t="s">
        <v>4297</v>
      </c>
      <c r="E830">
        <v>3</v>
      </c>
      <c r="F830">
        <v>15</v>
      </c>
      <c r="G830" t="s">
        <v>4298</v>
      </c>
    </row>
    <row r="831" spans="1:7">
      <c r="A831" s="10">
        <v>45287</v>
      </c>
      <c r="B831">
        <v>2023</v>
      </c>
      <c r="C831">
        <v>12</v>
      </c>
      <c r="D831" t="s">
        <v>4299</v>
      </c>
      <c r="E831">
        <v>4</v>
      </c>
      <c r="F831">
        <v>27</v>
      </c>
      <c r="G831" t="s">
        <v>4308</v>
      </c>
    </row>
    <row r="832" spans="1:7">
      <c r="A832" s="10">
        <v>45507</v>
      </c>
      <c r="B832">
        <v>2024</v>
      </c>
      <c r="C832">
        <v>8</v>
      </c>
      <c r="D832" t="s">
        <v>4313</v>
      </c>
      <c r="E832">
        <v>3</v>
      </c>
      <c r="F832">
        <v>3</v>
      </c>
      <c r="G832" t="s">
        <v>4298</v>
      </c>
    </row>
    <row r="833" spans="1:7">
      <c r="A833" s="10">
        <v>45665</v>
      </c>
      <c r="B833">
        <v>2025</v>
      </c>
      <c r="C833">
        <v>1</v>
      </c>
      <c r="D833" t="s">
        <v>4307</v>
      </c>
      <c r="E833">
        <v>1</v>
      </c>
      <c r="F833">
        <v>8</v>
      </c>
      <c r="G833" t="s">
        <v>4308</v>
      </c>
    </row>
    <row r="834" spans="1:7">
      <c r="A834" s="10">
        <v>45437</v>
      </c>
      <c r="B834">
        <v>2024</v>
      </c>
      <c r="C834">
        <v>5</v>
      </c>
      <c r="D834" t="s">
        <v>4305</v>
      </c>
      <c r="E834">
        <v>2</v>
      </c>
      <c r="F834">
        <v>25</v>
      </c>
      <c r="G834" t="s">
        <v>4298</v>
      </c>
    </row>
    <row r="835" spans="1:7">
      <c r="A835" s="10">
        <v>45722</v>
      </c>
      <c r="B835">
        <v>2025</v>
      </c>
      <c r="C835">
        <v>3</v>
      </c>
      <c r="D835" t="s">
        <v>4311</v>
      </c>
      <c r="E835">
        <v>1</v>
      </c>
      <c r="F835">
        <v>6</v>
      </c>
      <c r="G835" t="s">
        <v>4300</v>
      </c>
    </row>
    <row r="836" spans="1:7">
      <c r="A836" s="10">
        <v>45890</v>
      </c>
      <c r="B836">
        <v>2025</v>
      </c>
      <c r="C836">
        <v>8</v>
      </c>
      <c r="D836" t="s">
        <v>4313</v>
      </c>
      <c r="E836">
        <v>3</v>
      </c>
      <c r="F836">
        <v>21</v>
      </c>
      <c r="G836" t="s">
        <v>4300</v>
      </c>
    </row>
    <row r="837" spans="1:7">
      <c r="A837" s="10">
        <v>45914</v>
      </c>
      <c r="B837">
        <v>2025</v>
      </c>
      <c r="C837">
        <v>9</v>
      </c>
      <c r="D837" t="s">
        <v>4304</v>
      </c>
      <c r="E837">
        <v>3</v>
      </c>
      <c r="F837">
        <v>14</v>
      </c>
      <c r="G837" t="s">
        <v>4309</v>
      </c>
    </row>
    <row r="838" spans="1:7">
      <c r="A838" s="10">
        <v>45211</v>
      </c>
      <c r="B838">
        <v>2023</v>
      </c>
      <c r="C838">
        <v>10</v>
      </c>
      <c r="D838" t="s">
        <v>4302</v>
      </c>
      <c r="E838">
        <v>4</v>
      </c>
      <c r="F838">
        <v>12</v>
      </c>
      <c r="G838" t="s">
        <v>4300</v>
      </c>
    </row>
    <row r="839" spans="1:7">
      <c r="A839" s="10">
        <v>44983</v>
      </c>
      <c r="B839">
        <v>2023</v>
      </c>
      <c r="C839">
        <v>2</v>
      </c>
      <c r="D839" t="s">
        <v>4312</v>
      </c>
      <c r="E839">
        <v>1</v>
      </c>
      <c r="F839">
        <v>26</v>
      </c>
      <c r="G839" t="s">
        <v>4309</v>
      </c>
    </row>
    <row r="840" spans="1:7">
      <c r="A840" s="10">
        <v>45004</v>
      </c>
      <c r="B840">
        <v>2023</v>
      </c>
      <c r="C840">
        <v>3</v>
      </c>
      <c r="D840" t="s">
        <v>4311</v>
      </c>
      <c r="E840">
        <v>1</v>
      </c>
      <c r="F840">
        <v>19</v>
      </c>
      <c r="G840" t="s">
        <v>4309</v>
      </c>
    </row>
    <row r="841" spans="1:7">
      <c r="A841" s="10">
        <v>45176</v>
      </c>
      <c r="B841">
        <v>2023</v>
      </c>
      <c r="C841">
        <v>9</v>
      </c>
      <c r="D841" t="s">
        <v>4304</v>
      </c>
      <c r="E841">
        <v>3</v>
      </c>
      <c r="F841">
        <v>7</v>
      </c>
      <c r="G841" t="s">
        <v>4300</v>
      </c>
    </row>
    <row r="842" spans="1:7">
      <c r="A842" s="10">
        <v>45127</v>
      </c>
      <c r="B842">
        <v>2023</v>
      </c>
      <c r="C842">
        <v>7</v>
      </c>
      <c r="D842" t="s">
        <v>4297</v>
      </c>
      <c r="E842">
        <v>3</v>
      </c>
      <c r="F842">
        <v>20</v>
      </c>
      <c r="G842" t="s">
        <v>4300</v>
      </c>
    </row>
    <row r="843" spans="1:7">
      <c r="A843" s="10">
        <v>45932</v>
      </c>
      <c r="B843">
        <v>2025</v>
      </c>
      <c r="C843">
        <v>10</v>
      </c>
      <c r="D843" t="s">
        <v>4302</v>
      </c>
      <c r="E843">
        <v>4</v>
      </c>
      <c r="F843">
        <v>2</v>
      </c>
      <c r="G843" t="s">
        <v>4300</v>
      </c>
    </row>
    <row r="844" spans="1:7">
      <c r="A844" s="10">
        <v>45814</v>
      </c>
      <c r="B844">
        <v>2025</v>
      </c>
      <c r="C844">
        <v>6</v>
      </c>
      <c r="D844" t="s">
        <v>4310</v>
      </c>
      <c r="E844">
        <v>2</v>
      </c>
      <c r="F844">
        <v>6</v>
      </c>
      <c r="G844" t="s">
        <v>4306</v>
      </c>
    </row>
    <row r="845" spans="1:7">
      <c r="A845" s="10">
        <v>45379</v>
      </c>
      <c r="B845">
        <v>2024</v>
      </c>
      <c r="C845">
        <v>3</v>
      </c>
      <c r="D845" t="s">
        <v>4311</v>
      </c>
      <c r="E845">
        <v>1</v>
      </c>
      <c r="F845">
        <v>28</v>
      </c>
      <c r="G845" t="s">
        <v>4300</v>
      </c>
    </row>
    <row r="846" spans="1:7">
      <c r="A846" s="10">
        <v>45529</v>
      </c>
      <c r="B846">
        <v>2024</v>
      </c>
      <c r="C846">
        <v>8</v>
      </c>
      <c r="D846" t="s">
        <v>4313</v>
      </c>
      <c r="E846">
        <v>3</v>
      </c>
      <c r="F846">
        <v>25</v>
      </c>
      <c r="G846" t="s">
        <v>4309</v>
      </c>
    </row>
    <row r="847" spans="1:7">
      <c r="A847" s="10">
        <v>45272</v>
      </c>
      <c r="B847">
        <v>2023</v>
      </c>
      <c r="C847">
        <v>12</v>
      </c>
      <c r="D847" t="s">
        <v>4299</v>
      </c>
      <c r="E847">
        <v>4</v>
      </c>
      <c r="F847">
        <v>12</v>
      </c>
      <c r="G847" t="s">
        <v>4303</v>
      </c>
    </row>
    <row r="848" spans="1:7">
      <c r="A848" s="10">
        <v>45690</v>
      </c>
      <c r="B848">
        <v>2025</v>
      </c>
      <c r="C848">
        <v>2</v>
      </c>
      <c r="D848" t="s">
        <v>4312</v>
      </c>
      <c r="E848">
        <v>1</v>
      </c>
      <c r="F848">
        <v>2</v>
      </c>
      <c r="G848" t="s">
        <v>4309</v>
      </c>
    </row>
    <row r="849" spans="1:7">
      <c r="A849" s="10">
        <v>45516</v>
      </c>
      <c r="B849">
        <v>2024</v>
      </c>
      <c r="C849">
        <v>8</v>
      </c>
      <c r="D849" t="s">
        <v>4313</v>
      </c>
      <c r="E849">
        <v>3</v>
      </c>
      <c r="F849">
        <v>12</v>
      </c>
      <c r="G849" t="s">
        <v>4301</v>
      </c>
    </row>
    <row r="850" spans="1:7">
      <c r="A850" s="10">
        <v>45392</v>
      </c>
      <c r="B850">
        <v>2024</v>
      </c>
      <c r="C850">
        <v>4</v>
      </c>
      <c r="D850" t="s">
        <v>4314</v>
      </c>
      <c r="E850">
        <v>2</v>
      </c>
      <c r="F850">
        <v>10</v>
      </c>
      <c r="G850" t="s">
        <v>4308</v>
      </c>
    </row>
    <row r="851" spans="1:7">
      <c r="A851" s="10">
        <v>45785</v>
      </c>
      <c r="B851">
        <v>2025</v>
      </c>
      <c r="C851">
        <v>5</v>
      </c>
      <c r="D851" t="s">
        <v>4305</v>
      </c>
      <c r="E851">
        <v>2</v>
      </c>
      <c r="F851">
        <v>8</v>
      </c>
      <c r="G851" t="s">
        <v>4300</v>
      </c>
    </row>
    <row r="852" spans="1:7">
      <c r="A852" s="10">
        <v>45068</v>
      </c>
      <c r="B852">
        <v>2023</v>
      </c>
      <c r="C852">
        <v>5</v>
      </c>
      <c r="D852" t="s">
        <v>4305</v>
      </c>
      <c r="E852">
        <v>2</v>
      </c>
      <c r="F852">
        <v>22</v>
      </c>
      <c r="G852" t="s">
        <v>4301</v>
      </c>
    </row>
    <row r="853" spans="1:7">
      <c r="A853" s="10">
        <v>45362</v>
      </c>
      <c r="B853">
        <v>2024</v>
      </c>
      <c r="C853">
        <v>3</v>
      </c>
      <c r="D853" t="s">
        <v>4311</v>
      </c>
      <c r="E853">
        <v>1</v>
      </c>
      <c r="F853">
        <v>11</v>
      </c>
      <c r="G853" t="s">
        <v>4301</v>
      </c>
    </row>
    <row r="854" spans="1:7">
      <c r="A854" s="10">
        <v>45416</v>
      </c>
      <c r="B854">
        <v>2024</v>
      </c>
      <c r="C854">
        <v>5</v>
      </c>
      <c r="D854" t="s">
        <v>4305</v>
      </c>
      <c r="E854">
        <v>2</v>
      </c>
      <c r="F854">
        <v>4</v>
      </c>
      <c r="G854" t="s">
        <v>4298</v>
      </c>
    </row>
    <row r="855" spans="1:7">
      <c r="A855" s="10">
        <v>45211</v>
      </c>
      <c r="B855">
        <v>2023</v>
      </c>
      <c r="C855">
        <v>10</v>
      </c>
      <c r="D855" t="s">
        <v>4302</v>
      </c>
      <c r="E855">
        <v>4</v>
      </c>
      <c r="F855">
        <v>12</v>
      </c>
      <c r="G855" t="s">
        <v>4300</v>
      </c>
    </row>
    <row r="856" spans="1:7">
      <c r="A856" s="10">
        <v>45660</v>
      </c>
      <c r="B856">
        <v>2025</v>
      </c>
      <c r="C856">
        <v>1</v>
      </c>
      <c r="D856" t="s">
        <v>4307</v>
      </c>
      <c r="E856">
        <v>1</v>
      </c>
      <c r="F856">
        <v>3</v>
      </c>
      <c r="G856" t="s">
        <v>4306</v>
      </c>
    </row>
    <row r="857" spans="1:7">
      <c r="A857" s="10">
        <v>45979</v>
      </c>
      <c r="B857">
        <v>2025</v>
      </c>
      <c r="C857">
        <v>11</v>
      </c>
      <c r="D857" t="s">
        <v>4315</v>
      </c>
      <c r="E857">
        <v>4</v>
      </c>
      <c r="F857">
        <v>18</v>
      </c>
      <c r="G857" t="s">
        <v>4303</v>
      </c>
    </row>
    <row r="858" spans="1:7">
      <c r="A858" s="10">
        <v>44953</v>
      </c>
      <c r="B858">
        <v>2023</v>
      </c>
      <c r="C858">
        <v>1</v>
      </c>
      <c r="D858" t="s">
        <v>4307</v>
      </c>
      <c r="E858">
        <v>1</v>
      </c>
      <c r="F858">
        <v>27</v>
      </c>
      <c r="G858" t="s">
        <v>4306</v>
      </c>
    </row>
    <row r="859" spans="1:7">
      <c r="A859" s="10">
        <v>45078</v>
      </c>
      <c r="B859">
        <v>2023</v>
      </c>
      <c r="C859">
        <v>6</v>
      </c>
      <c r="D859" t="s">
        <v>4310</v>
      </c>
      <c r="E859">
        <v>2</v>
      </c>
      <c r="F859">
        <v>1</v>
      </c>
      <c r="G859" t="s">
        <v>4300</v>
      </c>
    </row>
    <row r="860" spans="1:7">
      <c r="A860" s="10">
        <v>45775</v>
      </c>
      <c r="B860">
        <v>2025</v>
      </c>
      <c r="C860">
        <v>4</v>
      </c>
      <c r="D860" t="s">
        <v>4314</v>
      </c>
      <c r="E860">
        <v>2</v>
      </c>
      <c r="F860">
        <v>28</v>
      </c>
      <c r="G860" t="s">
        <v>4301</v>
      </c>
    </row>
    <row r="861" spans="1:7">
      <c r="A861" s="10">
        <v>45932</v>
      </c>
      <c r="B861">
        <v>2025</v>
      </c>
      <c r="C861">
        <v>10</v>
      </c>
      <c r="D861" t="s">
        <v>4302</v>
      </c>
      <c r="E861">
        <v>4</v>
      </c>
      <c r="F861">
        <v>2</v>
      </c>
      <c r="G861" t="s">
        <v>4300</v>
      </c>
    </row>
    <row r="862" spans="1:7">
      <c r="A862" s="10">
        <v>45574</v>
      </c>
      <c r="B862">
        <v>2024</v>
      </c>
      <c r="C862">
        <v>10</v>
      </c>
      <c r="D862" t="s">
        <v>4302</v>
      </c>
      <c r="E862">
        <v>4</v>
      </c>
      <c r="F862">
        <v>9</v>
      </c>
      <c r="G862" t="s">
        <v>4308</v>
      </c>
    </row>
    <row r="863" spans="1:7">
      <c r="A863" s="10">
        <v>45711</v>
      </c>
      <c r="B863">
        <v>2025</v>
      </c>
      <c r="C863">
        <v>2</v>
      </c>
      <c r="D863" t="s">
        <v>4312</v>
      </c>
      <c r="E863">
        <v>1</v>
      </c>
      <c r="F863">
        <v>23</v>
      </c>
      <c r="G863" t="s">
        <v>4309</v>
      </c>
    </row>
    <row r="864" spans="1:7">
      <c r="A864" s="10">
        <v>45228</v>
      </c>
      <c r="B864">
        <v>2023</v>
      </c>
      <c r="C864">
        <v>10</v>
      </c>
      <c r="D864" t="s">
        <v>4302</v>
      </c>
      <c r="E864">
        <v>4</v>
      </c>
      <c r="F864">
        <v>29</v>
      </c>
      <c r="G864" t="s">
        <v>4309</v>
      </c>
    </row>
    <row r="865" spans="1:7">
      <c r="A865" s="10">
        <v>45246</v>
      </c>
      <c r="B865">
        <v>2023</v>
      </c>
      <c r="C865">
        <v>11</v>
      </c>
      <c r="D865" t="s">
        <v>4315</v>
      </c>
      <c r="E865">
        <v>4</v>
      </c>
      <c r="F865">
        <v>16</v>
      </c>
      <c r="G865" t="s">
        <v>4300</v>
      </c>
    </row>
    <row r="866" spans="1:7">
      <c r="A866" s="10">
        <v>45186</v>
      </c>
      <c r="B866">
        <v>2023</v>
      </c>
      <c r="C866">
        <v>9</v>
      </c>
      <c r="D866" t="s">
        <v>4304</v>
      </c>
      <c r="E866">
        <v>3</v>
      </c>
      <c r="F866">
        <v>17</v>
      </c>
      <c r="G866" t="s">
        <v>4309</v>
      </c>
    </row>
    <row r="867" spans="1:7">
      <c r="A867" s="10">
        <v>45685</v>
      </c>
      <c r="B867">
        <v>2025</v>
      </c>
      <c r="C867">
        <v>1</v>
      </c>
      <c r="D867" t="s">
        <v>4307</v>
      </c>
      <c r="E867">
        <v>1</v>
      </c>
      <c r="F867">
        <v>28</v>
      </c>
      <c r="G867" t="s">
        <v>4303</v>
      </c>
    </row>
    <row r="868" spans="1:7">
      <c r="A868" s="10">
        <v>45970</v>
      </c>
      <c r="B868">
        <v>2025</v>
      </c>
      <c r="C868">
        <v>11</v>
      </c>
      <c r="D868" t="s">
        <v>4315</v>
      </c>
      <c r="E868">
        <v>4</v>
      </c>
      <c r="F868">
        <v>9</v>
      </c>
      <c r="G868" t="s">
        <v>4309</v>
      </c>
    </row>
    <row r="869" spans="1:7">
      <c r="A869" s="10">
        <v>45577</v>
      </c>
      <c r="B869">
        <v>2024</v>
      </c>
      <c r="C869">
        <v>10</v>
      </c>
      <c r="D869" t="s">
        <v>4302</v>
      </c>
      <c r="E869">
        <v>4</v>
      </c>
      <c r="F869">
        <v>12</v>
      </c>
      <c r="G869" t="s">
        <v>4298</v>
      </c>
    </row>
    <row r="870" spans="1:7">
      <c r="A870" s="10">
        <v>45889</v>
      </c>
      <c r="B870">
        <v>2025</v>
      </c>
      <c r="C870">
        <v>8</v>
      </c>
      <c r="D870" t="s">
        <v>4313</v>
      </c>
      <c r="E870">
        <v>3</v>
      </c>
      <c r="F870">
        <v>20</v>
      </c>
      <c r="G870" t="s">
        <v>4308</v>
      </c>
    </row>
    <row r="871" spans="1:7">
      <c r="A871" s="10">
        <v>45969</v>
      </c>
      <c r="B871">
        <v>2025</v>
      </c>
      <c r="C871">
        <v>11</v>
      </c>
      <c r="D871" t="s">
        <v>4315</v>
      </c>
      <c r="E871">
        <v>4</v>
      </c>
      <c r="F871">
        <v>8</v>
      </c>
      <c r="G871" t="s">
        <v>4298</v>
      </c>
    </row>
    <row r="872" spans="1:7">
      <c r="A872" s="10">
        <v>45381</v>
      </c>
      <c r="B872">
        <v>2024</v>
      </c>
      <c r="C872">
        <v>3</v>
      </c>
      <c r="D872" t="s">
        <v>4311</v>
      </c>
      <c r="E872">
        <v>1</v>
      </c>
      <c r="F872">
        <v>30</v>
      </c>
      <c r="G872" t="s">
        <v>4298</v>
      </c>
    </row>
    <row r="873" spans="1:7">
      <c r="A873" s="10">
        <v>45900</v>
      </c>
      <c r="B873">
        <v>2025</v>
      </c>
      <c r="C873">
        <v>8</v>
      </c>
      <c r="D873" t="s">
        <v>4313</v>
      </c>
      <c r="E873">
        <v>3</v>
      </c>
      <c r="F873">
        <v>31</v>
      </c>
      <c r="G873" t="s">
        <v>4309</v>
      </c>
    </row>
    <row r="874" spans="1:7">
      <c r="A874" s="10">
        <v>45033</v>
      </c>
      <c r="B874">
        <v>2023</v>
      </c>
      <c r="C874">
        <v>4</v>
      </c>
      <c r="D874" t="s">
        <v>4314</v>
      </c>
      <c r="E874">
        <v>2</v>
      </c>
      <c r="F874">
        <v>17</v>
      </c>
      <c r="G874" t="s">
        <v>4301</v>
      </c>
    </row>
    <row r="875" spans="1:7">
      <c r="A875" s="10">
        <v>45471</v>
      </c>
      <c r="B875">
        <v>2024</v>
      </c>
      <c r="C875">
        <v>6</v>
      </c>
      <c r="D875" t="s">
        <v>4310</v>
      </c>
      <c r="E875">
        <v>2</v>
      </c>
      <c r="F875">
        <v>28</v>
      </c>
      <c r="G875" t="s">
        <v>4306</v>
      </c>
    </row>
    <row r="876" spans="1:7">
      <c r="A876" s="10">
        <v>45160</v>
      </c>
      <c r="B876">
        <v>2023</v>
      </c>
      <c r="C876">
        <v>8</v>
      </c>
      <c r="D876" t="s">
        <v>4313</v>
      </c>
      <c r="E876">
        <v>3</v>
      </c>
      <c r="F876">
        <v>22</v>
      </c>
      <c r="G876" t="s">
        <v>4303</v>
      </c>
    </row>
    <row r="877" spans="1:7">
      <c r="A877" s="10">
        <v>45579</v>
      </c>
      <c r="B877">
        <v>2024</v>
      </c>
      <c r="C877">
        <v>10</v>
      </c>
      <c r="D877" t="s">
        <v>4302</v>
      </c>
      <c r="E877">
        <v>4</v>
      </c>
      <c r="F877">
        <v>14</v>
      </c>
      <c r="G877" t="s">
        <v>4301</v>
      </c>
    </row>
    <row r="878" spans="1:7">
      <c r="A878" s="10">
        <v>45761</v>
      </c>
      <c r="B878">
        <v>2025</v>
      </c>
      <c r="C878">
        <v>4</v>
      </c>
      <c r="D878" t="s">
        <v>4314</v>
      </c>
      <c r="E878">
        <v>2</v>
      </c>
      <c r="F878">
        <v>14</v>
      </c>
      <c r="G878" t="s">
        <v>4301</v>
      </c>
    </row>
    <row r="879" spans="1:7">
      <c r="A879" s="10">
        <v>44976</v>
      </c>
      <c r="B879">
        <v>2023</v>
      </c>
      <c r="C879">
        <v>2</v>
      </c>
      <c r="D879" t="s">
        <v>4312</v>
      </c>
      <c r="E879">
        <v>1</v>
      </c>
      <c r="F879">
        <v>19</v>
      </c>
      <c r="G879" t="s">
        <v>4309</v>
      </c>
    </row>
    <row r="880" spans="1:7">
      <c r="A880" s="10">
        <v>45407</v>
      </c>
      <c r="B880">
        <v>2024</v>
      </c>
      <c r="C880">
        <v>4</v>
      </c>
      <c r="D880" t="s">
        <v>4314</v>
      </c>
      <c r="E880">
        <v>2</v>
      </c>
      <c r="F880">
        <v>25</v>
      </c>
      <c r="G880" t="s">
        <v>4300</v>
      </c>
    </row>
    <row r="881" spans="1:7">
      <c r="A881" s="10">
        <v>45423</v>
      </c>
      <c r="B881">
        <v>2024</v>
      </c>
      <c r="C881">
        <v>5</v>
      </c>
      <c r="D881" t="s">
        <v>4305</v>
      </c>
      <c r="E881">
        <v>2</v>
      </c>
      <c r="F881">
        <v>11</v>
      </c>
      <c r="G881" t="s">
        <v>4298</v>
      </c>
    </row>
    <row r="882" spans="1:7">
      <c r="A882" s="10">
        <v>45427</v>
      </c>
      <c r="B882">
        <v>2024</v>
      </c>
      <c r="C882">
        <v>5</v>
      </c>
      <c r="D882" t="s">
        <v>4305</v>
      </c>
      <c r="E882">
        <v>2</v>
      </c>
      <c r="F882">
        <v>15</v>
      </c>
      <c r="G882" t="s">
        <v>4308</v>
      </c>
    </row>
    <row r="883" spans="1:7">
      <c r="A883" s="10">
        <v>45742</v>
      </c>
      <c r="B883">
        <v>2025</v>
      </c>
      <c r="C883">
        <v>3</v>
      </c>
      <c r="D883" t="s">
        <v>4311</v>
      </c>
      <c r="E883">
        <v>1</v>
      </c>
      <c r="F883">
        <v>26</v>
      </c>
      <c r="G883" t="s">
        <v>4308</v>
      </c>
    </row>
    <row r="884" spans="1:7">
      <c r="A884" s="10">
        <v>45592</v>
      </c>
      <c r="B884">
        <v>2024</v>
      </c>
      <c r="C884">
        <v>10</v>
      </c>
      <c r="D884" t="s">
        <v>4302</v>
      </c>
      <c r="E884">
        <v>4</v>
      </c>
      <c r="F884">
        <v>27</v>
      </c>
      <c r="G884" t="s">
        <v>4309</v>
      </c>
    </row>
    <row r="885" spans="1:7">
      <c r="A885" s="10">
        <v>45522</v>
      </c>
      <c r="B885">
        <v>2024</v>
      </c>
      <c r="C885">
        <v>8</v>
      </c>
      <c r="D885" t="s">
        <v>4313</v>
      </c>
      <c r="E885">
        <v>3</v>
      </c>
      <c r="F885">
        <v>18</v>
      </c>
      <c r="G885" t="s">
        <v>4309</v>
      </c>
    </row>
    <row r="886" spans="1:7">
      <c r="A886" s="10">
        <v>45444</v>
      </c>
      <c r="B886">
        <v>2024</v>
      </c>
      <c r="C886">
        <v>6</v>
      </c>
      <c r="D886" t="s">
        <v>4310</v>
      </c>
      <c r="E886">
        <v>2</v>
      </c>
      <c r="F886">
        <v>1</v>
      </c>
      <c r="G886" t="s">
        <v>4298</v>
      </c>
    </row>
    <row r="887" spans="1:7">
      <c r="A887" s="10">
        <v>45258</v>
      </c>
      <c r="B887">
        <v>2023</v>
      </c>
      <c r="C887">
        <v>11</v>
      </c>
      <c r="D887" t="s">
        <v>4315</v>
      </c>
      <c r="E887">
        <v>4</v>
      </c>
      <c r="F887">
        <v>28</v>
      </c>
      <c r="G887" t="s">
        <v>4303</v>
      </c>
    </row>
    <row r="888" spans="1:7">
      <c r="A888" s="10">
        <v>45595</v>
      </c>
      <c r="B888">
        <v>2024</v>
      </c>
      <c r="C888">
        <v>10</v>
      </c>
      <c r="D888" t="s">
        <v>4302</v>
      </c>
      <c r="E888">
        <v>4</v>
      </c>
      <c r="F888">
        <v>30</v>
      </c>
      <c r="G888" t="s">
        <v>4308</v>
      </c>
    </row>
    <row r="889" spans="1:7">
      <c r="A889" s="10">
        <v>45784</v>
      </c>
      <c r="B889">
        <v>2025</v>
      </c>
      <c r="C889">
        <v>5</v>
      </c>
      <c r="D889" t="s">
        <v>4305</v>
      </c>
      <c r="E889">
        <v>2</v>
      </c>
      <c r="F889">
        <v>7</v>
      </c>
      <c r="G889" t="s">
        <v>4308</v>
      </c>
    </row>
    <row r="890" spans="1:7">
      <c r="A890" s="10">
        <v>45967</v>
      </c>
      <c r="B890">
        <v>2025</v>
      </c>
      <c r="C890">
        <v>11</v>
      </c>
      <c r="D890" t="s">
        <v>4315</v>
      </c>
      <c r="E890">
        <v>4</v>
      </c>
      <c r="F890">
        <v>6</v>
      </c>
      <c r="G890" t="s">
        <v>4300</v>
      </c>
    </row>
    <row r="891" spans="1:7">
      <c r="A891" s="10">
        <v>44943</v>
      </c>
      <c r="B891">
        <v>2023</v>
      </c>
      <c r="C891">
        <v>1</v>
      </c>
      <c r="D891" t="s">
        <v>4307</v>
      </c>
      <c r="E891">
        <v>1</v>
      </c>
      <c r="F891">
        <v>17</v>
      </c>
      <c r="G891" t="s">
        <v>4303</v>
      </c>
    </row>
    <row r="892" spans="1:7">
      <c r="A892" s="10">
        <v>45200</v>
      </c>
      <c r="B892">
        <v>2023</v>
      </c>
      <c r="C892">
        <v>10</v>
      </c>
      <c r="D892" t="s">
        <v>4302</v>
      </c>
      <c r="E892">
        <v>4</v>
      </c>
      <c r="F892">
        <v>1</v>
      </c>
      <c r="G892" t="s">
        <v>4309</v>
      </c>
    </row>
    <row r="893" spans="1:7">
      <c r="A893" s="10">
        <v>45268</v>
      </c>
      <c r="B893">
        <v>2023</v>
      </c>
      <c r="C893">
        <v>12</v>
      </c>
      <c r="D893" t="s">
        <v>4299</v>
      </c>
      <c r="E893">
        <v>4</v>
      </c>
      <c r="F893">
        <v>8</v>
      </c>
      <c r="G893" t="s">
        <v>4306</v>
      </c>
    </row>
    <row r="894" spans="1:7">
      <c r="A894" s="10">
        <v>45119</v>
      </c>
      <c r="B894">
        <v>2023</v>
      </c>
      <c r="C894">
        <v>7</v>
      </c>
      <c r="D894" t="s">
        <v>4297</v>
      </c>
      <c r="E894">
        <v>3</v>
      </c>
      <c r="F894">
        <v>12</v>
      </c>
      <c r="G894" t="s">
        <v>4308</v>
      </c>
    </row>
    <row r="895" spans="1:7">
      <c r="A895" s="10">
        <v>45134</v>
      </c>
      <c r="B895">
        <v>2023</v>
      </c>
      <c r="C895">
        <v>7</v>
      </c>
      <c r="D895" t="s">
        <v>4297</v>
      </c>
      <c r="E895">
        <v>3</v>
      </c>
      <c r="F895">
        <v>27</v>
      </c>
      <c r="G895" t="s">
        <v>4300</v>
      </c>
    </row>
    <row r="896" spans="1:7">
      <c r="A896" s="10">
        <v>45219</v>
      </c>
      <c r="B896">
        <v>2023</v>
      </c>
      <c r="C896">
        <v>10</v>
      </c>
      <c r="D896" t="s">
        <v>4302</v>
      </c>
      <c r="E896">
        <v>4</v>
      </c>
      <c r="F896">
        <v>20</v>
      </c>
      <c r="G896" t="s">
        <v>4306</v>
      </c>
    </row>
    <row r="897" spans="1:7">
      <c r="A897" s="10">
        <v>45413</v>
      </c>
      <c r="B897">
        <v>2024</v>
      </c>
      <c r="C897">
        <v>5</v>
      </c>
      <c r="D897" t="s">
        <v>4305</v>
      </c>
      <c r="E897">
        <v>2</v>
      </c>
      <c r="F897">
        <v>1</v>
      </c>
      <c r="G897" t="s">
        <v>4308</v>
      </c>
    </row>
    <row r="898" spans="1:7">
      <c r="A898" s="10">
        <v>45248</v>
      </c>
      <c r="B898">
        <v>2023</v>
      </c>
      <c r="C898">
        <v>11</v>
      </c>
      <c r="D898" t="s">
        <v>4315</v>
      </c>
      <c r="E898">
        <v>4</v>
      </c>
      <c r="F898">
        <v>18</v>
      </c>
      <c r="G898" t="s">
        <v>4298</v>
      </c>
    </row>
    <row r="899" spans="1:7">
      <c r="A899" s="10">
        <v>45431</v>
      </c>
      <c r="B899">
        <v>2024</v>
      </c>
      <c r="C899">
        <v>5</v>
      </c>
      <c r="D899" t="s">
        <v>4305</v>
      </c>
      <c r="E899">
        <v>2</v>
      </c>
      <c r="F899">
        <v>19</v>
      </c>
      <c r="G899" t="s">
        <v>4309</v>
      </c>
    </row>
    <row r="900" spans="1:7">
      <c r="A900" s="10">
        <v>45195</v>
      </c>
      <c r="B900">
        <v>2023</v>
      </c>
      <c r="C900">
        <v>9</v>
      </c>
      <c r="D900" t="s">
        <v>4304</v>
      </c>
      <c r="E900">
        <v>3</v>
      </c>
      <c r="F900">
        <v>26</v>
      </c>
      <c r="G900" t="s">
        <v>4303</v>
      </c>
    </row>
    <row r="901" spans="1:7">
      <c r="A901" s="10">
        <v>45226</v>
      </c>
      <c r="B901">
        <v>2023</v>
      </c>
      <c r="C901">
        <v>10</v>
      </c>
      <c r="D901" t="s">
        <v>4302</v>
      </c>
      <c r="E901">
        <v>4</v>
      </c>
      <c r="F901">
        <v>27</v>
      </c>
      <c r="G901" t="s">
        <v>4306</v>
      </c>
    </row>
    <row r="902" spans="1:7">
      <c r="A902" s="10">
        <v>45330</v>
      </c>
      <c r="B902">
        <v>2024</v>
      </c>
      <c r="C902">
        <v>2</v>
      </c>
      <c r="D902" t="s">
        <v>4312</v>
      </c>
      <c r="E902">
        <v>1</v>
      </c>
      <c r="F902">
        <v>8</v>
      </c>
      <c r="G902" t="s">
        <v>4300</v>
      </c>
    </row>
    <row r="903" spans="1:7">
      <c r="A903" s="10">
        <v>44945</v>
      </c>
      <c r="B903">
        <v>2023</v>
      </c>
      <c r="C903">
        <v>1</v>
      </c>
      <c r="D903" t="s">
        <v>4307</v>
      </c>
      <c r="E903">
        <v>1</v>
      </c>
      <c r="F903">
        <v>19</v>
      </c>
      <c r="G903" t="s">
        <v>4300</v>
      </c>
    </row>
    <row r="904" spans="1:7">
      <c r="A904" s="10">
        <v>45620</v>
      </c>
      <c r="B904">
        <v>2024</v>
      </c>
      <c r="C904">
        <v>11</v>
      </c>
      <c r="D904" t="s">
        <v>4315</v>
      </c>
      <c r="E904">
        <v>4</v>
      </c>
      <c r="F904">
        <v>24</v>
      </c>
      <c r="G904" t="s">
        <v>4309</v>
      </c>
    </row>
    <row r="905" spans="1:7">
      <c r="A905" s="10">
        <v>45128</v>
      </c>
      <c r="B905">
        <v>2023</v>
      </c>
      <c r="C905">
        <v>7</v>
      </c>
      <c r="D905" t="s">
        <v>4297</v>
      </c>
      <c r="E905">
        <v>3</v>
      </c>
      <c r="F905">
        <v>21</v>
      </c>
      <c r="G905" t="s">
        <v>4306</v>
      </c>
    </row>
    <row r="906" spans="1:7">
      <c r="A906" s="10">
        <v>45537</v>
      </c>
      <c r="B906">
        <v>2024</v>
      </c>
      <c r="C906">
        <v>9</v>
      </c>
      <c r="D906" t="s">
        <v>4304</v>
      </c>
      <c r="E906">
        <v>3</v>
      </c>
      <c r="F906">
        <v>2</v>
      </c>
      <c r="G906" t="s">
        <v>4301</v>
      </c>
    </row>
    <row r="907" spans="1:7">
      <c r="A907" s="10">
        <v>45377</v>
      </c>
      <c r="B907">
        <v>2024</v>
      </c>
      <c r="C907">
        <v>3</v>
      </c>
      <c r="D907" t="s">
        <v>4311</v>
      </c>
      <c r="E907">
        <v>1</v>
      </c>
      <c r="F907">
        <v>26</v>
      </c>
      <c r="G907" t="s">
        <v>4303</v>
      </c>
    </row>
    <row r="908" spans="1:7">
      <c r="A908" s="10">
        <v>45189</v>
      </c>
      <c r="B908">
        <v>2023</v>
      </c>
      <c r="C908">
        <v>9</v>
      </c>
      <c r="D908" t="s">
        <v>4304</v>
      </c>
      <c r="E908">
        <v>3</v>
      </c>
      <c r="F908">
        <v>20</v>
      </c>
      <c r="G908" t="s">
        <v>4308</v>
      </c>
    </row>
    <row r="909" spans="1:7">
      <c r="A909" s="10">
        <v>45931</v>
      </c>
      <c r="B909">
        <v>2025</v>
      </c>
      <c r="C909">
        <v>10</v>
      </c>
      <c r="D909" t="s">
        <v>4302</v>
      </c>
      <c r="E909">
        <v>4</v>
      </c>
      <c r="F909">
        <v>1</v>
      </c>
      <c r="G909" t="s">
        <v>4308</v>
      </c>
    </row>
    <row r="910" spans="1:7">
      <c r="A910" s="10">
        <v>45648</v>
      </c>
      <c r="B910">
        <v>2024</v>
      </c>
      <c r="C910">
        <v>12</v>
      </c>
      <c r="D910" t="s">
        <v>4299</v>
      </c>
      <c r="E910">
        <v>4</v>
      </c>
      <c r="F910">
        <v>22</v>
      </c>
      <c r="G910" t="s">
        <v>4309</v>
      </c>
    </row>
    <row r="911" spans="1:7">
      <c r="A911" s="10">
        <v>45325</v>
      </c>
      <c r="B911">
        <v>2024</v>
      </c>
      <c r="C911">
        <v>2</v>
      </c>
      <c r="D911" t="s">
        <v>4312</v>
      </c>
      <c r="E911">
        <v>1</v>
      </c>
      <c r="F911">
        <v>3</v>
      </c>
      <c r="G911" t="s">
        <v>4298</v>
      </c>
    </row>
    <row r="912" spans="1:7">
      <c r="A912" s="10">
        <v>45180</v>
      </c>
      <c r="B912">
        <v>2023</v>
      </c>
      <c r="C912">
        <v>9</v>
      </c>
      <c r="D912" t="s">
        <v>4304</v>
      </c>
      <c r="E912">
        <v>3</v>
      </c>
      <c r="F912">
        <v>11</v>
      </c>
      <c r="G912" t="s">
        <v>4301</v>
      </c>
    </row>
    <row r="913" spans="1:7">
      <c r="A913" s="10">
        <v>45311</v>
      </c>
      <c r="B913">
        <v>2024</v>
      </c>
      <c r="C913">
        <v>1</v>
      </c>
      <c r="D913" t="s">
        <v>4307</v>
      </c>
      <c r="E913">
        <v>1</v>
      </c>
      <c r="F913">
        <v>20</v>
      </c>
      <c r="G913" t="s">
        <v>4298</v>
      </c>
    </row>
    <row r="914" spans="1:7">
      <c r="A914" s="10">
        <v>45804</v>
      </c>
      <c r="B914">
        <v>2025</v>
      </c>
      <c r="C914">
        <v>5</v>
      </c>
      <c r="D914" t="s">
        <v>4305</v>
      </c>
      <c r="E914">
        <v>2</v>
      </c>
      <c r="F914">
        <v>27</v>
      </c>
      <c r="G914" t="s">
        <v>4303</v>
      </c>
    </row>
    <row r="915" spans="1:7">
      <c r="A915" s="10">
        <v>45174</v>
      </c>
      <c r="B915">
        <v>2023</v>
      </c>
      <c r="C915">
        <v>9</v>
      </c>
      <c r="D915" t="s">
        <v>4304</v>
      </c>
      <c r="E915">
        <v>3</v>
      </c>
      <c r="F915">
        <v>5</v>
      </c>
      <c r="G915" t="s">
        <v>4303</v>
      </c>
    </row>
    <row r="916" spans="1:7">
      <c r="A916" s="10">
        <v>45481</v>
      </c>
      <c r="B916">
        <v>2024</v>
      </c>
      <c r="C916">
        <v>7</v>
      </c>
      <c r="D916" t="s">
        <v>4297</v>
      </c>
      <c r="E916">
        <v>3</v>
      </c>
      <c r="F916">
        <v>8</v>
      </c>
      <c r="G916" t="s">
        <v>4301</v>
      </c>
    </row>
    <row r="917" spans="1:7">
      <c r="A917" s="10">
        <v>45060</v>
      </c>
      <c r="B917">
        <v>2023</v>
      </c>
      <c r="C917">
        <v>5</v>
      </c>
      <c r="D917" t="s">
        <v>4305</v>
      </c>
      <c r="E917">
        <v>2</v>
      </c>
      <c r="F917">
        <v>14</v>
      </c>
      <c r="G917" t="s">
        <v>4309</v>
      </c>
    </row>
    <row r="918" spans="1:7">
      <c r="A918" s="10">
        <v>45708</v>
      </c>
      <c r="B918">
        <v>2025</v>
      </c>
      <c r="C918">
        <v>2</v>
      </c>
      <c r="D918" t="s">
        <v>4312</v>
      </c>
      <c r="E918">
        <v>1</v>
      </c>
      <c r="F918">
        <v>20</v>
      </c>
      <c r="G918" t="s">
        <v>4300</v>
      </c>
    </row>
    <row r="919" spans="1:7">
      <c r="A919" s="10">
        <v>45482</v>
      </c>
      <c r="B919">
        <v>2024</v>
      </c>
      <c r="C919">
        <v>7</v>
      </c>
      <c r="D919" t="s">
        <v>4297</v>
      </c>
      <c r="E919">
        <v>3</v>
      </c>
      <c r="F919">
        <v>9</v>
      </c>
      <c r="G919" t="s">
        <v>4303</v>
      </c>
    </row>
    <row r="920" spans="1:7">
      <c r="A920" s="10">
        <v>45345</v>
      </c>
      <c r="B920">
        <v>2024</v>
      </c>
      <c r="C920">
        <v>2</v>
      </c>
      <c r="D920" t="s">
        <v>4312</v>
      </c>
      <c r="E920">
        <v>1</v>
      </c>
      <c r="F920">
        <v>23</v>
      </c>
      <c r="G920" t="s">
        <v>4306</v>
      </c>
    </row>
    <row r="921" spans="1:7">
      <c r="A921" s="10">
        <v>45998</v>
      </c>
      <c r="B921">
        <v>2025</v>
      </c>
      <c r="C921">
        <v>12</v>
      </c>
      <c r="D921" t="s">
        <v>4299</v>
      </c>
      <c r="E921">
        <v>4</v>
      </c>
      <c r="F921">
        <v>7</v>
      </c>
      <c r="G921" t="s">
        <v>4309</v>
      </c>
    </row>
    <row r="922" spans="1:7">
      <c r="A922" s="10">
        <v>45461</v>
      </c>
      <c r="B922">
        <v>2024</v>
      </c>
      <c r="C922">
        <v>6</v>
      </c>
      <c r="D922" t="s">
        <v>4310</v>
      </c>
      <c r="E922">
        <v>2</v>
      </c>
      <c r="F922">
        <v>18</v>
      </c>
      <c r="G922" t="s">
        <v>4303</v>
      </c>
    </row>
    <row r="923" spans="1:7">
      <c r="A923" s="10">
        <v>45351</v>
      </c>
      <c r="B923">
        <v>2024</v>
      </c>
      <c r="C923">
        <v>2</v>
      </c>
      <c r="D923" t="s">
        <v>4312</v>
      </c>
      <c r="E923">
        <v>1</v>
      </c>
      <c r="F923">
        <v>29</v>
      </c>
      <c r="G923" t="s">
        <v>4300</v>
      </c>
    </row>
    <row r="924" spans="1:7">
      <c r="A924" s="10">
        <v>45839</v>
      </c>
      <c r="B924">
        <v>2025</v>
      </c>
      <c r="C924">
        <v>7</v>
      </c>
      <c r="D924" t="s">
        <v>4297</v>
      </c>
      <c r="E924">
        <v>3</v>
      </c>
      <c r="F924">
        <v>1</v>
      </c>
      <c r="G924" t="s">
        <v>4303</v>
      </c>
    </row>
    <row r="925" spans="1:7">
      <c r="A925" s="10">
        <v>45716</v>
      </c>
      <c r="B925">
        <v>2025</v>
      </c>
      <c r="C925">
        <v>2</v>
      </c>
      <c r="D925" t="s">
        <v>4312</v>
      </c>
      <c r="E925">
        <v>1</v>
      </c>
      <c r="F925">
        <v>28</v>
      </c>
      <c r="G925" t="s">
        <v>4306</v>
      </c>
    </row>
    <row r="926" spans="1:7">
      <c r="A926" s="10">
        <v>45899</v>
      </c>
      <c r="B926">
        <v>2025</v>
      </c>
      <c r="C926">
        <v>8</v>
      </c>
      <c r="D926" t="s">
        <v>4313</v>
      </c>
      <c r="E926">
        <v>3</v>
      </c>
      <c r="F926">
        <v>30</v>
      </c>
      <c r="G926" t="s">
        <v>4298</v>
      </c>
    </row>
    <row r="927" spans="1:7">
      <c r="A927" s="10">
        <v>45024</v>
      </c>
      <c r="B927">
        <v>2023</v>
      </c>
      <c r="C927">
        <v>4</v>
      </c>
      <c r="D927" t="s">
        <v>4314</v>
      </c>
      <c r="E927">
        <v>2</v>
      </c>
      <c r="F927">
        <v>8</v>
      </c>
      <c r="G927" t="s">
        <v>4298</v>
      </c>
    </row>
    <row r="928" spans="1:7">
      <c r="A928" s="10">
        <v>45485</v>
      </c>
      <c r="B928">
        <v>2024</v>
      </c>
      <c r="C928">
        <v>7</v>
      </c>
      <c r="D928" t="s">
        <v>4297</v>
      </c>
      <c r="E928">
        <v>3</v>
      </c>
      <c r="F928">
        <v>12</v>
      </c>
      <c r="G928" t="s">
        <v>4306</v>
      </c>
    </row>
    <row r="929" spans="1:7">
      <c r="A929" s="10">
        <v>45082</v>
      </c>
      <c r="B929">
        <v>2023</v>
      </c>
      <c r="C929">
        <v>6</v>
      </c>
      <c r="D929" t="s">
        <v>4310</v>
      </c>
      <c r="E929">
        <v>2</v>
      </c>
      <c r="F929">
        <v>5</v>
      </c>
      <c r="G929" t="s">
        <v>4301</v>
      </c>
    </row>
    <row r="930" spans="1:7">
      <c r="A930" s="10">
        <v>45482</v>
      </c>
      <c r="B930">
        <v>2024</v>
      </c>
      <c r="C930">
        <v>7</v>
      </c>
      <c r="D930" t="s">
        <v>4297</v>
      </c>
      <c r="E930">
        <v>3</v>
      </c>
      <c r="F930">
        <v>9</v>
      </c>
      <c r="G930" t="s">
        <v>4303</v>
      </c>
    </row>
    <row r="931" spans="1:7">
      <c r="A931" s="10">
        <v>45844</v>
      </c>
      <c r="B931">
        <v>2025</v>
      </c>
      <c r="C931">
        <v>7</v>
      </c>
      <c r="D931" t="s">
        <v>4297</v>
      </c>
      <c r="E931">
        <v>3</v>
      </c>
      <c r="F931">
        <v>6</v>
      </c>
      <c r="G931" t="s">
        <v>4309</v>
      </c>
    </row>
    <row r="932" spans="1:7">
      <c r="A932" s="10">
        <v>45694</v>
      </c>
      <c r="B932">
        <v>2025</v>
      </c>
      <c r="C932">
        <v>2</v>
      </c>
      <c r="D932" t="s">
        <v>4312</v>
      </c>
      <c r="E932">
        <v>1</v>
      </c>
      <c r="F932">
        <v>6</v>
      </c>
      <c r="G932" t="s">
        <v>4300</v>
      </c>
    </row>
    <row r="933" spans="1:7">
      <c r="A933" s="10">
        <v>45141</v>
      </c>
      <c r="B933">
        <v>2023</v>
      </c>
      <c r="C933">
        <v>8</v>
      </c>
      <c r="D933" t="s">
        <v>4313</v>
      </c>
      <c r="E933">
        <v>3</v>
      </c>
      <c r="F933">
        <v>3</v>
      </c>
      <c r="G933" t="s">
        <v>4300</v>
      </c>
    </row>
    <row r="934" spans="1:7">
      <c r="A934" s="10">
        <v>45658</v>
      </c>
      <c r="B934">
        <v>2025</v>
      </c>
      <c r="C934">
        <v>1</v>
      </c>
      <c r="D934" t="s">
        <v>4307</v>
      </c>
      <c r="E934">
        <v>1</v>
      </c>
      <c r="F934">
        <v>1</v>
      </c>
      <c r="G934" t="s">
        <v>4308</v>
      </c>
    </row>
    <row r="935" spans="1:7">
      <c r="A935" s="10">
        <v>45270</v>
      </c>
      <c r="B935">
        <v>2023</v>
      </c>
      <c r="C935">
        <v>12</v>
      </c>
      <c r="D935" t="s">
        <v>4299</v>
      </c>
      <c r="E935">
        <v>4</v>
      </c>
      <c r="F935">
        <v>10</v>
      </c>
      <c r="G935" t="s">
        <v>4309</v>
      </c>
    </row>
    <row r="936" spans="1:7">
      <c r="A936" s="10">
        <v>45114</v>
      </c>
      <c r="B936">
        <v>2023</v>
      </c>
      <c r="C936">
        <v>7</v>
      </c>
      <c r="D936" t="s">
        <v>4297</v>
      </c>
      <c r="E936">
        <v>3</v>
      </c>
      <c r="F936">
        <v>7</v>
      </c>
      <c r="G936" t="s">
        <v>4306</v>
      </c>
    </row>
    <row r="937" spans="1:7">
      <c r="A937" s="10">
        <v>45894</v>
      </c>
      <c r="B937">
        <v>2025</v>
      </c>
      <c r="C937">
        <v>8</v>
      </c>
      <c r="D937" t="s">
        <v>4313</v>
      </c>
      <c r="E937">
        <v>3</v>
      </c>
      <c r="F937">
        <v>25</v>
      </c>
      <c r="G937" t="s">
        <v>4301</v>
      </c>
    </row>
    <row r="938" spans="1:7">
      <c r="A938" s="10">
        <v>45567</v>
      </c>
      <c r="B938">
        <v>2024</v>
      </c>
      <c r="C938">
        <v>10</v>
      </c>
      <c r="D938" t="s">
        <v>4302</v>
      </c>
      <c r="E938">
        <v>4</v>
      </c>
      <c r="F938">
        <v>2</v>
      </c>
      <c r="G938" t="s">
        <v>4308</v>
      </c>
    </row>
    <row r="939" spans="1:7">
      <c r="A939" s="10">
        <v>45710</v>
      </c>
      <c r="B939">
        <v>2025</v>
      </c>
      <c r="C939">
        <v>2</v>
      </c>
      <c r="D939" t="s">
        <v>4312</v>
      </c>
      <c r="E939">
        <v>1</v>
      </c>
      <c r="F939">
        <v>22</v>
      </c>
      <c r="G939" t="s">
        <v>4298</v>
      </c>
    </row>
    <row r="940" spans="1:7">
      <c r="A940" s="10">
        <v>45943</v>
      </c>
      <c r="B940">
        <v>2025</v>
      </c>
      <c r="C940">
        <v>10</v>
      </c>
      <c r="D940" t="s">
        <v>4302</v>
      </c>
      <c r="E940">
        <v>4</v>
      </c>
      <c r="F940">
        <v>13</v>
      </c>
      <c r="G940" t="s">
        <v>4301</v>
      </c>
    </row>
    <row r="941" spans="1:7">
      <c r="A941" s="10">
        <v>45223</v>
      </c>
      <c r="B941">
        <v>2023</v>
      </c>
      <c r="C941">
        <v>10</v>
      </c>
      <c r="D941" t="s">
        <v>4302</v>
      </c>
      <c r="E941">
        <v>4</v>
      </c>
      <c r="F941">
        <v>24</v>
      </c>
      <c r="G941" t="s">
        <v>4303</v>
      </c>
    </row>
    <row r="942" spans="1:7">
      <c r="A942" s="10">
        <v>45625</v>
      </c>
      <c r="B942">
        <v>2024</v>
      </c>
      <c r="C942">
        <v>11</v>
      </c>
      <c r="D942" t="s">
        <v>4315</v>
      </c>
      <c r="E942">
        <v>4</v>
      </c>
      <c r="F942">
        <v>29</v>
      </c>
      <c r="G942" t="s">
        <v>4306</v>
      </c>
    </row>
    <row r="943" spans="1:7">
      <c r="A943" s="10">
        <v>45413</v>
      </c>
      <c r="B943">
        <v>2024</v>
      </c>
      <c r="C943">
        <v>5</v>
      </c>
      <c r="D943" t="s">
        <v>4305</v>
      </c>
      <c r="E943">
        <v>2</v>
      </c>
      <c r="F943">
        <v>1</v>
      </c>
      <c r="G943" t="s">
        <v>4308</v>
      </c>
    </row>
    <row r="944" spans="1:7">
      <c r="A944" s="10">
        <v>45452</v>
      </c>
      <c r="B944">
        <v>2024</v>
      </c>
      <c r="C944">
        <v>6</v>
      </c>
      <c r="D944" t="s">
        <v>4310</v>
      </c>
      <c r="E944">
        <v>2</v>
      </c>
      <c r="F944">
        <v>9</v>
      </c>
      <c r="G944" t="s">
        <v>4309</v>
      </c>
    </row>
    <row r="945" spans="1:7">
      <c r="A945" s="10">
        <v>45605</v>
      </c>
      <c r="B945">
        <v>2024</v>
      </c>
      <c r="C945">
        <v>11</v>
      </c>
      <c r="D945" t="s">
        <v>4315</v>
      </c>
      <c r="E945">
        <v>4</v>
      </c>
      <c r="F945">
        <v>9</v>
      </c>
      <c r="G945" t="s">
        <v>4298</v>
      </c>
    </row>
    <row r="946" spans="1:7">
      <c r="A946" s="10">
        <v>45153</v>
      </c>
      <c r="B946">
        <v>2023</v>
      </c>
      <c r="C946">
        <v>8</v>
      </c>
      <c r="D946" t="s">
        <v>4313</v>
      </c>
      <c r="E946">
        <v>3</v>
      </c>
      <c r="F946">
        <v>15</v>
      </c>
      <c r="G946" t="s">
        <v>4303</v>
      </c>
    </row>
    <row r="947" spans="1:7">
      <c r="A947" s="10">
        <v>45089</v>
      </c>
      <c r="B947">
        <v>2023</v>
      </c>
      <c r="C947">
        <v>6</v>
      </c>
      <c r="D947" t="s">
        <v>4310</v>
      </c>
      <c r="E947">
        <v>2</v>
      </c>
      <c r="F947">
        <v>12</v>
      </c>
      <c r="G947" t="s">
        <v>4301</v>
      </c>
    </row>
    <row r="948" spans="1:7">
      <c r="A948" s="10">
        <v>45168</v>
      </c>
      <c r="B948">
        <v>2023</v>
      </c>
      <c r="C948">
        <v>8</v>
      </c>
      <c r="D948" t="s">
        <v>4313</v>
      </c>
      <c r="E948">
        <v>3</v>
      </c>
      <c r="F948">
        <v>30</v>
      </c>
      <c r="G948" t="s">
        <v>4308</v>
      </c>
    </row>
    <row r="949" spans="1:7">
      <c r="A949" s="10">
        <v>45004</v>
      </c>
      <c r="B949">
        <v>2023</v>
      </c>
      <c r="C949">
        <v>3</v>
      </c>
      <c r="D949" t="s">
        <v>4311</v>
      </c>
      <c r="E949">
        <v>1</v>
      </c>
      <c r="F949">
        <v>19</v>
      </c>
      <c r="G949" t="s">
        <v>4309</v>
      </c>
    </row>
    <row r="950" spans="1:7">
      <c r="A950" s="10">
        <v>45482</v>
      </c>
      <c r="B950">
        <v>2024</v>
      </c>
      <c r="C950">
        <v>7</v>
      </c>
      <c r="D950" t="s">
        <v>4297</v>
      </c>
      <c r="E950">
        <v>3</v>
      </c>
      <c r="F950">
        <v>9</v>
      </c>
      <c r="G950" t="s">
        <v>4303</v>
      </c>
    </row>
    <row r="951" spans="1:7">
      <c r="A951" s="10">
        <v>45752</v>
      </c>
      <c r="B951">
        <v>2025</v>
      </c>
      <c r="C951">
        <v>4</v>
      </c>
      <c r="D951" t="s">
        <v>4314</v>
      </c>
      <c r="E951">
        <v>2</v>
      </c>
      <c r="F951">
        <v>5</v>
      </c>
      <c r="G951" t="s">
        <v>4298</v>
      </c>
    </row>
    <row r="952" spans="1:7">
      <c r="A952" s="10">
        <v>44967</v>
      </c>
      <c r="B952">
        <v>2023</v>
      </c>
      <c r="C952">
        <v>2</v>
      </c>
      <c r="D952" t="s">
        <v>4312</v>
      </c>
      <c r="E952">
        <v>1</v>
      </c>
      <c r="F952">
        <v>10</v>
      </c>
      <c r="G952" t="s">
        <v>4306</v>
      </c>
    </row>
    <row r="953" spans="1:7">
      <c r="A953" s="10">
        <v>45916</v>
      </c>
      <c r="B953">
        <v>2025</v>
      </c>
      <c r="C953">
        <v>9</v>
      </c>
      <c r="D953" t="s">
        <v>4304</v>
      </c>
      <c r="E953">
        <v>3</v>
      </c>
      <c r="F953">
        <v>16</v>
      </c>
      <c r="G953" t="s">
        <v>4303</v>
      </c>
    </row>
    <row r="954" spans="1:7">
      <c r="A954" s="10">
        <v>45594</v>
      </c>
      <c r="B954">
        <v>2024</v>
      </c>
      <c r="C954">
        <v>10</v>
      </c>
      <c r="D954" t="s">
        <v>4302</v>
      </c>
      <c r="E954">
        <v>4</v>
      </c>
      <c r="F954">
        <v>29</v>
      </c>
      <c r="G954" t="s">
        <v>4303</v>
      </c>
    </row>
    <row r="955" spans="1:7">
      <c r="A955" s="10">
        <v>45882</v>
      </c>
      <c r="B955">
        <v>2025</v>
      </c>
      <c r="C955">
        <v>8</v>
      </c>
      <c r="D955" t="s">
        <v>4313</v>
      </c>
      <c r="E955">
        <v>3</v>
      </c>
      <c r="F955">
        <v>13</v>
      </c>
      <c r="G955" t="s">
        <v>4308</v>
      </c>
    </row>
    <row r="956" spans="1:7">
      <c r="A956" s="10">
        <v>45926</v>
      </c>
      <c r="B956">
        <v>2025</v>
      </c>
      <c r="C956">
        <v>9</v>
      </c>
      <c r="D956" t="s">
        <v>4304</v>
      </c>
      <c r="E956">
        <v>3</v>
      </c>
      <c r="F956">
        <v>26</v>
      </c>
      <c r="G956" t="s">
        <v>4306</v>
      </c>
    </row>
    <row r="957" spans="1:7">
      <c r="A957" s="10">
        <v>46014</v>
      </c>
      <c r="B957">
        <v>2025</v>
      </c>
      <c r="C957">
        <v>12</v>
      </c>
      <c r="D957" t="s">
        <v>4299</v>
      </c>
      <c r="E957">
        <v>4</v>
      </c>
      <c r="F957">
        <v>23</v>
      </c>
      <c r="G957" t="s">
        <v>4303</v>
      </c>
    </row>
    <row r="958" spans="1:7">
      <c r="A958" s="10">
        <v>45581</v>
      </c>
      <c r="B958">
        <v>2024</v>
      </c>
      <c r="C958">
        <v>10</v>
      </c>
      <c r="D958" t="s">
        <v>4302</v>
      </c>
      <c r="E958">
        <v>4</v>
      </c>
      <c r="F958">
        <v>16</v>
      </c>
      <c r="G958" t="s">
        <v>4308</v>
      </c>
    </row>
    <row r="959" spans="1:7">
      <c r="A959" s="10">
        <v>45812</v>
      </c>
      <c r="B959">
        <v>2025</v>
      </c>
      <c r="C959">
        <v>6</v>
      </c>
      <c r="D959" t="s">
        <v>4310</v>
      </c>
      <c r="E959">
        <v>2</v>
      </c>
      <c r="F959">
        <v>4</v>
      </c>
      <c r="G959" t="s">
        <v>4308</v>
      </c>
    </row>
    <row r="960" spans="1:7">
      <c r="A960" s="10">
        <v>45189</v>
      </c>
      <c r="B960">
        <v>2023</v>
      </c>
      <c r="C960">
        <v>9</v>
      </c>
      <c r="D960" t="s">
        <v>4304</v>
      </c>
      <c r="E960">
        <v>3</v>
      </c>
      <c r="F960">
        <v>20</v>
      </c>
      <c r="G960" t="s">
        <v>4308</v>
      </c>
    </row>
    <row r="961" spans="1:7">
      <c r="A961" s="10">
        <v>45055</v>
      </c>
      <c r="B961">
        <v>2023</v>
      </c>
      <c r="C961">
        <v>5</v>
      </c>
      <c r="D961" t="s">
        <v>4305</v>
      </c>
      <c r="E961">
        <v>2</v>
      </c>
      <c r="F961">
        <v>9</v>
      </c>
      <c r="G961" t="s">
        <v>4303</v>
      </c>
    </row>
    <row r="962" spans="1:7">
      <c r="A962" s="10">
        <v>45998</v>
      </c>
      <c r="B962">
        <v>2025</v>
      </c>
      <c r="C962">
        <v>12</v>
      </c>
      <c r="D962" t="s">
        <v>4299</v>
      </c>
      <c r="E962">
        <v>4</v>
      </c>
      <c r="F962">
        <v>7</v>
      </c>
      <c r="G962" t="s">
        <v>4309</v>
      </c>
    </row>
    <row r="963" spans="1:7">
      <c r="A963" s="10">
        <v>45485</v>
      </c>
      <c r="B963">
        <v>2024</v>
      </c>
      <c r="C963">
        <v>7</v>
      </c>
      <c r="D963" t="s">
        <v>4297</v>
      </c>
      <c r="E963">
        <v>3</v>
      </c>
      <c r="F963">
        <v>12</v>
      </c>
      <c r="G963" t="s">
        <v>4306</v>
      </c>
    </row>
    <row r="964" spans="1:7">
      <c r="A964" s="10">
        <v>45805</v>
      </c>
      <c r="B964">
        <v>2025</v>
      </c>
      <c r="C964">
        <v>5</v>
      </c>
      <c r="D964" t="s">
        <v>4305</v>
      </c>
      <c r="E964">
        <v>2</v>
      </c>
      <c r="F964">
        <v>28</v>
      </c>
      <c r="G964" t="s">
        <v>4308</v>
      </c>
    </row>
    <row r="965" spans="1:7">
      <c r="A965" s="10">
        <v>45915</v>
      </c>
      <c r="B965">
        <v>2025</v>
      </c>
      <c r="C965">
        <v>9</v>
      </c>
      <c r="D965" t="s">
        <v>4304</v>
      </c>
      <c r="E965">
        <v>3</v>
      </c>
      <c r="F965">
        <v>15</v>
      </c>
      <c r="G965" t="s">
        <v>4301</v>
      </c>
    </row>
    <row r="966" spans="1:7">
      <c r="A966" s="10">
        <v>45137</v>
      </c>
      <c r="B966">
        <v>2023</v>
      </c>
      <c r="C966">
        <v>7</v>
      </c>
      <c r="D966" t="s">
        <v>4297</v>
      </c>
      <c r="E966">
        <v>3</v>
      </c>
      <c r="F966">
        <v>30</v>
      </c>
      <c r="G966" t="s">
        <v>4309</v>
      </c>
    </row>
    <row r="967" spans="1:7">
      <c r="A967" s="10">
        <v>45923</v>
      </c>
      <c r="B967">
        <v>2025</v>
      </c>
      <c r="C967">
        <v>9</v>
      </c>
      <c r="D967" t="s">
        <v>4304</v>
      </c>
      <c r="E967">
        <v>3</v>
      </c>
      <c r="F967">
        <v>23</v>
      </c>
      <c r="G967" t="s">
        <v>4303</v>
      </c>
    </row>
    <row r="968" spans="1:7">
      <c r="A968" s="10">
        <v>45749</v>
      </c>
      <c r="B968">
        <v>2025</v>
      </c>
      <c r="C968">
        <v>4</v>
      </c>
      <c r="D968" t="s">
        <v>4314</v>
      </c>
      <c r="E968">
        <v>2</v>
      </c>
      <c r="F968">
        <v>2</v>
      </c>
      <c r="G968" t="s">
        <v>4308</v>
      </c>
    </row>
    <row r="969" spans="1:7">
      <c r="A969" s="10">
        <v>45564</v>
      </c>
      <c r="B969">
        <v>2024</v>
      </c>
      <c r="C969">
        <v>9</v>
      </c>
      <c r="D969" t="s">
        <v>4304</v>
      </c>
      <c r="E969">
        <v>3</v>
      </c>
      <c r="F969">
        <v>29</v>
      </c>
      <c r="G969" t="s">
        <v>4309</v>
      </c>
    </row>
    <row r="970" spans="1:7">
      <c r="A970" s="10">
        <v>45922</v>
      </c>
      <c r="B970">
        <v>2025</v>
      </c>
      <c r="C970">
        <v>9</v>
      </c>
      <c r="D970" t="s">
        <v>4304</v>
      </c>
      <c r="E970">
        <v>3</v>
      </c>
      <c r="F970">
        <v>22</v>
      </c>
      <c r="G970" t="s">
        <v>4301</v>
      </c>
    </row>
    <row r="971" spans="1:7">
      <c r="A971" s="10">
        <v>45051</v>
      </c>
      <c r="B971">
        <v>2023</v>
      </c>
      <c r="C971">
        <v>5</v>
      </c>
      <c r="D971" t="s">
        <v>4305</v>
      </c>
      <c r="E971">
        <v>2</v>
      </c>
      <c r="F971">
        <v>5</v>
      </c>
      <c r="G971" t="s">
        <v>4306</v>
      </c>
    </row>
    <row r="972" spans="1:7">
      <c r="A972" s="10">
        <v>45502</v>
      </c>
      <c r="B972">
        <v>2024</v>
      </c>
      <c r="C972">
        <v>7</v>
      </c>
      <c r="D972" t="s">
        <v>4297</v>
      </c>
      <c r="E972">
        <v>3</v>
      </c>
      <c r="F972">
        <v>29</v>
      </c>
      <c r="G972" t="s">
        <v>4301</v>
      </c>
    </row>
    <row r="973" spans="1:7">
      <c r="A973" s="10">
        <v>45895</v>
      </c>
      <c r="B973">
        <v>2025</v>
      </c>
      <c r="C973">
        <v>8</v>
      </c>
      <c r="D973" t="s">
        <v>4313</v>
      </c>
      <c r="E973">
        <v>3</v>
      </c>
      <c r="F973">
        <v>26</v>
      </c>
      <c r="G973" t="s">
        <v>4303</v>
      </c>
    </row>
    <row r="974" spans="1:7">
      <c r="A974" s="10">
        <v>45299</v>
      </c>
      <c r="B974">
        <v>2024</v>
      </c>
      <c r="C974">
        <v>1</v>
      </c>
      <c r="D974" t="s">
        <v>4307</v>
      </c>
      <c r="E974">
        <v>1</v>
      </c>
      <c r="F974">
        <v>8</v>
      </c>
      <c r="G974" t="s">
        <v>4301</v>
      </c>
    </row>
    <row r="975" spans="1:7">
      <c r="A975" s="10">
        <v>45415</v>
      </c>
      <c r="B975">
        <v>2024</v>
      </c>
      <c r="C975">
        <v>5</v>
      </c>
      <c r="D975" t="s">
        <v>4305</v>
      </c>
      <c r="E975">
        <v>2</v>
      </c>
      <c r="F975">
        <v>3</v>
      </c>
      <c r="G975" t="s">
        <v>4306</v>
      </c>
    </row>
    <row r="976" spans="1:7">
      <c r="A976" s="10">
        <v>44931</v>
      </c>
      <c r="B976">
        <v>2023</v>
      </c>
      <c r="C976">
        <v>1</v>
      </c>
      <c r="D976" t="s">
        <v>4307</v>
      </c>
      <c r="E976">
        <v>1</v>
      </c>
      <c r="F976">
        <v>5</v>
      </c>
      <c r="G976" t="s">
        <v>4300</v>
      </c>
    </row>
    <row r="977" spans="1:7">
      <c r="A977" s="10">
        <v>45992</v>
      </c>
      <c r="B977">
        <v>2025</v>
      </c>
      <c r="C977">
        <v>12</v>
      </c>
      <c r="D977" t="s">
        <v>4299</v>
      </c>
      <c r="E977">
        <v>4</v>
      </c>
      <c r="F977">
        <v>1</v>
      </c>
      <c r="G977" t="s">
        <v>4301</v>
      </c>
    </row>
    <row r="978" spans="1:7">
      <c r="A978" s="10">
        <v>45177</v>
      </c>
      <c r="B978">
        <v>2023</v>
      </c>
      <c r="C978">
        <v>9</v>
      </c>
      <c r="D978" t="s">
        <v>4304</v>
      </c>
      <c r="E978">
        <v>3</v>
      </c>
      <c r="F978">
        <v>8</v>
      </c>
      <c r="G978" t="s">
        <v>4306</v>
      </c>
    </row>
    <row r="979" spans="1:7">
      <c r="A979" s="10">
        <v>45158</v>
      </c>
      <c r="B979">
        <v>2023</v>
      </c>
      <c r="C979">
        <v>8</v>
      </c>
      <c r="D979" t="s">
        <v>4313</v>
      </c>
      <c r="E979">
        <v>3</v>
      </c>
      <c r="F979">
        <v>20</v>
      </c>
      <c r="G979" t="s">
        <v>4309</v>
      </c>
    </row>
    <row r="980" spans="1:7">
      <c r="A980" s="10">
        <v>45483</v>
      </c>
      <c r="B980">
        <v>2024</v>
      </c>
      <c r="C980">
        <v>7</v>
      </c>
      <c r="D980" t="s">
        <v>4297</v>
      </c>
      <c r="E980">
        <v>3</v>
      </c>
      <c r="F980">
        <v>10</v>
      </c>
      <c r="G980" t="s">
        <v>4308</v>
      </c>
    </row>
    <row r="981" spans="1:7">
      <c r="A981" s="10">
        <v>44954</v>
      </c>
      <c r="B981">
        <v>2023</v>
      </c>
      <c r="C981">
        <v>1</v>
      </c>
      <c r="D981" t="s">
        <v>4307</v>
      </c>
      <c r="E981">
        <v>1</v>
      </c>
      <c r="F981">
        <v>28</v>
      </c>
      <c r="G981" t="s">
        <v>4298</v>
      </c>
    </row>
    <row r="982" spans="1:7">
      <c r="A982" s="10">
        <v>45145</v>
      </c>
      <c r="B982">
        <v>2023</v>
      </c>
      <c r="C982">
        <v>8</v>
      </c>
      <c r="D982" t="s">
        <v>4313</v>
      </c>
      <c r="E982">
        <v>3</v>
      </c>
      <c r="F982">
        <v>7</v>
      </c>
      <c r="G982" t="s">
        <v>4301</v>
      </c>
    </row>
    <row r="983" spans="1:7">
      <c r="A983" s="10">
        <v>45688</v>
      </c>
      <c r="B983">
        <v>2025</v>
      </c>
      <c r="C983">
        <v>1</v>
      </c>
      <c r="D983" t="s">
        <v>4307</v>
      </c>
      <c r="E983">
        <v>1</v>
      </c>
      <c r="F983">
        <v>31</v>
      </c>
      <c r="G983" t="s">
        <v>4306</v>
      </c>
    </row>
    <row r="984" spans="1:7">
      <c r="A984" s="10">
        <v>45070</v>
      </c>
      <c r="B984">
        <v>2023</v>
      </c>
      <c r="C984">
        <v>5</v>
      </c>
      <c r="D984" t="s">
        <v>4305</v>
      </c>
      <c r="E984">
        <v>2</v>
      </c>
      <c r="F984">
        <v>24</v>
      </c>
      <c r="G984" t="s">
        <v>4308</v>
      </c>
    </row>
    <row r="985" spans="1:7">
      <c r="A985" s="10">
        <v>45556</v>
      </c>
      <c r="B985">
        <v>2024</v>
      </c>
      <c r="C985">
        <v>9</v>
      </c>
      <c r="D985" t="s">
        <v>4304</v>
      </c>
      <c r="E985">
        <v>3</v>
      </c>
      <c r="F985">
        <v>21</v>
      </c>
      <c r="G985" t="s">
        <v>4298</v>
      </c>
    </row>
    <row r="986" spans="1:7">
      <c r="A986" s="10">
        <v>45516</v>
      </c>
      <c r="B986">
        <v>2024</v>
      </c>
      <c r="C986">
        <v>8</v>
      </c>
      <c r="D986" t="s">
        <v>4313</v>
      </c>
      <c r="E986">
        <v>3</v>
      </c>
      <c r="F986">
        <v>12</v>
      </c>
      <c r="G986" t="s">
        <v>4301</v>
      </c>
    </row>
    <row r="987" spans="1:7">
      <c r="A987" s="10">
        <v>45563</v>
      </c>
      <c r="B987">
        <v>2024</v>
      </c>
      <c r="C987">
        <v>9</v>
      </c>
      <c r="D987" t="s">
        <v>4304</v>
      </c>
      <c r="E987">
        <v>3</v>
      </c>
      <c r="F987">
        <v>28</v>
      </c>
      <c r="G987" t="s">
        <v>4298</v>
      </c>
    </row>
    <row r="988" spans="1:7">
      <c r="A988" s="10">
        <v>45912</v>
      </c>
      <c r="B988">
        <v>2025</v>
      </c>
      <c r="C988">
        <v>9</v>
      </c>
      <c r="D988" t="s">
        <v>4304</v>
      </c>
      <c r="E988">
        <v>3</v>
      </c>
      <c r="F988">
        <v>12</v>
      </c>
      <c r="G988" t="s">
        <v>4306</v>
      </c>
    </row>
    <row r="989" spans="1:7">
      <c r="A989" s="10">
        <v>45543</v>
      </c>
      <c r="B989">
        <v>2024</v>
      </c>
      <c r="C989">
        <v>9</v>
      </c>
      <c r="D989" t="s">
        <v>4304</v>
      </c>
      <c r="E989">
        <v>3</v>
      </c>
      <c r="F989">
        <v>8</v>
      </c>
      <c r="G989" t="s">
        <v>4309</v>
      </c>
    </row>
    <row r="990" spans="1:7">
      <c r="A990" s="10">
        <v>45494</v>
      </c>
      <c r="B990">
        <v>2024</v>
      </c>
      <c r="C990">
        <v>7</v>
      </c>
      <c r="D990" t="s">
        <v>4297</v>
      </c>
      <c r="E990">
        <v>3</v>
      </c>
      <c r="F990">
        <v>21</v>
      </c>
      <c r="G990" t="s">
        <v>4309</v>
      </c>
    </row>
    <row r="991" spans="1:7">
      <c r="A991" s="10">
        <v>45901</v>
      </c>
      <c r="B991">
        <v>2025</v>
      </c>
      <c r="C991">
        <v>9</v>
      </c>
      <c r="D991" t="s">
        <v>4304</v>
      </c>
      <c r="E991">
        <v>3</v>
      </c>
      <c r="F991">
        <v>1</v>
      </c>
      <c r="G991" t="s">
        <v>4301</v>
      </c>
    </row>
    <row r="992" spans="1:7">
      <c r="A992" s="10">
        <v>45034</v>
      </c>
      <c r="B992">
        <v>2023</v>
      </c>
      <c r="C992">
        <v>4</v>
      </c>
      <c r="D992" t="s">
        <v>4314</v>
      </c>
      <c r="E992">
        <v>2</v>
      </c>
      <c r="F992">
        <v>18</v>
      </c>
      <c r="G992" t="s">
        <v>4303</v>
      </c>
    </row>
    <row r="993" spans="1:7">
      <c r="A993" s="10">
        <v>45384</v>
      </c>
      <c r="B993">
        <v>2024</v>
      </c>
      <c r="C993">
        <v>4</v>
      </c>
      <c r="D993" t="s">
        <v>4314</v>
      </c>
      <c r="E993">
        <v>2</v>
      </c>
      <c r="F993">
        <v>2</v>
      </c>
      <c r="G993" t="s">
        <v>4303</v>
      </c>
    </row>
    <row r="994" spans="1:7">
      <c r="A994" s="10">
        <v>45673</v>
      </c>
      <c r="B994">
        <v>2025</v>
      </c>
      <c r="C994">
        <v>1</v>
      </c>
      <c r="D994" t="s">
        <v>4307</v>
      </c>
      <c r="E994">
        <v>1</v>
      </c>
      <c r="F994">
        <v>16</v>
      </c>
      <c r="G994" t="s">
        <v>4300</v>
      </c>
    </row>
    <row r="995" spans="1:7">
      <c r="A995" s="10">
        <v>45088</v>
      </c>
      <c r="B995">
        <v>2023</v>
      </c>
      <c r="C995">
        <v>6</v>
      </c>
      <c r="D995" t="s">
        <v>4310</v>
      </c>
      <c r="E995">
        <v>2</v>
      </c>
      <c r="F995">
        <v>11</v>
      </c>
      <c r="G995" t="s">
        <v>4309</v>
      </c>
    </row>
    <row r="996" spans="1:7">
      <c r="A996" s="10">
        <v>45650</v>
      </c>
      <c r="B996">
        <v>2024</v>
      </c>
      <c r="C996">
        <v>12</v>
      </c>
      <c r="D996" t="s">
        <v>4299</v>
      </c>
      <c r="E996">
        <v>4</v>
      </c>
      <c r="F996">
        <v>24</v>
      </c>
      <c r="G996" t="s">
        <v>4303</v>
      </c>
    </row>
    <row r="997" spans="1:7">
      <c r="A997" s="10">
        <v>45935</v>
      </c>
      <c r="B997">
        <v>2025</v>
      </c>
      <c r="C997">
        <v>10</v>
      </c>
      <c r="D997" t="s">
        <v>4302</v>
      </c>
      <c r="E997">
        <v>4</v>
      </c>
      <c r="F997">
        <v>5</v>
      </c>
      <c r="G997" t="s">
        <v>4309</v>
      </c>
    </row>
    <row r="998" spans="1:7">
      <c r="A998" s="10">
        <v>45847</v>
      </c>
      <c r="B998">
        <v>2025</v>
      </c>
      <c r="C998">
        <v>7</v>
      </c>
      <c r="D998" t="s">
        <v>4297</v>
      </c>
      <c r="E998">
        <v>3</v>
      </c>
      <c r="F998">
        <v>9</v>
      </c>
      <c r="G998" t="s">
        <v>4308</v>
      </c>
    </row>
    <row r="999" spans="1:7">
      <c r="A999" s="10">
        <v>45605</v>
      </c>
      <c r="B999">
        <v>2024</v>
      </c>
      <c r="C999">
        <v>11</v>
      </c>
      <c r="D999" t="s">
        <v>4315</v>
      </c>
      <c r="E999">
        <v>4</v>
      </c>
      <c r="F999">
        <v>9</v>
      </c>
      <c r="G999" t="s">
        <v>4298</v>
      </c>
    </row>
    <row r="1000" spans="1:7">
      <c r="A1000" s="10">
        <v>45045</v>
      </c>
      <c r="B1000">
        <v>2023</v>
      </c>
      <c r="C1000">
        <v>4</v>
      </c>
      <c r="D1000" t="s">
        <v>4314</v>
      </c>
      <c r="E1000">
        <v>2</v>
      </c>
      <c r="F1000">
        <v>29</v>
      </c>
      <c r="G1000" t="s">
        <v>4298</v>
      </c>
    </row>
    <row r="1001" spans="1:7">
      <c r="A1001" s="10">
        <v>45249</v>
      </c>
      <c r="B1001">
        <v>2023</v>
      </c>
      <c r="C1001">
        <v>11</v>
      </c>
      <c r="D1001" t="s">
        <v>4315</v>
      </c>
      <c r="E1001">
        <v>4</v>
      </c>
      <c r="F1001">
        <v>19</v>
      </c>
      <c r="G1001" t="s">
        <v>4309</v>
      </c>
    </row>
    <row r="1002" spans="1:7">
      <c r="A1002" s="10">
        <v>45003</v>
      </c>
      <c r="B1002">
        <v>2023</v>
      </c>
      <c r="C1002">
        <v>3</v>
      </c>
      <c r="D1002" t="s">
        <v>4311</v>
      </c>
      <c r="E1002">
        <v>1</v>
      </c>
      <c r="F1002">
        <v>18</v>
      </c>
      <c r="G1002" t="s">
        <v>4298</v>
      </c>
    </row>
    <row r="1003" spans="1:7">
      <c r="A1003" s="10">
        <v>45187</v>
      </c>
      <c r="B1003">
        <v>2023</v>
      </c>
      <c r="C1003">
        <v>9</v>
      </c>
      <c r="D1003" t="s">
        <v>4304</v>
      </c>
      <c r="E1003">
        <v>3</v>
      </c>
      <c r="F1003">
        <v>18</v>
      </c>
      <c r="G1003" t="s">
        <v>4301</v>
      </c>
    </row>
    <row r="1004" spans="1:7">
      <c r="A1004" s="10">
        <v>45731</v>
      </c>
      <c r="B1004">
        <v>2025</v>
      </c>
      <c r="C1004">
        <v>3</v>
      </c>
      <c r="D1004" t="s">
        <v>4311</v>
      </c>
      <c r="E1004">
        <v>1</v>
      </c>
      <c r="F1004">
        <v>15</v>
      </c>
      <c r="G1004" t="s">
        <v>4298</v>
      </c>
    </row>
    <row r="1005" spans="1:7">
      <c r="A1005" s="10">
        <v>45953</v>
      </c>
      <c r="B1005">
        <v>2025</v>
      </c>
      <c r="C1005">
        <v>10</v>
      </c>
      <c r="D1005" t="s">
        <v>4302</v>
      </c>
      <c r="E1005">
        <v>4</v>
      </c>
      <c r="F1005">
        <v>23</v>
      </c>
      <c r="G1005" t="s">
        <v>4300</v>
      </c>
    </row>
    <row r="1006" spans="1:7">
      <c r="A1006" s="10">
        <v>45102</v>
      </c>
      <c r="B1006">
        <v>2023</v>
      </c>
      <c r="C1006">
        <v>6</v>
      </c>
      <c r="D1006" t="s">
        <v>4310</v>
      </c>
      <c r="E1006">
        <v>2</v>
      </c>
      <c r="F1006">
        <v>25</v>
      </c>
      <c r="G1006" t="s">
        <v>4309</v>
      </c>
    </row>
    <row r="1007" spans="1:7">
      <c r="A1007" s="10">
        <v>45183</v>
      </c>
      <c r="B1007">
        <v>2023</v>
      </c>
      <c r="C1007">
        <v>9</v>
      </c>
      <c r="D1007" t="s">
        <v>4304</v>
      </c>
      <c r="E1007">
        <v>3</v>
      </c>
      <c r="F1007">
        <v>14</v>
      </c>
      <c r="G1007" t="s">
        <v>4300</v>
      </c>
    </row>
    <row r="1008" spans="1:7">
      <c r="A1008" s="10">
        <v>45386</v>
      </c>
      <c r="B1008">
        <v>2024</v>
      </c>
      <c r="C1008">
        <v>4</v>
      </c>
      <c r="D1008" t="s">
        <v>4314</v>
      </c>
      <c r="E1008">
        <v>2</v>
      </c>
      <c r="F1008">
        <v>4</v>
      </c>
      <c r="G1008" t="s">
        <v>4300</v>
      </c>
    </row>
    <row r="1009" spans="1:7">
      <c r="A1009" s="10">
        <v>45052</v>
      </c>
      <c r="B1009">
        <v>2023</v>
      </c>
      <c r="C1009">
        <v>5</v>
      </c>
      <c r="D1009" t="s">
        <v>4305</v>
      </c>
      <c r="E1009">
        <v>2</v>
      </c>
      <c r="F1009">
        <v>6</v>
      </c>
      <c r="G1009" t="s">
        <v>4298</v>
      </c>
    </row>
    <row r="1010" spans="1:7">
      <c r="A1010" s="10">
        <v>45561</v>
      </c>
      <c r="B1010">
        <v>2024</v>
      </c>
      <c r="C1010">
        <v>9</v>
      </c>
      <c r="D1010" t="s">
        <v>4304</v>
      </c>
      <c r="E1010">
        <v>3</v>
      </c>
      <c r="F1010">
        <v>26</v>
      </c>
      <c r="G1010" t="s">
        <v>4300</v>
      </c>
    </row>
    <row r="1011" spans="1:7">
      <c r="A1011" s="10">
        <v>45760</v>
      </c>
      <c r="B1011">
        <v>2025</v>
      </c>
      <c r="C1011">
        <v>4</v>
      </c>
      <c r="D1011" t="s">
        <v>4314</v>
      </c>
      <c r="E1011">
        <v>2</v>
      </c>
      <c r="F1011">
        <v>13</v>
      </c>
      <c r="G1011" t="s">
        <v>4309</v>
      </c>
    </row>
    <row r="1012" spans="1:7">
      <c r="A1012" s="10">
        <v>45370</v>
      </c>
      <c r="B1012">
        <v>2024</v>
      </c>
      <c r="C1012">
        <v>3</v>
      </c>
      <c r="D1012" t="s">
        <v>4311</v>
      </c>
      <c r="E1012">
        <v>1</v>
      </c>
      <c r="F1012">
        <v>19</v>
      </c>
      <c r="G1012" t="s">
        <v>4303</v>
      </c>
    </row>
    <row r="1013" spans="1:7">
      <c r="A1013" s="10">
        <v>45913</v>
      </c>
      <c r="B1013">
        <v>2025</v>
      </c>
      <c r="C1013">
        <v>9</v>
      </c>
      <c r="D1013" t="s">
        <v>4304</v>
      </c>
      <c r="E1013">
        <v>3</v>
      </c>
      <c r="F1013">
        <v>13</v>
      </c>
      <c r="G1013" t="s">
        <v>4298</v>
      </c>
    </row>
    <row r="1014" spans="1:7">
      <c r="A1014" s="10">
        <v>45844</v>
      </c>
      <c r="B1014">
        <v>2025</v>
      </c>
      <c r="C1014">
        <v>7</v>
      </c>
      <c r="D1014" t="s">
        <v>4297</v>
      </c>
      <c r="E1014">
        <v>3</v>
      </c>
      <c r="F1014">
        <v>6</v>
      </c>
      <c r="G1014" t="s">
        <v>4309</v>
      </c>
    </row>
    <row r="1015" spans="1:7">
      <c r="A1015" s="10">
        <v>45091</v>
      </c>
      <c r="B1015">
        <v>2023</v>
      </c>
      <c r="C1015">
        <v>6</v>
      </c>
      <c r="D1015" t="s">
        <v>4310</v>
      </c>
      <c r="E1015">
        <v>2</v>
      </c>
      <c r="F1015">
        <v>14</v>
      </c>
      <c r="G1015" t="s">
        <v>4308</v>
      </c>
    </row>
    <row r="1016" spans="1:7">
      <c r="A1016" s="10">
        <v>45756</v>
      </c>
      <c r="B1016">
        <v>2025</v>
      </c>
      <c r="C1016">
        <v>4</v>
      </c>
      <c r="D1016" t="s">
        <v>4314</v>
      </c>
      <c r="E1016">
        <v>2</v>
      </c>
      <c r="F1016">
        <v>9</v>
      </c>
      <c r="G1016" t="s">
        <v>4308</v>
      </c>
    </row>
    <row r="1017" spans="1:7">
      <c r="A1017" s="10">
        <v>45911</v>
      </c>
      <c r="B1017">
        <v>2025</v>
      </c>
      <c r="C1017">
        <v>9</v>
      </c>
      <c r="D1017" t="s">
        <v>4304</v>
      </c>
      <c r="E1017">
        <v>3</v>
      </c>
      <c r="F1017">
        <v>11</v>
      </c>
      <c r="G1017" t="s">
        <v>4300</v>
      </c>
    </row>
    <row r="1018" spans="1:7">
      <c r="A1018" s="10">
        <v>45294</v>
      </c>
      <c r="B1018">
        <v>2024</v>
      </c>
      <c r="C1018">
        <v>1</v>
      </c>
      <c r="D1018" t="s">
        <v>4307</v>
      </c>
      <c r="E1018">
        <v>1</v>
      </c>
      <c r="F1018">
        <v>3</v>
      </c>
      <c r="G1018" t="s">
        <v>4308</v>
      </c>
    </row>
    <row r="1019" spans="1:7">
      <c r="A1019" s="10">
        <v>45164</v>
      </c>
      <c r="B1019">
        <v>2023</v>
      </c>
      <c r="C1019">
        <v>8</v>
      </c>
      <c r="D1019" t="s">
        <v>4313</v>
      </c>
      <c r="E1019">
        <v>3</v>
      </c>
      <c r="F1019">
        <v>26</v>
      </c>
      <c r="G1019" t="s">
        <v>4298</v>
      </c>
    </row>
    <row r="1020" spans="1:7">
      <c r="A1020" s="10">
        <v>45127</v>
      </c>
      <c r="B1020">
        <v>2023</v>
      </c>
      <c r="C1020">
        <v>7</v>
      </c>
      <c r="D1020" t="s">
        <v>4297</v>
      </c>
      <c r="E1020">
        <v>3</v>
      </c>
      <c r="F1020">
        <v>20</v>
      </c>
      <c r="G1020" t="s">
        <v>4300</v>
      </c>
    </row>
    <row r="1021" spans="1:7">
      <c r="A1021" s="10">
        <v>45662</v>
      </c>
      <c r="B1021">
        <v>2025</v>
      </c>
      <c r="C1021">
        <v>1</v>
      </c>
      <c r="D1021" t="s">
        <v>4307</v>
      </c>
      <c r="E1021">
        <v>1</v>
      </c>
      <c r="F1021">
        <v>5</v>
      </c>
      <c r="G1021" t="s">
        <v>4309</v>
      </c>
    </row>
    <row r="1022" spans="1:7">
      <c r="A1022" s="10">
        <v>45674</v>
      </c>
      <c r="B1022">
        <v>2025</v>
      </c>
      <c r="C1022">
        <v>1</v>
      </c>
      <c r="D1022" t="s">
        <v>4307</v>
      </c>
      <c r="E1022">
        <v>1</v>
      </c>
      <c r="F1022">
        <v>17</v>
      </c>
      <c r="G1022" t="s">
        <v>4306</v>
      </c>
    </row>
    <row r="1023" spans="1:7">
      <c r="A1023" s="10">
        <v>45278</v>
      </c>
      <c r="B1023">
        <v>2023</v>
      </c>
      <c r="C1023">
        <v>12</v>
      </c>
      <c r="D1023" t="s">
        <v>4299</v>
      </c>
      <c r="E1023">
        <v>4</v>
      </c>
      <c r="F1023">
        <v>18</v>
      </c>
      <c r="G1023" t="s">
        <v>4301</v>
      </c>
    </row>
    <row r="1024" spans="1:7">
      <c r="A1024" s="10">
        <v>45597</v>
      </c>
      <c r="B1024">
        <v>2024</v>
      </c>
      <c r="C1024">
        <v>11</v>
      </c>
      <c r="D1024" t="s">
        <v>4315</v>
      </c>
      <c r="E1024">
        <v>4</v>
      </c>
      <c r="F1024">
        <v>1</v>
      </c>
      <c r="G1024" t="s">
        <v>4306</v>
      </c>
    </row>
    <row r="1025" spans="1:7">
      <c r="A1025" s="10">
        <v>45483</v>
      </c>
      <c r="B1025">
        <v>2024</v>
      </c>
      <c r="C1025">
        <v>7</v>
      </c>
      <c r="D1025" t="s">
        <v>4297</v>
      </c>
      <c r="E1025">
        <v>3</v>
      </c>
      <c r="F1025">
        <v>10</v>
      </c>
      <c r="G1025" t="s">
        <v>4308</v>
      </c>
    </row>
    <row r="1026" spans="1:7">
      <c r="A1026" s="10">
        <v>45444</v>
      </c>
      <c r="B1026">
        <v>2024</v>
      </c>
      <c r="C1026">
        <v>6</v>
      </c>
      <c r="D1026" t="s">
        <v>4310</v>
      </c>
      <c r="E1026">
        <v>2</v>
      </c>
      <c r="F1026">
        <v>1</v>
      </c>
      <c r="G1026" t="s">
        <v>4298</v>
      </c>
    </row>
    <row r="1027" spans="1:7">
      <c r="A1027" s="10">
        <v>45577</v>
      </c>
      <c r="B1027">
        <v>2024</v>
      </c>
      <c r="C1027">
        <v>10</v>
      </c>
      <c r="D1027" t="s">
        <v>4302</v>
      </c>
      <c r="E1027">
        <v>4</v>
      </c>
      <c r="F1027">
        <v>12</v>
      </c>
      <c r="G1027" t="s">
        <v>4298</v>
      </c>
    </row>
    <row r="1028" spans="1:7">
      <c r="A1028" s="10">
        <v>45553</v>
      </c>
      <c r="B1028">
        <v>2024</v>
      </c>
      <c r="C1028">
        <v>9</v>
      </c>
      <c r="D1028" t="s">
        <v>4304</v>
      </c>
      <c r="E1028">
        <v>3</v>
      </c>
      <c r="F1028">
        <v>18</v>
      </c>
      <c r="G1028" t="s">
        <v>4308</v>
      </c>
    </row>
    <row r="1029" spans="1:7">
      <c r="A1029" s="10">
        <v>46019</v>
      </c>
      <c r="B1029">
        <v>2025</v>
      </c>
      <c r="C1029">
        <v>12</v>
      </c>
      <c r="D1029" t="s">
        <v>4299</v>
      </c>
      <c r="E1029">
        <v>4</v>
      </c>
      <c r="F1029">
        <v>28</v>
      </c>
      <c r="G1029" t="s">
        <v>4309</v>
      </c>
    </row>
    <row r="1030" spans="1:7">
      <c r="A1030" s="10">
        <v>45107</v>
      </c>
      <c r="B1030">
        <v>2023</v>
      </c>
      <c r="C1030">
        <v>6</v>
      </c>
      <c r="D1030" t="s">
        <v>4310</v>
      </c>
      <c r="E1030">
        <v>2</v>
      </c>
      <c r="F1030">
        <v>30</v>
      </c>
      <c r="G1030" t="s">
        <v>4306</v>
      </c>
    </row>
    <row r="1031" spans="1:7">
      <c r="A1031" s="10">
        <v>45482</v>
      </c>
      <c r="B1031">
        <v>2024</v>
      </c>
      <c r="C1031">
        <v>7</v>
      </c>
      <c r="D1031" t="s">
        <v>4297</v>
      </c>
      <c r="E1031">
        <v>3</v>
      </c>
      <c r="F1031">
        <v>9</v>
      </c>
      <c r="G1031" t="s">
        <v>4303</v>
      </c>
    </row>
    <row r="1032" spans="1:7">
      <c r="A1032" s="10">
        <v>45599</v>
      </c>
      <c r="B1032">
        <v>2024</v>
      </c>
      <c r="C1032">
        <v>11</v>
      </c>
      <c r="D1032" t="s">
        <v>4315</v>
      </c>
      <c r="E1032">
        <v>4</v>
      </c>
      <c r="F1032">
        <v>3</v>
      </c>
      <c r="G1032" t="s">
        <v>4309</v>
      </c>
    </row>
    <row r="1033" spans="1:7">
      <c r="A1033" s="10">
        <v>45509</v>
      </c>
      <c r="B1033">
        <v>2024</v>
      </c>
      <c r="C1033">
        <v>8</v>
      </c>
      <c r="D1033" t="s">
        <v>4313</v>
      </c>
      <c r="E1033">
        <v>3</v>
      </c>
      <c r="F1033">
        <v>5</v>
      </c>
      <c r="G1033" t="s">
        <v>4301</v>
      </c>
    </row>
    <row r="1034" spans="1:7">
      <c r="A1034" s="10">
        <v>45423</v>
      </c>
      <c r="B1034">
        <v>2024</v>
      </c>
      <c r="C1034">
        <v>5</v>
      </c>
      <c r="D1034" t="s">
        <v>4305</v>
      </c>
      <c r="E1034">
        <v>2</v>
      </c>
      <c r="F1034">
        <v>11</v>
      </c>
      <c r="G1034" t="s">
        <v>4298</v>
      </c>
    </row>
    <row r="1035" spans="1:7">
      <c r="A1035" s="10">
        <v>45322</v>
      </c>
      <c r="B1035">
        <v>2024</v>
      </c>
      <c r="C1035">
        <v>1</v>
      </c>
      <c r="D1035" t="s">
        <v>4307</v>
      </c>
      <c r="E1035">
        <v>1</v>
      </c>
      <c r="F1035">
        <v>31</v>
      </c>
      <c r="G1035" t="s">
        <v>4308</v>
      </c>
    </row>
    <row r="1036" spans="1:7">
      <c r="A1036" s="10">
        <v>45731</v>
      </c>
      <c r="B1036">
        <v>2025</v>
      </c>
      <c r="C1036">
        <v>3</v>
      </c>
      <c r="D1036" t="s">
        <v>4311</v>
      </c>
      <c r="E1036">
        <v>1</v>
      </c>
      <c r="F1036">
        <v>15</v>
      </c>
      <c r="G1036" t="s">
        <v>4298</v>
      </c>
    </row>
    <row r="1037" spans="1:7">
      <c r="A1037" s="10">
        <v>45010</v>
      </c>
      <c r="B1037">
        <v>2023</v>
      </c>
      <c r="C1037">
        <v>3</v>
      </c>
      <c r="D1037" t="s">
        <v>4311</v>
      </c>
      <c r="E1037">
        <v>1</v>
      </c>
      <c r="F1037">
        <v>25</v>
      </c>
      <c r="G1037" t="s">
        <v>4298</v>
      </c>
    </row>
    <row r="1038" spans="1:7">
      <c r="A1038" s="10">
        <v>45756</v>
      </c>
      <c r="B1038">
        <v>2025</v>
      </c>
      <c r="C1038">
        <v>4</v>
      </c>
      <c r="D1038" t="s">
        <v>4314</v>
      </c>
      <c r="E1038">
        <v>2</v>
      </c>
      <c r="F1038">
        <v>9</v>
      </c>
      <c r="G1038" t="s">
        <v>4308</v>
      </c>
    </row>
    <row r="1039" spans="1:7">
      <c r="A1039" s="10">
        <v>45565</v>
      </c>
      <c r="B1039">
        <v>2024</v>
      </c>
      <c r="C1039">
        <v>9</v>
      </c>
      <c r="D1039" t="s">
        <v>4304</v>
      </c>
      <c r="E1039">
        <v>3</v>
      </c>
      <c r="F1039">
        <v>30</v>
      </c>
      <c r="G1039" t="s">
        <v>4301</v>
      </c>
    </row>
    <row r="1040" spans="1:7">
      <c r="A1040" s="10">
        <v>45617</v>
      </c>
      <c r="B1040">
        <v>2024</v>
      </c>
      <c r="C1040">
        <v>11</v>
      </c>
      <c r="D1040" t="s">
        <v>4315</v>
      </c>
      <c r="E1040">
        <v>4</v>
      </c>
      <c r="F1040">
        <v>21</v>
      </c>
      <c r="G1040" t="s">
        <v>4300</v>
      </c>
    </row>
    <row r="1041" spans="1:7">
      <c r="A1041" s="10">
        <v>45400</v>
      </c>
      <c r="B1041">
        <v>2024</v>
      </c>
      <c r="C1041">
        <v>4</v>
      </c>
      <c r="D1041" t="s">
        <v>4314</v>
      </c>
      <c r="E1041">
        <v>2</v>
      </c>
      <c r="F1041">
        <v>18</v>
      </c>
      <c r="G1041" t="s">
        <v>4300</v>
      </c>
    </row>
    <row r="1042" spans="1:7">
      <c r="A1042" s="10">
        <v>45838</v>
      </c>
      <c r="B1042">
        <v>2025</v>
      </c>
      <c r="C1042">
        <v>6</v>
      </c>
      <c r="D1042" t="s">
        <v>4310</v>
      </c>
      <c r="E1042">
        <v>2</v>
      </c>
      <c r="F1042">
        <v>30</v>
      </c>
      <c r="G1042" t="s">
        <v>4301</v>
      </c>
    </row>
    <row r="1043" spans="1:7">
      <c r="A1043" s="10">
        <v>45470</v>
      </c>
      <c r="B1043">
        <v>2024</v>
      </c>
      <c r="C1043">
        <v>6</v>
      </c>
      <c r="D1043" t="s">
        <v>4310</v>
      </c>
      <c r="E1043">
        <v>2</v>
      </c>
      <c r="F1043">
        <v>27</v>
      </c>
      <c r="G1043" t="s">
        <v>4300</v>
      </c>
    </row>
    <row r="1044" spans="1:7">
      <c r="A1044" s="10">
        <v>45482</v>
      </c>
      <c r="B1044">
        <v>2024</v>
      </c>
      <c r="C1044">
        <v>7</v>
      </c>
      <c r="D1044" t="s">
        <v>4297</v>
      </c>
      <c r="E1044">
        <v>3</v>
      </c>
      <c r="F1044">
        <v>9</v>
      </c>
      <c r="G1044" t="s">
        <v>4303</v>
      </c>
    </row>
    <row r="1045" spans="1:7">
      <c r="A1045" s="10">
        <v>45749</v>
      </c>
      <c r="B1045">
        <v>2025</v>
      </c>
      <c r="C1045">
        <v>4</v>
      </c>
      <c r="D1045" t="s">
        <v>4314</v>
      </c>
      <c r="E1045">
        <v>2</v>
      </c>
      <c r="F1045">
        <v>2</v>
      </c>
      <c r="G1045" t="s">
        <v>4308</v>
      </c>
    </row>
    <row r="1046" spans="1:7">
      <c r="A1046" s="10">
        <v>45169</v>
      </c>
      <c r="B1046">
        <v>2023</v>
      </c>
      <c r="C1046">
        <v>8</v>
      </c>
      <c r="D1046" t="s">
        <v>4313</v>
      </c>
      <c r="E1046">
        <v>3</v>
      </c>
      <c r="F1046">
        <v>31</v>
      </c>
      <c r="G1046" t="s">
        <v>4300</v>
      </c>
    </row>
    <row r="1047" spans="1:7">
      <c r="A1047" s="10">
        <v>45064</v>
      </c>
      <c r="B1047">
        <v>2023</v>
      </c>
      <c r="C1047">
        <v>5</v>
      </c>
      <c r="D1047" t="s">
        <v>4305</v>
      </c>
      <c r="E1047">
        <v>2</v>
      </c>
      <c r="F1047">
        <v>18</v>
      </c>
      <c r="G1047" t="s">
        <v>4300</v>
      </c>
    </row>
    <row r="1048" spans="1:7">
      <c r="A1048" s="10">
        <v>45890</v>
      </c>
      <c r="B1048">
        <v>2025</v>
      </c>
      <c r="C1048">
        <v>8</v>
      </c>
      <c r="D1048" t="s">
        <v>4313</v>
      </c>
      <c r="E1048">
        <v>3</v>
      </c>
      <c r="F1048">
        <v>21</v>
      </c>
      <c r="G1048" t="s">
        <v>4300</v>
      </c>
    </row>
    <row r="1049" spans="1:7">
      <c r="A1049" s="10">
        <v>45873</v>
      </c>
      <c r="B1049">
        <v>2025</v>
      </c>
      <c r="C1049">
        <v>8</v>
      </c>
      <c r="D1049" t="s">
        <v>4313</v>
      </c>
      <c r="E1049">
        <v>3</v>
      </c>
      <c r="F1049">
        <v>4</v>
      </c>
      <c r="G1049" t="s">
        <v>4301</v>
      </c>
    </row>
    <row r="1050" spans="1:7">
      <c r="A1050" s="10">
        <v>45630</v>
      </c>
      <c r="B1050">
        <v>2024</v>
      </c>
      <c r="C1050">
        <v>12</v>
      </c>
      <c r="D1050" t="s">
        <v>4299</v>
      </c>
      <c r="E1050">
        <v>4</v>
      </c>
      <c r="F1050">
        <v>4</v>
      </c>
      <c r="G1050" t="s">
        <v>4308</v>
      </c>
    </row>
    <row r="1051" spans="1:7">
      <c r="A1051" s="10">
        <v>45821</v>
      </c>
      <c r="B1051">
        <v>2025</v>
      </c>
      <c r="C1051">
        <v>6</v>
      </c>
      <c r="D1051" t="s">
        <v>4310</v>
      </c>
      <c r="E1051">
        <v>2</v>
      </c>
      <c r="F1051">
        <v>13</v>
      </c>
      <c r="G1051" t="s">
        <v>4306</v>
      </c>
    </row>
    <row r="1052" spans="1:7">
      <c r="A1052" s="10">
        <v>45168</v>
      </c>
      <c r="B1052">
        <v>2023</v>
      </c>
      <c r="C1052">
        <v>8</v>
      </c>
      <c r="D1052" t="s">
        <v>4313</v>
      </c>
      <c r="E1052">
        <v>3</v>
      </c>
      <c r="F1052">
        <v>30</v>
      </c>
      <c r="G1052" t="s">
        <v>4308</v>
      </c>
    </row>
    <row r="1053" spans="1:7">
      <c r="A1053" s="10">
        <v>45135</v>
      </c>
      <c r="B1053">
        <v>2023</v>
      </c>
      <c r="C1053">
        <v>7</v>
      </c>
      <c r="D1053" t="s">
        <v>4297</v>
      </c>
      <c r="E1053">
        <v>3</v>
      </c>
      <c r="F1053">
        <v>28</v>
      </c>
      <c r="G1053" t="s">
        <v>4306</v>
      </c>
    </row>
    <row r="1054" spans="1:7">
      <c r="A1054" s="10">
        <v>45615</v>
      </c>
      <c r="B1054">
        <v>2024</v>
      </c>
      <c r="C1054">
        <v>11</v>
      </c>
      <c r="D1054" t="s">
        <v>4315</v>
      </c>
      <c r="E1054">
        <v>4</v>
      </c>
      <c r="F1054">
        <v>19</v>
      </c>
      <c r="G1054" t="s">
        <v>4303</v>
      </c>
    </row>
    <row r="1055" spans="1:7">
      <c r="A1055" s="10">
        <v>45363</v>
      </c>
      <c r="B1055">
        <v>2024</v>
      </c>
      <c r="C1055">
        <v>3</v>
      </c>
      <c r="D1055" t="s">
        <v>4311</v>
      </c>
      <c r="E1055">
        <v>1</v>
      </c>
      <c r="F1055">
        <v>12</v>
      </c>
      <c r="G1055" t="s">
        <v>4303</v>
      </c>
    </row>
    <row r="1056" spans="1:7">
      <c r="A1056" s="10">
        <v>45765</v>
      </c>
      <c r="B1056">
        <v>2025</v>
      </c>
      <c r="C1056">
        <v>4</v>
      </c>
      <c r="D1056" t="s">
        <v>4314</v>
      </c>
      <c r="E1056">
        <v>2</v>
      </c>
      <c r="F1056">
        <v>18</v>
      </c>
      <c r="G1056" t="s">
        <v>4306</v>
      </c>
    </row>
    <row r="1057" spans="1:7">
      <c r="A1057" s="10">
        <v>45934</v>
      </c>
      <c r="B1057">
        <v>2025</v>
      </c>
      <c r="C1057">
        <v>10</v>
      </c>
      <c r="D1057" t="s">
        <v>4302</v>
      </c>
      <c r="E1057">
        <v>4</v>
      </c>
      <c r="F1057">
        <v>4</v>
      </c>
      <c r="G1057" t="s">
        <v>4298</v>
      </c>
    </row>
    <row r="1058" spans="1:7">
      <c r="A1058" s="10">
        <v>45978</v>
      </c>
      <c r="B1058">
        <v>2025</v>
      </c>
      <c r="C1058">
        <v>11</v>
      </c>
      <c r="D1058" t="s">
        <v>4315</v>
      </c>
      <c r="E1058">
        <v>4</v>
      </c>
      <c r="F1058">
        <v>17</v>
      </c>
      <c r="G1058" t="s">
        <v>4301</v>
      </c>
    </row>
    <row r="1059" spans="1:7">
      <c r="A1059" s="10">
        <v>45954</v>
      </c>
      <c r="B1059">
        <v>2025</v>
      </c>
      <c r="C1059">
        <v>10</v>
      </c>
      <c r="D1059" t="s">
        <v>4302</v>
      </c>
      <c r="E1059">
        <v>4</v>
      </c>
      <c r="F1059">
        <v>24</v>
      </c>
      <c r="G1059" t="s">
        <v>4306</v>
      </c>
    </row>
    <row r="1060" spans="1:7">
      <c r="A1060" s="10">
        <v>45724</v>
      </c>
      <c r="B1060">
        <v>2025</v>
      </c>
      <c r="C1060">
        <v>3</v>
      </c>
      <c r="D1060" t="s">
        <v>4311</v>
      </c>
      <c r="E1060">
        <v>1</v>
      </c>
      <c r="F1060">
        <v>8</v>
      </c>
      <c r="G1060" t="s">
        <v>4298</v>
      </c>
    </row>
    <row r="1061" spans="1:7">
      <c r="A1061" s="10">
        <v>45797</v>
      </c>
      <c r="B1061">
        <v>2025</v>
      </c>
      <c r="C1061">
        <v>5</v>
      </c>
      <c r="D1061" t="s">
        <v>4305</v>
      </c>
      <c r="E1061">
        <v>2</v>
      </c>
      <c r="F1061">
        <v>20</v>
      </c>
      <c r="G1061" t="s">
        <v>4303</v>
      </c>
    </row>
    <row r="1062" spans="1:7">
      <c r="A1062" s="10">
        <v>45239</v>
      </c>
      <c r="B1062">
        <v>2023</v>
      </c>
      <c r="C1062">
        <v>11</v>
      </c>
      <c r="D1062" t="s">
        <v>4315</v>
      </c>
      <c r="E1062">
        <v>4</v>
      </c>
      <c r="F1062">
        <v>9</v>
      </c>
      <c r="G1062" t="s">
        <v>4300</v>
      </c>
    </row>
    <row r="1063" spans="1:7">
      <c r="A1063" s="10">
        <v>45981</v>
      </c>
      <c r="B1063">
        <v>2025</v>
      </c>
      <c r="C1063">
        <v>11</v>
      </c>
      <c r="D1063" t="s">
        <v>4315</v>
      </c>
      <c r="E1063">
        <v>4</v>
      </c>
      <c r="F1063">
        <v>20</v>
      </c>
      <c r="G1063" t="s">
        <v>4300</v>
      </c>
    </row>
    <row r="1064" spans="1:7">
      <c r="A1064" s="10">
        <v>44992</v>
      </c>
      <c r="B1064">
        <v>2023</v>
      </c>
      <c r="C1064">
        <v>3</v>
      </c>
      <c r="D1064" t="s">
        <v>4311</v>
      </c>
      <c r="E1064">
        <v>1</v>
      </c>
      <c r="F1064">
        <v>7</v>
      </c>
      <c r="G1064" t="s">
        <v>4303</v>
      </c>
    </row>
    <row r="1065" spans="1:7">
      <c r="A1065" s="10">
        <v>44961</v>
      </c>
      <c r="B1065">
        <v>2023</v>
      </c>
      <c r="C1065">
        <v>2</v>
      </c>
      <c r="D1065" t="s">
        <v>4312</v>
      </c>
      <c r="E1065">
        <v>1</v>
      </c>
      <c r="F1065">
        <v>4</v>
      </c>
      <c r="G1065" t="s">
        <v>4298</v>
      </c>
    </row>
    <row r="1066" spans="1:7">
      <c r="A1066" s="10">
        <v>45686</v>
      </c>
      <c r="B1066">
        <v>2025</v>
      </c>
      <c r="C1066">
        <v>1</v>
      </c>
      <c r="D1066" t="s">
        <v>4307</v>
      </c>
      <c r="E1066">
        <v>1</v>
      </c>
      <c r="F1066">
        <v>29</v>
      </c>
      <c r="G1066" t="s">
        <v>4308</v>
      </c>
    </row>
    <row r="1067" spans="1:7">
      <c r="A1067" s="10">
        <v>45568</v>
      </c>
      <c r="B1067">
        <v>2024</v>
      </c>
      <c r="C1067">
        <v>10</v>
      </c>
      <c r="D1067" t="s">
        <v>4302</v>
      </c>
      <c r="E1067">
        <v>4</v>
      </c>
      <c r="F1067">
        <v>3</v>
      </c>
      <c r="G1067" t="s">
        <v>4300</v>
      </c>
    </row>
    <row r="1068" spans="1:7">
      <c r="A1068" s="10">
        <v>45114</v>
      </c>
      <c r="B1068">
        <v>2023</v>
      </c>
      <c r="C1068">
        <v>7</v>
      </c>
      <c r="D1068" t="s">
        <v>4297</v>
      </c>
      <c r="E1068">
        <v>3</v>
      </c>
      <c r="F1068">
        <v>7</v>
      </c>
      <c r="G1068" t="s">
        <v>4306</v>
      </c>
    </row>
    <row r="1069" spans="1:7">
      <c r="A1069" s="10">
        <v>45411</v>
      </c>
      <c r="B1069">
        <v>2024</v>
      </c>
      <c r="C1069">
        <v>4</v>
      </c>
      <c r="D1069" t="s">
        <v>4314</v>
      </c>
      <c r="E1069">
        <v>2</v>
      </c>
      <c r="F1069">
        <v>29</v>
      </c>
      <c r="G1069" t="s">
        <v>4301</v>
      </c>
    </row>
    <row r="1070" spans="1:7">
      <c r="A1070" s="10">
        <v>45521</v>
      </c>
      <c r="B1070">
        <v>2024</v>
      </c>
      <c r="C1070">
        <v>8</v>
      </c>
      <c r="D1070" t="s">
        <v>4313</v>
      </c>
      <c r="E1070">
        <v>3</v>
      </c>
      <c r="F1070">
        <v>17</v>
      </c>
      <c r="G1070" t="s">
        <v>4298</v>
      </c>
    </row>
    <row r="1071" spans="1:7">
      <c r="A1071" s="10">
        <v>45000</v>
      </c>
      <c r="B1071">
        <v>2023</v>
      </c>
      <c r="C1071">
        <v>3</v>
      </c>
      <c r="D1071" t="s">
        <v>4311</v>
      </c>
      <c r="E1071">
        <v>1</v>
      </c>
      <c r="F1071">
        <v>15</v>
      </c>
      <c r="G1071" t="s">
        <v>4308</v>
      </c>
    </row>
    <row r="1072" spans="1:7">
      <c r="A1072" s="10">
        <v>45115</v>
      </c>
      <c r="B1072">
        <v>2023</v>
      </c>
      <c r="C1072">
        <v>7</v>
      </c>
      <c r="D1072" t="s">
        <v>4297</v>
      </c>
      <c r="E1072">
        <v>3</v>
      </c>
      <c r="F1072">
        <v>8</v>
      </c>
      <c r="G1072" t="s">
        <v>4298</v>
      </c>
    </row>
    <row r="1073" spans="1:7">
      <c r="A1073" s="10">
        <v>45867</v>
      </c>
      <c r="B1073">
        <v>2025</v>
      </c>
      <c r="C1073">
        <v>7</v>
      </c>
      <c r="D1073" t="s">
        <v>4297</v>
      </c>
      <c r="E1073">
        <v>3</v>
      </c>
      <c r="F1073">
        <v>29</v>
      </c>
      <c r="G1073" t="s">
        <v>4303</v>
      </c>
    </row>
    <row r="1074" spans="1:7">
      <c r="A1074" s="10">
        <v>44954</v>
      </c>
      <c r="B1074">
        <v>2023</v>
      </c>
      <c r="C1074">
        <v>1</v>
      </c>
      <c r="D1074" t="s">
        <v>4307</v>
      </c>
      <c r="E1074">
        <v>1</v>
      </c>
      <c r="F1074">
        <v>28</v>
      </c>
      <c r="G1074" t="s">
        <v>4298</v>
      </c>
    </row>
    <row r="1075" spans="1:7">
      <c r="A1075" s="10">
        <v>45368</v>
      </c>
      <c r="B1075">
        <v>2024</v>
      </c>
      <c r="C1075">
        <v>3</v>
      </c>
      <c r="D1075" t="s">
        <v>4311</v>
      </c>
      <c r="E1075">
        <v>1</v>
      </c>
      <c r="F1075">
        <v>17</v>
      </c>
      <c r="G1075" t="s">
        <v>4309</v>
      </c>
    </row>
    <row r="1076" spans="1:7">
      <c r="A1076" s="10">
        <v>45488</v>
      </c>
      <c r="B1076">
        <v>2024</v>
      </c>
      <c r="C1076">
        <v>7</v>
      </c>
      <c r="D1076" t="s">
        <v>4297</v>
      </c>
      <c r="E1076">
        <v>3</v>
      </c>
      <c r="F1076">
        <v>15</v>
      </c>
      <c r="G1076" t="s">
        <v>4301</v>
      </c>
    </row>
    <row r="1077" spans="1:7">
      <c r="A1077" s="10">
        <v>45409</v>
      </c>
      <c r="B1077">
        <v>2024</v>
      </c>
      <c r="C1077">
        <v>4</v>
      </c>
      <c r="D1077" t="s">
        <v>4314</v>
      </c>
      <c r="E1077">
        <v>2</v>
      </c>
      <c r="F1077">
        <v>27</v>
      </c>
      <c r="G1077" t="s">
        <v>4298</v>
      </c>
    </row>
    <row r="1078" spans="1:7">
      <c r="A1078" s="10">
        <v>45138</v>
      </c>
      <c r="B1078">
        <v>2023</v>
      </c>
      <c r="C1078">
        <v>7</v>
      </c>
      <c r="D1078" t="s">
        <v>4297</v>
      </c>
      <c r="E1078">
        <v>3</v>
      </c>
      <c r="F1078">
        <v>31</v>
      </c>
      <c r="G1078" t="s">
        <v>4301</v>
      </c>
    </row>
    <row r="1079" spans="1:7">
      <c r="A1079" s="10">
        <v>45479</v>
      </c>
      <c r="B1079">
        <v>2024</v>
      </c>
      <c r="C1079">
        <v>7</v>
      </c>
      <c r="D1079" t="s">
        <v>4297</v>
      </c>
      <c r="E1079">
        <v>3</v>
      </c>
      <c r="F1079">
        <v>6</v>
      </c>
      <c r="G1079" t="s">
        <v>4298</v>
      </c>
    </row>
    <row r="1080" spans="1:7">
      <c r="A1080" s="10">
        <v>45482</v>
      </c>
      <c r="B1080">
        <v>2024</v>
      </c>
      <c r="C1080">
        <v>7</v>
      </c>
      <c r="D1080" t="s">
        <v>4297</v>
      </c>
      <c r="E1080">
        <v>3</v>
      </c>
      <c r="F1080">
        <v>9</v>
      </c>
      <c r="G1080" t="s">
        <v>4303</v>
      </c>
    </row>
    <row r="1081" spans="1:7">
      <c r="A1081" s="10">
        <v>45101</v>
      </c>
      <c r="B1081">
        <v>2023</v>
      </c>
      <c r="C1081">
        <v>6</v>
      </c>
      <c r="D1081" t="s">
        <v>4310</v>
      </c>
      <c r="E1081">
        <v>2</v>
      </c>
      <c r="F1081">
        <v>24</v>
      </c>
      <c r="G1081" t="s">
        <v>4298</v>
      </c>
    </row>
    <row r="1082" spans="1:7">
      <c r="A1082" s="10">
        <v>45654</v>
      </c>
      <c r="B1082">
        <v>2024</v>
      </c>
      <c r="C1082">
        <v>12</v>
      </c>
      <c r="D1082" t="s">
        <v>4299</v>
      </c>
      <c r="E1082">
        <v>4</v>
      </c>
      <c r="F1082">
        <v>28</v>
      </c>
      <c r="G1082" t="s">
        <v>4298</v>
      </c>
    </row>
    <row r="1083" spans="1:7">
      <c r="A1083" s="10">
        <v>45871</v>
      </c>
      <c r="B1083">
        <v>2025</v>
      </c>
      <c r="C1083">
        <v>8</v>
      </c>
      <c r="D1083" t="s">
        <v>4313</v>
      </c>
      <c r="E1083">
        <v>3</v>
      </c>
      <c r="F1083">
        <v>2</v>
      </c>
      <c r="G1083" t="s">
        <v>4298</v>
      </c>
    </row>
    <row r="1084" spans="1:7">
      <c r="A1084" s="10">
        <v>45618</v>
      </c>
      <c r="B1084">
        <v>2024</v>
      </c>
      <c r="C1084">
        <v>11</v>
      </c>
      <c r="D1084" t="s">
        <v>4315</v>
      </c>
      <c r="E1084">
        <v>4</v>
      </c>
      <c r="F1084">
        <v>22</v>
      </c>
      <c r="G1084" t="s">
        <v>4306</v>
      </c>
    </row>
    <row r="1085" spans="1:7">
      <c r="A1085" s="10">
        <v>45934</v>
      </c>
      <c r="B1085">
        <v>2025</v>
      </c>
      <c r="C1085">
        <v>10</v>
      </c>
      <c r="D1085" t="s">
        <v>4302</v>
      </c>
      <c r="E1085">
        <v>4</v>
      </c>
      <c r="F1085">
        <v>4</v>
      </c>
      <c r="G1085" t="s">
        <v>4298</v>
      </c>
    </row>
    <row r="1086" spans="1:7">
      <c r="A1086" s="10">
        <v>45171</v>
      </c>
      <c r="B1086">
        <v>2023</v>
      </c>
      <c r="C1086">
        <v>9</v>
      </c>
      <c r="D1086" t="s">
        <v>4304</v>
      </c>
      <c r="E1086">
        <v>3</v>
      </c>
      <c r="F1086">
        <v>2</v>
      </c>
      <c r="G1086" t="s">
        <v>4298</v>
      </c>
    </row>
    <row r="1087" spans="1:7">
      <c r="A1087" s="10">
        <v>45482</v>
      </c>
      <c r="B1087">
        <v>2024</v>
      </c>
      <c r="C1087">
        <v>7</v>
      </c>
      <c r="D1087" t="s">
        <v>4297</v>
      </c>
      <c r="E1087">
        <v>3</v>
      </c>
      <c r="F1087">
        <v>9</v>
      </c>
      <c r="G1087" t="s">
        <v>4303</v>
      </c>
    </row>
    <row r="1088" spans="1:7">
      <c r="A1088" s="10">
        <v>45758</v>
      </c>
      <c r="B1088">
        <v>2025</v>
      </c>
      <c r="C1088">
        <v>4</v>
      </c>
      <c r="D1088" t="s">
        <v>4314</v>
      </c>
      <c r="E1088">
        <v>2</v>
      </c>
      <c r="F1088">
        <v>11</v>
      </c>
      <c r="G1088" t="s">
        <v>4306</v>
      </c>
    </row>
    <row r="1089" spans="1:7">
      <c r="A1089" s="10">
        <v>45992</v>
      </c>
      <c r="B1089">
        <v>2025</v>
      </c>
      <c r="C1089">
        <v>12</v>
      </c>
      <c r="D1089" t="s">
        <v>4299</v>
      </c>
      <c r="E1089">
        <v>4</v>
      </c>
      <c r="F1089">
        <v>1</v>
      </c>
      <c r="G1089" t="s">
        <v>4301</v>
      </c>
    </row>
    <row r="1090" spans="1:7">
      <c r="A1090" s="10">
        <v>45513</v>
      </c>
      <c r="B1090">
        <v>2024</v>
      </c>
      <c r="C1090">
        <v>8</v>
      </c>
      <c r="D1090" t="s">
        <v>4313</v>
      </c>
      <c r="E1090">
        <v>3</v>
      </c>
      <c r="F1090">
        <v>9</v>
      </c>
      <c r="G1090" t="s">
        <v>4306</v>
      </c>
    </row>
    <row r="1091" spans="1:7">
      <c r="A1091" s="10">
        <v>45389</v>
      </c>
      <c r="B1091">
        <v>2024</v>
      </c>
      <c r="C1091">
        <v>4</v>
      </c>
      <c r="D1091" t="s">
        <v>4314</v>
      </c>
      <c r="E1091">
        <v>2</v>
      </c>
      <c r="F1091">
        <v>7</v>
      </c>
      <c r="G1091" t="s">
        <v>4309</v>
      </c>
    </row>
    <row r="1092" spans="1:7">
      <c r="A1092" s="10">
        <v>45177</v>
      </c>
      <c r="B1092">
        <v>2023</v>
      </c>
      <c r="C1092">
        <v>9</v>
      </c>
      <c r="D1092" t="s">
        <v>4304</v>
      </c>
      <c r="E1092">
        <v>3</v>
      </c>
      <c r="F1092">
        <v>8</v>
      </c>
      <c r="G1092" t="s">
        <v>4306</v>
      </c>
    </row>
    <row r="1093" spans="1:7">
      <c r="A1093" s="10">
        <v>45288</v>
      </c>
      <c r="B1093">
        <v>2023</v>
      </c>
      <c r="C1093">
        <v>12</v>
      </c>
      <c r="D1093" t="s">
        <v>4299</v>
      </c>
      <c r="E1093">
        <v>4</v>
      </c>
      <c r="F1093">
        <v>28</v>
      </c>
      <c r="G1093" t="s">
        <v>4300</v>
      </c>
    </row>
    <row r="1094" spans="1:7">
      <c r="A1094" s="10">
        <v>46019</v>
      </c>
      <c r="B1094">
        <v>2025</v>
      </c>
      <c r="C1094">
        <v>12</v>
      </c>
      <c r="D1094" t="s">
        <v>4299</v>
      </c>
      <c r="E1094">
        <v>4</v>
      </c>
      <c r="F1094">
        <v>28</v>
      </c>
      <c r="G1094" t="s">
        <v>4309</v>
      </c>
    </row>
    <row r="1095" spans="1:7">
      <c r="A1095" s="10">
        <v>45222</v>
      </c>
      <c r="B1095">
        <v>2023</v>
      </c>
      <c r="C1095">
        <v>10</v>
      </c>
      <c r="D1095" t="s">
        <v>4302</v>
      </c>
      <c r="E1095">
        <v>4</v>
      </c>
      <c r="F1095">
        <v>23</v>
      </c>
      <c r="G1095" t="s">
        <v>4301</v>
      </c>
    </row>
    <row r="1096" spans="1:7">
      <c r="A1096" s="10">
        <v>45862</v>
      </c>
      <c r="B1096">
        <v>2025</v>
      </c>
      <c r="C1096">
        <v>7</v>
      </c>
      <c r="D1096" t="s">
        <v>4297</v>
      </c>
      <c r="E1096">
        <v>3</v>
      </c>
      <c r="F1096">
        <v>24</v>
      </c>
      <c r="G1096" t="s">
        <v>4300</v>
      </c>
    </row>
    <row r="1097" spans="1:7">
      <c r="A1097" s="10">
        <v>45384</v>
      </c>
      <c r="B1097">
        <v>2024</v>
      </c>
      <c r="C1097">
        <v>4</v>
      </c>
      <c r="D1097" t="s">
        <v>4314</v>
      </c>
      <c r="E1097">
        <v>2</v>
      </c>
      <c r="F1097">
        <v>2</v>
      </c>
      <c r="G1097" t="s">
        <v>4303</v>
      </c>
    </row>
    <row r="1098" spans="1:7">
      <c r="A1098" s="10">
        <v>45393</v>
      </c>
      <c r="B1098">
        <v>2024</v>
      </c>
      <c r="C1098">
        <v>4</v>
      </c>
      <c r="D1098" t="s">
        <v>4314</v>
      </c>
      <c r="E1098">
        <v>2</v>
      </c>
      <c r="F1098">
        <v>11</v>
      </c>
      <c r="G1098" t="s">
        <v>4300</v>
      </c>
    </row>
    <row r="1099" spans="1:7">
      <c r="A1099" s="10">
        <v>45270</v>
      </c>
      <c r="B1099">
        <v>2023</v>
      </c>
      <c r="C1099">
        <v>12</v>
      </c>
      <c r="D1099" t="s">
        <v>4299</v>
      </c>
      <c r="E1099">
        <v>4</v>
      </c>
      <c r="F1099">
        <v>10</v>
      </c>
      <c r="G1099" t="s">
        <v>4309</v>
      </c>
    </row>
    <row r="1100" spans="1:7">
      <c r="A1100" s="10">
        <v>45242</v>
      </c>
      <c r="B1100">
        <v>2023</v>
      </c>
      <c r="C1100">
        <v>11</v>
      </c>
      <c r="D1100" t="s">
        <v>4315</v>
      </c>
      <c r="E1100">
        <v>4</v>
      </c>
      <c r="F1100">
        <v>12</v>
      </c>
      <c r="G1100" t="s">
        <v>4309</v>
      </c>
    </row>
    <row r="1101" spans="1:7">
      <c r="A1101" s="10">
        <v>45483</v>
      </c>
      <c r="B1101">
        <v>2024</v>
      </c>
      <c r="C1101">
        <v>7</v>
      </c>
      <c r="D1101" t="s">
        <v>4297</v>
      </c>
      <c r="E1101">
        <v>3</v>
      </c>
      <c r="F1101">
        <v>10</v>
      </c>
      <c r="G1101" t="s">
        <v>4308</v>
      </c>
    </row>
    <row r="1102" spans="1:7">
      <c r="A1102" s="10">
        <v>46009</v>
      </c>
      <c r="B1102">
        <v>2025</v>
      </c>
      <c r="C1102">
        <v>12</v>
      </c>
      <c r="D1102" t="s">
        <v>4299</v>
      </c>
      <c r="E1102">
        <v>4</v>
      </c>
      <c r="F1102">
        <v>18</v>
      </c>
      <c r="G1102" t="s">
        <v>4300</v>
      </c>
    </row>
    <row r="1103" spans="1:7">
      <c r="A1103" s="10">
        <v>45441</v>
      </c>
      <c r="B1103">
        <v>2024</v>
      </c>
      <c r="C1103">
        <v>5</v>
      </c>
      <c r="D1103" t="s">
        <v>4305</v>
      </c>
      <c r="E1103">
        <v>2</v>
      </c>
      <c r="F1103">
        <v>29</v>
      </c>
      <c r="G1103" t="s">
        <v>4308</v>
      </c>
    </row>
    <row r="1104" spans="1:7">
      <c r="A1104" s="10">
        <v>45177</v>
      </c>
      <c r="B1104">
        <v>2023</v>
      </c>
      <c r="C1104">
        <v>9</v>
      </c>
      <c r="D1104" t="s">
        <v>4304</v>
      </c>
      <c r="E1104">
        <v>3</v>
      </c>
      <c r="F1104">
        <v>8</v>
      </c>
      <c r="G1104" t="s">
        <v>4306</v>
      </c>
    </row>
    <row r="1105" spans="1:7">
      <c r="A1105" s="10">
        <v>45384</v>
      </c>
      <c r="B1105">
        <v>2024</v>
      </c>
      <c r="C1105">
        <v>4</v>
      </c>
      <c r="D1105" t="s">
        <v>4314</v>
      </c>
      <c r="E1105">
        <v>2</v>
      </c>
      <c r="F1105">
        <v>2</v>
      </c>
      <c r="G1105" t="s">
        <v>4303</v>
      </c>
    </row>
    <row r="1106" spans="1:7">
      <c r="A1106" s="10">
        <v>45164</v>
      </c>
      <c r="B1106">
        <v>2023</v>
      </c>
      <c r="C1106">
        <v>8</v>
      </c>
      <c r="D1106" t="s">
        <v>4313</v>
      </c>
      <c r="E1106">
        <v>3</v>
      </c>
      <c r="F1106">
        <v>26</v>
      </c>
      <c r="G1106" t="s">
        <v>4298</v>
      </c>
    </row>
    <row r="1107" spans="1:7">
      <c r="A1107" s="10">
        <v>45134</v>
      </c>
      <c r="B1107">
        <v>2023</v>
      </c>
      <c r="C1107">
        <v>7</v>
      </c>
      <c r="D1107" t="s">
        <v>4297</v>
      </c>
      <c r="E1107">
        <v>3</v>
      </c>
      <c r="F1107">
        <v>27</v>
      </c>
      <c r="G1107" t="s">
        <v>4300</v>
      </c>
    </row>
    <row r="1108" spans="1:7">
      <c r="A1108" s="10">
        <v>45144</v>
      </c>
      <c r="B1108">
        <v>2023</v>
      </c>
      <c r="C1108">
        <v>8</v>
      </c>
      <c r="D1108" t="s">
        <v>4313</v>
      </c>
      <c r="E1108">
        <v>3</v>
      </c>
      <c r="F1108">
        <v>6</v>
      </c>
      <c r="G1108" t="s">
        <v>4309</v>
      </c>
    </row>
    <row r="1109" spans="1:7">
      <c r="A1109" s="10">
        <v>45327</v>
      </c>
      <c r="B1109">
        <v>2024</v>
      </c>
      <c r="C1109">
        <v>2</v>
      </c>
      <c r="D1109" t="s">
        <v>4312</v>
      </c>
      <c r="E1109">
        <v>1</v>
      </c>
      <c r="F1109">
        <v>5</v>
      </c>
      <c r="G1109" t="s">
        <v>4301</v>
      </c>
    </row>
    <row r="1110" spans="1:7">
      <c r="A1110" s="10">
        <v>45517</v>
      </c>
      <c r="B1110">
        <v>2024</v>
      </c>
      <c r="C1110">
        <v>8</v>
      </c>
      <c r="D1110" t="s">
        <v>4313</v>
      </c>
      <c r="E1110">
        <v>3</v>
      </c>
      <c r="F1110">
        <v>13</v>
      </c>
      <c r="G1110" t="s">
        <v>4303</v>
      </c>
    </row>
    <row r="1111" spans="1:7">
      <c r="A1111" s="10">
        <v>45797</v>
      </c>
      <c r="B1111">
        <v>2025</v>
      </c>
      <c r="C1111">
        <v>5</v>
      </c>
      <c r="D1111" t="s">
        <v>4305</v>
      </c>
      <c r="E1111">
        <v>2</v>
      </c>
      <c r="F1111">
        <v>20</v>
      </c>
      <c r="G1111" t="s">
        <v>4303</v>
      </c>
    </row>
    <row r="1112" spans="1:7">
      <c r="A1112" s="10">
        <v>44959</v>
      </c>
      <c r="B1112">
        <v>2023</v>
      </c>
      <c r="C1112">
        <v>2</v>
      </c>
      <c r="D1112" t="s">
        <v>4312</v>
      </c>
      <c r="E1112">
        <v>1</v>
      </c>
      <c r="F1112">
        <v>2</v>
      </c>
      <c r="G1112" t="s">
        <v>4300</v>
      </c>
    </row>
    <row r="1113" spans="1:7">
      <c r="A1113" s="10">
        <v>45202</v>
      </c>
      <c r="B1113">
        <v>2023</v>
      </c>
      <c r="C1113">
        <v>10</v>
      </c>
      <c r="D1113" t="s">
        <v>4302</v>
      </c>
      <c r="E1113">
        <v>4</v>
      </c>
      <c r="F1113">
        <v>3</v>
      </c>
      <c r="G1113" t="s">
        <v>4303</v>
      </c>
    </row>
    <row r="1114" spans="1:7">
      <c r="A1114" s="10">
        <v>45932</v>
      </c>
      <c r="B1114">
        <v>2025</v>
      </c>
      <c r="C1114">
        <v>10</v>
      </c>
      <c r="D1114" t="s">
        <v>4302</v>
      </c>
      <c r="E1114">
        <v>4</v>
      </c>
      <c r="F1114">
        <v>2</v>
      </c>
      <c r="G1114" t="s">
        <v>4300</v>
      </c>
    </row>
    <row r="1115" spans="1:7">
      <c r="A1115" s="10">
        <v>45042</v>
      </c>
      <c r="B1115">
        <v>2023</v>
      </c>
      <c r="C1115">
        <v>4</v>
      </c>
      <c r="D1115" t="s">
        <v>4314</v>
      </c>
      <c r="E1115">
        <v>2</v>
      </c>
      <c r="F1115">
        <v>26</v>
      </c>
      <c r="G1115" t="s">
        <v>4308</v>
      </c>
    </row>
    <row r="1116" spans="1:7">
      <c r="A1116" s="10">
        <v>45390</v>
      </c>
      <c r="B1116">
        <v>2024</v>
      </c>
      <c r="C1116">
        <v>4</v>
      </c>
      <c r="D1116" t="s">
        <v>4314</v>
      </c>
      <c r="E1116">
        <v>2</v>
      </c>
      <c r="F1116">
        <v>8</v>
      </c>
      <c r="G1116" t="s">
        <v>4301</v>
      </c>
    </row>
    <row r="1117" spans="1:7">
      <c r="A1117" s="10">
        <v>45985</v>
      </c>
      <c r="B1117">
        <v>2025</v>
      </c>
      <c r="C1117">
        <v>11</v>
      </c>
      <c r="D1117" t="s">
        <v>4315</v>
      </c>
      <c r="E1117">
        <v>4</v>
      </c>
      <c r="F1117">
        <v>24</v>
      </c>
      <c r="G1117" t="s">
        <v>4301</v>
      </c>
    </row>
    <row r="1118" spans="1:7">
      <c r="A1118" s="10">
        <v>45327</v>
      </c>
      <c r="B1118">
        <v>2024</v>
      </c>
      <c r="C1118">
        <v>2</v>
      </c>
      <c r="D1118" t="s">
        <v>4312</v>
      </c>
      <c r="E1118">
        <v>1</v>
      </c>
      <c r="F1118">
        <v>5</v>
      </c>
      <c r="G1118" t="s">
        <v>4301</v>
      </c>
    </row>
    <row r="1119" spans="1:7">
      <c r="A1119" s="10">
        <v>45702</v>
      </c>
      <c r="B1119">
        <v>2025</v>
      </c>
      <c r="C1119">
        <v>2</v>
      </c>
      <c r="D1119" t="s">
        <v>4312</v>
      </c>
      <c r="E1119">
        <v>1</v>
      </c>
      <c r="F1119">
        <v>14</v>
      </c>
      <c r="G1119" t="s">
        <v>4306</v>
      </c>
    </row>
    <row r="1120" spans="1:7">
      <c r="A1120" s="10">
        <v>44997</v>
      </c>
      <c r="B1120">
        <v>2023</v>
      </c>
      <c r="C1120">
        <v>3</v>
      </c>
      <c r="D1120" t="s">
        <v>4311</v>
      </c>
      <c r="E1120">
        <v>1</v>
      </c>
      <c r="F1120">
        <v>12</v>
      </c>
      <c r="G1120" t="s">
        <v>4309</v>
      </c>
    </row>
    <row r="1121" spans="1:7">
      <c r="A1121" s="10">
        <v>45669</v>
      </c>
      <c r="B1121">
        <v>2025</v>
      </c>
      <c r="C1121">
        <v>1</v>
      </c>
      <c r="D1121" t="s">
        <v>4307</v>
      </c>
      <c r="E1121">
        <v>1</v>
      </c>
      <c r="F1121">
        <v>12</v>
      </c>
      <c r="G1121" t="s">
        <v>4309</v>
      </c>
    </row>
    <row r="1122" spans="1:7">
      <c r="A1122" s="10">
        <v>45753</v>
      </c>
      <c r="B1122">
        <v>2025</v>
      </c>
      <c r="C1122">
        <v>4</v>
      </c>
      <c r="D1122" t="s">
        <v>4314</v>
      </c>
      <c r="E1122">
        <v>2</v>
      </c>
      <c r="F1122">
        <v>6</v>
      </c>
      <c r="G1122" t="s">
        <v>4309</v>
      </c>
    </row>
    <row r="1123" spans="1:7">
      <c r="A1123" s="10">
        <v>45482</v>
      </c>
      <c r="B1123">
        <v>2024</v>
      </c>
      <c r="C1123">
        <v>7</v>
      </c>
      <c r="D1123" t="s">
        <v>4297</v>
      </c>
      <c r="E1123">
        <v>3</v>
      </c>
      <c r="F1123">
        <v>9</v>
      </c>
      <c r="G1123" t="s">
        <v>4303</v>
      </c>
    </row>
    <row r="1124" spans="1:7">
      <c r="A1124" s="10">
        <v>45187</v>
      </c>
      <c r="B1124">
        <v>2023</v>
      </c>
      <c r="C1124">
        <v>9</v>
      </c>
      <c r="D1124" t="s">
        <v>4304</v>
      </c>
      <c r="E1124">
        <v>3</v>
      </c>
      <c r="F1124">
        <v>18</v>
      </c>
      <c r="G1124" t="s">
        <v>4301</v>
      </c>
    </row>
    <row r="1125" spans="1:7">
      <c r="A1125" s="10">
        <v>45648</v>
      </c>
      <c r="B1125">
        <v>2024</v>
      </c>
      <c r="C1125">
        <v>12</v>
      </c>
      <c r="D1125" t="s">
        <v>4299</v>
      </c>
      <c r="E1125">
        <v>4</v>
      </c>
      <c r="F1125">
        <v>22</v>
      </c>
      <c r="G1125" t="s">
        <v>4309</v>
      </c>
    </row>
    <row r="1126" spans="1:7">
      <c r="A1126" s="10">
        <v>45697</v>
      </c>
      <c r="B1126">
        <v>2025</v>
      </c>
      <c r="C1126">
        <v>2</v>
      </c>
      <c r="D1126" t="s">
        <v>4312</v>
      </c>
      <c r="E1126">
        <v>1</v>
      </c>
      <c r="F1126">
        <v>9</v>
      </c>
      <c r="G1126" t="s">
        <v>4309</v>
      </c>
    </row>
    <row r="1127" spans="1:7">
      <c r="A1127" s="10">
        <v>45802</v>
      </c>
      <c r="B1127">
        <v>2025</v>
      </c>
      <c r="C1127">
        <v>5</v>
      </c>
      <c r="D1127" t="s">
        <v>4305</v>
      </c>
      <c r="E1127">
        <v>2</v>
      </c>
      <c r="F1127">
        <v>25</v>
      </c>
      <c r="G1127" t="s">
        <v>4309</v>
      </c>
    </row>
    <row r="1128" spans="1:7">
      <c r="A1128" s="10">
        <v>45930</v>
      </c>
      <c r="B1128">
        <v>2025</v>
      </c>
      <c r="C1128">
        <v>9</v>
      </c>
      <c r="D1128" t="s">
        <v>4304</v>
      </c>
      <c r="E1128">
        <v>3</v>
      </c>
      <c r="F1128">
        <v>30</v>
      </c>
      <c r="G1128" t="s">
        <v>4303</v>
      </c>
    </row>
    <row r="1129" spans="1:7">
      <c r="A1129" s="10">
        <v>45439</v>
      </c>
      <c r="B1129">
        <v>2024</v>
      </c>
      <c r="C1129">
        <v>5</v>
      </c>
      <c r="D1129" t="s">
        <v>4305</v>
      </c>
      <c r="E1129">
        <v>2</v>
      </c>
      <c r="F1129">
        <v>27</v>
      </c>
      <c r="G1129" t="s">
        <v>4301</v>
      </c>
    </row>
    <row r="1130" spans="1:7">
      <c r="A1130" s="10">
        <v>45672</v>
      </c>
      <c r="B1130">
        <v>2025</v>
      </c>
      <c r="C1130">
        <v>1</v>
      </c>
      <c r="D1130" t="s">
        <v>4307</v>
      </c>
      <c r="E1130">
        <v>1</v>
      </c>
      <c r="F1130">
        <v>15</v>
      </c>
      <c r="G1130" t="s">
        <v>4308</v>
      </c>
    </row>
    <row r="1131" spans="1:7">
      <c r="A1131" s="10">
        <v>45301</v>
      </c>
      <c r="B1131">
        <v>2024</v>
      </c>
      <c r="C1131">
        <v>1</v>
      </c>
      <c r="D1131" t="s">
        <v>4307</v>
      </c>
      <c r="E1131">
        <v>1</v>
      </c>
      <c r="F1131">
        <v>10</v>
      </c>
      <c r="G1131" t="s">
        <v>4308</v>
      </c>
    </row>
    <row r="1132" spans="1:7">
      <c r="A1132" s="10">
        <v>45031</v>
      </c>
      <c r="B1132">
        <v>2023</v>
      </c>
      <c r="C1132">
        <v>4</v>
      </c>
      <c r="D1132" t="s">
        <v>4314</v>
      </c>
      <c r="E1132">
        <v>2</v>
      </c>
      <c r="F1132">
        <v>15</v>
      </c>
      <c r="G1132" t="s">
        <v>4298</v>
      </c>
    </row>
    <row r="1133" spans="1:7">
      <c r="A1133" s="10">
        <v>45000</v>
      </c>
      <c r="B1133">
        <v>2023</v>
      </c>
      <c r="C1133">
        <v>3</v>
      </c>
      <c r="D1133" t="s">
        <v>4311</v>
      </c>
      <c r="E1133">
        <v>1</v>
      </c>
      <c r="F1133">
        <v>15</v>
      </c>
      <c r="G1133" t="s">
        <v>4308</v>
      </c>
    </row>
    <row r="1134" spans="1:7">
      <c r="A1134" s="10">
        <v>45369</v>
      </c>
      <c r="B1134">
        <v>2024</v>
      </c>
      <c r="C1134">
        <v>3</v>
      </c>
      <c r="D1134" t="s">
        <v>4311</v>
      </c>
      <c r="E1134">
        <v>1</v>
      </c>
      <c r="F1134">
        <v>18</v>
      </c>
      <c r="G1134" t="s">
        <v>4301</v>
      </c>
    </row>
    <row r="1135" spans="1:7">
      <c r="A1135" s="10">
        <v>45138</v>
      </c>
      <c r="B1135">
        <v>2023</v>
      </c>
      <c r="C1135">
        <v>7</v>
      </c>
      <c r="D1135" t="s">
        <v>4297</v>
      </c>
      <c r="E1135">
        <v>3</v>
      </c>
      <c r="F1135">
        <v>31</v>
      </c>
      <c r="G1135" t="s">
        <v>4301</v>
      </c>
    </row>
    <row r="1136" spans="1:7">
      <c r="A1136" s="10">
        <v>45898</v>
      </c>
      <c r="B1136">
        <v>2025</v>
      </c>
      <c r="C1136">
        <v>8</v>
      </c>
      <c r="D1136" t="s">
        <v>4313</v>
      </c>
      <c r="E1136">
        <v>3</v>
      </c>
      <c r="F1136">
        <v>29</v>
      </c>
      <c r="G1136" t="s">
        <v>4306</v>
      </c>
    </row>
    <row r="1137" spans="1:7">
      <c r="A1137" s="10">
        <v>44971</v>
      </c>
      <c r="B1137">
        <v>2023</v>
      </c>
      <c r="C1137">
        <v>2</v>
      </c>
      <c r="D1137" t="s">
        <v>4312</v>
      </c>
      <c r="E1137">
        <v>1</v>
      </c>
      <c r="F1137">
        <v>14</v>
      </c>
      <c r="G1137" t="s">
        <v>4303</v>
      </c>
    </row>
    <row r="1138" spans="1:7">
      <c r="A1138" s="10">
        <v>45172</v>
      </c>
      <c r="B1138">
        <v>2023</v>
      </c>
      <c r="C1138">
        <v>9</v>
      </c>
      <c r="D1138" t="s">
        <v>4304</v>
      </c>
      <c r="E1138">
        <v>3</v>
      </c>
      <c r="F1138">
        <v>3</v>
      </c>
      <c r="G1138" t="s">
        <v>4309</v>
      </c>
    </row>
    <row r="1139" spans="1:7">
      <c r="A1139" s="10">
        <v>45873</v>
      </c>
      <c r="B1139">
        <v>2025</v>
      </c>
      <c r="C1139">
        <v>8</v>
      </c>
      <c r="D1139" t="s">
        <v>4313</v>
      </c>
      <c r="E1139">
        <v>3</v>
      </c>
      <c r="F1139">
        <v>4</v>
      </c>
      <c r="G1139" t="s">
        <v>4301</v>
      </c>
    </row>
    <row r="1140" spans="1:7">
      <c r="A1140" s="10">
        <v>45482</v>
      </c>
      <c r="B1140">
        <v>2024</v>
      </c>
      <c r="C1140">
        <v>7</v>
      </c>
      <c r="D1140" t="s">
        <v>4297</v>
      </c>
      <c r="E1140">
        <v>3</v>
      </c>
      <c r="F1140">
        <v>9</v>
      </c>
      <c r="G1140" t="s">
        <v>4303</v>
      </c>
    </row>
    <row r="1141" spans="1:7">
      <c r="A1141" s="10">
        <v>45368</v>
      </c>
      <c r="B1141">
        <v>2024</v>
      </c>
      <c r="C1141">
        <v>3</v>
      </c>
      <c r="D1141" t="s">
        <v>4311</v>
      </c>
      <c r="E1141">
        <v>1</v>
      </c>
      <c r="F1141">
        <v>17</v>
      </c>
      <c r="G1141" t="s">
        <v>4309</v>
      </c>
    </row>
    <row r="1142" spans="1:7">
      <c r="A1142" s="10">
        <v>45660</v>
      </c>
      <c r="B1142">
        <v>2025</v>
      </c>
      <c r="C1142">
        <v>1</v>
      </c>
      <c r="D1142" t="s">
        <v>4307</v>
      </c>
      <c r="E1142">
        <v>1</v>
      </c>
      <c r="F1142">
        <v>3</v>
      </c>
      <c r="G1142" t="s">
        <v>4306</v>
      </c>
    </row>
    <row r="1143" spans="1:7">
      <c r="A1143" s="10">
        <v>45213</v>
      </c>
      <c r="B1143">
        <v>2023</v>
      </c>
      <c r="C1143">
        <v>10</v>
      </c>
      <c r="D1143" t="s">
        <v>4302</v>
      </c>
      <c r="E1143">
        <v>4</v>
      </c>
      <c r="F1143">
        <v>14</v>
      </c>
      <c r="G1143" t="s">
        <v>4298</v>
      </c>
    </row>
    <row r="1144" spans="1:7">
      <c r="A1144" s="10">
        <v>45481</v>
      </c>
      <c r="B1144">
        <v>2024</v>
      </c>
      <c r="C1144">
        <v>7</v>
      </c>
      <c r="D1144" t="s">
        <v>4297</v>
      </c>
      <c r="E1144">
        <v>3</v>
      </c>
      <c r="F1144">
        <v>8</v>
      </c>
      <c r="G1144" t="s">
        <v>4301</v>
      </c>
    </row>
    <row r="1145" spans="1:7">
      <c r="A1145" s="10">
        <v>45482</v>
      </c>
      <c r="B1145">
        <v>2024</v>
      </c>
      <c r="C1145">
        <v>7</v>
      </c>
      <c r="D1145" t="s">
        <v>4297</v>
      </c>
      <c r="E1145">
        <v>3</v>
      </c>
      <c r="F1145">
        <v>9</v>
      </c>
      <c r="G1145" t="s">
        <v>4303</v>
      </c>
    </row>
    <row r="1146" spans="1:7">
      <c r="A1146" s="10">
        <v>45449</v>
      </c>
      <c r="B1146">
        <v>2024</v>
      </c>
      <c r="C1146">
        <v>6</v>
      </c>
      <c r="D1146" t="s">
        <v>4310</v>
      </c>
      <c r="E1146">
        <v>2</v>
      </c>
      <c r="F1146">
        <v>6</v>
      </c>
      <c r="G1146" t="s">
        <v>4300</v>
      </c>
    </row>
    <row r="1147" spans="1:7">
      <c r="A1147" s="10">
        <v>45483</v>
      </c>
      <c r="B1147">
        <v>2024</v>
      </c>
      <c r="C1147">
        <v>7</v>
      </c>
      <c r="D1147" t="s">
        <v>4297</v>
      </c>
      <c r="E1147">
        <v>3</v>
      </c>
      <c r="F1147">
        <v>10</v>
      </c>
      <c r="G1147" t="s">
        <v>4308</v>
      </c>
    </row>
    <row r="1148" spans="1:7">
      <c r="A1148" s="10">
        <v>45143</v>
      </c>
      <c r="B1148">
        <v>2023</v>
      </c>
      <c r="C1148">
        <v>8</v>
      </c>
      <c r="D1148" t="s">
        <v>4313</v>
      </c>
      <c r="E1148">
        <v>3</v>
      </c>
      <c r="F1148">
        <v>5</v>
      </c>
      <c r="G1148" t="s">
        <v>4298</v>
      </c>
    </row>
    <row r="1149" spans="1:7">
      <c r="A1149" s="10">
        <v>45680</v>
      </c>
      <c r="B1149">
        <v>2025</v>
      </c>
      <c r="C1149">
        <v>1</v>
      </c>
      <c r="D1149" t="s">
        <v>4307</v>
      </c>
      <c r="E1149">
        <v>1</v>
      </c>
      <c r="F1149">
        <v>23</v>
      </c>
      <c r="G1149" t="s">
        <v>4300</v>
      </c>
    </row>
    <row r="1150" spans="1:7">
      <c r="A1150" s="10">
        <v>45776</v>
      </c>
      <c r="B1150">
        <v>2025</v>
      </c>
      <c r="C1150">
        <v>4</v>
      </c>
      <c r="D1150" t="s">
        <v>4314</v>
      </c>
      <c r="E1150">
        <v>2</v>
      </c>
      <c r="F1150">
        <v>29</v>
      </c>
      <c r="G1150" t="s">
        <v>4303</v>
      </c>
    </row>
    <row r="1151" spans="1:7">
      <c r="A1151" s="10">
        <v>45423</v>
      </c>
      <c r="B1151">
        <v>2024</v>
      </c>
      <c r="C1151">
        <v>5</v>
      </c>
      <c r="D1151" t="s">
        <v>4305</v>
      </c>
      <c r="E1151">
        <v>2</v>
      </c>
      <c r="F1151">
        <v>11</v>
      </c>
      <c r="G1151" t="s">
        <v>4298</v>
      </c>
    </row>
    <row r="1152" spans="1:7">
      <c r="A1152" s="10">
        <v>45305</v>
      </c>
      <c r="B1152">
        <v>2024</v>
      </c>
      <c r="C1152">
        <v>1</v>
      </c>
      <c r="D1152" t="s">
        <v>4307</v>
      </c>
      <c r="E1152">
        <v>1</v>
      </c>
      <c r="F1152">
        <v>14</v>
      </c>
      <c r="G1152" t="s">
        <v>4309</v>
      </c>
    </row>
    <row r="1153" spans="1:7">
      <c r="A1153" s="10">
        <v>45482</v>
      </c>
      <c r="B1153">
        <v>2024</v>
      </c>
      <c r="C1153">
        <v>7</v>
      </c>
      <c r="D1153" t="s">
        <v>4297</v>
      </c>
      <c r="E1153">
        <v>3</v>
      </c>
      <c r="F1153">
        <v>9</v>
      </c>
      <c r="G1153" t="s">
        <v>4303</v>
      </c>
    </row>
    <row r="1154" spans="1:7">
      <c r="A1154" s="10">
        <v>45898</v>
      </c>
      <c r="B1154">
        <v>2025</v>
      </c>
      <c r="C1154">
        <v>8</v>
      </c>
      <c r="D1154" t="s">
        <v>4313</v>
      </c>
      <c r="E1154">
        <v>3</v>
      </c>
      <c r="F1154">
        <v>29</v>
      </c>
      <c r="G1154" t="s">
        <v>4306</v>
      </c>
    </row>
    <row r="1155" spans="1:7">
      <c r="A1155" s="10">
        <v>45695</v>
      </c>
      <c r="B1155">
        <v>2025</v>
      </c>
      <c r="C1155">
        <v>2</v>
      </c>
      <c r="D1155" t="s">
        <v>4312</v>
      </c>
      <c r="E1155">
        <v>1</v>
      </c>
      <c r="F1155">
        <v>7</v>
      </c>
      <c r="G1155" t="s">
        <v>4306</v>
      </c>
    </row>
    <row r="1156" spans="1:7">
      <c r="A1156" s="10">
        <v>45479</v>
      </c>
      <c r="B1156">
        <v>2024</v>
      </c>
      <c r="C1156">
        <v>7</v>
      </c>
      <c r="D1156" t="s">
        <v>4297</v>
      </c>
      <c r="E1156">
        <v>3</v>
      </c>
      <c r="F1156">
        <v>6</v>
      </c>
      <c r="G1156" t="s">
        <v>4298</v>
      </c>
    </row>
    <row r="1157" spans="1:7">
      <c r="A1157" s="10">
        <v>44931</v>
      </c>
      <c r="B1157">
        <v>2023</v>
      </c>
      <c r="C1157">
        <v>1</v>
      </c>
      <c r="D1157" t="s">
        <v>4307</v>
      </c>
      <c r="E1157">
        <v>1</v>
      </c>
      <c r="F1157">
        <v>5</v>
      </c>
      <c r="G1157" t="s">
        <v>4300</v>
      </c>
    </row>
    <row r="1158" spans="1:7">
      <c r="A1158" s="10">
        <v>45860</v>
      </c>
      <c r="B1158">
        <v>2025</v>
      </c>
      <c r="C1158">
        <v>7</v>
      </c>
      <c r="D1158" t="s">
        <v>4297</v>
      </c>
      <c r="E1158">
        <v>3</v>
      </c>
      <c r="F1158">
        <v>22</v>
      </c>
      <c r="G1158" t="s">
        <v>4303</v>
      </c>
    </row>
    <row r="1159" spans="1:7">
      <c r="A1159" s="10">
        <v>45901</v>
      </c>
      <c r="B1159">
        <v>2025</v>
      </c>
      <c r="C1159">
        <v>9</v>
      </c>
      <c r="D1159" t="s">
        <v>4304</v>
      </c>
      <c r="E1159">
        <v>3</v>
      </c>
      <c r="F1159">
        <v>1</v>
      </c>
      <c r="G1159" t="s">
        <v>4301</v>
      </c>
    </row>
    <row r="1160" spans="1:7">
      <c r="A1160" s="10">
        <v>45532</v>
      </c>
      <c r="B1160">
        <v>2024</v>
      </c>
      <c r="C1160">
        <v>8</v>
      </c>
      <c r="D1160" t="s">
        <v>4313</v>
      </c>
      <c r="E1160">
        <v>3</v>
      </c>
      <c r="F1160">
        <v>28</v>
      </c>
      <c r="G1160" t="s">
        <v>4308</v>
      </c>
    </row>
    <row r="1161" spans="1:7">
      <c r="A1161" s="10">
        <v>45240</v>
      </c>
      <c r="B1161">
        <v>2023</v>
      </c>
      <c r="C1161">
        <v>11</v>
      </c>
      <c r="D1161" t="s">
        <v>4315</v>
      </c>
      <c r="E1161">
        <v>4</v>
      </c>
      <c r="F1161">
        <v>10</v>
      </c>
      <c r="G1161" t="s">
        <v>4306</v>
      </c>
    </row>
    <row r="1162" spans="1:7">
      <c r="A1162" s="10">
        <v>45622</v>
      </c>
      <c r="B1162">
        <v>2024</v>
      </c>
      <c r="C1162">
        <v>11</v>
      </c>
      <c r="D1162" t="s">
        <v>4315</v>
      </c>
      <c r="E1162">
        <v>4</v>
      </c>
      <c r="F1162">
        <v>26</v>
      </c>
      <c r="G1162" t="s">
        <v>4303</v>
      </c>
    </row>
    <row r="1163" spans="1:7">
      <c r="A1163" s="10">
        <v>45580</v>
      </c>
      <c r="B1163">
        <v>2024</v>
      </c>
      <c r="C1163">
        <v>10</v>
      </c>
      <c r="D1163" t="s">
        <v>4302</v>
      </c>
      <c r="E1163">
        <v>4</v>
      </c>
      <c r="F1163">
        <v>15</v>
      </c>
      <c r="G1163" t="s">
        <v>4303</v>
      </c>
    </row>
    <row r="1164" spans="1:7">
      <c r="A1164" s="10">
        <v>45534</v>
      </c>
      <c r="B1164">
        <v>2024</v>
      </c>
      <c r="C1164">
        <v>8</v>
      </c>
      <c r="D1164" t="s">
        <v>4313</v>
      </c>
      <c r="E1164">
        <v>3</v>
      </c>
      <c r="F1164">
        <v>30</v>
      </c>
      <c r="G1164" t="s">
        <v>4306</v>
      </c>
    </row>
    <row r="1165" spans="1:7">
      <c r="A1165" s="10">
        <v>45509</v>
      </c>
      <c r="B1165">
        <v>2024</v>
      </c>
      <c r="C1165">
        <v>8</v>
      </c>
      <c r="D1165" t="s">
        <v>4313</v>
      </c>
      <c r="E1165">
        <v>3</v>
      </c>
      <c r="F1165">
        <v>5</v>
      </c>
      <c r="G1165" t="s">
        <v>4301</v>
      </c>
    </row>
    <row r="1166" spans="1:7">
      <c r="A1166" s="10">
        <v>45829</v>
      </c>
      <c r="B1166">
        <v>2025</v>
      </c>
      <c r="C1166">
        <v>6</v>
      </c>
      <c r="D1166" t="s">
        <v>4310</v>
      </c>
      <c r="E1166">
        <v>2</v>
      </c>
      <c r="F1166">
        <v>21</v>
      </c>
      <c r="G1166" t="s">
        <v>4298</v>
      </c>
    </row>
    <row r="1167" spans="1:7">
      <c r="A1167" s="10">
        <v>45044</v>
      </c>
      <c r="B1167">
        <v>2023</v>
      </c>
      <c r="C1167">
        <v>4</v>
      </c>
      <c r="D1167" t="s">
        <v>4314</v>
      </c>
      <c r="E1167">
        <v>2</v>
      </c>
      <c r="F1167">
        <v>28</v>
      </c>
      <c r="G1167" t="s">
        <v>4306</v>
      </c>
    </row>
    <row r="1168" spans="1:7">
      <c r="A1168" s="10">
        <v>45341</v>
      </c>
      <c r="B1168">
        <v>2024</v>
      </c>
      <c r="C1168">
        <v>2</v>
      </c>
      <c r="D1168" t="s">
        <v>4312</v>
      </c>
      <c r="E1168">
        <v>1</v>
      </c>
      <c r="F1168">
        <v>19</v>
      </c>
      <c r="G1168" t="s">
        <v>4301</v>
      </c>
    </row>
    <row r="1169" spans="1:7">
      <c r="A1169" s="10">
        <v>45482</v>
      </c>
      <c r="B1169">
        <v>2024</v>
      </c>
      <c r="C1169">
        <v>7</v>
      </c>
      <c r="D1169" t="s">
        <v>4297</v>
      </c>
      <c r="E1169">
        <v>3</v>
      </c>
      <c r="F1169">
        <v>9</v>
      </c>
      <c r="G1169" t="s">
        <v>4303</v>
      </c>
    </row>
    <row r="1170" spans="1:7">
      <c r="A1170" s="10">
        <v>45942</v>
      </c>
      <c r="B1170">
        <v>2025</v>
      </c>
      <c r="C1170">
        <v>10</v>
      </c>
      <c r="D1170" t="s">
        <v>4302</v>
      </c>
      <c r="E1170">
        <v>4</v>
      </c>
      <c r="F1170">
        <v>12</v>
      </c>
      <c r="G1170" t="s">
        <v>4309</v>
      </c>
    </row>
    <row r="1171" spans="1:7">
      <c r="A1171" s="10">
        <v>45173</v>
      </c>
      <c r="B1171">
        <v>2023</v>
      </c>
      <c r="C1171">
        <v>9</v>
      </c>
      <c r="D1171" t="s">
        <v>4304</v>
      </c>
      <c r="E1171">
        <v>3</v>
      </c>
      <c r="F1171">
        <v>4</v>
      </c>
      <c r="G1171" t="s">
        <v>4301</v>
      </c>
    </row>
    <row r="1172" spans="1:7">
      <c r="A1172" s="10">
        <v>45850</v>
      </c>
      <c r="B1172">
        <v>2025</v>
      </c>
      <c r="C1172">
        <v>7</v>
      </c>
      <c r="D1172" t="s">
        <v>4297</v>
      </c>
      <c r="E1172">
        <v>3</v>
      </c>
      <c r="F1172">
        <v>12</v>
      </c>
      <c r="G1172" t="s">
        <v>4298</v>
      </c>
    </row>
    <row r="1173" spans="1:7">
      <c r="A1173" s="10">
        <v>45314</v>
      </c>
      <c r="B1173">
        <v>2024</v>
      </c>
      <c r="C1173">
        <v>1</v>
      </c>
      <c r="D1173" t="s">
        <v>4307</v>
      </c>
      <c r="E1173">
        <v>1</v>
      </c>
      <c r="F1173">
        <v>23</v>
      </c>
      <c r="G1173" t="s">
        <v>4303</v>
      </c>
    </row>
    <row r="1174" spans="1:7">
      <c r="A1174" s="10">
        <v>45308</v>
      </c>
      <c r="B1174">
        <v>2024</v>
      </c>
      <c r="C1174">
        <v>1</v>
      </c>
      <c r="D1174" t="s">
        <v>4307</v>
      </c>
      <c r="E1174">
        <v>1</v>
      </c>
      <c r="F1174">
        <v>17</v>
      </c>
      <c r="G1174" t="s">
        <v>4308</v>
      </c>
    </row>
    <row r="1175" spans="1:7">
      <c r="A1175" s="10">
        <v>45940</v>
      </c>
      <c r="B1175">
        <v>2025</v>
      </c>
      <c r="C1175">
        <v>10</v>
      </c>
      <c r="D1175" t="s">
        <v>4302</v>
      </c>
      <c r="E1175">
        <v>4</v>
      </c>
      <c r="F1175">
        <v>10</v>
      </c>
      <c r="G1175" t="s">
        <v>4306</v>
      </c>
    </row>
    <row r="1176" spans="1:7">
      <c r="A1176" s="10">
        <v>45648</v>
      </c>
      <c r="B1176">
        <v>2024</v>
      </c>
      <c r="C1176">
        <v>12</v>
      </c>
      <c r="D1176" t="s">
        <v>4299</v>
      </c>
      <c r="E1176">
        <v>4</v>
      </c>
      <c r="F1176">
        <v>22</v>
      </c>
      <c r="G1176" t="s">
        <v>4309</v>
      </c>
    </row>
    <row r="1177" spans="1:7">
      <c r="A1177" s="10">
        <v>45897</v>
      </c>
      <c r="B1177">
        <v>2025</v>
      </c>
      <c r="C1177">
        <v>8</v>
      </c>
      <c r="D1177" t="s">
        <v>4313</v>
      </c>
      <c r="E1177">
        <v>3</v>
      </c>
      <c r="F1177">
        <v>28</v>
      </c>
      <c r="G1177" t="s">
        <v>4300</v>
      </c>
    </row>
    <row r="1178" spans="1:7">
      <c r="A1178" s="10">
        <v>45949</v>
      </c>
      <c r="B1178">
        <v>2025</v>
      </c>
      <c r="C1178">
        <v>10</v>
      </c>
      <c r="D1178" t="s">
        <v>4302</v>
      </c>
      <c r="E1178">
        <v>4</v>
      </c>
      <c r="F1178">
        <v>19</v>
      </c>
      <c r="G1178" t="s">
        <v>4309</v>
      </c>
    </row>
    <row r="1179" spans="1:7">
      <c r="A1179" s="10">
        <v>45274</v>
      </c>
      <c r="B1179">
        <v>2023</v>
      </c>
      <c r="C1179">
        <v>12</v>
      </c>
      <c r="D1179" t="s">
        <v>4299</v>
      </c>
      <c r="E1179">
        <v>4</v>
      </c>
      <c r="F1179">
        <v>14</v>
      </c>
      <c r="G1179" t="s">
        <v>4300</v>
      </c>
    </row>
    <row r="1180" spans="1:7">
      <c r="A1180" s="10">
        <v>45728</v>
      </c>
      <c r="B1180">
        <v>2025</v>
      </c>
      <c r="C1180">
        <v>3</v>
      </c>
      <c r="D1180" t="s">
        <v>4311</v>
      </c>
      <c r="E1180">
        <v>1</v>
      </c>
      <c r="F1180">
        <v>12</v>
      </c>
      <c r="G1180" t="s">
        <v>4308</v>
      </c>
    </row>
    <row r="1181" spans="1:7">
      <c r="A1181" s="10">
        <v>44952</v>
      </c>
      <c r="B1181">
        <v>2023</v>
      </c>
      <c r="C1181">
        <v>1</v>
      </c>
      <c r="D1181" t="s">
        <v>4307</v>
      </c>
      <c r="E1181">
        <v>1</v>
      </c>
      <c r="F1181">
        <v>26</v>
      </c>
      <c r="G1181" t="s">
        <v>4300</v>
      </c>
    </row>
    <row r="1182" spans="1:7">
      <c r="A1182" s="10">
        <v>45480</v>
      </c>
      <c r="B1182">
        <v>2024</v>
      </c>
      <c r="C1182">
        <v>7</v>
      </c>
      <c r="D1182" t="s">
        <v>4297</v>
      </c>
      <c r="E1182">
        <v>3</v>
      </c>
      <c r="F1182">
        <v>7</v>
      </c>
      <c r="G1182" t="s">
        <v>4309</v>
      </c>
    </row>
    <row r="1183" spans="1:7">
      <c r="A1183" s="10">
        <v>45605</v>
      </c>
      <c r="B1183">
        <v>2024</v>
      </c>
      <c r="C1183">
        <v>11</v>
      </c>
      <c r="D1183" t="s">
        <v>4315</v>
      </c>
      <c r="E1183">
        <v>4</v>
      </c>
      <c r="F1183">
        <v>9</v>
      </c>
      <c r="G1183" t="s">
        <v>4298</v>
      </c>
    </row>
    <row r="1184" spans="1:7">
      <c r="A1184" s="10">
        <v>45159</v>
      </c>
      <c r="B1184">
        <v>2023</v>
      </c>
      <c r="C1184">
        <v>8</v>
      </c>
      <c r="D1184" t="s">
        <v>4313</v>
      </c>
      <c r="E1184">
        <v>3</v>
      </c>
      <c r="F1184">
        <v>21</v>
      </c>
      <c r="G1184" t="s">
        <v>4301</v>
      </c>
    </row>
    <row r="1185" spans="1:7">
      <c r="A1185" s="10">
        <v>45250</v>
      </c>
      <c r="B1185">
        <v>2023</v>
      </c>
      <c r="C1185">
        <v>11</v>
      </c>
      <c r="D1185" t="s">
        <v>4315</v>
      </c>
      <c r="E1185">
        <v>4</v>
      </c>
      <c r="F1185">
        <v>20</v>
      </c>
      <c r="G1185" t="s">
        <v>4301</v>
      </c>
    </row>
    <row r="1186" spans="1:7">
      <c r="A1186" s="10">
        <v>45949</v>
      </c>
      <c r="B1186">
        <v>2025</v>
      </c>
      <c r="C1186">
        <v>10</v>
      </c>
      <c r="D1186" t="s">
        <v>4302</v>
      </c>
      <c r="E1186">
        <v>4</v>
      </c>
      <c r="F1186">
        <v>19</v>
      </c>
      <c r="G1186" t="s">
        <v>4309</v>
      </c>
    </row>
    <row r="1187" spans="1:7">
      <c r="A1187" s="10">
        <v>45519</v>
      </c>
      <c r="B1187">
        <v>2024</v>
      </c>
      <c r="C1187">
        <v>8</v>
      </c>
      <c r="D1187" t="s">
        <v>4313</v>
      </c>
      <c r="E1187">
        <v>3</v>
      </c>
      <c r="F1187">
        <v>15</v>
      </c>
      <c r="G1187" t="s">
        <v>4300</v>
      </c>
    </row>
    <row r="1188" spans="1:7">
      <c r="A1188" s="10">
        <v>45482</v>
      </c>
      <c r="B1188">
        <v>2024</v>
      </c>
      <c r="C1188">
        <v>7</v>
      </c>
      <c r="D1188" t="s">
        <v>4297</v>
      </c>
      <c r="E1188">
        <v>3</v>
      </c>
      <c r="F1188">
        <v>9</v>
      </c>
      <c r="G1188" t="s">
        <v>4303</v>
      </c>
    </row>
    <row r="1189" spans="1:7">
      <c r="A1189" s="10">
        <v>44933</v>
      </c>
      <c r="B1189">
        <v>2023</v>
      </c>
      <c r="C1189">
        <v>1</v>
      </c>
      <c r="D1189" t="s">
        <v>4307</v>
      </c>
      <c r="E1189">
        <v>1</v>
      </c>
      <c r="F1189">
        <v>7</v>
      </c>
      <c r="G1189" t="s">
        <v>4298</v>
      </c>
    </row>
    <row r="1190" spans="1:7">
      <c r="A1190" s="10">
        <v>45277</v>
      </c>
      <c r="B1190">
        <v>2023</v>
      </c>
      <c r="C1190">
        <v>12</v>
      </c>
      <c r="D1190" t="s">
        <v>4299</v>
      </c>
      <c r="E1190">
        <v>4</v>
      </c>
      <c r="F1190">
        <v>17</v>
      </c>
      <c r="G1190" t="s">
        <v>4309</v>
      </c>
    </row>
    <row r="1191" spans="1:7">
      <c r="A1191" s="10">
        <v>45655</v>
      </c>
      <c r="B1191">
        <v>2024</v>
      </c>
      <c r="C1191">
        <v>12</v>
      </c>
      <c r="D1191" t="s">
        <v>4299</v>
      </c>
      <c r="E1191">
        <v>4</v>
      </c>
      <c r="F1191">
        <v>29</v>
      </c>
      <c r="G1191" t="s">
        <v>4309</v>
      </c>
    </row>
    <row r="1192" spans="1:7">
      <c r="A1192" s="10">
        <v>45056</v>
      </c>
      <c r="B1192">
        <v>2023</v>
      </c>
      <c r="C1192">
        <v>5</v>
      </c>
      <c r="D1192" t="s">
        <v>4305</v>
      </c>
      <c r="E1192">
        <v>2</v>
      </c>
      <c r="F1192">
        <v>10</v>
      </c>
      <c r="G1192" t="s">
        <v>4308</v>
      </c>
    </row>
    <row r="1193" spans="1:7">
      <c r="A1193" s="10">
        <v>45958</v>
      </c>
      <c r="B1193">
        <v>2025</v>
      </c>
      <c r="C1193">
        <v>10</v>
      </c>
      <c r="D1193" t="s">
        <v>4302</v>
      </c>
      <c r="E1193">
        <v>4</v>
      </c>
      <c r="F1193">
        <v>28</v>
      </c>
      <c r="G1193" t="s">
        <v>4303</v>
      </c>
    </row>
    <row r="1194" spans="1:7">
      <c r="A1194" s="10">
        <v>45843</v>
      </c>
      <c r="B1194">
        <v>2025</v>
      </c>
      <c r="C1194">
        <v>7</v>
      </c>
      <c r="D1194" t="s">
        <v>4297</v>
      </c>
      <c r="E1194">
        <v>3</v>
      </c>
      <c r="F1194">
        <v>5</v>
      </c>
      <c r="G1194" t="s">
        <v>4298</v>
      </c>
    </row>
    <row r="1195" spans="1:7">
      <c r="A1195" s="10">
        <v>45019</v>
      </c>
      <c r="B1195">
        <v>2023</v>
      </c>
      <c r="C1195">
        <v>4</v>
      </c>
      <c r="D1195" t="s">
        <v>4314</v>
      </c>
      <c r="E1195">
        <v>2</v>
      </c>
      <c r="F1195">
        <v>3</v>
      </c>
      <c r="G1195" t="s">
        <v>4301</v>
      </c>
    </row>
    <row r="1196" spans="1:7">
      <c r="A1196" s="10">
        <v>45084</v>
      </c>
      <c r="B1196">
        <v>2023</v>
      </c>
      <c r="C1196">
        <v>6</v>
      </c>
      <c r="D1196" t="s">
        <v>4310</v>
      </c>
      <c r="E1196">
        <v>2</v>
      </c>
      <c r="F1196">
        <v>7</v>
      </c>
      <c r="G1196" t="s">
        <v>4308</v>
      </c>
    </row>
    <row r="1197" spans="1:7">
      <c r="A1197" s="10">
        <v>45490</v>
      </c>
      <c r="B1197">
        <v>2024</v>
      </c>
      <c r="C1197">
        <v>7</v>
      </c>
      <c r="D1197" t="s">
        <v>4297</v>
      </c>
      <c r="E1197">
        <v>3</v>
      </c>
      <c r="F1197">
        <v>17</v>
      </c>
      <c r="G1197" t="s">
        <v>4308</v>
      </c>
    </row>
    <row r="1198" spans="1:7">
      <c r="A1198" s="10">
        <v>45144</v>
      </c>
      <c r="B1198">
        <v>2023</v>
      </c>
      <c r="C1198">
        <v>8</v>
      </c>
      <c r="D1198" t="s">
        <v>4313</v>
      </c>
      <c r="E1198">
        <v>3</v>
      </c>
      <c r="F1198">
        <v>6</v>
      </c>
      <c r="G1198" t="s">
        <v>4309</v>
      </c>
    </row>
    <row r="1199" spans="1:7">
      <c r="A1199" s="10">
        <v>45866</v>
      </c>
      <c r="B1199">
        <v>2025</v>
      </c>
      <c r="C1199">
        <v>7</v>
      </c>
      <c r="D1199" t="s">
        <v>4297</v>
      </c>
      <c r="E1199">
        <v>3</v>
      </c>
      <c r="F1199">
        <v>28</v>
      </c>
      <c r="G1199" t="s">
        <v>4301</v>
      </c>
    </row>
    <row r="1200" spans="1:7">
      <c r="A1200" s="10">
        <v>45204</v>
      </c>
      <c r="B1200">
        <v>2023</v>
      </c>
      <c r="C1200">
        <v>10</v>
      </c>
      <c r="D1200" t="s">
        <v>4302</v>
      </c>
      <c r="E1200">
        <v>4</v>
      </c>
      <c r="F1200">
        <v>5</v>
      </c>
      <c r="G1200" t="s">
        <v>4300</v>
      </c>
    </row>
    <row r="1201" spans="1:7">
      <c r="A1201" s="10">
        <v>45802</v>
      </c>
      <c r="B1201">
        <v>2025</v>
      </c>
      <c r="C1201">
        <v>5</v>
      </c>
      <c r="D1201" t="s">
        <v>4305</v>
      </c>
      <c r="E1201">
        <v>2</v>
      </c>
      <c r="F1201">
        <v>25</v>
      </c>
      <c r="G1201" t="s">
        <v>4309</v>
      </c>
    </row>
    <row r="1202" spans="1:7">
      <c r="A1202" s="10">
        <v>45482</v>
      </c>
      <c r="B1202">
        <v>2024</v>
      </c>
      <c r="C1202">
        <v>7</v>
      </c>
      <c r="D1202" t="s">
        <v>4297</v>
      </c>
      <c r="E1202">
        <v>3</v>
      </c>
      <c r="F1202">
        <v>9</v>
      </c>
      <c r="G1202" t="s">
        <v>4303</v>
      </c>
    </row>
    <row r="1203" spans="1:7">
      <c r="A1203" s="10">
        <v>45256</v>
      </c>
      <c r="B1203">
        <v>2023</v>
      </c>
      <c r="C1203">
        <v>11</v>
      </c>
      <c r="D1203" t="s">
        <v>4315</v>
      </c>
      <c r="E1203">
        <v>4</v>
      </c>
      <c r="F1203">
        <v>26</v>
      </c>
      <c r="G1203" t="s">
        <v>4309</v>
      </c>
    </row>
    <row r="1204" spans="1:7">
      <c r="A1204" s="10">
        <v>45482</v>
      </c>
      <c r="B1204">
        <v>2024</v>
      </c>
      <c r="C1204">
        <v>7</v>
      </c>
      <c r="D1204" t="s">
        <v>4297</v>
      </c>
      <c r="E1204">
        <v>3</v>
      </c>
      <c r="F1204">
        <v>9</v>
      </c>
      <c r="G1204" t="s">
        <v>4303</v>
      </c>
    </row>
    <row r="1205" spans="1:7">
      <c r="A1205" s="10">
        <v>45703</v>
      </c>
      <c r="B1205">
        <v>2025</v>
      </c>
      <c r="C1205">
        <v>2</v>
      </c>
      <c r="D1205" t="s">
        <v>4312</v>
      </c>
      <c r="E1205">
        <v>1</v>
      </c>
      <c r="F1205">
        <v>15</v>
      </c>
      <c r="G1205" t="s">
        <v>4298</v>
      </c>
    </row>
    <row r="1206" spans="1:7">
      <c r="A1206" s="10">
        <v>45765</v>
      </c>
      <c r="B1206">
        <v>2025</v>
      </c>
      <c r="C1206">
        <v>4</v>
      </c>
      <c r="D1206" t="s">
        <v>4314</v>
      </c>
      <c r="E1206">
        <v>2</v>
      </c>
      <c r="F1206">
        <v>18</v>
      </c>
      <c r="G1206" t="s">
        <v>4306</v>
      </c>
    </row>
    <row r="1207" spans="1:7">
      <c r="A1207" s="10">
        <v>44991</v>
      </c>
      <c r="B1207">
        <v>2023</v>
      </c>
      <c r="C1207">
        <v>3</v>
      </c>
      <c r="D1207" t="s">
        <v>4311</v>
      </c>
      <c r="E1207">
        <v>1</v>
      </c>
      <c r="F1207">
        <v>6</v>
      </c>
      <c r="G1207" t="s">
        <v>4301</v>
      </c>
    </row>
    <row r="1208" spans="1:7">
      <c r="A1208" s="10">
        <v>45530</v>
      </c>
      <c r="B1208">
        <v>2024</v>
      </c>
      <c r="C1208">
        <v>8</v>
      </c>
      <c r="D1208" t="s">
        <v>4313</v>
      </c>
      <c r="E1208">
        <v>3</v>
      </c>
      <c r="F1208">
        <v>26</v>
      </c>
      <c r="G1208" t="s">
        <v>4301</v>
      </c>
    </row>
    <row r="1209" spans="1:7">
      <c r="A1209" s="10">
        <v>45352</v>
      </c>
      <c r="B1209">
        <v>2024</v>
      </c>
      <c r="C1209">
        <v>3</v>
      </c>
      <c r="D1209" t="s">
        <v>4311</v>
      </c>
      <c r="E1209">
        <v>1</v>
      </c>
      <c r="F1209">
        <v>1</v>
      </c>
      <c r="G1209" t="s">
        <v>4306</v>
      </c>
    </row>
    <row r="1210" spans="1:7">
      <c r="A1210" s="10">
        <v>45444</v>
      </c>
      <c r="B1210">
        <v>2024</v>
      </c>
      <c r="C1210">
        <v>6</v>
      </c>
      <c r="D1210" t="s">
        <v>4310</v>
      </c>
      <c r="E1210">
        <v>2</v>
      </c>
      <c r="F1210">
        <v>1</v>
      </c>
      <c r="G1210" t="s">
        <v>4298</v>
      </c>
    </row>
    <row r="1211" spans="1:7">
      <c r="A1211" s="10">
        <v>45659</v>
      </c>
      <c r="B1211">
        <v>2025</v>
      </c>
      <c r="C1211">
        <v>1</v>
      </c>
      <c r="D1211" t="s">
        <v>4307</v>
      </c>
      <c r="E1211">
        <v>1</v>
      </c>
      <c r="F1211">
        <v>2</v>
      </c>
      <c r="G1211" t="s">
        <v>4300</v>
      </c>
    </row>
    <row r="1212" spans="1:7">
      <c r="A1212" s="10">
        <v>45224</v>
      </c>
      <c r="B1212">
        <v>2023</v>
      </c>
      <c r="C1212">
        <v>10</v>
      </c>
      <c r="D1212" t="s">
        <v>4302</v>
      </c>
      <c r="E1212">
        <v>4</v>
      </c>
      <c r="F1212">
        <v>25</v>
      </c>
      <c r="G1212" t="s">
        <v>4308</v>
      </c>
    </row>
    <row r="1213" spans="1:7">
      <c r="A1213" s="10">
        <v>45195</v>
      </c>
      <c r="B1213">
        <v>2023</v>
      </c>
      <c r="C1213">
        <v>9</v>
      </c>
      <c r="D1213" t="s">
        <v>4304</v>
      </c>
      <c r="E1213">
        <v>3</v>
      </c>
      <c r="F1213">
        <v>26</v>
      </c>
      <c r="G1213" t="s">
        <v>4303</v>
      </c>
    </row>
    <row r="1214" spans="1:7">
      <c r="A1214" s="10">
        <v>45369</v>
      </c>
      <c r="B1214">
        <v>2024</v>
      </c>
      <c r="C1214">
        <v>3</v>
      </c>
      <c r="D1214" t="s">
        <v>4311</v>
      </c>
      <c r="E1214">
        <v>1</v>
      </c>
      <c r="F1214">
        <v>18</v>
      </c>
      <c r="G1214" t="s">
        <v>4301</v>
      </c>
    </row>
    <row r="1215" spans="1:7">
      <c r="A1215" s="10">
        <v>45902</v>
      </c>
      <c r="B1215">
        <v>2025</v>
      </c>
      <c r="C1215">
        <v>9</v>
      </c>
      <c r="D1215" t="s">
        <v>4304</v>
      </c>
      <c r="E1215">
        <v>3</v>
      </c>
      <c r="F1215">
        <v>2</v>
      </c>
      <c r="G1215" t="s">
        <v>4303</v>
      </c>
    </row>
    <row r="1216" spans="1:7">
      <c r="A1216" s="10">
        <v>45254</v>
      </c>
      <c r="B1216">
        <v>2023</v>
      </c>
      <c r="C1216">
        <v>11</v>
      </c>
      <c r="D1216" t="s">
        <v>4315</v>
      </c>
      <c r="E1216">
        <v>4</v>
      </c>
      <c r="F1216">
        <v>24</v>
      </c>
      <c r="G1216" t="s">
        <v>4306</v>
      </c>
    </row>
    <row r="1217" spans="1:7">
      <c r="A1217" s="10">
        <v>45407</v>
      </c>
      <c r="B1217">
        <v>2024</v>
      </c>
      <c r="C1217">
        <v>4</v>
      </c>
      <c r="D1217" t="s">
        <v>4314</v>
      </c>
      <c r="E1217">
        <v>2</v>
      </c>
      <c r="F1217">
        <v>25</v>
      </c>
      <c r="G1217" t="s">
        <v>4300</v>
      </c>
    </row>
    <row r="1218" spans="1:7">
      <c r="A1218" s="10">
        <v>45793</v>
      </c>
      <c r="B1218">
        <v>2025</v>
      </c>
      <c r="C1218">
        <v>5</v>
      </c>
      <c r="D1218" t="s">
        <v>4305</v>
      </c>
      <c r="E1218">
        <v>2</v>
      </c>
      <c r="F1218">
        <v>16</v>
      </c>
      <c r="G1218" t="s">
        <v>4306</v>
      </c>
    </row>
    <row r="1219" spans="1:7">
      <c r="A1219" s="10">
        <v>45202</v>
      </c>
      <c r="B1219">
        <v>2023</v>
      </c>
      <c r="C1219">
        <v>10</v>
      </c>
      <c r="D1219" t="s">
        <v>4302</v>
      </c>
      <c r="E1219">
        <v>4</v>
      </c>
      <c r="F1219">
        <v>3</v>
      </c>
      <c r="G1219" t="s">
        <v>4303</v>
      </c>
    </row>
    <row r="1220" spans="1:7">
      <c r="A1220" s="10">
        <v>45786</v>
      </c>
      <c r="B1220">
        <v>2025</v>
      </c>
      <c r="C1220">
        <v>5</v>
      </c>
      <c r="D1220" t="s">
        <v>4305</v>
      </c>
      <c r="E1220">
        <v>2</v>
      </c>
      <c r="F1220">
        <v>9</v>
      </c>
      <c r="G1220" t="s">
        <v>4306</v>
      </c>
    </row>
    <row r="1221" spans="1:7">
      <c r="A1221" s="10">
        <v>45362</v>
      </c>
      <c r="B1221">
        <v>2024</v>
      </c>
      <c r="C1221">
        <v>3</v>
      </c>
      <c r="D1221" t="s">
        <v>4311</v>
      </c>
      <c r="E1221">
        <v>1</v>
      </c>
      <c r="F1221">
        <v>11</v>
      </c>
      <c r="G1221" t="s">
        <v>4301</v>
      </c>
    </row>
    <row r="1222" spans="1:7">
      <c r="A1222" s="10">
        <v>45888</v>
      </c>
      <c r="B1222">
        <v>2025</v>
      </c>
      <c r="C1222">
        <v>8</v>
      </c>
      <c r="D1222" t="s">
        <v>4313</v>
      </c>
      <c r="E1222">
        <v>3</v>
      </c>
      <c r="F1222">
        <v>19</v>
      </c>
      <c r="G1222" t="s">
        <v>4303</v>
      </c>
    </row>
    <row r="1223" spans="1:7">
      <c r="A1223" s="10">
        <v>44928</v>
      </c>
      <c r="B1223">
        <v>2023</v>
      </c>
      <c r="C1223">
        <v>1</v>
      </c>
      <c r="D1223" t="s">
        <v>4307</v>
      </c>
      <c r="E1223">
        <v>1</v>
      </c>
      <c r="F1223">
        <v>2</v>
      </c>
      <c r="G1223" t="s">
        <v>4301</v>
      </c>
    </row>
    <row r="1224" spans="1:7">
      <c r="A1224" s="10">
        <v>45830</v>
      </c>
      <c r="B1224">
        <v>2025</v>
      </c>
      <c r="C1224">
        <v>6</v>
      </c>
      <c r="D1224" t="s">
        <v>4310</v>
      </c>
      <c r="E1224">
        <v>2</v>
      </c>
      <c r="F1224">
        <v>22</v>
      </c>
      <c r="G1224" t="s">
        <v>4309</v>
      </c>
    </row>
    <row r="1225" spans="1:7">
      <c r="A1225" s="10">
        <v>45865</v>
      </c>
      <c r="B1225">
        <v>2025</v>
      </c>
      <c r="C1225">
        <v>7</v>
      </c>
      <c r="D1225" t="s">
        <v>4297</v>
      </c>
      <c r="E1225">
        <v>3</v>
      </c>
      <c r="F1225">
        <v>27</v>
      </c>
      <c r="G1225" t="s">
        <v>4309</v>
      </c>
    </row>
    <row r="1226" spans="1:7">
      <c r="A1226" s="10">
        <v>45351</v>
      </c>
      <c r="B1226">
        <v>2024</v>
      </c>
      <c r="C1226">
        <v>2</v>
      </c>
      <c r="D1226" t="s">
        <v>4312</v>
      </c>
      <c r="E1226">
        <v>1</v>
      </c>
      <c r="F1226">
        <v>29</v>
      </c>
      <c r="G1226" t="s">
        <v>4300</v>
      </c>
    </row>
    <row r="1227" spans="1:7">
      <c r="A1227" s="10">
        <v>45671</v>
      </c>
      <c r="B1227">
        <v>2025</v>
      </c>
      <c r="C1227">
        <v>1</v>
      </c>
      <c r="D1227" t="s">
        <v>4307</v>
      </c>
      <c r="E1227">
        <v>1</v>
      </c>
      <c r="F1227">
        <v>14</v>
      </c>
      <c r="G1227" t="s">
        <v>4303</v>
      </c>
    </row>
    <row r="1228" spans="1:7">
      <c r="A1228" s="10">
        <v>45734</v>
      </c>
      <c r="B1228">
        <v>2025</v>
      </c>
      <c r="C1228">
        <v>3</v>
      </c>
      <c r="D1228" t="s">
        <v>4311</v>
      </c>
      <c r="E1228">
        <v>1</v>
      </c>
      <c r="F1228">
        <v>18</v>
      </c>
      <c r="G1228" t="s">
        <v>4303</v>
      </c>
    </row>
    <row r="1229" spans="1:7">
      <c r="A1229" s="10">
        <v>45884</v>
      </c>
      <c r="B1229">
        <v>2025</v>
      </c>
      <c r="C1229">
        <v>8</v>
      </c>
      <c r="D1229" t="s">
        <v>4313</v>
      </c>
      <c r="E1229">
        <v>3</v>
      </c>
      <c r="F1229">
        <v>15</v>
      </c>
      <c r="G1229" t="s">
        <v>4306</v>
      </c>
    </row>
    <row r="1230" spans="1:7">
      <c r="A1230" s="10">
        <v>44970</v>
      </c>
      <c r="B1230">
        <v>2023</v>
      </c>
      <c r="C1230">
        <v>2</v>
      </c>
      <c r="D1230" t="s">
        <v>4312</v>
      </c>
      <c r="E1230">
        <v>1</v>
      </c>
      <c r="F1230">
        <v>13</v>
      </c>
      <c r="G1230" t="s">
        <v>4301</v>
      </c>
    </row>
    <row r="1231" spans="1:7">
      <c r="A1231" s="10">
        <v>45482</v>
      </c>
      <c r="B1231">
        <v>2024</v>
      </c>
      <c r="C1231">
        <v>7</v>
      </c>
      <c r="D1231" t="s">
        <v>4297</v>
      </c>
      <c r="E1231">
        <v>3</v>
      </c>
      <c r="F1231">
        <v>9</v>
      </c>
      <c r="G1231" t="s">
        <v>4303</v>
      </c>
    </row>
    <row r="1232" spans="1:7">
      <c r="A1232" s="10">
        <v>45796</v>
      </c>
      <c r="B1232">
        <v>2025</v>
      </c>
      <c r="C1232">
        <v>5</v>
      </c>
      <c r="D1232" t="s">
        <v>4305</v>
      </c>
      <c r="E1232">
        <v>2</v>
      </c>
      <c r="F1232">
        <v>19</v>
      </c>
      <c r="G1232" t="s">
        <v>4301</v>
      </c>
    </row>
    <row r="1233" spans="1:7">
      <c r="A1233" s="10">
        <v>45567</v>
      </c>
      <c r="B1233">
        <v>2024</v>
      </c>
      <c r="C1233">
        <v>10</v>
      </c>
      <c r="D1233" t="s">
        <v>4302</v>
      </c>
      <c r="E1233">
        <v>4</v>
      </c>
      <c r="F1233">
        <v>2</v>
      </c>
      <c r="G1233" t="s">
        <v>4308</v>
      </c>
    </row>
    <row r="1234" spans="1:7">
      <c r="A1234" s="10">
        <v>45361</v>
      </c>
      <c r="B1234">
        <v>2024</v>
      </c>
      <c r="C1234">
        <v>3</v>
      </c>
      <c r="D1234" t="s">
        <v>4311</v>
      </c>
      <c r="E1234">
        <v>1</v>
      </c>
      <c r="F1234">
        <v>10</v>
      </c>
      <c r="G1234" t="s">
        <v>4309</v>
      </c>
    </row>
    <row r="1235" spans="1:7">
      <c r="A1235" s="10">
        <v>45682</v>
      </c>
      <c r="B1235">
        <v>2025</v>
      </c>
      <c r="C1235">
        <v>1</v>
      </c>
      <c r="D1235" t="s">
        <v>4307</v>
      </c>
      <c r="E1235">
        <v>1</v>
      </c>
      <c r="F1235">
        <v>25</v>
      </c>
      <c r="G1235" t="s">
        <v>4298</v>
      </c>
    </row>
    <row r="1236" spans="1:7">
      <c r="A1236" s="10">
        <v>45378</v>
      </c>
      <c r="B1236">
        <v>2024</v>
      </c>
      <c r="C1236">
        <v>3</v>
      </c>
      <c r="D1236" t="s">
        <v>4311</v>
      </c>
      <c r="E1236">
        <v>1</v>
      </c>
      <c r="F1236">
        <v>27</v>
      </c>
      <c r="G1236" t="s">
        <v>4308</v>
      </c>
    </row>
    <row r="1237" spans="1:7">
      <c r="A1237" s="10">
        <v>45031</v>
      </c>
      <c r="B1237">
        <v>2023</v>
      </c>
      <c r="C1237">
        <v>4</v>
      </c>
      <c r="D1237" t="s">
        <v>4314</v>
      </c>
      <c r="E1237">
        <v>2</v>
      </c>
      <c r="F1237">
        <v>15</v>
      </c>
      <c r="G1237" t="s">
        <v>4298</v>
      </c>
    </row>
    <row r="1238" spans="1:7">
      <c r="A1238" s="10">
        <v>45151</v>
      </c>
      <c r="B1238">
        <v>2023</v>
      </c>
      <c r="C1238">
        <v>8</v>
      </c>
      <c r="D1238" t="s">
        <v>4313</v>
      </c>
      <c r="E1238">
        <v>3</v>
      </c>
      <c r="F1238">
        <v>13</v>
      </c>
      <c r="G1238" t="s">
        <v>4309</v>
      </c>
    </row>
    <row r="1239" spans="1:7">
      <c r="A1239" s="10">
        <v>45733</v>
      </c>
      <c r="B1239">
        <v>2025</v>
      </c>
      <c r="C1239">
        <v>3</v>
      </c>
      <c r="D1239" t="s">
        <v>4311</v>
      </c>
      <c r="E1239">
        <v>1</v>
      </c>
      <c r="F1239">
        <v>17</v>
      </c>
      <c r="G1239" t="s">
        <v>4301</v>
      </c>
    </row>
    <row r="1240" spans="1:7">
      <c r="A1240" s="10">
        <v>45581</v>
      </c>
      <c r="B1240">
        <v>2024</v>
      </c>
      <c r="C1240">
        <v>10</v>
      </c>
      <c r="D1240" t="s">
        <v>4302</v>
      </c>
      <c r="E1240">
        <v>4</v>
      </c>
      <c r="F1240">
        <v>16</v>
      </c>
      <c r="G1240" t="s">
        <v>4308</v>
      </c>
    </row>
    <row r="1241" spans="1:7">
      <c r="A1241" s="10">
        <v>45421</v>
      </c>
      <c r="B1241">
        <v>2024</v>
      </c>
      <c r="C1241">
        <v>5</v>
      </c>
      <c r="D1241" t="s">
        <v>4305</v>
      </c>
      <c r="E1241">
        <v>2</v>
      </c>
      <c r="F1241">
        <v>9</v>
      </c>
      <c r="G1241" t="s">
        <v>4300</v>
      </c>
    </row>
    <row r="1242" spans="1:7">
      <c r="A1242" s="10">
        <v>45718</v>
      </c>
      <c r="B1242">
        <v>2025</v>
      </c>
      <c r="C1242">
        <v>3</v>
      </c>
      <c r="D1242" t="s">
        <v>4311</v>
      </c>
      <c r="E1242">
        <v>1</v>
      </c>
      <c r="F1242">
        <v>2</v>
      </c>
      <c r="G1242" t="s">
        <v>4309</v>
      </c>
    </row>
    <row r="1243" spans="1:7">
      <c r="A1243" s="10">
        <v>45482</v>
      </c>
      <c r="B1243">
        <v>2024</v>
      </c>
      <c r="C1243">
        <v>7</v>
      </c>
      <c r="D1243" t="s">
        <v>4297</v>
      </c>
      <c r="E1243">
        <v>3</v>
      </c>
      <c r="F1243">
        <v>9</v>
      </c>
      <c r="G1243" t="s">
        <v>4303</v>
      </c>
    </row>
    <row r="1244" spans="1:7">
      <c r="A1244" s="10">
        <v>45683</v>
      </c>
      <c r="B1244">
        <v>2025</v>
      </c>
      <c r="C1244">
        <v>1</v>
      </c>
      <c r="D1244" t="s">
        <v>4307</v>
      </c>
      <c r="E1244">
        <v>1</v>
      </c>
      <c r="F1244">
        <v>26</v>
      </c>
      <c r="G1244" t="s">
        <v>4309</v>
      </c>
    </row>
    <row r="1245" spans="1:7">
      <c r="A1245" s="10">
        <v>45548</v>
      </c>
      <c r="B1245">
        <v>2024</v>
      </c>
      <c r="C1245">
        <v>9</v>
      </c>
      <c r="D1245" t="s">
        <v>4304</v>
      </c>
      <c r="E1245">
        <v>3</v>
      </c>
      <c r="F1245">
        <v>13</v>
      </c>
      <c r="G1245" t="s">
        <v>4306</v>
      </c>
    </row>
    <row r="1246" spans="1:7">
      <c r="A1246" s="10">
        <v>45844</v>
      </c>
      <c r="B1246">
        <v>2025</v>
      </c>
      <c r="C1246">
        <v>7</v>
      </c>
      <c r="D1246" t="s">
        <v>4297</v>
      </c>
      <c r="E1246">
        <v>3</v>
      </c>
      <c r="F1246">
        <v>6</v>
      </c>
      <c r="G1246" t="s">
        <v>4309</v>
      </c>
    </row>
    <row r="1247" spans="1:7">
      <c r="A1247" s="10">
        <v>45702</v>
      </c>
      <c r="B1247">
        <v>2025</v>
      </c>
      <c r="C1247">
        <v>2</v>
      </c>
      <c r="D1247" t="s">
        <v>4312</v>
      </c>
      <c r="E1247">
        <v>1</v>
      </c>
      <c r="F1247">
        <v>14</v>
      </c>
      <c r="G1247" t="s">
        <v>4306</v>
      </c>
    </row>
    <row r="1248" spans="1:7">
      <c r="A1248" s="10">
        <v>45486</v>
      </c>
      <c r="B1248">
        <v>2024</v>
      </c>
      <c r="C1248">
        <v>7</v>
      </c>
      <c r="D1248" t="s">
        <v>4297</v>
      </c>
      <c r="E1248">
        <v>3</v>
      </c>
      <c r="F1248">
        <v>13</v>
      </c>
      <c r="G1248" t="s">
        <v>4298</v>
      </c>
    </row>
    <row r="1249" spans="1:7">
      <c r="A1249" s="10">
        <v>45716</v>
      </c>
      <c r="B1249">
        <v>2025</v>
      </c>
      <c r="C1249">
        <v>2</v>
      </c>
      <c r="D1249" t="s">
        <v>4312</v>
      </c>
      <c r="E1249">
        <v>1</v>
      </c>
      <c r="F1249">
        <v>28</v>
      </c>
      <c r="G1249" t="s">
        <v>4306</v>
      </c>
    </row>
    <row r="1250" spans="1:7">
      <c r="A1250" s="10">
        <v>45310</v>
      </c>
      <c r="B1250">
        <v>2024</v>
      </c>
      <c r="C1250">
        <v>1</v>
      </c>
      <c r="D1250" t="s">
        <v>4307</v>
      </c>
      <c r="E1250">
        <v>1</v>
      </c>
      <c r="F1250">
        <v>19</v>
      </c>
      <c r="G1250" t="s">
        <v>4306</v>
      </c>
    </row>
    <row r="1251" spans="1:7">
      <c r="A1251" s="10">
        <v>45482</v>
      </c>
      <c r="B1251">
        <v>2024</v>
      </c>
      <c r="C1251">
        <v>7</v>
      </c>
      <c r="D1251" t="s">
        <v>4297</v>
      </c>
      <c r="E1251">
        <v>3</v>
      </c>
      <c r="F1251">
        <v>9</v>
      </c>
      <c r="G1251" t="s">
        <v>4303</v>
      </c>
    </row>
    <row r="1252" spans="1:7">
      <c r="A1252" s="10">
        <v>45991</v>
      </c>
      <c r="B1252">
        <v>2025</v>
      </c>
      <c r="C1252">
        <v>11</v>
      </c>
      <c r="D1252" t="s">
        <v>4315</v>
      </c>
      <c r="E1252">
        <v>4</v>
      </c>
      <c r="F1252">
        <v>30</v>
      </c>
      <c r="G1252" t="s">
        <v>4309</v>
      </c>
    </row>
    <row r="1253" spans="1:7">
      <c r="A1253" s="10">
        <v>45014</v>
      </c>
      <c r="B1253">
        <v>2023</v>
      </c>
      <c r="C1253">
        <v>3</v>
      </c>
      <c r="D1253" t="s">
        <v>4311</v>
      </c>
      <c r="E1253">
        <v>1</v>
      </c>
      <c r="F1253">
        <v>29</v>
      </c>
      <c r="G1253" t="s">
        <v>4308</v>
      </c>
    </row>
    <row r="1254" spans="1:7">
      <c r="A1254" s="10">
        <v>45609</v>
      </c>
      <c r="B1254">
        <v>2024</v>
      </c>
      <c r="C1254">
        <v>11</v>
      </c>
      <c r="D1254" t="s">
        <v>4315</v>
      </c>
      <c r="E1254">
        <v>4</v>
      </c>
      <c r="F1254">
        <v>13</v>
      </c>
      <c r="G1254" t="s">
        <v>4308</v>
      </c>
    </row>
    <row r="1255" spans="1:7">
      <c r="A1255" s="10">
        <v>45954</v>
      </c>
      <c r="B1255">
        <v>2025</v>
      </c>
      <c r="C1255">
        <v>10</v>
      </c>
      <c r="D1255" t="s">
        <v>4302</v>
      </c>
      <c r="E1255">
        <v>4</v>
      </c>
      <c r="F1255">
        <v>24</v>
      </c>
      <c r="G1255" t="s">
        <v>4306</v>
      </c>
    </row>
    <row r="1256" spans="1:7">
      <c r="A1256" s="10">
        <v>45269</v>
      </c>
      <c r="B1256">
        <v>2023</v>
      </c>
      <c r="C1256">
        <v>12</v>
      </c>
      <c r="D1256" t="s">
        <v>4299</v>
      </c>
      <c r="E1256">
        <v>4</v>
      </c>
      <c r="F1256">
        <v>9</v>
      </c>
      <c r="G1256" t="s">
        <v>4298</v>
      </c>
    </row>
    <row r="1257" spans="1:7">
      <c r="A1257" s="10">
        <v>45748</v>
      </c>
      <c r="B1257">
        <v>2025</v>
      </c>
      <c r="C1257">
        <v>4</v>
      </c>
      <c r="D1257" t="s">
        <v>4314</v>
      </c>
      <c r="E1257">
        <v>2</v>
      </c>
      <c r="F1257">
        <v>1</v>
      </c>
      <c r="G1257" t="s">
        <v>4303</v>
      </c>
    </row>
    <row r="1258" spans="1:7">
      <c r="A1258" s="10">
        <v>45431</v>
      </c>
      <c r="B1258">
        <v>2024</v>
      </c>
      <c r="C1258">
        <v>5</v>
      </c>
      <c r="D1258" t="s">
        <v>4305</v>
      </c>
      <c r="E1258">
        <v>2</v>
      </c>
      <c r="F1258">
        <v>19</v>
      </c>
      <c r="G1258" t="s">
        <v>4309</v>
      </c>
    </row>
    <row r="1259" spans="1:7">
      <c r="A1259" s="10">
        <v>45916</v>
      </c>
      <c r="B1259">
        <v>2025</v>
      </c>
      <c r="C1259">
        <v>9</v>
      </c>
      <c r="D1259" t="s">
        <v>4304</v>
      </c>
      <c r="E1259">
        <v>3</v>
      </c>
      <c r="F1259">
        <v>16</v>
      </c>
      <c r="G1259" t="s">
        <v>4303</v>
      </c>
    </row>
    <row r="1260" spans="1:7">
      <c r="A1260" s="10">
        <v>45955</v>
      </c>
      <c r="B1260">
        <v>2025</v>
      </c>
      <c r="C1260">
        <v>10</v>
      </c>
      <c r="D1260" t="s">
        <v>4302</v>
      </c>
      <c r="E1260">
        <v>4</v>
      </c>
      <c r="F1260">
        <v>25</v>
      </c>
      <c r="G1260" t="s">
        <v>4298</v>
      </c>
    </row>
    <row r="1261" spans="1:7">
      <c r="A1261" s="10">
        <v>45731</v>
      </c>
      <c r="B1261">
        <v>2025</v>
      </c>
      <c r="C1261">
        <v>3</v>
      </c>
      <c r="D1261" t="s">
        <v>4311</v>
      </c>
      <c r="E1261">
        <v>1</v>
      </c>
      <c r="F1261">
        <v>15</v>
      </c>
      <c r="G1261" t="s">
        <v>4298</v>
      </c>
    </row>
    <row r="1262" spans="1:7">
      <c r="A1262" s="10">
        <v>45463</v>
      </c>
      <c r="B1262">
        <v>2024</v>
      </c>
      <c r="C1262">
        <v>6</v>
      </c>
      <c r="D1262" t="s">
        <v>4310</v>
      </c>
      <c r="E1262">
        <v>2</v>
      </c>
      <c r="F1262">
        <v>20</v>
      </c>
      <c r="G1262" t="s">
        <v>4300</v>
      </c>
    </row>
    <row r="1263" spans="1:7">
      <c r="A1263" s="10">
        <v>45099</v>
      </c>
      <c r="B1263">
        <v>2023</v>
      </c>
      <c r="C1263">
        <v>6</v>
      </c>
      <c r="D1263" t="s">
        <v>4310</v>
      </c>
      <c r="E1263">
        <v>2</v>
      </c>
      <c r="F1263">
        <v>22</v>
      </c>
      <c r="G1263" t="s">
        <v>4300</v>
      </c>
    </row>
    <row r="1264" spans="1:7">
      <c r="A1264" s="10">
        <v>45442</v>
      </c>
      <c r="B1264">
        <v>2024</v>
      </c>
      <c r="C1264">
        <v>5</v>
      </c>
      <c r="D1264" t="s">
        <v>4305</v>
      </c>
      <c r="E1264">
        <v>2</v>
      </c>
      <c r="F1264">
        <v>30</v>
      </c>
      <c r="G1264" t="s">
        <v>4300</v>
      </c>
    </row>
    <row r="1265" spans="1:7">
      <c r="A1265" s="10">
        <v>45026</v>
      </c>
      <c r="B1265">
        <v>2023</v>
      </c>
      <c r="C1265">
        <v>4</v>
      </c>
      <c r="D1265" t="s">
        <v>4314</v>
      </c>
      <c r="E1265">
        <v>2</v>
      </c>
      <c r="F1265">
        <v>10</v>
      </c>
      <c r="G1265" t="s">
        <v>4301</v>
      </c>
    </row>
    <row r="1266" spans="1:7">
      <c r="A1266" s="10">
        <v>45724</v>
      </c>
      <c r="B1266">
        <v>2025</v>
      </c>
      <c r="C1266">
        <v>3</v>
      </c>
      <c r="D1266" t="s">
        <v>4311</v>
      </c>
      <c r="E1266">
        <v>1</v>
      </c>
      <c r="F1266">
        <v>8</v>
      </c>
      <c r="G1266" t="s">
        <v>4298</v>
      </c>
    </row>
    <row r="1267" spans="1:7">
      <c r="A1267" s="10">
        <v>44930</v>
      </c>
      <c r="B1267">
        <v>2023</v>
      </c>
      <c r="C1267">
        <v>1</v>
      </c>
      <c r="D1267" t="s">
        <v>4307</v>
      </c>
      <c r="E1267">
        <v>1</v>
      </c>
      <c r="F1267">
        <v>4</v>
      </c>
      <c r="G1267" t="s">
        <v>4308</v>
      </c>
    </row>
    <row r="1268" spans="1:7">
      <c r="A1268" s="10">
        <v>45854</v>
      </c>
      <c r="B1268">
        <v>2025</v>
      </c>
      <c r="C1268">
        <v>7</v>
      </c>
      <c r="D1268" t="s">
        <v>4297</v>
      </c>
      <c r="E1268">
        <v>3</v>
      </c>
      <c r="F1268">
        <v>16</v>
      </c>
      <c r="G1268" t="s">
        <v>4308</v>
      </c>
    </row>
    <row r="1269" spans="1:7">
      <c r="A1269" s="10">
        <v>45862</v>
      </c>
      <c r="B1269">
        <v>2025</v>
      </c>
      <c r="C1269">
        <v>7</v>
      </c>
      <c r="D1269" t="s">
        <v>4297</v>
      </c>
      <c r="E1269">
        <v>3</v>
      </c>
      <c r="F1269">
        <v>24</v>
      </c>
      <c r="G1269" t="s">
        <v>4300</v>
      </c>
    </row>
    <row r="1270" spans="1:7">
      <c r="A1270" s="10">
        <v>45138</v>
      </c>
      <c r="B1270">
        <v>2023</v>
      </c>
      <c r="C1270">
        <v>7</v>
      </c>
      <c r="D1270" t="s">
        <v>4297</v>
      </c>
      <c r="E1270">
        <v>3</v>
      </c>
      <c r="F1270">
        <v>31</v>
      </c>
      <c r="G1270" t="s">
        <v>4301</v>
      </c>
    </row>
    <row r="1271" spans="1:7">
      <c r="A1271" s="10">
        <v>45278</v>
      </c>
      <c r="B1271">
        <v>2023</v>
      </c>
      <c r="C1271">
        <v>12</v>
      </c>
      <c r="D1271" t="s">
        <v>4299</v>
      </c>
      <c r="E1271">
        <v>4</v>
      </c>
      <c r="F1271">
        <v>18</v>
      </c>
      <c r="G1271" t="s">
        <v>4301</v>
      </c>
    </row>
    <row r="1272" spans="1:7">
      <c r="A1272" s="10">
        <v>45604</v>
      </c>
      <c r="B1272">
        <v>2024</v>
      </c>
      <c r="C1272">
        <v>11</v>
      </c>
      <c r="D1272" t="s">
        <v>4315</v>
      </c>
      <c r="E1272">
        <v>4</v>
      </c>
      <c r="F1272">
        <v>8</v>
      </c>
      <c r="G1272" t="s">
        <v>4306</v>
      </c>
    </row>
    <row r="1273" spans="1:7">
      <c r="A1273" s="10">
        <v>45274</v>
      </c>
      <c r="B1273">
        <v>2023</v>
      </c>
      <c r="C1273">
        <v>12</v>
      </c>
      <c r="D1273" t="s">
        <v>4299</v>
      </c>
      <c r="E1273">
        <v>4</v>
      </c>
      <c r="F1273">
        <v>14</v>
      </c>
      <c r="G1273" t="s">
        <v>4300</v>
      </c>
    </row>
    <row r="1274" spans="1:7">
      <c r="A1274" s="10">
        <v>45110</v>
      </c>
      <c r="B1274">
        <v>2023</v>
      </c>
      <c r="C1274">
        <v>7</v>
      </c>
      <c r="D1274" t="s">
        <v>4297</v>
      </c>
      <c r="E1274">
        <v>3</v>
      </c>
      <c r="F1274">
        <v>3</v>
      </c>
      <c r="G1274" t="s">
        <v>4301</v>
      </c>
    </row>
    <row r="1275" spans="1:7">
      <c r="A1275" s="10">
        <v>45482</v>
      </c>
      <c r="B1275">
        <v>2024</v>
      </c>
      <c r="C1275">
        <v>7</v>
      </c>
      <c r="D1275" t="s">
        <v>4297</v>
      </c>
      <c r="E1275">
        <v>3</v>
      </c>
      <c r="F1275">
        <v>9</v>
      </c>
      <c r="G1275" t="s">
        <v>4303</v>
      </c>
    </row>
    <row r="1276" spans="1:7">
      <c r="A1276" s="10">
        <v>45482</v>
      </c>
      <c r="B1276">
        <v>2024</v>
      </c>
      <c r="C1276">
        <v>7</v>
      </c>
      <c r="D1276" t="s">
        <v>4297</v>
      </c>
      <c r="E1276">
        <v>3</v>
      </c>
      <c r="F1276">
        <v>9</v>
      </c>
      <c r="G1276" t="s">
        <v>4303</v>
      </c>
    </row>
    <row r="1277" spans="1:7">
      <c r="A1277" s="10">
        <v>45773</v>
      </c>
      <c r="B1277">
        <v>2025</v>
      </c>
      <c r="C1277">
        <v>4</v>
      </c>
      <c r="D1277" t="s">
        <v>4314</v>
      </c>
      <c r="E1277">
        <v>2</v>
      </c>
      <c r="F1277">
        <v>26</v>
      </c>
      <c r="G1277" t="s">
        <v>4298</v>
      </c>
    </row>
    <row r="1278" spans="1:7">
      <c r="A1278" s="10">
        <v>45345</v>
      </c>
      <c r="B1278">
        <v>2024</v>
      </c>
      <c r="C1278">
        <v>2</v>
      </c>
      <c r="D1278" t="s">
        <v>4312</v>
      </c>
      <c r="E1278">
        <v>1</v>
      </c>
      <c r="F1278">
        <v>23</v>
      </c>
      <c r="G1278" t="s">
        <v>4306</v>
      </c>
    </row>
    <row r="1279" spans="1:7">
      <c r="A1279" s="10">
        <v>45716</v>
      </c>
      <c r="B1279">
        <v>2025</v>
      </c>
      <c r="C1279">
        <v>2</v>
      </c>
      <c r="D1279" t="s">
        <v>4312</v>
      </c>
      <c r="E1279">
        <v>1</v>
      </c>
      <c r="F1279">
        <v>28</v>
      </c>
      <c r="G1279" t="s">
        <v>4306</v>
      </c>
    </row>
    <row r="1280" spans="1:7">
      <c r="A1280" s="10">
        <v>44995</v>
      </c>
      <c r="B1280">
        <v>2023</v>
      </c>
      <c r="C1280">
        <v>3</v>
      </c>
      <c r="D1280" t="s">
        <v>4311</v>
      </c>
      <c r="E1280">
        <v>1</v>
      </c>
      <c r="F1280">
        <v>10</v>
      </c>
      <c r="G1280" t="s">
        <v>4306</v>
      </c>
    </row>
    <row r="1281" spans="1:7">
      <c r="A1281" s="10">
        <v>45492</v>
      </c>
      <c r="B1281">
        <v>2024</v>
      </c>
      <c r="C1281">
        <v>7</v>
      </c>
      <c r="D1281" t="s">
        <v>4297</v>
      </c>
      <c r="E1281">
        <v>3</v>
      </c>
      <c r="F1281">
        <v>19</v>
      </c>
      <c r="G1281" t="s">
        <v>4306</v>
      </c>
    </row>
    <row r="1282" spans="1:7">
      <c r="A1282" s="10">
        <v>45636</v>
      </c>
      <c r="B1282">
        <v>2024</v>
      </c>
      <c r="C1282">
        <v>12</v>
      </c>
      <c r="D1282" t="s">
        <v>4299</v>
      </c>
      <c r="E1282">
        <v>4</v>
      </c>
      <c r="F1282">
        <v>10</v>
      </c>
      <c r="G1282" t="s">
        <v>4303</v>
      </c>
    </row>
    <row r="1283" spans="1:7">
      <c r="A1283" s="10">
        <v>45435</v>
      </c>
      <c r="B1283">
        <v>2024</v>
      </c>
      <c r="C1283">
        <v>5</v>
      </c>
      <c r="D1283" t="s">
        <v>4305</v>
      </c>
      <c r="E1283">
        <v>2</v>
      </c>
      <c r="F1283">
        <v>23</v>
      </c>
      <c r="G1283" t="s">
        <v>4300</v>
      </c>
    </row>
    <row r="1284" spans="1:7">
      <c r="A1284" s="10">
        <v>45033</v>
      </c>
      <c r="B1284">
        <v>2023</v>
      </c>
      <c r="C1284">
        <v>4</v>
      </c>
      <c r="D1284" t="s">
        <v>4314</v>
      </c>
      <c r="E1284">
        <v>2</v>
      </c>
      <c r="F1284">
        <v>17</v>
      </c>
      <c r="G1284" t="s">
        <v>4301</v>
      </c>
    </row>
    <row r="1285" spans="1:7">
      <c r="A1285" s="10">
        <v>45773</v>
      </c>
      <c r="B1285">
        <v>2025</v>
      </c>
      <c r="C1285">
        <v>4</v>
      </c>
      <c r="D1285" t="s">
        <v>4314</v>
      </c>
      <c r="E1285">
        <v>2</v>
      </c>
      <c r="F1285">
        <v>26</v>
      </c>
      <c r="G1285" t="s">
        <v>4298</v>
      </c>
    </row>
    <row r="1286" spans="1:7">
      <c r="A1286" s="10">
        <v>45482</v>
      </c>
      <c r="B1286">
        <v>2024</v>
      </c>
      <c r="C1286">
        <v>7</v>
      </c>
      <c r="D1286" t="s">
        <v>4297</v>
      </c>
      <c r="E1286">
        <v>3</v>
      </c>
      <c r="F1286">
        <v>9</v>
      </c>
      <c r="G1286" t="s">
        <v>4303</v>
      </c>
    </row>
    <row r="1287" spans="1:7">
      <c r="A1287" s="10">
        <v>44947</v>
      </c>
      <c r="B1287">
        <v>2023</v>
      </c>
      <c r="C1287">
        <v>1</v>
      </c>
      <c r="D1287" t="s">
        <v>4307</v>
      </c>
      <c r="E1287">
        <v>1</v>
      </c>
      <c r="F1287">
        <v>21</v>
      </c>
      <c r="G1287" t="s">
        <v>4298</v>
      </c>
    </row>
    <row r="1288" spans="1:7">
      <c r="A1288" s="10">
        <v>45993</v>
      </c>
      <c r="B1288">
        <v>2025</v>
      </c>
      <c r="C1288">
        <v>12</v>
      </c>
      <c r="D1288" t="s">
        <v>4299</v>
      </c>
      <c r="E1288">
        <v>4</v>
      </c>
      <c r="F1288">
        <v>2</v>
      </c>
      <c r="G1288" t="s">
        <v>4303</v>
      </c>
    </row>
    <row r="1289" spans="1:7">
      <c r="A1289" s="10">
        <v>45981</v>
      </c>
      <c r="B1289">
        <v>2025</v>
      </c>
      <c r="C1289">
        <v>11</v>
      </c>
      <c r="D1289" t="s">
        <v>4315</v>
      </c>
      <c r="E1289">
        <v>4</v>
      </c>
      <c r="F1289">
        <v>20</v>
      </c>
      <c r="G1289" t="s">
        <v>4300</v>
      </c>
    </row>
    <row r="1290" spans="1:7">
      <c r="A1290" s="10">
        <v>45728</v>
      </c>
      <c r="B1290">
        <v>2025</v>
      </c>
      <c r="C1290">
        <v>3</v>
      </c>
      <c r="D1290" t="s">
        <v>4311</v>
      </c>
      <c r="E1290">
        <v>1</v>
      </c>
      <c r="F1290">
        <v>12</v>
      </c>
      <c r="G1290" t="s">
        <v>4308</v>
      </c>
    </row>
    <row r="1291" spans="1:7">
      <c r="A1291" s="10">
        <v>45332</v>
      </c>
      <c r="B1291">
        <v>2024</v>
      </c>
      <c r="C1291">
        <v>2</v>
      </c>
      <c r="D1291" t="s">
        <v>4312</v>
      </c>
      <c r="E1291">
        <v>1</v>
      </c>
      <c r="F1291">
        <v>10</v>
      </c>
      <c r="G1291" t="s">
        <v>4298</v>
      </c>
    </row>
    <row r="1292" spans="1:7">
      <c r="A1292" s="10">
        <v>45074</v>
      </c>
      <c r="B1292">
        <v>2023</v>
      </c>
      <c r="C1292">
        <v>5</v>
      </c>
      <c r="D1292" t="s">
        <v>4305</v>
      </c>
      <c r="E1292">
        <v>2</v>
      </c>
      <c r="F1292">
        <v>28</v>
      </c>
      <c r="G1292" t="s">
        <v>4309</v>
      </c>
    </row>
    <row r="1293" spans="1:7">
      <c r="A1293" s="10">
        <v>45598</v>
      </c>
      <c r="B1293">
        <v>2024</v>
      </c>
      <c r="C1293">
        <v>11</v>
      </c>
      <c r="D1293" t="s">
        <v>4315</v>
      </c>
      <c r="E1293">
        <v>4</v>
      </c>
      <c r="F1293">
        <v>2</v>
      </c>
      <c r="G1293" t="s">
        <v>4298</v>
      </c>
    </row>
    <row r="1294" spans="1:7">
      <c r="A1294" s="10">
        <v>45112</v>
      </c>
      <c r="B1294">
        <v>2023</v>
      </c>
      <c r="C1294">
        <v>7</v>
      </c>
      <c r="D1294" t="s">
        <v>4297</v>
      </c>
      <c r="E1294">
        <v>3</v>
      </c>
      <c r="F1294">
        <v>5</v>
      </c>
      <c r="G1294" t="s">
        <v>4308</v>
      </c>
    </row>
    <row r="1295" spans="1:7">
      <c r="A1295" s="10">
        <v>45824</v>
      </c>
      <c r="B1295">
        <v>2025</v>
      </c>
      <c r="C1295">
        <v>6</v>
      </c>
      <c r="D1295" t="s">
        <v>4310</v>
      </c>
      <c r="E1295">
        <v>2</v>
      </c>
      <c r="F1295">
        <v>16</v>
      </c>
      <c r="G1295" t="s">
        <v>4301</v>
      </c>
    </row>
    <row r="1296" spans="1:7">
      <c r="A1296" s="10">
        <v>45133</v>
      </c>
      <c r="B1296">
        <v>2023</v>
      </c>
      <c r="C1296">
        <v>7</v>
      </c>
      <c r="D1296" t="s">
        <v>4297</v>
      </c>
      <c r="E1296">
        <v>3</v>
      </c>
      <c r="F1296">
        <v>26</v>
      </c>
      <c r="G1296" t="s">
        <v>4308</v>
      </c>
    </row>
    <row r="1297" spans="1:7">
      <c r="A1297" s="10">
        <v>45651</v>
      </c>
      <c r="B1297">
        <v>2024</v>
      </c>
      <c r="C1297">
        <v>12</v>
      </c>
      <c r="D1297" t="s">
        <v>4299</v>
      </c>
      <c r="E1297">
        <v>4</v>
      </c>
      <c r="F1297">
        <v>25</v>
      </c>
      <c r="G1297" t="s">
        <v>4308</v>
      </c>
    </row>
    <row r="1298" spans="1:7">
      <c r="A1298" s="10">
        <v>45482</v>
      </c>
      <c r="B1298">
        <v>2024</v>
      </c>
      <c r="C1298">
        <v>7</v>
      </c>
      <c r="D1298" t="s">
        <v>4297</v>
      </c>
      <c r="E1298">
        <v>3</v>
      </c>
      <c r="F1298">
        <v>9</v>
      </c>
      <c r="G1298" t="s">
        <v>4303</v>
      </c>
    </row>
    <row r="1299" spans="1:7">
      <c r="A1299" s="10">
        <v>45701</v>
      </c>
      <c r="B1299">
        <v>2025</v>
      </c>
      <c r="C1299">
        <v>2</v>
      </c>
      <c r="D1299" t="s">
        <v>4312</v>
      </c>
      <c r="E1299">
        <v>1</v>
      </c>
      <c r="F1299">
        <v>13</v>
      </c>
      <c r="G1299" t="s">
        <v>4300</v>
      </c>
    </row>
    <row r="1300" spans="1:7">
      <c r="A1300" s="10">
        <v>45474</v>
      </c>
      <c r="B1300">
        <v>2024</v>
      </c>
      <c r="C1300">
        <v>7</v>
      </c>
      <c r="D1300" t="s">
        <v>4297</v>
      </c>
      <c r="E1300">
        <v>3</v>
      </c>
      <c r="F1300">
        <v>1</v>
      </c>
      <c r="G1300" t="s">
        <v>4301</v>
      </c>
    </row>
    <row r="1301" spans="1:7">
      <c r="A1301" s="10">
        <v>45482</v>
      </c>
      <c r="B1301">
        <v>2024</v>
      </c>
      <c r="C1301">
        <v>7</v>
      </c>
      <c r="D1301" t="s">
        <v>4297</v>
      </c>
      <c r="E1301">
        <v>3</v>
      </c>
      <c r="F1301">
        <v>9</v>
      </c>
      <c r="G1301" t="s">
        <v>4303</v>
      </c>
    </row>
    <row r="1302" spans="1:7">
      <c r="A1302" s="10">
        <v>45142</v>
      </c>
      <c r="B1302">
        <v>2023</v>
      </c>
      <c r="C1302">
        <v>8</v>
      </c>
      <c r="D1302" t="s">
        <v>4313</v>
      </c>
      <c r="E1302">
        <v>3</v>
      </c>
      <c r="F1302">
        <v>4</v>
      </c>
      <c r="G1302" t="s">
        <v>4306</v>
      </c>
    </row>
    <row r="1303" spans="1:7">
      <c r="A1303" s="10">
        <v>45701</v>
      </c>
      <c r="B1303">
        <v>2025</v>
      </c>
      <c r="C1303">
        <v>2</v>
      </c>
      <c r="D1303" t="s">
        <v>4312</v>
      </c>
      <c r="E1303">
        <v>1</v>
      </c>
      <c r="F1303">
        <v>13</v>
      </c>
      <c r="G1303" t="s">
        <v>4300</v>
      </c>
    </row>
    <row r="1304" spans="1:7">
      <c r="A1304" s="10">
        <v>45542</v>
      </c>
      <c r="B1304">
        <v>2024</v>
      </c>
      <c r="C1304">
        <v>9</v>
      </c>
      <c r="D1304" t="s">
        <v>4304</v>
      </c>
      <c r="E1304">
        <v>3</v>
      </c>
      <c r="F1304">
        <v>7</v>
      </c>
      <c r="G1304" t="s">
        <v>4298</v>
      </c>
    </row>
    <row r="1305" spans="1:7">
      <c r="A1305" s="10">
        <v>45002</v>
      </c>
      <c r="B1305">
        <v>2023</v>
      </c>
      <c r="C1305">
        <v>3</v>
      </c>
      <c r="D1305" t="s">
        <v>4311</v>
      </c>
      <c r="E1305">
        <v>1</v>
      </c>
      <c r="F1305">
        <v>17</v>
      </c>
      <c r="G1305" t="s">
        <v>4306</v>
      </c>
    </row>
    <row r="1306" spans="1:7">
      <c r="A1306" s="10">
        <v>45235</v>
      </c>
      <c r="B1306">
        <v>2023</v>
      </c>
      <c r="C1306">
        <v>11</v>
      </c>
      <c r="D1306" t="s">
        <v>4315</v>
      </c>
      <c r="E1306">
        <v>4</v>
      </c>
      <c r="F1306">
        <v>5</v>
      </c>
      <c r="G1306" t="s">
        <v>4309</v>
      </c>
    </row>
    <row r="1307" spans="1:7">
      <c r="A1307" s="10">
        <v>45725</v>
      </c>
      <c r="B1307">
        <v>2025</v>
      </c>
      <c r="C1307">
        <v>3</v>
      </c>
      <c r="D1307" t="s">
        <v>4311</v>
      </c>
      <c r="E1307">
        <v>1</v>
      </c>
      <c r="F1307">
        <v>9</v>
      </c>
      <c r="G1307" t="s">
        <v>4309</v>
      </c>
    </row>
    <row r="1308" spans="1:7">
      <c r="A1308" s="10">
        <v>45501</v>
      </c>
      <c r="B1308">
        <v>2024</v>
      </c>
      <c r="C1308">
        <v>7</v>
      </c>
      <c r="D1308" t="s">
        <v>4297</v>
      </c>
      <c r="E1308">
        <v>3</v>
      </c>
      <c r="F1308">
        <v>28</v>
      </c>
      <c r="G1308" t="s">
        <v>4309</v>
      </c>
    </row>
    <row r="1309" spans="1:7">
      <c r="A1309" s="10">
        <v>45402</v>
      </c>
      <c r="B1309">
        <v>2024</v>
      </c>
      <c r="C1309">
        <v>4</v>
      </c>
      <c r="D1309" t="s">
        <v>4314</v>
      </c>
      <c r="E1309">
        <v>2</v>
      </c>
      <c r="F1309">
        <v>20</v>
      </c>
      <c r="G1309" t="s">
        <v>4298</v>
      </c>
    </row>
    <row r="1310" spans="1:7">
      <c r="A1310" s="10">
        <v>45569</v>
      </c>
      <c r="B1310">
        <v>2024</v>
      </c>
      <c r="C1310">
        <v>10</v>
      </c>
      <c r="D1310" t="s">
        <v>4302</v>
      </c>
      <c r="E1310">
        <v>4</v>
      </c>
      <c r="F1310">
        <v>4</v>
      </c>
      <c r="G1310" t="s">
        <v>4306</v>
      </c>
    </row>
    <row r="1311" spans="1:7">
      <c r="A1311" s="10">
        <v>45720</v>
      </c>
      <c r="B1311">
        <v>2025</v>
      </c>
      <c r="C1311">
        <v>3</v>
      </c>
      <c r="D1311" t="s">
        <v>4311</v>
      </c>
      <c r="E1311">
        <v>1</v>
      </c>
      <c r="F1311">
        <v>4</v>
      </c>
      <c r="G1311" t="s">
        <v>4303</v>
      </c>
    </row>
    <row r="1312" spans="1:7">
      <c r="A1312" s="10">
        <v>45722</v>
      </c>
      <c r="B1312">
        <v>2025</v>
      </c>
      <c r="C1312">
        <v>3</v>
      </c>
      <c r="D1312" t="s">
        <v>4311</v>
      </c>
      <c r="E1312">
        <v>1</v>
      </c>
      <c r="F1312">
        <v>6</v>
      </c>
      <c r="G1312" t="s">
        <v>4300</v>
      </c>
    </row>
    <row r="1313" spans="1:7">
      <c r="A1313" s="10">
        <v>45776</v>
      </c>
      <c r="B1313">
        <v>2025</v>
      </c>
      <c r="C1313">
        <v>4</v>
      </c>
      <c r="D1313" t="s">
        <v>4314</v>
      </c>
      <c r="E1313">
        <v>2</v>
      </c>
      <c r="F1313">
        <v>29</v>
      </c>
      <c r="G1313" t="s">
        <v>4303</v>
      </c>
    </row>
    <row r="1314" spans="1:7">
      <c r="A1314" s="10">
        <v>45581</v>
      </c>
      <c r="B1314">
        <v>2024</v>
      </c>
      <c r="C1314">
        <v>10</v>
      </c>
      <c r="D1314" t="s">
        <v>4302</v>
      </c>
      <c r="E1314">
        <v>4</v>
      </c>
      <c r="F1314">
        <v>16</v>
      </c>
      <c r="G1314" t="s">
        <v>4308</v>
      </c>
    </row>
    <row r="1315" spans="1:7">
      <c r="A1315" s="10">
        <v>44979</v>
      </c>
      <c r="B1315">
        <v>2023</v>
      </c>
      <c r="C1315">
        <v>2</v>
      </c>
      <c r="D1315" t="s">
        <v>4312</v>
      </c>
      <c r="E1315">
        <v>1</v>
      </c>
      <c r="F1315">
        <v>22</v>
      </c>
      <c r="G1315" t="s">
        <v>4308</v>
      </c>
    </row>
    <row r="1316" spans="1:7">
      <c r="A1316" s="10">
        <v>45295</v>
      </c>
      <c r="B1316">
        <v>2024</v>
      </c>
      <c r="C1316">
        <v>1</v>
      </c>
      <c r="D1316" t="s">
        <v>4307</v>
      </c>
      <c r="E1316">
        <v>1</v>
      </c>
      <c r="F1316">
        <v>4</v>
      </c>
      <c r="G1316" t="s">
        <v>4300</v>
      </c>
    </row>
    <row r="1317" spans="1:7">
      <c r="A1317" s="10">
        <v>45531</v>
      </c>
      <c r="B1317">
        <v>2024</v>
      </c>
      <c r="C1317">
        <v>8</v>
      </c>
      <c r="D1317" t="s">
        <v>4313</v>
      </c>
      <c r="E1317">
        <v>3</v>
      </c>
      <c r="F1317">
        <v>27</v>
      </c>
      <c r="G1317" t="s">
        <v>4303</v>
      </c>
    </row>
    <row r="1318" spans="1:7">
      <c r="A1318" s="10">
        <v>45656</v>
      </c>
      <c r="B1318">
        <v>2024</v>
      </c>
      <c r="C1318">
        <v>12</v>
      </c>
      <c r="D1318" t="s">
        <v>4299</v>
      </c>
      <c r="E1318">
        <v>4</v>
      </c>
      <c r="F1318">
        <v>30</v>
      </c>
      <c r="G1318" t="s">
        <v>4301</v>
      </c>
    </row>
    <row r="1319" spans="1:7">
      <c r="A1319" s="10">
        <v>45926</v>
      </c>
      <c r="B1319">
        <v>2025</v>
      </c>
      <c r="C1319">
        <v>9</v>
      </c>
      <c r="D1319" t="s">
        <v>4304</v>
      </c>
      <c r="E1319">
        <v>3</v>
      </c>
      <c r="F1319">
        <v>26</v>
      </c>
      <c r="G1319" t="s">
        <v>4306</v>
      </c>
    </row>
    <row r="1320" spans="1:7">
      <c r="A1320" s="10">
        <v>45528</v>
      </c>
      <c r="B1320">
        <v>2024</v>
      </c>
      <c r="C1320">
        <v>8</v>
      </c>
      <c r="D1320" t="s">
        <v>4313</v>
      </c>
      <c r="E1320">
        <v>3</v>
      </c>
      <c r="F1320">
        <v>24</v>
      </c>
      <c r="G1320" t="s">
        <v>4298</v>
      </c>
    </row>
    <row r="1321" spans="1:7">
      <c r="A1321" s="10">
        <v>45432</v>
      </c>
      <c r="B1321">
        <v>2024</v>
      </c>
      <c r="C1321">
        <v>5</v>
      </c>
      <c r="D1321" t="s">
        <v>4305</v>
      </c>
      <c r="E1321">
        <v>2</v>
      </c>
      <c r="F1321">
        <v>20</v>
      </c>
      <c r="G1321" t="s">
        <v>4301</v>
      </c>
    </row>
    <row r="1322" spans="1:7">
      <c r="A1322" s="10">
        <v>45716</v>
      </c>
      <c r="B1322">
        <v>2025</v>
      </c>
      <c r="C1322">
        <v>2</v>
      </c>
      <c r="D1322" t="s">
        <v>4312</v>
      </c>
      <c r="E1322">
        <v>1</v>
      </c>
      <c r="F1322">
        <v>28</v>
      </c>
      <c r="G1322" t="s">
        <v>4306</v>
      </c>
    </row>
    <row r="1323" spans="1:7">
      <c r="A1323" s="10">
        <v>45550</v>
      </c>
      <c r="B1323">
        <v>2024</v>
      </c>
      <c r="C1323">
        <v>9</v>
      </c>
      <c r="D1323" t="s">
        <v>4304</v>
      </c>
      <c r="E1323">
        <v>3</v>
      </c>
      <c r="F1323">
        <v>15</v>
      </c>
      <c r="G1323" t="s">
        <v>4309</v>
      </c>
    </row>
    <row r="1324" spans="1:7">
      <c r="A1324" s="10">
        <v>45440</v>
      </c>
      <c r="B1324">
        <v>2024</v>
      </c>
      <c r="C1324">
        <v>5</v>
      </c>
      <c r="D1324" t="s">
        <v>4305</v>
      </c>
      <c r="E1324">
        <v>2</v>
      </c>
      <c r="F1324">
        <v>28</v>
      </c>
      <c r="G1324" t="s">
        <v>4303</v>
      </c>
    </row>
    <row r="1325" spans="1:7">
      <c r="A1325" s="10">
        <v>45133</v>
      </c>
      <c r="B1325">
        <v>2023</v>
      </c>
      <c r="C1325">
        <v>7</v>
      </c>
      <c r="D1325" t="s">
        <v>4297</v>
      </c>
      <c r="E1325">
        <v>3</v>
      </c>
      <c r="F1325">
        <v>26</v>
      </c>
      <c r="G1325" t="s">
        <v>4308</v>
      </c>
    </row>
    <row r="1326" spans="1:7">
      <c r="A1326" s="10">
        <v>46020</v>
      </c>
      <c r="B1326">
        <v>2025</v>
      </c>
      <c r="C1326">
        <v>12</v>
      </c>
      <c r="D1326" t="s">
        <v>4299</v>
      </c>
      <c r="E1326">
        <v>4</v>
      </c>
      <c r="F1326">
        <v>29</v>
      </c>
      <c r="G1326" t="s">
        <v>4301</v>
      </c>
    </row>
    <row r="1327" spans="1:7">
      <c r="A1327" s="10">
        <v>45753</v>
      </c>
      <c r="B1327">
        <v>2025</v>
      </c>
      <c r="C1327">
        <v>4</v>
      </c>
      <c r="D1327" t="s">
        <v>4314</v>
      </c>
      <c r="E1327">
        <v>2</v>
      </c>
      <c r="F1327">
        <v>6</v>
      </c>
      <c r="G1327" t="s">
        <v>4309</v>
      </c>
    </row>
    <row r="1328" spans="1:7">
      <c r="A1328" s="10">
        <v>45252</v>
      </c>
      <c r="B1328">
        <v>2023</v>
      </c>
      <c r="C1328">
        <v>11</v>
      </c>
      <c r="D1328" t="s">
        <v>4315</v>
      </c>
      <c r="E1328">
        <v>4</v>
      </c>
      <c r="F1328">
        <v>22</v>
      </c>
      <c r="G1328" t="s">
        <v>4308</v>
      </c>
    </row>
    <row r="1329" spans="1:7">
      <c r="A1329" s="10">
        <v>45425</v>
      </c>
      <c r="B1329">
        <v>2024</v>
      </c>
      <c r="C1329">
        <v>5</v>
      </c>
      <c r="D1329" t="s">
        <v>4305</v>
      </c>
      <c r="E1329">
        <v>2</v>
      </c>
      <c r="F1329">
        <v>13</v>
      </c>
      <c r="G1329" t="s">
        <v>4301</v>
      </c>
    </row>
    <row r="1330" spans="1:7">
      <c r="A1330" s="10">
        <v>45528</v>
      </c>
      <c r="B1330">
        <v>2024</v>
      </c>
      <c r="C1330">
        <v>8</v>
      </c>
      <c r="D1330" t="s">
        <v>4313</v>
      </c>
      <c r="E1330">
        <v>3</v>
      </c>
      <c r="F1330">
        <v>24</v>
      </c>
      <c r="G1330" t="s">
        <v>4298</v>
      </c>
    </row>
    <row r="1331" spans="1:7">
      <c r="A1331" s="10">
        <v>45975</v>
      </c>
      <c r="B1331">
        <v>2025</v>
      </c>
      <c r="C1331">
        <v>11</v>
      </c>
      <c r="D1331" t="s">
        <v>4315</v>
      </c>
      <c r="E1331">
        <v>4</v>
      </c>
      <c r="F1331">
        <v>14</v>
      </c>
      <c r="G1331" t="s">
        <v>4306</v>
      </c>
    </row>
    <row r="1332" spans="1:7">
      <c r="A1332" s="10">
        <v>45249</v>
      </c>
      <c r="B1332">
        <v>2023</v>
      </c>
      <c r="C1332">
        <v>11</v>
      </c>
      <c r="D1332" t="s">
        <v>4315</v>
      </c>
      <c r="E1332">
        <v>4</v>
      </c>
      <c r="F1332">
        <v>19</v>
      </c>
      <c r="G1332" t="s">
        <v>4309</v>
      </c>
    </row>
    <row r="1333" spans="1:7">
      <c r="A1333" s="10">
        <v>45513</v>
      </c>
      <c r="B1333">
        <v>2024</v>
      </c>
      <c r="C1333">
        <v>8</v>
      </c>
      <c r="D1333" t="s">
        <v>4313</v>
      </c>
      <c r="E1333">
        <v>3</v>
      </c>
      <c r="F1333">
        <v>9</v>
      </c>
      <c r="G1333" t="s">
        <v>4306</v>
      </c>
    </row>
    <row r="1334" spans="1:7">
      <c r="A1334" s="10">
        <v>45164</v>
      </c>
      <c r="B1334">
        <v>2023</v>
      </c>
      <c r="C1334">
        <v>8</v>
      </c>
      <c r="D1334" t="s">
        <v>4313</v>
      </c>
      <c r="E1334">
        <v>3</v>
      </c>
      <c r="F1334">
        <v>26</v>
      </c>
      <c r="G1334" t="s">
        <v>4298</v>
      </c>
    </row>
    <row r="1335" spans="1:7">
      <c r="A1335" s="10">
        <v>45815</v>
      </c>
      <c r="B1335">
        <v>2025</v>
      </c>
      <c r="C1335">
        <v>6</v>
      </c>
      <c r="D1335" t="s">
        <v>4310</v>
      </c>
      <c r="E1335">
        <v>2</v>
      </c>
      <c r="F1335">
        <v>7</v>
      </c>
      <c r="G1335" t="s">
        <v>4298</v>
      </c>
    </row>
    <row r="1336" spans="1:7">
      <c r="A1336" s="10">
        <v>45373</v>
      </c>
      <c r="B1336">
        <v>2024</v>
      </c>
      <c r="C1336">
        <v>3</v>
      </c>
      <c r="D1336" t="s">
        <v>4311</v>
      </c>
      <c r="E1336">
        <v>1</v>
      </c>
      <c r="F1336">
        <v>22</v>
      </c>
      <c r="G1336" t="s">
        <v>4306</v>
      </c>
    </row>
    <row r="1337" spans="1:7">
      <c r="A1337" s="10">
        <v>45482</v>
      </c>
      <c r="B1337">
        <v>2024</v>
      </c>
      <c r="C1337">
        <v>7</v>
      </c>
      <c r="D1337" t="s">
        <v>4297</v>
      </c>
      <c r="E1337">
        <v>3</v>
      </c>
      <c r="F1337">
        <v>9</v>
      </c>
      <c r="G1337" t="s">
        <v>4303</v>
      </c>
    </row>
    <row r="1338" spans="1:7">
      <c r="A1338" s="10">
        <v>45982</v>
      </c>
      <c r="B1338">
        <v>2025</v>
      </c>
      <c r="C1338">
        <v>11</v>
      </c>
      <c r="D1338" t="s">
        <v>4315</v>
      </c>
      <c r="E1338">
        <v>4</v>
      </c>
      <c r="F1338">
        <v>21</v>
      </c>
      <c r="G1338" t="s">
        <v>4306</v>
      </c>
    </row>
    <row r="1339" spans="1:7">
      <c r="A1339" s="10">
        <v>45625</v>
      </c>
      <c r="B1339">
        <v>2024</v>
      </c>
      <c r="C1339">
        <v>11</v>
      </c>
      <c r="D1339" t="s">
        <v>4315</v>
      </c>
      <c r="E1339">
        <v>4</v>
      </c>
      <c r="F1339">
        <v>29</v>
      </c>
      <c r="G1339" t="s">
        <v>4306</v>
      </c>
    </row>
    <row r="1340" spans="1:7">
      <c r="A1340" s="10">
        <v>45637</v>
      </c>
      <c r="B1340">
        <v>2024</v>
      </c>
      <c r="C1340">
        <v>12</v>
      </c>
      <c r="D1340" t="s">
        <v>4299</v>
      </c>
      <c r="E1340">
        <v>4</v>
      </c>
      <c r="F1340">
        <v>11</v>
      </c>
      <c r="G1340" t="s">
        <v>4308</v>
      </c>
    </row>
    <row r="1341" spans="1:7">
      <c r="A1341" s="10">
        <v>45652</v>
      </c>
      <c r="B1341">
        <v>2024</v>
      </c>
      <c r="C1341">
        <v>12</v>
      </c>
      <c r="D1341" t="s">
        <v>4299</v>
      </c>
      <c r="E1341">
        <v>4</v>
      </c>
      <c r="F1341">
        <v>26</v>
      </c>
      <c r="G1341" t="s">
        <v>4300</v>
      </c>
    </row>
    <row r="1342" spans="1:7">
      <c r="A1342" s="10">
        <v>45893</v>
      </c>
      <c r="B1342">
        <v>2025</v>
      </c>
      <c r="C1342">
        <v>8</v>
      </c>
      <c r="D1342" t="s">
        <v>4313</v>
      </c>
      <c r="E1342">
        <v>3</v>
      </c>
      <c r="F1342">
        <v>24</v>
      </c>
      <c r="G1342" t="s">
        <v>4309</v>
      </c>
    </row>
    <row r="1343" spans="1:7">
      <c r="A1343" s="10">
        <v>45498</v>
      </c>
      <c r="B1343">
        <v>2024</v>
      </c>
      <c r="C1343">
        <v>7</v>
      </c>
      <c r="D1343" t="s">
        <v>4297</v>
      </c>
      <c r="E1343">
        <v>3</v>
      </c>
      <c r="F1343">
        <v>25</v>
      </c>
      <c r="G1343" t="s">
        <v>4300</v>
      </c>
    </row>
    <row r="1344" spans="1:7">
      <c r="A1344" s="10">
        <v>45388</v>
      </c>
      <c r="B1344">
        <v>2024</v>
      </c>
      <c r="C1344">
        <v>4</v>
      </c>
      <c r="D1344" t="s">
        <v>4314</v>
      </c>
      <c r="E1344">
        <v>2</v>
      </c>
      <c r="F1344">
        <v>6</v>
      </c>
      <c r="G1344" t="s">
        <v>4298</v>
      </c>
    </row>
    <row r="1345" spans="1:7">
      <c r="A1345" s="10">
        <v>45674</v>
      </c>
      <c r="B1345">
        <v>2025</v>
      </c>
      <c r="C1345">
        <v>1</v>
      </c>
      <c r="D1345" t="s">
        <v>4307</v>
      </c>
      <c r="E1345">
        <v>1</v>
      </c>
      <c r="F1345">
        <v>17</v>
      </c>
      <c r="G1345" t="s">
        <v>4306</v>
      </c>
    </row>
    <row r="1346" spans="1:7">
      <c r="A1346" s="10">
        <v>45052</v>
      </c>
      <c r="B1346">
        <v>2023</v>
      </c>
      <c r="C1346">
        <v>5</v>
      </c>
      <c r="D1346" t="s">
        <v>4305</v>
      </c>
      <c r="E1346">
        <v>2</v>
      </c>
      <c r="F1346">
        <v>6</v>
      </c>
      <c r="G1346" t="s">
        <v>4298</v>
      </c>
    </row>
    <row r="1347" spans="1:7">
      <c r="A1347" s="10">
        <v>45850</v>
      </c>
      <c r="B1347">
        <v>2025</v>
      </c>
      <c r="C1347">
        <v>7</v>
      </c>
      <c r="D1347" t="s">
        <v>4297</v>
      </c>
      <c r="E1347">
        <v>3</v>
      </c>
      <c r="F1347">
        <v>12</v>
      </c>
      <c r="G1347" t="s">
        <v>4298</v>
      </c>
    </row>
    <row r="1348" spans="1:7">
      <c r="A1348" s="10">
        <v>45511</v>
      </c>
      <c r="B1348">
        <v>2024</v>
      </c>
      <c r="C1348">
        <v>8</v>
      </c>
      <c r="D1348" t="s">
        <v>4313</v>
      </c>
      <c r="E1348">
        <v>3</v>
      </c>
      <c r="F1348">
        <v>7</v>
      </c>
      <c r="G1348" t="s">
        <v>4308</v>
      </c>
    </row>
    <row r="1349" spans="1:7">
      <c r="A1349" s="10">
        <v>45853</v>
      </c>
      <c r="B1349">
        <v>2025</v>
      </c>
      <c r="C1349">
        <v>7</v>
      </c>
      <c r="D1349" t="s">
        <v>4297</v>
      </c>
      <c r="E1349">
        <v>3</v>
      </c>
      <c r="F1349">
        <v>15</v>
      </c>
      <c r="G1349" t="s">
        <v>4303</v>
      </c>
    </row>
    <row r="1350" spans="1:7">
      <c r="A1350" s="10">
        <v>45939</v>
      </c>
      <c r="B1350">
        <v>2025</v>
      </c>
      <c r="C1350">
        <v>10</v>
      </c>
      <c r="D1350" t="s">
        <v>4302</v>
      </c>
      <c r="E1350">
        <v>4</v>
      </c>
      <c r="F1350">
        <v>9</v>
      </c>
      <c r="G1350" t="s">
        <v>4300</v>
      </c>
    </row>
    <row r="1351" spans="1:7">
      <c r="A1351" s="10">
        <v>45291</v>
      </c>
      <c r="B1351">
        <v>2023</v>
      </c>
      <c r="C1351">
        <v>12</v>
      </c>
      <c r="D1351" t="s">
        <v>4299</v>
      </c>
      <c r="E1351">
        <v>4</v>
      </c>
      <c r="F1351">
        <v>31</v>
      </c>
      <c r="G1351" t="s">
        <v>4309</v>
      </c>
    </row>
    <row r="1352" spans="1:7">
      <c r="A1352" s="10">
        <v>45247</v>
      </c>
      <c r="B1352">
        <v>2023</v>
      </c>
      <c r="C1352">
        <v>11</v>
      </c>
      <c r="D1352" t="s">
        <v>4315</v>
      </c>
      <c r="E1352">
        <v>4</v>
      </c>
      <c r="F1352">
        <v>17</v>
      </c>
      <c r="G1352" t="s">
        <v>4306</v>
      </c>
    </row>
    <row r="1353" spans="1:7">
      <c r="A1353" s="10">
        <v>45875</v>
      </c>
      <c r="B1353">
        <v>2025</v>
      </c>
      <c r="C1353">
        <v>8</v>
      </c>
      <c r="D1353" t="s">
        <v>4313</v>
      </c>
      <c r="E1353">
        <v>3</v>
      </c>
      <c r="F1353">
        <v>6</v>
      </c>
      <c r="G1353" t="s">
        <v>4308</v>
      </c>
    </row>
    <row r="1354" spans="1:7">
      <c r="A1354" s="10">
        <v>44999</v>
      </c>
      <c r="B1354">
        <v>2023</v>
      </c>
      <c r="C1354">
        <v>3</v>
      </c>
      <c r="D1354" t="s">
        <v>4311</v>
      </c>
      <c r="E1354">
        <v>1</v>
      </c>
      <c r="F1354">
        <v>14</v>
      </c>
      <c r="G1354" t="s">
        <v>4303</v>
      </c>
    </row>
    <row r="1355" spans="1:7">
      <c r="A1355" s="10">
        <v>46016</v>
      </c>
      <c r="B1355">
        <v>2025</v>
      </c>
      <c r="C1355">
        <v>12</v>
      </c>
      <c r="D1355" t="s">
        <v>4299</v>
      </c>
      <c r="E1355">
        <v>4</v>
      </c>
      <c r="F1355">
        <v>25</v>
      </c>
      <c r="G1355" t="s">
        <v>4300</v>
      </c>
    </row>
    <row r="1356" spans="1:7">
      <c r="A1356" s="10">
        <v>45346</v>
      </c>
      <c r="B1356">
        <v>2024</v>
      </c>
      <c r="C1356">
        <v>2</v>
      </c>
      <c r="D1356" t="s">
        <v>4312</v>
      </c>
      <c r="E1356">
        <v>1</v>
      </c>
      <c r="F1356">
        <v>24</v>
      </c>
      <c r="G1356" t="s">
        <v>4298</v>
      </c>
    </row>
    <row r="1357" spans="1:7">
      <c r="A1357" s="10">
        <v>45723</v>
      </c>
      <c r="B1357">
        <v>2025</v>
      </c>
      <c r="C1357">
        <v>3</v>
      </c>
      <c r="D1357" t="s">
        <v>4311</v>
      </c>
      <c r="E1357">
        <v>1</v>
      </c>
      <c r="F1357">
        <v>7</v>
      </c>
      <c r="G1357" t="s">
        <v>4306</v>
      </c>
    </row>
    <row r="1358" spans="1:7">
      <c r="A1358" s="10">
        <v>45665</v>
      </c>
      <c r="B1358">
        <v>2025</v>
      </c>
      <c r="C1358">
        <v>1</v>
      </c>
      <c r="D1358" t="s">
        <v>4307</v>
      </c>
      <c r="E1358">
        <v>1</v>
      </c>
      <c r="F1358">
        <v>8</v>
      </c>
      <c r="G1358" t="s">
        <v>4308</v>
      </c>
    </row>
    <row r="1359" spans="1:7">
      <c r="A1359" s="10">
        <v>45891</v>
      </c>
      <c r="B1359">
        <v>2025</v>
      </c>
      <c r="C1359">
        <v>8</v>
      </c>
      <c r="D1359" t="s">
        <v>4313</v>
      </c>
      <c r="E1359">
        <v>3</v>
      </c>
      <c r="F1359">
        <v>22</v>
      </c>
      <c r="G1359" t="s">
        <v>4306</v>
      </c>
    </row>
    <row r="1360" spans="1:7">
      <c r="A1360" s="10">
        <v>45377</v>
      </c>
      <c r="B1360">
        <v>2024</v>
      </c>
      <c r="C1360">
        <v>3</v>
      </c>
      <c r="D1360" t="s">
        <v>4311</v>
      </c>
      <c r="E1360">
        <v>1</v>
      </c>
      <c r="F1360">
        <v>26</v>
      </c>
      <c r="G1360" t="s">
        <v>4303</v>
      </c>
    </row>
    <row r="1361" spans="1:7">
      <c r="A1361" s="10">
        <v>45482</v>
      </c>
      <c r="B1361">
        <v>2024</v>
      </c>
      <c r="C1361">
        <v>7</v>
      </c>
      <c r="D1361" t="s">
        <v>4297</v>
      </c>
      <c r="E1361">
        <v>3</v>
      </c>
      <c r="F1361">
        <v>9</v>
      </c>
      <c r="G1361" t="s">
        <v>4303</v>
      </c>
    </row>
    <row r="1362" spans="1:7">
      <c r="A1362" s="10">
        <v>44979</v>
      </c>
      <c r="B1362">
        <v>2023</v>
      </c>
      <c r="C1362">
        <v>2</v>
      </c>
      <c r="D1362" t="s">
        <v>4312</v>
      </c>
      <c r="E1362">
        <v>1</v>
      </c>
      <c r="F1362">
        <v>22</v>
      </c>
      <c r="G1362" t="s">
        <v>4308</v>
      </c>
    </row>
    <row r="1363" spans="1:7">
      <c r="A1363" s="10">
        <v>45542</v>
      </c>
      <c r="B1363">
        <v>2024</v>
      </c>
      <c r="C1363">
        <v>9</v>
      </c>
      <c r="D1363" t="s">
        <v>4304</v>
      </c>
      <c r="E1363">
        <v>3</v>
      </c>
      <c r="F1363">
        <v>7</v>
      </c>
      <c r="G1363" t="s">
        <v>4298</v>
      </c>
    </row>
    <row r="1364" spans="1:7">
      <c r="A1364" s="10">
        <v>45520</v>
      </c>
      <c r="B1364">
        <v>2024</v>
      </c>
      <c r="C1364">
        <v>8</v>
      </c>
      <c r="D1364" t="s">
        <v>4313</v>
      </c>
      <c r="E1364">
        <v>3</v>
      </c>
      <c r="F1364">
        <v>16</v>
      </c>
      <c r="G1364" t="s">
        <v>4306</v>
      </c>
    </row>
    <row r="1365" spans="1:7">
      <c r="A1365" s="10">
        <v>45723</v>
      </c>
      <c r="B1365">
        <v>2025</v>
      </c>
      <c r="C1365">
        <v>3</v>
      </c>
      <c r="D1365" t="s">
        <v>4311</v>
      </c>
      <c r="E1365">
        <v>1</v>
      </c>
      <c r="F1365">
        <v>7</v>
      </c>
      <c r="G1365" t="s">
        <v>4306</v>
      </c>
    </row>
    <row r="1366" spans="1:7">
      <c r="A1366" s="10">
        <v>45907</v>
      </c>
      <c r="B1366">
        <v>2025</v>
      </c>
      <c r="C1366">
        <v>9</v>
      </c>
      <c r="D1366" t="s">
        <v>4304</v>
      </c>
      <c r="E1366">
        <v>3</v>
      </c>
      <c r="F1366">
        <v>7</v>
      </c>
      <c r="G1366" t="s">
        <v>4309</v>
      </c>
    </row>
    <row r="1367" spans="1:7">
      <c r="A1367" s="10">
        <v>45009</v>
      </c>
      <c r="B1367">
        <v>2023</v>
      </c>
      <c r="C1367">
        <v>3</v>
      </c>
      <c r="D1367" t="s">
        <v>4311</v>
      </c>
      <c r="E1367">
        <v>1</v>
      </c>
      <c r="F1367">
        <v>24</v>
      </c>
      <c r="G1367" t="s">
        <v>4306</v>
      </c>
    </row>
    <row r="1368" spans="1:7">
      <c r="A1368" s="10">
        <v>45759</v>
      </c>
      <c r="B1368">
        <v>2025</v>
      </c>
      <c r="C1368">
        <v>4</v>
      </c>
      <c r="D1368" t="s">
        <v>4314</v>
      </c>
      <c r="E1368">
        <v>2</v>
      </c>
      <c r="F1368">
        <v>12</v>
      </c>
      <c r="G1368" t="s">
        <v>4298</v>
      </c>
    </row>
    <row r="1369" spans="1:7">
      <c r="A1369" s="10">
        <v>45024</v>
      </c>
      <c r="B1369">
        <v>2023</v>
      </c>
      <c r="C1369">
        <v>4</v>
      </c>
      <c r="D1369" t="s">
        <v>4314</v>
      </c>
      <c r="E1369">
        <v>2</v>
      </c>
      <c r="F1369">
        <v>8</v>
      </c>
      <c r="G1369" t="s">
        <v>4298</v>
      </c>
    </row>
    <row r="1370" spans="1:7">
      <c r="A1370" s="10">
        <v>45400</v>
      </c>
      <c r="B1370">
        <v>2024</v>
      </c>
      <c r="C1370">
        <v>4</v>
      </c>
      <c r="D1370" t="s">
        <v>4314</v>
      </c>
      <c r="E1370">
        <v>2</v>
      </c>
      <c r="F1370">
        <v>18</v>
      </c>
      <c r="G1370" t="s">
        <v>4300</v>
      </c>
    </row>
    <row r="1371" spans="1:7">
      <c r="A1371" s="10">
        <v>45869</v>
      </c>
      <c r="B1371">
        <v>2025</v>
      </c>
      <c r="C1371">
        <v>7</v>
      </c>
      <c r="D1371" t="s">
        <v>4297</v>
      </c>
      <c r="E1371">
        <v>3</v>
      </c>
      <c r="F1371">
        <v>31</v>
      </c>
      <c r="G1371" t="s">
        <v>4300</v>
      </c>
    </row>
    <row r="1372" spans="1:7">
      <c r="A1372" s="10">
        <v>45777</v>
      </c>
      <c r="B1372">
        <v>2025</v>
      </c>
      <c r="C1372">
        <v>4</v>
      </c>
      <c r="D1372" t="s">
        <v>4314</v>
      </c>
      <c r="E1372">
        <v>2</v>
      </c>
      <c r="F1372">
        <v>30</v>
      </c>
      <c r="G1372" t="s">
        <v>4308</v>
      </c>
    </row>
    <row r="1373" spans="1:7">
      <c r="A1373" s="10">
        <v>45320</v>
      </c>
      <c r="B1373">
        <v>2024</v>
      </c>
      <c r="C1373">
        <v>1</v>
      </c>
      <c r="D1373" t="s">
        <v>4307</v>
      </c>
      <c r="E1373">
        <v>1</v>
      </c>
      <c r="F1373">
        <v>29</v>
      </c>
      <c r="G1373" t="s">
        <v>4301</v>
      </c>
    </row>
    <row r="1374" spans="1:7">
      <c r="A1374" s="10">
        <v>45596</v>
      </c>
      <c r="B1374">
        <v>2024</v>
      </c>
      <c r="C1374">
        <v>10</v>
      </c>
      <c r="D1374" t="s">
        <v>4302</v>
      </c>
      <c r="E1374">
        <v>4</v>
      </c>
      <c r="F1374">
        <v>31</v>
      </c>
      <c r="G1374" t="s">
        <v>4300</v>
      </c>
    </row>
    <row r="1375" spans="1:7">
      <c r="A1375" s="10">
        <v>45160</v>
      </c>
      <c r="B1375">
        <v>2023</v>
      </c>
      <c r="C1375">
        <v>8</v>
      </c>
      <c r="D1375" t="s">
        <v>4313</v>
      </c>
      <c r="E1375">
        <v>3</v>
      </c>
      <c r="F1375">
        <v>22</v>
      </c>
      <c r="G1375" t="s">
        <v>4303</v>
      </c>
    </row>
    <row r="1376" spans="1:7">
      <c r="A1376" s="10">
        <v>45565</v>
      </c>
      <c r="B1376">
        <v>2024</v>
      </c>
      <c r="C1376">
        <v>9</v>
      </c>
      <c r="D1376" t="s">
        <v>4304</v>
      </c>
      <c r="E1376">
        <v>3</v>
      </c>
      <c r="F1376">
        <v>30</v>
      </c>
      <c r="G1376" t="s">
        <v>4301</v>
      </c>
    </row>
    <row r="1377" spans="1:7">
      <c r="A1377" s="10">
        <v>45924</v>
      </c>
      <c r="B1377">
        <v>2025</v>
      </c>
      <c r="C1377">
        <v>9</v>
      </c>
      <c r="D1377" t="s">
        <v>4304</v>
      </c>
      <c r="E1377">
        <v>3</v>
      </c>
      <c r="F1377">
        <v>24</v>
      </c>
      <c r="G1377" t="s">
        <v>4308</v>
      </c>
    </row>
    <row r="1378" spans="1:7">
      <c r="A1378" s="10">
        <v>44964</v>
      </c>
      <c r="B1378">
        <v>2023</v>
      </c>
      <c r="C1378">
        <v>2</v>
      </c>
      <c r="D1378" t="s">
        <v>4312</v>
      </c>
      <c r="E1378">
        <v>1</v>
      </c>
      <c r="F1378">
        <v>7</v>
      </c>
      <c r="G1378" t="s">
        <v>4303</v>
      </c>
    </row>
    <row r="1379" spans="1:7">
      <c r="A1379" s="10">
        <v>45529</v>
      </c>
      <c r="B1379">
        <v>2024</v>
      </c>
      <c r="C1379">
        <v>8</v>
      </c>
      <c r="D1379" t="s">
        <v>4313</v>
      </c>
      <c r="E1379">
        <v>3</v>
      </c>
      <c r="F1379">
        <v>25</v>
      </c>
      <c r="G1379" t="s">
        <v>4309</v>
      </c>
    </row>
    <row r="1380" spans="1:7">
      <c r="A1380" s="10">
        <v>45559</v>
      </c>
      <c r="B1380">
        <v>2024</v>
      </c>
      <c r="C1380">
        <v>9</v>
      </c>
      <c r="D1380" t="s">
        <v>4304</v>
      </c>
      <c r="E1380">
        <v>3</v>
      </c>
      <c r="F1380">
        <v>24</v>
      </c>
      <c r="G1380" t="s">
        <v>4303</v>
      </c>
    </row>
    <row r="1381" spans="1:7">
      <c r="A1381" s="10">
        <v>45469</v>
      </c>
      <c r="B1381">
        <v>2024</v>
      </c>
      <c r="C1381">
        <v>6</v>
      </c>
      <c r="D1381" t="s">
        <v>4310</v>
      </c>
      <c r="E1381">
        <v>2</v>
      </c>
      <c r="F1381">
        <v>26</v>
      </c>
      <c r="G1381" t="s">
        <v>4308</v>
      </c>
    </row>
    <row r="1382" spans="1:7">
      <c r="A1382" s="10">
        <v>44969</v>
      </c>
      <c r="B1382">
        <v>2023</v>
      </c>
      <c r="C1382">
        <v>2</v>
      </c>
      <c r="D1382" t="s">
        <v>4312</v>
      </c>
      <c r="E1382">
        <v>1</v>
      </c>
      <c r="F1382">
        <v>12</v>
      </c>
      <c r="G1382" t="s">
        <v>4309</v>
      </c>
    </row>
    <row r="1383" spans="1:7">
      <c r="A1383" s="10">
        <v>45716</v>
      </c>
      <c r="B1383">
        <v>2025</v>
      </c>
      <c r="C1383">
        <v>2</v>
      </c>
      <c r="D1383" t="s">
        <v>4312</v>
      </c>
      <c r="E1383">
        <v>1</v>
      </c>
      <c r="F1383">
        <v>28</v>
      </c>
      <c r="G1383" t="s">
        <v>4306</v>
      </c>
    </row>
    <row r="1384" spans="1:7">
      <c r="A1384" s="10">
        <v>44954</v>
      </c>
      <c r="B1384">
        <v>2023</v>
      </c>
      <c r="C1384">
        <v>1</v>
      </c>
      <c r="D1384" t="s">
        <v>4307</v>
      </c>
      <c r="E1384">
        <v>1</v>
      </c>
      <c r="F1384">
        <v>28</v>
      </c>
      <c r="G1384" t="s">
        <v>4298</v>
      </c>
    </row>
    <row r="1385" spans="1:7">
      <c r="A1385" s="10">
        <v>45180</v>
      </c>
      <c r="B1385">
        <v>2023</v>
      </c>
      <c r="C1385">
        <v>9</v>
      </c>
      <c r="D1385" t="s">
        <v>4304</v>
      </c>
      <c r="E1385">
        <v>3</v>
      </c>
      <c r="F1385">
        <v>11</v>
      </c>
      <c r="G1385" t="s">
        <v>4301</v>
      </c>
    </row>
    <row r="1386" spans="1:7">
      <c r="A1386" s="10">
        <v>45397</v>
      </c>
      <c r="B1386">
        <v>2024</v>
      </c>
      <c r="C1386">
        <v>4</v>
      </c>
      <c r="D1386" t="s">
        <v>4314</v>
      </c>
      <c r="E1386">
        <v>2</v>
      </c>
      <c r="F1386">
        <v>15</v>
      </c>
      <c r="G1386" t="s">
        <v>4301</v>
      </c>
    </row>
    <row r="1387" spans="1:7">
      <c r="A1387" s="10">
        <v>45499</v>
      </c>
      <c r="B1387">
        <v>2024</v>
      </c>
      <c r="C1387">
        <v>7</v>
      </c>
      <c r="D1387" t="s">
        <v>4297</v>
      </c>
      <c r="E1387">
        <v>3</v>
      </c>
      <c r="F1387">
        <v>26</v>
      </c>
      <c r="G1387" t="s">
        <v>4306</v>
      </c>
    </row>
    <row r="1388" spans="1:7">
      <c r="A1388" s="10">
        <v>45700</v>
      </c>
      <c r="B1388">
        <v>2025</v>
      </c>
      <c r="C1388">
        <v>2</v>
      </c>
      <c r="D1388" t="s">
        <v>4312</v>
      </c>
      <c r="E1388">
        <v>1</v>
      </c>
      <c r="F1388">
        <v>12</v>
      </c>
      <c r="G1388" t="s">
        <v>4308</v>
      </c>
    </row>
    <row r="1389" spans="1:7">
      <c r="A1389" s="10">
        <v>45428</v>
      </c>
      <c r="B1389">
        <v>2024</v>
      </c>
      <c r="C1389">
        <v>5</v>
      </c>
      <c r="D1389" t="s">
        <v>4305</v>
      </c>
      <c r="E1389">
        <v>2</v>
      </c>
      <c r="F1389">
        <v>16</v>
      </c>
      <c r="G1389" t="s">
        <v>4300</v>
      </c>
    </row>
    <row r="1390" spans="1:7">
      <c r="A1390" s="10">
        <v>45784</v>
      </c>
      <c r="B1390">
        <v>2025</v>
      </c>
      <c r="C1390">
        <v>5</v>
      </c>
      <c r="D1390" t="s">
        <v>4305</v>
      </c>
      <c r="E1390">
        <v>2</v>
      </c>
      <c r="F1390">
        <v>7</v>
      </c>
      <c r="G1390" t="s">
        <v>4308</v>
      </c>
    </row>
    <row r="1391" spans="1:7">
      <c r="A1391" s="10">
        <v>44941</v>
      </c>
      <c r="B1391">
        <v>2023</v>
      </c>
      <c r="C1391">
        <v>1</v>
      </c>
      <c r="D1391" t="s">
        <v>4307</v>
      </c>
      <c r="E1391">
        <v>1</v>
      </c>
      <c r="F1391">
        <v>15</v>
      </c>
      <c r="G1391" t="s">
        <v>4309</v>
      </c>
    </row>
    <row r="1392" spans="1:7">
      <c r="A1392" s="10">
        <v>45534</v>
      </c>
      <c r="B1392">
        <v>2024</v>
      </c>
      <c r="C1392">
        <v>8</v>
      </c>
      <c r="D1392" t="s">
        <v>4313</v>
      </c>
      <c r="E1392">
        <v>3</v>
      </c>
      <c r="F1392">
        <v>30</v>
      </c>
      <c r="G1392" t="s">
        <v>4306</v>
      </c>
    </row>
    <row r="1393" spans="1:7">
      <c r="A1393" s="10">
        <v>45644</v>
      </c>
      <c r="B1393">
        <v>2024</v>
      </c>
      <c r="C1393">
        <v>12</v>
      </c>
      <c r="D1393" t="s">
        <v>4299</v>
      </c>
      <c r="E1393">
        <v>4</v>
      </c>
      <c r="F1393">
        <v>18</v>
      </c>
      <c r="G1393" t="s">
        <v>4308</v>
      </c>
    </row>
    <row r="1394" spans="1:7">
      <c r="A1394" s="10">
        <v>45356</v>
      </c>
      <c r="B1394">
        <v>2024</v>
      </c>
      <c r="C1394">
        <v>3</v>
      </c>
      <c r="D1394" t="s">
        <v>4311</v>
      </c>
      <c r="E1394">
        <v>1</v>
      </c>
      <c r="F1394">
        <v>5</v>
      </c>
      <c r="G1394" t="s">
        <v>4303</v>
      </c>
    </row>
    <row r="1395" spans="1:7">
      <c r="A1395" s="10">
        <v>45391</v>
      </c>
      <c r="B1395">
        <v>2024</v>
      </c>
      <c r="C1395">
        <v>4</v>
      </c>
      <c r="D1395" t="s">
        <v>4314</v>
      </c>
      <c r="E1395">
        <v>2</v>
      </c>
      <c r="F1395">
        <v>9</v>
      </c>
      <c r="G1395" t="s">
        <v>4303</v>
      </c>
    </row>
    <row r="1396" spans="1:7">
      <c r="A1396" s="10">
        <v>45403</v>
      </c>
      <c r="B1396">
        <v>2024</v>
      </c>
      <c r="C1396">
        <v>4</v>
      </c>
      <c r="D1396" t="s">
        <v>4314</v>
      </c>
      <c r="E1396">
        <v>2</v>
      </c>
      <c r="F1396">
        <v>21</v>
      </c>
      <c r="G1396" t="s">
        <v>4309</v>
      </c>
    </row>
    <row r="1397" spans="1:7">
      <c r="A1397" s="10">
        <v>45677</v>
      </c>
      <c r="B1397">
        <v>2025</v>
      </c>
      <c r="C1397">
        <v>1</v>
      </c>
      <c r="D1397" t="s">
        <v>4307</v>
      </c>
      <c r="E1397">
        <v>1</v>
      </c>
      <c r="F1397">
        <v>20</v>
      </c>
      <c r="G1397" t="s">
        <v>4301</v>
      </c>
    </row>
    <row r="1398" spans="1:7">
      <c r="A1398" s="10">
        <v>45756</v>
      </c>
      <c r="B1398">
        <v>2025</v>
      </c>
      <c r="C1398">
        <v>4</v>
      </c>
      <c r="D1398" t="s">
        <v>4314</v>
      </c>
      <c r="E1398">
        <v>2</v>
      </c>
      <c r="F1398">
        <v>9</v>
      </c>
      <c r="G1398" t="s">
        <v>4308</v>
      </c>
    </row>
    <row r="1399" spans="1:7">
      <c r="A1399" s="10">
        <v>45482</v>
      </c>
      <c r="B1399">
        <v>2024</v>
      </c>
      <c r="C1399">
        <v>7</v>
      </c>
      <c r="D1399" t="s">
        <v>4297</v>
      </c>
      <c r="E1399">
        <v>3</v>
      </c>
      <c r="F1399">
        <v>9</v>
      </c>
      <c r="G1399" t="s">
        <v>4303</v>
      </c>
    </row>
    <row r="1400" spans="1:7">
      <c r="A1400" s="10">
        <v>45427</v>
      </c>
      <c r="B1400">
        <v>2024</v>
      </c>
      <c r="C1400">
        <v>5</v>
      </c>
      <c r="D1400" t="s">
        <v>4305</v>
      </c>
      <c r="E1400">
        <v>2</v>
      </c>
      <c r="F1400">
        <v>15</v>
      </c>
      <c r="G1400" t="s">
        <v>4308</v>
      </c>
    </row>
    <row r="1401" spans="1:7">
      <c r="A1401" s="10">
        <v>45524</v>
      </c>
      <c r="B1401">
        <v>2024</v>
      </c>
      <c r="C1401">
        <v>8</v>
      </c>
      <c r="D1401" t="s">
        <v>4313</v>
      </c>
      <c r="E1401">
        <v>3</v>
      </c>
      <c r="F1401">
        <v>20</v>
      </c>
      <c r="G1401" t="s">
        <v>4303</v>
      </c>
    </row>
    <row r="1402" spans="1:7">
      <c r="A1402" s="10">
        <v>45971</v>
      </c>
      <c r="B1402">
        <v>2025</v>
      </c>
      <c r="C1402">
        <v>11</v>
      </c>
      <c r="D1402" t="s">
        <v>4315</v>
      </c>
      <c r="E1402">
        <v>4</v>
      </c>
      <c r="F1402">
        <v>10</v>
      </c>
      <c r="G1402" t="s">
        <v>4301</v>
      </c>
    </row>
    <row r="1403" spans="1:7">
      <c r="A1403" s="10">
        <v>45943</v>
      </c>
      <c r="B1403">
        <v>2025</v>
      </c>
      <c r="C1403">
        <v>10</v>
      </c>
      <c r="D1403" t="s">
        <v>4302</v>
      </c>
      <c r="E1403">
        <v>4</v>
      </c>
      <c r="F1403">
        <v>13</v>
      </c>
      <c r="G1403" t="s">
        <v>4301</v>
      </c>
    </row>
    <row r="1404" spans="1:7">
      <c r="A1404" s="10">
        <v>45905</v>
      </c>
      <c r="B1404">
        <v>2025</v>
      </c>
      <c r="C1404">
        <v>9</v>
      </c>
      <c r="D1404" t="s">
        <v>4304</v>
      </c>
      <c r="E1404">
        <v>3</v>
      </c>
      <c r="F1404">
        <v>5</v>
      </c>
      <c r="G1404" t="s">
        <v>4306</v>
      </c>
    </row>
    <row r="1405" spans="1:7">
      <c r="A1405" s="10">
        <v>45652</v>
      </c>
      <c r="B1405">
        <v>2024</v>
      </c>
      <c r="C1405">
        <v>12</v>
      </c>
      <c r="D1405" t="s">
        <v>4299</v>
      </c>
      <c r="E1405">
        <v>4</v>
      </c>
      <c r="F1405">
        <v>26</v>
      </c>
      <c r="G1405" t="s">
        <v>4300</v>
      </c>
    </row>
    <row r="1406" spans="1:7">
      <c r="A1406" s="10">
        <v>44980</v>
      </c>
      <c r="B1406">
        <v>2023</v>
      </c>
      <c r="C1406">
        <v>2</v>
      </c>
      <c r="D1406" t="s">
        <v>4312</v>
      </c>
      <c r="E1406">
        <v>1</v>
      </c>
      <c r="F1406">
        <v>23</v>
      </c>
      <c r="G1406" t="s">
        <v>4300</v>
      </c>
    </row>
    <row r="1407" spans="1:7">
      <c r="A1407" s="10">
        <v>45805</v>
      </c>
      <c r="B1407">
        <v>2025</v>
      </c>
      <c r="C1407">
        <v>5</v>
      </c>
      <c r="D1407" t="s">
        <v>4305</v>
      </c>
      <c r="E1407">
        <v>2</v>
      </c>
      <c r="F1407">
        <v>28</v>
      </c>
      <c r="G1407" t="s">
        <v>4308</v>
      </c>
    </row>
    <row r="1408" spans="1:7">
      <c r="A1408" s="10">
        <v>45156</v>
      </c>
      <c r="B1408">
        <v>2023</v>
      </c>
      <c r="C1408">
        <v>8</v>
      </c>
      <c r="D1408" t="s">
        <v>4313</v>
      </c>
      <c r="E1408">
        <v>3</v>
      </c>
      <c r="F1408">
        <v>18</v>
      </c>
      <c r="G1408" t="s">
        <v>4306</v>
      </c>
    </row>
    <row r="1409" spans="1:7">
      <c r="A1409" s="10">
        <v>45640</v>
      </c>
      <c r="B1409">
        <v>2024</v>
      </c>
      <c r="C1409">
        <v>12</v>
      </c>
      <c r="D1409" t="s">
        <v>4299</v>
      </c>
      <c r="E1409">
        <v>4</v>
      </c>
      <c r="F1409">
        <v>14</v>
      </c>
      <c r="G1409" t="s">
        <v>4298</v>
      </c>
    </row>
    <row r="1410" spans="1:7">
      <c r="A1410" s="10">
        <v>45139</v>
      </c>
      <c r="B1410">
        <v>2023</v>
      </c>
      <c r="C1410">
        <v>8</v>
      </c>
      <c r="D1410" t="s">
        <v>4313</v>
      </c>
      <c r="E1410">
        <v>3</v>
      </c>
      <c r="F1410">
        <v>1</v>
      </c>
      <c r="G1410" t="s">
        <v>4303</v>
      </c>
    </row>
    <row r="1411" spans="1:7">
      <c r="A1411" s="10">
        <v>45274</v>
      </c>
      <c r="B1411">
        <v>2023</v>
      </c>
      <c r="C1411">
        <v>12</v>
      </c>
      <c r="D1411" t="s">
        <v>4299</v>
      </c>
      <c r="E1411">
        <v>4</v>
      </c>
      <c r="F1411">
        <v>14</v>
      </c>
      <c r="G1411" t="s">
        <v>4300</v>
      </c>
    </row>
    <row r="1412" spans="1:7">
      <c r="A1412" s="10">
        <v>45400</v>
      </c>
      <c r="B1412">
        <v>2024</v>
      </c>
      <c r="C1412">
        <v>4</v>
      </c>
      <c r="D1412" t="s">
        <v>4314</v>
      </c>
      <c r="E1412">
        <v>2</v>
      </c>
      <c r="F1412">
        <v>18</v>
      </c>
      <c r="G1412" t="s">
        <v>4300</v>
      </c>
    </row>
    <row r="1413" spans="1:7">
      <c r="A1413" s="10">
        <v>45181</v>
      </c>
      <c r="B1413">
        <v>2023</v>
      </c>
      <c r="C1413">
        <v>9</v>
      </c>
      <c r="D1413" t="s">
        <v>4304</v>
      </c>
      <c r="E1413">
        <v>3</v>
      </c>
      <c r="F1413">
        <v>12</v>
      </c>
      <c r="G1413" t="s">
        <v>4303</v>
      </c>
    </row>
    <row r="1414" spans="1:7">
      <c r="A1414" s="10">
        <v>44995</v>
      </c>
      <c r="B1414">
        <v>2023</v>
      </c>
      <c r="C1414">
        <v>3</v>
      </c>
      <c r="D1414" t="s">
        <v>4311</v>
      </c>
      <c r="E1414">
        <v>1</v>
      </c>
      <c r="F1414">
        <v>10</v>
      </c>
      <c r="G1414" t="s">
        <v>4306</v>
      </c>
    </row>
    <row r="1415" spans="1:7">
      <c r="A1415" s="10">
        <v>45085</v>
      </c>
      <c r="B1415">
        <v>2023</v>
      </c>
      <c r="C1415">
        <v>6</v>
      </c>
      <c r="D1415" t="s">
        <v>4310</v>
      </c>
      <c r="E1415">
        <v>2</v>
      </c>
      <c r="F1415">
        <v>8</v>
      </c>
      <c r="G1415" t="s">
        <v>4300</v>
      </c>
    </row>
    <row r="1416" spans="1:7">
      <c r="A1416" s="10">
        <v>45796</v>
      </c>
      <c r="B1416">
        <v>2025</v>
      </c>
      <c r="C1416">
        <v>5</v>
      </c>
      <c r="D1416" t="s">
        <v>4305</v>
      </c>
      <c r="E1416">
        <v>2</v>
      </c>
      <c r="F1416">
        <v>19</v>
      </c>
      <c r="G1416" t="s">
        <v>4301</v>
      </c>
    </row>
    <row r="1417" spans="1:7">
      <c r="A1417" s="10">
        <v>45775</v>
      </c>
      <c r="B1417">
        <v>2025</v>
      </c>
      <c r="C1417">
        <v>4</v>
      </c>
      <c r="D1417" t="s">
        <v>4314</v>
      </c>
      <c r="E1417">
        <v>2</v>
      </c>
      <c r="F1417">
        <v>28</v>
      </c>
      <c r="G1417" t="s">
        <v>4301</v>
      </c>
    </row>
    <row r="1418" spans="1:7">
      <c r="A1418" s="10">
        <v>45283</v>
      </c>
      <c r="B1418">
        <v>2023</v>
      </c>
      <c r="C1418">
        <v>12</v>
      </c>
      <c r="D1418" t="s">
        <v>4299</v>
      </c>
      <c r="E1418">
        <v>4</v>
      </c>
      <c r="F1418">
        <v>23</v>
      </c>
      <c r="G1418" t="s">
        <v>4298</v>
      </c>
    </row>
    <row r="1419" spans="1:7">
      <c r="A1419" s="10">
        <v>45027</v>
      </c>
      <c r="B1419">
        <v>2023</v>
      </c>
      <c r="C1419">
        <v>4</v>
      </c>
      <c r="D1419" t="s">
        <v>4314</v>
      </c>
      <c r="E1419">
        <v>2</v>
      </c>
      <c r="F1419">
        <v>11</v>
      </c>
      <c r="G1419" t="s">
        <v>4303</v>
      </c>
    </row>
    <row r="1420" spans="1:7">
      <c r="A1420" s="10">
        <v>45007</v>
      </c>
      <c r="B1420">
        <v>2023</v>
      </c>
      <c r="C1420">
        <v>3</v>
      </c>
      <c r="D1420" t="s">
        <v>4311</v>
      </c>
      <c r="E1420">
        <v>1</v>
      </c>
      <c r="F1420">
        <v>22</v>
      </c>
      <c r="G1420" t="s">
        <v>4308</v>
      </c>
    </row>
    <row r="1421" spans="1:7">
      <c r="A1421" s="10">
        <v>45783</v>
      </c>
      <c r="B1421">
        <v>2025</v>
      </c>
      <c r="C1421">
        <v>5</v>
      </c>
      <c r="D1421" t="s">
        <v>4305</v>
      </c>
      <c r="E1421">
        <v>2</v>
      </c>
      <c r="F1421">
        <v>6</v>
      </c>
      <c r="G1421" t="s">
        <v>4303</v>
      </c>
    </row>
    <row r="1422" spans="1:7">
      <c r="A1422" s="10">
        <v>45383</v>
      </c>
      <c r="B1422">
        <v>2024</v>
      </c>
      <c r="C1422">
        <v>4</v>
      </c>
      <c r="D1422" t="s">
        <v>4314</v>
      </c>
      <c r="E1422">
        <v>2</v>
      </c>
      <c r="F1422">
        <v>1</v>
      </c>
      <c r="G1422" t="s">
        <v>4301</v>
      </c>
    </row>
    <row r="1423" spans="1:7">
      <c r="A1423" s="10">
        <v>45560</v>
      </c>
      <c r="B1423">
        <v>2024</v>
      </c>
      <c r="C1423">
        <v>9</v>
      </c>
      <c r="D1423" t="s">
        <v>4304</v>
      </c>
      <c r="E1423">
        <v>3</v>
      </c>
      <c r="F1423">
        <v>25</v>
      </c>
      <c r="G1423" t="s">
        <v>4308</v>
      </c>
    </row>
    <row r="1424" spans="1:7">
      <c r="A1424" s="10">
        <v>45482</v>
      </c>
      <c r="B1424">
        <v>2024</v>
      </c>
      <c r="C1424">
        <v>7</v>
      </c>
      <c r="D1424" t="s">
        <v>4297</v>
      </c>
      <c r="E1424">
        <v>3</v>
      </c>
      <c r="F1424">
        <v>9</v>
      </c>
      <c r="G1424" t="s">
        <v>4303</v>
      </c>
    </row>
    <row r="1425" spans="1:7">
      <c r="A1425" s="10">
        <v>45943</v>
      </c>
      <c r="B1425">
        <v>2025</v>
      </c>
      <c r="C1425">
        <v>10</v>
      </c>
      <c r="D1425" t="s">
        <v>4302</v>
      </c>
      <c r="E1425">
        <v>4</v>
      </c>
      <c r="F1425">
        <v>13</v>
      </c>
      <c r="G1425" t="s">
        <v>4301</v>
      </c>
    </row>
    <row r="1426" spans="1:7">
      <c r="A1426" s="10">
        <v>45674</v>
      </c>
      <c r="B1426">
        <v>2025</v>
      </c>
      <c r="C1426">
        <v>1</v>
      </c>
      <c r="D1426" t="s">
        <v>4307</v>
      </c>
      <c r="E1426">
        <v>1</v>
      </c>
      <c r="F1426">
        <v>17</v>
      </c>
      <c r="G1426" t="s">
        <v>4306</v>
      </c>
    </row>
    <row r="1427" spans="1:7">
      <c r="A1427" s="10">
        <v>45619</v>
      </c>
      <c r="B1427">
        <v>2024</v>
      </c>
      <c r="C1427">
        <v>11</v>
      </c>
      <c r="D1427" t="s">
        <v>4315</v>
      </c>
      <c r="E1427">
        <v>4</v>
      </c>
      <c r="F1427">
        <v>23</v>
      </c>
      <c r="G1427" t="s">
        <v>4298</v>
      </c>
    </row>
    <row r="1428" spans="1:7">
      <c r="A1428" s="10">
        <v>45800</v>
      </c>
      <c r="B1428">
        <v>2025</v>
      </c>
      <c r="C1428">
        <v>5</v>
      </c>
      <c r="D1428" t="s">
        <v>4305</v>
      </c>
      <c r="E1428">
        <v>2</v>
      </c>
      <c r="F1428">
        <v>23</v>
      </c>
      <c r="G1428" t="s">
        <v>4306</v>
      </c>
    </row>
    <row r="1429" spans="1:7">
      <c r="A1429" s="10">
        <v>45932</v>
      </c>
      <c r="B1429">
        <v>2025</v>
      </c>
      <c r="C1429">
        <v>10</v>
      </c>
      <c r="D1429" t="s">
        <v>4302</v>
      </c>
      <c r="E1429">
        <v>4</v>
      </c>
      <c r="F1429">
        <v>2</v>
      </c>
      <c r="G1429" t="s">
        <v>4300</v>
      </c>
    </row>
    <row r="1430" spans="1:7">
      <c r="A1430" s="10">
        <v>44970</v>
      </c>
      <c r="B1430">
        <v>2023</v>
      </c>
      <c r="C1430">
        <v>2</v>
      </c>
      <c r="D1430" t="s">
        <v>4312</v>
      </c>
      <c r="E1430">
        <v>1</v>
      </c>
      <c r="F1430">
        <v>13</v>
      </c>
      <c r="G1430" t="s">
        <v>4301</v>
      </c>
    </row>
    <row r="1431" spans="1:7">
      <c r="A1431" s="10">
        <v>45433</v>
      </c>
      <c r="B1431">
        <v>2024</v>
      </c>
      <c r="C1431">
        <v>5</v>
      </c>
      <c r="D1431" t="s">
        <v>4305</v>
      </c>
      <c r="E1431">
        <v>2</v>
      </c>
      <c r="F1431">
        <v>21</v>
      </c>
      <c r="G1431" t="s">
        <v>4303</v>
      </c>
    </row>
    <row r="1432" spans="1:7">
      <c r="A1432" s="10">
        <v>45521</v>
      </c>
      <c r="B1432">
        <v>2024</v>
      </c>
      <c r="C1432">
        <v>8</v>
      </c>
      <c r="D1432" t="s">
        <v>4313</v>
      </c>
      <c r="E1432">
        <v>3</v>
      </c>
      <c r="F1432">
        <v>17</v>
      </c>
      <c r="G1432" t="s">
        <v>4298</v>
      </c>
    </row>
    <row r="1433" spans="1:7">
      <c r="A1433" s="10">
        <v>45345</v>
      </c>
      <c r="B1433">
        <v>2024</v>
      </c>
      <c r="C1433">
        <v>2</v>
      </c>
      <c r="D1433" t="s">
        <v>4312</v>
      </c>
      <c r="E1433">
        <v>1</v>
      </c>
      <c r="F1433">
        <v>23</v>
      </c>
      <c r="G1433" t="s">
        <v>4306</v>
      </c>
    </row>
    <row r="1434" spans="1:7">
      <c r="A1434" s="10">
        <v>45278</v>
      </c>
      <c r="B1434">
        <v>2023</v>
      </c>
      <c r="C1434">
        <v>12</v>
      </c>
      <c r="D1434" t="s">
        <v>4299</v>
      </c>
      <c r="E1434">
        <v>4</v>
      </c>
      <c r="F1434">
        <v>18</v>
      </c>
      <c r="G1434" t="s">
        <v>4301</v>
      </c>
    </row>
    <row r="1435" spans="1:7">
      <c r="A1435" s="10">
        <v>45467</v>
      </c>
      <c r="B1435">
        <v>2024</v>
      </c>
      <c r="C1435">
        <v>6</v>
      </c>
      <c r="D1435" t="s">
        <v>4310</v>
      </c>
      <c r="E1435">
        <v>2</v>
      </c>
      <c r="F1435">
        <v>24</v>
      </c>
      <c r="G1435" t="s">
        <v>4301</v>
      </c>
    </row>
    <row r="1436" spans="1:7">
      <c r="A1436" s="10">
        <v>45160</v>
      </c>
      <c r="B1436">
        <v>2023</v>
      </c>
      <c r="C1436">
        <v>8</v>
      </c>
      <c r="D1436" t="s">
        <v>4313</v>
      </c>
      <c r="E1436">
        <v>3</v>
      </c>
      <c r="F1436">
        <v>22</v>
      </c>
      <c r="G1436" t="s">
        <v>4303</v>
      </c>
    </row>
    <row r="1437" spans="1:7">
      <c r="A1437" s="10">
        <v>45410</v>
      </c>
      <c r="B1437">
        <v>2024</v>
      </c>
      <c r="C1437">
        <v>4</v>
      </c>
      <c r="D1437" t="s">
        <v>4314</v>
      </c>
      <c r="E1437">
        <v>2</v>
      </c>
      <c r="F1437">
        <v>28</v>
      </c>
      <c r="G1437" t="s">
        <v>4309</v>
      </c>
    </row>
    <row r="1438" spans="1:7">
      <c r="A1438" s="10">
        <v>45568</v>
      </c>
      <c r="B1438">
        <v>2024</v>
      </c>
      <c r="C1438">
        <v>10</v>
      </c>
      <c r="D1438" t="s">
        <v>4302</v>
      </c>
      <c r="E1438">
        <v>4</v>
      </c>
      <c r="F1438">
        <v>3</v>
      </c>
      <c r="G1438" t="s">
        <v>4300</v>
      </c>
    </row>
    <row r="1439" spans="1:7">
      <c r="A1439" s="10">
        <v>45317</v>
      </c>
      <c r="B1439">
        <v>2024</v>
      </c>
      <c r="C1439">
        <v>1</v>
      </c>
      <c r="D1439" t="s">
        <v>4307</v>
      </c>
      <c r="E1439">
        <v>1</v>
      </c>
      <c r="F1439">
        <v>26</v>
      </c>
      <c r="G1439" t="s">
        <v>4306</v>
      </c>
    </row>
    <row r="1440" spans="1:7">
      <c r="A1440" s="10">
        <v>45934</v>
      </c>
      <c r="B1440">
        <v>2025</v>
      </c>
      <c r="C1440">
        <v>10</v>
      </c>
      <c r="D1440" t="s">
        <v>4302</v>
      </c>
      <c r="E1440">
        <v>4</v>
      </c>
      <c r="F1440">
        <v>4</v>
      </c>
      <c r="G1440" t="s">
        <v>4298</v>
      </c>
    </row>
    <row r="1441" spans="1:7">
      <c r="A1441" s="10">
        <v>45464</v>
      </c>
      <c r="B1441">
        <v>2024</v>
      </c>
      <c r="C1441">
        <v>6</v>
      </c>
      <c r="D1441" t="s">
        <v>4310</v>
      </c>
      <c r="E1441">
        <v>2</v>
      </c>
      <c r="F1441">
        <v>21</v>
      </c>
      <c r="G1441" t="s">
        <v>4306</v>
      </c>
    </row>
    <row r="1442" spans="1:7">
      <c r="A1442" s="10">
        <v>45527</v>
      </c>
      <c r="B1442">
        <v>2024</v>
      </c>
      <c r="C1442">
        <v>8</v>
      </c>
      <c r="D1442" t="s">
        <v>4313</v>
      </c>
      <c r="E1442">
        <v>3</v>
      </c>
      <c r="F1442">
        <v>23</v>
      </c>
      <c r="G1442" t="s">
        <v>4306</v>
      </c>
    </row>
    <row r="1443" spans="1:7">
      <c r="A1443" s="10">
        <v>45442</v>
      </c>
      <c r="B1443">
        <v>2024</v>
      </c>
      <c r="C1443">
        <v>5</v>
      </c>
      <c r="D1443" t="s">
        <v>4305</v>
      </c>
      <c r="E1443">
        <v>2</v>
      </c>
      <c r="F1443">
        <v>30</v>
      </c>
      <c r="G1443" t="s">
        <v>4300</v>
      </c>
    </row>
    <row r="1444" spans="1:7">
      <c r="A1444" s="10">
        <v>45195</v>
      </c>
      <c r="B1444">
        <v>2023</v>
      </c>
      <c r="C1444">
        <v>9</v>
      </c>
      <c r="D1444" t="s">
        <v>4304</v>
      </c>
      <c r="E1444">
        <v>3</v>
      </c>
      <c r="F1444">
        <v>26</v>
      </c>
      <c r="G1444" t="s">
        <v>4303</v>
      </c>
    </row>
    <row r="1445" spans="1:7">
      <c r="A1445" s="10">
        <v>45136</v>
      </c>
      <c r="B1445">
        <v>2023</v>
      </c>
      <c r="C1445">
        <v>7</v>
      </c>
      <c r="D1445" t="s">
        <v>4297</v>
      </c>
      <c r="E1445">
        <v>3</v>
      </c>
      <c r="F1445">
        <v>29</v>
      </c>
      <c r="G1445" t="s">
        <v>4298</v>
      </c>
    </row>
    <row r="1446" spans="1:7">
      <c r="A1446" s="10">
        <v>45271</v>
      </c>
      <c r="B1446">
        <v>2023</v>
      </c>
      <c r="C1446">
        <v>12</v>
      </c>
      <c r="D1446" t="s">
        <v>4299</v>
      </c>
      <c r="E1446">
        <v>4</v>
      </c>
      <c r="F1446">
        <v>11</v>
      </c>
      <c r="G1446" t="s">
        <v>4301</v>
      </c>
    </row>
    <row r="1447" spans="1:7">
      <c r="A1447" s="10">
        <v>45696</v>
      </c>
      <c r="B1447">
        <v>2025</v>
      </c>
      <c r="C1447">
        <v>2</v>
      </c>
      <c r="D1447" t="s">
        <v>4312</v>
      </c>
      <c r="E1447">
        <v>1</v>
      </c>
      <c r="F1447">
        <v>8</v>
      </c>
      <c r="G1447" t="s">
        <v>4298</v>
      </c>
    </row>
    <row r="1448" spans="1:7">
      <c r="A1448" s="10">
        <v>45041</v>
      </c>
      <c r="B1448">
        <v>2023</v>
      </c>
      <c r="C1448">
        <v>4</v>
      </c>
      <c r="D1448" t="s">
        <v>4314</v>
      </c>
      <c r="E1448">
        <v>2</v>
      </c>
      <c r="F1448">
        <v>25</v>
      </c>
      <c r="G1448" t="s">
        <v>4303</v>
      </c>
    </row>
    <row r="1449" spans="1:7">
      <c r="A1449" s="10">
        <v>45890</v>
      </c>
      <c r="B1449">
        <v>2025</v>
      </c>
      <c r="C1449">
        <v>8</v>
      </c>
      <c r="D1449" t="s">
        <v>4313</v>
      </c>
      <c r="E1449">
        <v>3</v>
      </c>
      <c r="F1449">
        <v>21</v>
      </c>
      <c r="G1449" t="s">
        <v>4300</v>
      </c>
    </row>
    <row r="1450" spans="1:7">
      <c r="A1450" s="10">
        <v>45598</v>
      </c>
      <c r="B1450">
        <v>2024</v>
      </c>
      <c r="C1450">
        <v>11</v>
      </c>
      <c r="D1450" t="s">
        <v>4315</v>
      </c>
      <c r="E1450">
        <v>4</v>
      </c>
      <c r="F1450">
        <v>2</v>
      </c>
      <c r="G1450" t="s">
        <v>4298</v>
      </c>
    </row>
    <row r="1451" spans="1:7">
      <c r="A1451" s="10">
        <v>45092</v>
      </c>
      <c r="B1451">
        <v>2023</v>
      </c>
      <c r="C1451">
        <v>6</v>
      </c>
      <c r="D1451" t="s">
        <v>4310</v>
      </c>
      <c r="E1451">
        <v>2</v>
      </c>
      <c r="F1451">
        <v>15</v>
      </c>
      <c r="G1451" t="s">
        <v>4300</v>
      </c>
    </row>
    <row r="1452" spans="1:7">
      <c r="A1452" s="10">
        <v>45599</v>
      </c>
      <c r="B1452">
        <v>2024</v>
      </c>
      <c r="C1452">
        <v>11</v>
      </c>
      <c r="D1452" t="s">
        <v>4315</v>
      </c>
      <c r="E1452">
        <v>4</v>
      </c>
      <c r="F1452">
        <v>3</v>
      </c>
      <c r="G1452" t="s">
        <v>4309</v>
      </c>
    </row>
    <row r="1453" spans="1:7">
      <c r="A1453" s="10">
        <v>45179</v>
      </c>
      <c r="B1453">
        <v>2023</v>
      </c>
      <c r="C1453">
        <v>9</v>
      </c>
      <c r="D1453" t="s">
        <v>4304</v>
      </c>
      <c r="E1453">
        <v>3</v>
      </c>
      <c r="F1453">
        <v>10</v>
      </c>
      <c r="G1453" t="s">
        <v>4309</v>
      </c>
    </row>
    <row r="1454" spans="1:7">
      <c r="A1454" s="10">
        <v>45167</v>
      </c>
      <c r="B1454">
        <v>2023</v>
      </c>
      <c r="C1454">
        <v>8</v>
      </c>
      <c r="D1454" t="s">
        <v>4313</v>
      </c>
      <c r="E1454">
        <v>3</v>
      </c>
      <c r="F1454">
        <v>29</v>
      </c>
      <c r="G1454" t="s">
        <v>4303</v>
      </c>
    </row>
    <row r="1455" spans="1:7">
      <c r="A1455" s="10">
        <v>45718</v>
      </c>
      <c r="B1455">
        <v>2025</v>
      </c>
      <c r="C1455">
        <v>3</v>
      </c>
      <c r="D1455" t="s">
        <v>4311</v>
      </c>
      <c r="E1455">
        <v>1</v>
      </c>
      <c r="F1455">
        <v>2</v>
      </c>
      <c r="G1455" t="s">
        <v>4309</v>
      </c>
    </row>
    <row r="1456" spans="1:7">
      <c r="A1456" s="10">
        <v>45657</v>
      </c>
      <c r="B1456">
        <v>2024</v>
      </c>
      <c r="C1456">
        <v>12</v>
      </c>
      <c r="D1456" t="s">
        <v>4299</v>
      </c>
      <c r="E1456">
        <v>4</v>
      </c>
      <c r="F1456">
        <v>31</v>
      </c>
      <c r="G1456" t="s">
        <v>4303</v>
      </c>
    </row>
    <row r="1457" spans="1:7">
      <c r="A1457" s="10">
        <v>45283</v>
      </c>
      <c r="B1457">
        <v>2023</v>
      </c>
      <c r="C1457">
        <v>12</v>
      </c>
      <c r="D1457" t="s">
        <v>4299</v>
      </c>
      <c r="E1457">
        <v>4</v>
      </c>
      <c r="F1457">
        <v>23</v>
      </c>
      <c r="G1457" t="s">
        <v>4298</v>
      </c>
    </row>
    <row r="1458" spans="1:7">
      <c r="A1458" s="10">
        <v>45133</v>
      </c>
      <c r="B1458">
        <v>2023</v>
      </c>
      <c r="C1458">
        <v>7</v>
      </c>
      <c r="D1458" t="s">
        <v>4297</v>
      </c>
      <c r="E1458">
        <v>3</v>
      </c>
      <c r="F1458">
        <v>26</v>
      </c>
      <c r="G1458" t="s">
        <v>4308</v>
      </c>
    </row>
    <row r="1459" spans="1:7">
      <c r="A1459" s="10">
        <v>45864</v>
      </c>
      <c r="B1459">
        <v>2025</v>
      </c>
      <c r="C1459">
        <v>7</v>
      </c>
      <c r="D1459" t="s">
        <v>4297</v>
      </c>
      <c r="E1459">
        <v>3</v>
      </c>
      <c r="F1459">
        <v>26</v>
      </c>
      <c r="G1459" t="s">
        <v>4298</v>
      </c>
    </row>
    <row r="1460" spans="1:7">
      <c r="A1460" s="10">
        <v>45611</v>
      </c>
      <c r="B1460">
        <v>2024</v>
      </c>
      <c r="C1460">
        <v>11</v>
      </c>
      <c r="D1460" t="s">
        <v>4315</v>
      </c>
      <c r="E1460">
        <v>4</v>
      </c>
      <c r="F1460">
        <v>15</v>
      </c>
      <c r="G1460" t="s">
        <v>4306</v>
      </c>
    </row>
    <row r="1461" spans="1:7">
      <c r="A1461" s="10">
        <v>45329</v>
      </c>
      <c r="B1461">
        <v>2024</v>
      </c>
      <c r="C1461">
        <v>2</v>
      </c>
      <c r="D1461" t="s">
        <v>4312</v>
      </c>
      <c r="E1461">
        <v>1</v>
      </c>
      <c r="F1461">
        <v>7</v>
      </c>
      <c r="G1461" t="s">
        <v>4308</v>
      </c>
    </row>
    <row r="1462" spans="1:7">
      <c r="A1462" s="10">
        <v>45921</v>
      </c>
      <c r="B1462">
        <v>2025</v>
      </c>
      <c r="C1462">
        <v>9</v>
      </c>
      <c r="D1462" t="s">
        <v>4304</v>
      </c>
      <c r="E1462">
        <v>3</v>
      </c>
      <c r="F1462">
        <v>21</v>
      </c>
      <c r="G1462" t="s">
        <v>4309</v>
      </c>
    </row>
    <row r="1463" spans="1:7">
      <c r="A1463" s="10">
        <v>45393</v>
      </c>
      <c r="B1463">
        <v>2024</v>
      </c>
      <c r="C1463">
        <v>4</v>
      </c>
      <c r="D1463" t="s">
        <v>4314</v>
      </c>
      <c r="E1463">
        <v>2</v>
      </c>
      <c r="F1463">
        <v>11</v>
      </c>
      <c r="G1463" t="s">
        <v>4300</v>
      </c>
    </row>
    <row r="1464" spans="1:7">
      <c r="A1464" s="10">
        <v>45033</v>
      </c>
      <c r="B1464">
        <v>2023</v>
      </c>
      <c r="C1464">
        <v>4</v>
      </c>
      <c r="D1464" t="s">
        <v>4314</v>
      </c>
      <c r="E1464">
        <v>2</v>
      </c>
      <c r="F1464">
        <v>17</v>
      </c>
      <c r="G1464" t="s">
        <v>4301</v>
      </c>
    </row>
    <row r="1465" spans="1:7">
      <c r="A1465" s="10">
        <v>45023</v>
      </c>
      <c r="B1465">
        <v>2023</v>
      </c>
      <c r="C1465">
        <v>4</v>
      </c>
      <c r="D1465" t="s">
        <v>4314</v>
      </c>
      <c r="E1465">
        <v>2</v>
      </c>
      <c r="F1465">
        <v>7</v>
      </c>
      <c r="G1465" t="s">
        <v>4306</v>
      </c>
    </row>
    <row r="1466" spans="1:7">
      <c r="A1466" s="10">
        <v>45964</v>
      </c>
      <c r="B1466">
        <v>2025</v>
      </c>
      <c r="C1466">
        <v>11</v>
      </c>
      <c r="D1466" t="s">
        <v>4315</v>
      </c>
      <c r="E1466">
        <v>4</v>
      </c>
      <c r="F1466">
        <v>3</v>
      </c>
      <c r="G1466" t="s">
        <v>4301</v>
      </c>
    </row>
    <row r="1467" spans="1:7">
      <c r="A1467" s="10">
        <v>45760</v>
      </c>
      <c r="B1467">
        <v>2025</v>
      </c>
      <c r="C1467">
        <v>4</v>
      </c>
      <c r="D1467" t="s">
        <v>4314</v>
      </c>
      <c r="E1467">
        <v>2</v>
      </c>
      <c r="F1467">
        <v>13</v>
      </c>
      <c r="G1467" t="s">
        <v>4309</v>
      </c>
    </row>
    <row r="1468" spans="1:7">
      <c r="A1468" s="10">
        <v>45482</v>
      </c>
      <c r="B1468">
        <v>2024</v>
      </c>
      <c r="C1468">
        <v>7</v>
      </c>
      <c r="D1468" t="s">
        <v>4297</v>
      </c>
      <c r="E1468">
        <v>3</v>
      </c>
      <c r="F1468">
        <v>9</v>
      </c>
      <c r="G1468" t="s">
        <v>4303</v>
      </c>
    </row>
    <row r="1469" spans="1:7">
      <c r="A1469" s="10">
        <v>45530</v>
      </c>
      <c r="B1469">
        <v>2024</v>
      </c>
      <c r="C1469">
        <v>8</v>
      </c>
      <c r="D1469" t="s">
        <v>4313</v>
      </c>
      <c r="E1469">
        <v>3</v>
      </c>
      <c r="F1469">
        <v>26</v>
      </c>
      <c r="G1469" t="s">
        <v>4301</v>
      </c>
    </row>
    <row r="1470" spans="1:7">
      <c r="A1470" s="10">
        <v>45532</v>
      </c>
      <c r="B1470">
        <v>2024</v>
      </c>
      <c r="C1470">
        <v>8</v>
      </c>
      <c r="D1470" t="s">
        <v>4313</v>
      </c>
      <c r="E1470">
        <v>3</v>
      </c>
      <c r="F1470">
        <v>28</v>
      </c>
      <c r="G1470" t="s">
        <v>4308</v>
      </c>
    </row>
    <row r="1471" spans="1:7">
      <c r="A1471" s="10">
        <v>45073</v>
      </c>
      <c r="B1471">
        <v>2023</v>
      </c>
      <c r="C1471">
        <v>5</v>
      </c>
      <c r="D1471" t="s">
        <v>4305</v>
      </c>
      <c r="E1471">
        <v>2</v>
      </c>
      <c r="F1471">
        <v>27</v>
      </c>
      <c r="G1471" t="s">
        <v>4298</v>
      </c>
    </row>
    <row r="1472" spans="1:7">
      <c r="A1472" s="10">
        <v>45600</v>
      </c>
      <c r="B1472">
        <v>2024</v>
      </c>
      <c r="C1472">
        <v>11</v>
      </c>
      <c r="D1472" t="s">
        <v>4315</v>
      </c>
      <c r="E1472">
        <v>4</v>
      </c>
      <c r="F1472">
        <v>4</v>
      </c>
      <c r="G1472" t="s">
        <v>4301</v>
      </c>
    </row>
    <row r="1473" spans="1:7">
      <c r="A1473" s="10">
        <v>45925</v>
      </c>
      <c r="B1473">
        <v>2025</v>
      </c>
      <c r="C1473">
        <v>9</v>
      </c>
      <c r="D1473" t="s">
        <v>4304</v>
      </c>
      <c r="E1473">
        <v>3</v>
      </c>
      <c r="F1473">
        <v>25</v>
      </c>
      <c r="G1473" t="s">
        <v>4300</v>
      </c>
    </row>
    <row r="1474" spans="1:7">
      <c r="A1474" s="10">
        <v>45932</v>
      </c>
      <c r="B1474">
        <v>2025</v>
      </c>
      <c r="C1474">
        <v>10</v>
      </c>
      <c r="D1474" t="s">
        <v>4302</v>
      </c>
      <c r="E1474">
        <v>4</v>
      </c>
      <c r="F1474">
        <v>2</v>
      </c>
      <c r="G1474" t="s">
        <v>4300</v>
      </c>
    </row>
    <row r="1475" spans="1:7">
      <c r="A1475" s="10">
        <v>45241</v>
      </c>
      <c r="B1475">
        <v>2023</v>
      </c>
      <c r="C1475">
        <v>11</v>
      </c>
      <c r="D1475" t="s">
        <v>4315</v>
      </c>
      <c r="E1475">
        <v>4</v>
      </c>
      <c r="F1475">
        <v>11</v>
      </c>
      <c r="G1475" t="s">
        <v>4298</v>
      </c>
    </row>
    <row r="1476" spans="1:7">
      <c r="A1476" s="10">
        <v>45940</v>
      </c>
      <c r="B1476">
        <v>2025</v>
      </c>
      <c r="C1476">
        <v>10</v>
      </c>
      <c r="D1476" t="s">
        <v>4302</v>
      </c>
      <c r="E1476">
        <v>4</v>
      </c>
      <c r="F1476">
        <v>10</v>
      </c>
      <c r="G1476" t="s">
        <v>4306</v>
      </c>
    </row>
    <row r="1477" spans="1:7">
      <c r="A1477" s="10">
        <v>45183</v>
      </c>
      <c r="B1477">
        <v>2023</v>
      </c>
      <c r="C1477">
        <v>9</v>
      </c>
      <c r="D1477" t="s">
        <v>4304</v>
      </c>
      <c r="E1477">
        <v>3</v>
      </c>
      <c r="F1477">
        <v>14</v>
      </c>
      <c r="G1477" t="s">
        <v>4300</v>
      </c>
    </row>
    <row r="1478" spans="1:7">
      <c r="A1478" s="10">
        <v>45901</v>
      </c>
      <c r="B1478">
        <v>2025</v>
      </c>
      <c r="C1478">
        <v>9</v>
      </c>
      <c r="D1478" t="s">
        <v>4304</v>
      </c>
      <c r="E1478">
        <v>3</v>
      </c>
      <c r="F1478">
        <v>1</v>
      </c>
      <c r="G1478" t="s">
        <v>4301</v>
      </c>
    </row>
    <row r="1479" spans="1:7">
      <c r="A1479" s="10">
        <v>45287</v>
      </c>
      <c r="B1479">
        <v>2023</v>
      </c>
      <c r="C1479">
        <v>12</v>
      </c>
      <c r="D1479" t="s">
        <v>4299</v>
      </c>
      <c r="E1479">
        <v>4</v>
      </c>
      <c r="F1479">
        <v>27</v>
      </c>
      <c r="G1479" t="s">
        <v>4308</v>
      </c>
    </row>
    <row r="1480" spans="1:7">
      <c r="A1480" s="10">
        <v>45110</v>
      </c>
      <c r="B1480">
        <v>2023</v>
      </c>
      <c r="C1480">
        <v>7</v>
      </c>
      <c r="D1480" t="s">
        <v>4297</v>
      </c>
      <c r="E1480">
        <v>3</v>
      </c>
      <c r="F1480">
        <v>3</v>
      </c>
      <c r="G1480" t="s">
        <v>4301</v>
      </c>
    </row>
    <row r="1481" spans="1:7">
      <c r="A1481" s="10">
        <v>45627</v>
      </c>
      <c r="B1481">
        <v>2024</v>
      </c>
      <c r="C1481">
        <v>12</v>
      </c>
      <c r="D1481" t="s">
        <v>4299</v>
      </c>
      <c r="E1481">
        <v>4</v>
      </c>
      <c r="F1481">
        <v>1</v>
      </c>
      <c r="G1481" t="s">
        <v>4309</v>
      </c>
    </row>
    <row r="1482" spans="1:7">
      <c r="A1482" s="10">
        <v>45799</v>
      </c>
      <c r="B1482">
        <v>2025</v>
      </c>
      <c r="C1482">
        <v>5</v>
      </c>
      <c r="D1482" t="s">
        <v>4305</v>
      </c>
      <c r="E1482">
        <v>2</v>
      </c>
      <c r="F1482">
        <v>22</v>
      </c>
      <c r="G1482" t="s">
        <v>4300</v>
      </c>
    </row>
    <row r="1483" spans="1:7">
      <c r="A1483" s="10">
        <v>45700</v>
      </c>
      <c r="B1483">
        <v>2025</v>
      </c>
      <c r="C1483">
        <v>2</v>
      </c>
      <c r="D1483" t="s">
        <v>4312</v>
      </c>
      <c r="E1483">
        <v>1</v>
      </c>
      <c r="F1483">
        <v>12</v>
      </c>
      <c r="G1483" t="s">
        <v>4308</v>
      </c>
    </row>
    <row r="1484" spans="1:7">
      <c r="A1484" s="10">
        <v>44993</v>
      </c>
      <c r="B1484">
        <v>2023</v>
      </c>
      <c r="C1484">
        <v>3</v>
      </c>
      <c r="D1484" t="s">
        <v>4311</v>
      </c>
      <c r="E1484">
        <v>1</v>
      </c>
      <c r="F1484">
        <v>8</v>
      </c>
      <c r="G1484" t="s">
        <v>4308</v>
      </c>
    </row>
    <row r="1485" spans="1:7">
      <c r="A1485" s="10">
        <v>45289</v>
      </c>
      <c r="B1485">
        <v>2023</v>
      </c>
      <c r="C1485">
        <v>12</v>
      </c>
      <c r="D1485" t="s">
        <v>4299</v>
      </c>
      <c r="E1485">
        <v>4</v>
      </c>
      <c r="F1485">
        <v>29</v>
      </c>
      <c r="G1485" t="s">
        <v>4306</v>
      </c>
    </row>
    <row r="1486" spans="1:7">
      <c r="A1486" s="10">
        <v>45062</v>
      </c>
      <c r="B1486">
        <v>2023</v>
      </c>
      <c r="C1486">
        <v>5</v>
      </c>
      <c r="D1486" t="s">
        <v>4305</v>
      </c>
      <c r="E1486">
        <v>2</v>
      </c>
      <c r="F1486">
        <v>16</v>
      </c>
      <c r="G1486" t="s">
        <v>4303</v>
      </c>
    </row>
    <row r="1487" spans="1:7">
      <c r="A1487" s="10">
        <v>45055</v>
      </c>
      <c r="B1487">
        <v>2023</v>
      </c>
      <c r="C1487">
        <v>5</v>
      </c>
      <c r="D1487" t="s">
        <v>4305</v>
      </c>
      <c r="E1487">
        <v>2</v>
      </c>
      <c r="F1487">
        <v>9</v>
      </c>
      <c r="G1487" t="s">
        <v>4303</v>
      </c>
    </row>
    <row r="1488" spans="1:7">
      <c r="A1488" s="10">
        <v>45075</v>
      </c>
      <c r="B1488">
        <v>2023</v>
      </c>
      <c r="C1488">
        <v>5</v>
      </c>
      <c r="D1488" t="s">
        <v>4305</v>
      </c>
      <c r="E1488">
        <v>2</v>
      </c>
      <c r="F1488">
        <v>29</v>
      </c>
      <c r="G1488" t="s">
        <v>4301</v>
      </c>
    </row>
    <row r="1489" spans="1:7">
      <c r="A1489" s="10">
        <v>45628</v>
      </c>
      <c r="B1489">
        <v>2024</v>
      </c>
      <c r="C1489">
        <v>12</v>
      </c>
      <c r="D1489" t="s">
        <v>4299</v>
      </c>
      <c r="E1489">
        <v>4</v>
      </c>
      <c r="F1489">
        <v>2</v>
      </c>
      <c r="G1489" t="s">
        <v>4301</v>
      </c>
    </row>
    <row r="1490" spans="1:7">
      <c r="A1490" s="10">
        <v>45238</v>
      </c>
      <c r="B1490">
        <v>2023</v>
      </c>
      <c r="C1490">
        <v>11</v>
      </c>
      <c r="D1490" t="s">
        <v>4315</v>
      </c>
      <c r="E1490">
        <v>4</v>
      </c>
      <c r="F1490">
        <v>8</v>
      </c>
      <c r="G1490" t="s">
        <v>4308</v>
      </c>
    </row>
    <row r="1491" spans="1:7">
      <c r="A1491" s="10">
        <v>46015</v>
      </c>
      <c r="B1491">
        <v>2025</v>
      </c>
      <c r="C1491">
        <v>12</v>
      </c>
      <c r="D1491" t="s">
        <v>4299</v>
      </c>
      <c r="E1491">
        <v>4</v>
      </c>
      <c r="F1491">
        <v>24</v>
      </c>
      <c r="G1491" t="s">
        <v>4308</v>
      </c>
    </row>
    <row r="1492" spans="1:7">
      <c r="A1492" s="10">
        <v>45669</v>
      </c>
      <c r="B1492">
        <v>2025</v>
      </c>
      <c r="C1492">
        <v>1</v>
      </c>
      <c r="D1492" t="s">
        <v>4307</v>
      </c>
      <c r="E1492">
        <v>1</v>
      </c>
      <c r="F1492">
        <v>12</v>
      </c>
      <c r="G1492" t="s">
        <v>4309</v>
      </c>
    </row>
    <row r="1493" spans="1:7">
      <c r="A1493" s="10">
        <v>45822</v>
      </c>
      <c r="B1493">
        <v>2025</v>
      </c>
      <c r="C1493">
        <v>6</v>
      </c>
      <c r="D1493" t="s">
        <v>4310</v>
      </c>
      <c r="E1493">
        <v>2</v>
      </c>
      <c r="F1493">
        <v>14</v>
      </c>
      <c r="G1493" t="s">
        <v>4298</v>
      </c>
    </row>
    <row r="1494" spans="1:7">
      <c r="A1494" s="10">
        <v>45852</v>
      </c>
      <c r="B1494">
        <v>2025</v>
      </c>
      <c r="C1494">
        <v>7</v>
      </c>
      <c r="D1494" t="s">
        <v>4297</v>
      </c>
      <c r="E1494">
        <v>3</v>
      </c>
      <c r="F1494">
        <v>14</v>
      </c>
      <c r="G1494" t="s">
        <v>4301</v>
      </c>
    </row>
    <row r="1495" spans="1:7">
      <c r="A1495" s="10">
        <v>44977</v>
      </c>
      <c r="B1495">
        <v>2023</v>
      </c>
      <c r="C1495">
        <v>2</v>
      </c>
      <c r="D1495" t="s">
        <v>4312</v>
      </c>
      <c r="E1495">
        <v>1</v>
      </c>
      <c r="F1495">
        <v>20</v>
      </c>
      <c r="G1495" t="s">
        <v>4301</v>
      </c>
    </row>
    <row r="1496" spans="1:7">
      <c r="A1496" s="10">
        <v>45081</v>
      </c>
      <c r="B1496">
        <v>2023</v>
      </c>
      <c r="C1496">
        <v>6</v>
      </c>
      <c r="D1496" t="s">
        <v>4310</v>
      </c>
      <c r="E1496">
        <v>2</v>
      </c>
      <c r="F1496">
        <v>4</v>
      </c>
      <c r="G1496" t="s">
        <v>4309</v>
      </c>
    </row>
    <row r="1497" spans="1:7">
      <c r="A1497" s="10">
        <v>45541</v>
      </c>
      <c r="B1497">
        <v>2024</v>
      </c>
      <c r="C1497">
        <v>9</v>
      </c>
      <c r="D1497" t="s">
        <v>4304</v>
      </c>
      <c r="E1497">
        <v>3</v>
      </c>
      <c r="F1497">
        <v>6</v>
      </c>
      <c r="G1497" t="s">
        <v>4306</v>
      </c>
    </row>
    <row r="1498" spans="1:7">
      <c r="A1498" s="10">
        <v>45482</v>
      </c>
      <c r="B1498">
        <v>2024</v>
      </c>
      <c r="C1498">
        <v>7</v>
      </c>
      <c r="D1498" t="s">
        <v>4297</v>
      </c>
      <c r="E1498">
        <v>3</v>
      </c>
      <c r="F1498">
        <v>9</v>
      </c>
      <c r="G1498" t="s">
        <v>4303</v>
      </c>
    </row>
    <row r="1499" spans="1:7">
      <c r="A1499" s="10">
        <v>45482</v>
      </c>
      <c r="B1499">
        <v>2024</v>
      </c>
      <c r="C1499">
        <v>7</v>
      </c>
      <c r="D1499" t="s">
        <v>4297</v>
      </c>
      <c r="E1499">
        <v>3</v>
      </c>
      <c r="F1499">
        <v>9</v>
      </c>
      <c r="G1499" t="s">
        <v>4303</v>
      </c>
    </row>
    <row r="1500" spans="1:7">
      <c r="A1500" s="10">
        <v>45939</v>
      </c>
      <c r="B1500">
        <v>2025</v>
      </c>
      <c r="C1500">
        <v>10</v>
      </c>
      <c r="D1500" t="s">
        <v>4302</v>
      </c>
      <c r="E1500">
        <v>4</v>
      </c>
      <c r="F1500">
        <v>9</v>
      </c>
      <c r="G1500" t="s">
        <v>4300</v>
      </c>
    </row>
    <row r="1501" spans="1:7">
      <c r="A1501" s="10">
        <v>45894</v>
      </c>
      <c r="B1501">
        <v>2025</v>
      </c>
      <c r="C1501">
        <v>8</v>
      </c>
      <c r="D1501" t="s">
        <v>4313</v>
      </c>
      <c r="E1501">
        <v>3</v>
      </c>
      <c r="F1501">
        <v>25</v>
      </c>
      <c r="G1501" t="s">
        <v>4301</v>
      </c>
    </row>
    <row r="1502" spans="1:7">
      <c r="A1502" s="10">
        <v>45115</v>
      </c>
      <c r="B1502">
        <v>2023</v>
      </c>
      <c r="C1502">
        <v>7</v>
      </c>
      <c r="D1502" t="s">
        <v>4297</v>
      </c>
      <c r="E1502">
        <v>3</v>
      </c>
      <c r="F1502">
        <v>8</v>
      </c>
      <c r="G1502" t="s">
        <v>4298</v>
      </c>
    </row>
    <row r="1503" spans="1:7">
      <c r="A1503" s="10">
        <v>45388</v>
      </c>
      <c r="B1503">
        <v>2024</v>
      </c>
      <c r="C1503">
        <v>4</v>
      </c>
      <c r="D1503" t="s">
        <v>4314</v>
      </c>
      <c r="E1503">
        <v>2</v>
      </c>
      <c r="F1503">
        <v>6</v>
      </c>
      <c r="G1503" t="s">
        <v>4298</v>
      </c>
    </row>
    <row r="1504" spans="1:7">
      <c r="A1504" s="10">
        <v>45505</v>
      </c>
      <c r="B1504">
        <v>2024</v>
      </c>
      <c r="C1504">
        <v>8</v>
      </c>
      <c r="D1504" t="s">
        <v>4313</v>
      </c>
      <c r="E1504">
        <v>3</v>
      </c>
      <c r="F1504">
        <v>1</v>
      </c>
      <c r="G1504" t="s">
        <v>4300</v>
      </c>
    </row>
    <row r="1505" spans="1:7">
      <c r="A1505" s="10">
        <v>45079</v>
      </c>
      <c r="B1505">
        <v>2023</v>
      </c>
      <c r="C1505">
        <v>6</v>
      </c>
      <c r="D1505" t="s">
        <v>4310</v>
      </c>
      <c r="E1505">
        <v>2</v>
      </c>
      <c r="F1505">
        <v>2</v>
      </c>
      <c r="G1505" t="s">
        <v>4306</v>
      </c>
    </row>
    <row r="1506" spans="1:7">
      <c r="A1506" s="10">
        <v>45134</v>
      </c>
      <c r="B1506">
        <v>2023</v>
      </c>
      <c r="C1506">
        <v>7</v>
      </c>
      <c r="D1506" t="s">
        <v>4297</v>
      </c>
      <c r="E1506">
        <v>3</v>
      </c>
      <c r="F1506">
        <v>27</v>
      </c>
      <c r="G1506" t="s">
        <v>4300</v>
      </c>
    </row>
    <row r="1507" spans="1:7">
      <c r="A1507" s="10">
        <v>45521</v>
      </c>
      <c r="B1507">
        <v>2024</v>
      </c>
      <c r="C1507">
        <v>8</v>
      </c>
      <c r="D1507" t="s">
        <v>4313</v>
      </c>
      <c r="E1507">
        <v>3</v>
      </c>
      <c r="F1507">
        <v>17</v>
      </c>
      <c r="G1507" t="s">
        <v>4298</v>
      </c>
    </row>
    <row r="1508" spans="1:7">
      <c r="A1508" s="10">
        <v>45257</v>
      </c>
      <c r="B1508">
        <v>2023</v>
      </c>
      <c r="C1508">
        <v>11</v>
      </c>
      <c r="D1508" t="s">
        <v>4315</v>
      </c>
      <c r="E1508">
        <v>4</v>
      </c>
      <c r="F1508">
        <v>27</v>
      </c>
      <c r="G1508" t="s">
        <v>4301</v>
      </c>
    </row>
    <row r="1509" spans="1:7">
      <c r="A1509" s="10">
        <v>45922</v>
      </c>
      <c r="B1509">
        <v>2025</v>
      </c>
      <c r="C1509">
        <v>9</v>
      </c>
      <c r="D1509" t="s">
        <v>4304</v>
      </c>
      <c r="E1509">
        <v>3</v>
      </c>
      <c r="F1509">
        <v>22</v>
      </c>
      <c r="G1509" t="s">
        <v>4301</v>
      </c>
    </row>
    <row r="1510" spans="1:7">
      <c r="A1510" s="10">
        <v>44964</v>
      </c>
      <c r="B1510">
        <v>2023</v>
      </c>
      <c r="C1510">
        <v>2</v>
      </c>
      <c r="D1510" t="s">
        <v>4312</v>
      </c>
      <c r="E1510">
        <v>1</v>
      </c>
      <c r="F1510">
        <v>7</v>
      </c>
      <c r="G1510" t="s">
        <v>4303</v>
      </c>
    </row>
    <row r="1511" spans="1:7">
      <c r="A1511" s="10">
        <v>45011</v>
      </c>
      <c r="B1511">
        <v>2023</v>
      </c>
      <c r="C1511">
        <v>3</v>
      </c>
      <c r="D1511" t="s">
        <v>4311</v>
      </c>
      <c r="E1511">
        <v>1</v>
      </c>
      <c r="F1511">
        <v>26</v>
      </c>
      <c r="G1511" t="s">
        <v>4309</v>
      </c>
    </row>
    <row r="1512" spans="1:7">
      <c r="A1512" s="10">
        <v>45124</v>
      </c>
      <c r="B1512">
        <v>2023</v>
      </c>
      <c r="C1512">
        <v>7</v>
      </c>
      <c r="D1512" t="s">
        <v>4297</v>
      </c>
      <c r="E1512">
        <v>3</v>
      </c>
      <c r="F1512">
        <v>17</v>
      </c>
      <c r="G1512" t="s">
        <v>4301</v>
      </c>
    </row>
    <row r="1513" spans="1:7">
      <c r="A1513" s="10">
        <v>45710</v>
      </c>
      <c r="B1513">
        <v>2025</v>
      </c>
      <c r="C1513">
        <v>2</v>
      </c>
      <c r="D1513" t="s">
        <v>4312</v>
      </c>
      <c r="E1513">
        <v>1</v>
      </c>
      <c r="F1513">
        <v>22</v>
      </c>
      <c r="G1513" t="s">
        <v>4298</v>
      </c>
    </row>
    <row r="1514" spans="1:7">
      <c r="A1514" s="10">
        <v>45276</v>
      </c>
      <c r="B1514">
        <v>2023</v>
      </c>
      <c r="C1514">
        <v>12</v>
      </c>
      <c r="D1514" t="s">
        <v>4299</v>
      </c>
      <c r="E1514">
        <v>4</v>
      </c>
      <c r="F1514">
        <v>16</v>
      </c>
      <c r="G1514" t="s">
        <v>4298</v>
      </c>
    </row>
    <row r="1515" spans="1:7">
      <c r="A1515" s="10">
        <v>46012</v>
      </c>
      <c r="B1515">
        <v>2025</v>
      </c>
      <c r="C1515">
        <v>12</v>
      </c>
      <c r="D1515" t="s">
        <v>4299</v>
      </c>
      <c r="E1515">
        <v>4</v>
      </c>
      <c r="F1515">
        <v>21</v>
      </c>
      <c r="G1515" t="s">
        <v>4309</v>
      </c>
    </row>
    <row r="1516" spans="1:7">
      <c r="A1516" s="10">
        <v>44953</v>
      </c>
      <c r="B1516">
        <v>2023</v>
      </c>
      <c r="C1516">
        <v>1</v>
      </c>
      <c r="D1516" t="s">
        <v>4307</v>
      </c>
      <c r="E1516">
        <v>1</v>
      </c>
      <c r="F1516">
        <v>27</v>
      </c>
      <c r="G1516" t="s">
        <v>4306</v>
      </c>
    </row>
    <row r="1517" spans="1:7">
      <c r="A1517" s="10">
        <v>45941</v>
      </c>
      <c r="B1517">
        <v>2025</v>
      </c>
      <c r="C1517">
        <v>10</v>
      </c>
      <c r="D1517" t="s">
        <v>4302</v>
      </c>
      <c r="E1517">
        <v>4</v>
      </c>
      <c r="F1517">
        <v>11</v>
      </c>
      <c r="G1517" t="s">
        <v>4298</v>
      </c>
    </row>
    <row r="1518" spans="1:7">
      <c r="A1518" s="10">
        <v>45558</v>
      </c>
      <c r="B1518">
        <v>2024</v>
      </c>
      <c r="C1518">
        <v>9</v>
      </c>
      <c r="D1518" t="s">
        <v>4304</v>
      </c>
      <c r="E1518">
        <v>3</v>
      </c>
      <c r="F1518">
        <v>23</v>
      </c>
      <c r="G1518" t="s">
        <v>4301</v>
      </c>
    </row>
    <row r="1519" spans="1:7">
      <c r="A1519" s="10">
        <v>45874</v>
      </c>
      <c r="B1519">
        <v>2025</v>
      </c>
      <c r="C1519">
        <v>8</v>
      </c>
      <c r="D1519" t="s">
        <v>4313</v>
      </c>
      <c r="E1519">
        <v>3</v>
      </c>
      <c r="F1519">
        <v>5</v>
      </c>
      <c r="G1519" t="s">
        <v>4303</v>
      </c>
    </row>
    <row r="1520" spans="1:7">
      <c r="A1520" s="10">
        <v>45174</v>
      </c>
      <c r="B1520">
        <v>2023</v>
      </c>
      <c r="C1520">
        <v>9</v>
      </c>
      <c r="D1520" t="s">
        <v>4304</v>
      </c>
      <c r="E1520">
        <v>3</v>
      </c>
      <c r="F1520">
        <v>5</v>
      </c>
      <c r="G1520" t="s">
        <v>4303</v>
      </c>
    </row>
    <row r="1521" spans="1:7">
      <c r="A1521" s="10">
        <v>45965</v>
      </c>
      <c r="B1521">
        <v>2025</v>
      </c>
      <c r="C1521">
        <v>11</v>
      </c>
      <c r="D1521" t="s">
        <v>4315</v>
      </c>
      <c r="E1521">
        <v>4</v>
      </c>
      <c r="F1521">
        <v>4</v>
      </c>
      <c r="G1521" t="s">
        <v>4303</v>
      </c>
    </row>
    <row r="1522" spans="1:7">
      <c r="A1522" s="10">
        <v>45118</v>
      </c>
      <c r="B1522">
        <v>2023</v>
      </c>
      <c r="C1522">
        <v>7</v>
      </c>
      <c r="D1522" t="s">
        <v>4297</v>
      </c>
      <c r="E1522">
        <v>3</v>
      </c>
      <c r="F1522">
        <v>11</v>
      </c>
      <c r="G1522" t="s">
        <v>4303</v>
      </c>
    </row>
    <row r="1523" spans="1:7">
      <c r="A1523" s="10">
        <v>45899</v>
      </c>
      <c r="B1523">
        <v>2025</v>
      </c>
      <c r="C1523">
        <v>8</v>
      </c>
      <c r="D1523" t="s">
        <v>4313</v>
      </c>
      <c r="E1523">
        <v>3</v>
      </c>
      <c r="F1523">
        <v>30</v>
      </c>
      <c r="G1523" t="s">
        <v>4298</v>
      </c>
    </row>
    <row r="1524" spans="1:7">
      <c r="A1524" s="10">
        <v>45936</v>
      </c>
      <c r="B1524">
        <v>2025</v>
      </c>
      <c r="C1524">
        <v>10</v>
      </c>
      <c r="D1524" t="s">
        <v>4302</v>
      </c>
      <c r="E1524">
        <v>4</v>
      </c>
      <c r="F1524">
        <v>6</v>
      </c>
      <c r="G1524" t="s">
        <v>4301</v>
      </c>
    </row>
    <row r="1525" spans="1:7">
      <c r="A1525" s="10">
        <v>45303</v>
      </c>
      <c r="B1525">
        <v>2024</v>
      </c>
      <c r="C1525">
        <v>1</v>
      </c>
      <c r="D1525" t="s">
        <v>4307</v>
      </c>
      <c r="E1525">
        <v>1</v>
      </c>
      <c r="F1525">
        <v>12</v>
      </c>
      <c r="G1525" t="s">
        <v>4306</v>
      </c>
    </row>
    <row r="1526" spans="1:7">
      <c r="A1526" s="10">
        <v>45947</v>
      </c>
      <c r="B1526">
        <v>2025</v>
      </c>
      <c r="C1526">
        <v>10</v>
      </c>
      <c r="D1526" t="s">
        <v>4302</v>
      </c>
      <c r="E1526">
        <v>4</v>
      </c>
      <c r="F1526">
        <v>17</v>
      </c>
      <c r="G1526" t="s">
        <v>4306</v>
      </c>
    </row>
    <row r="1527" spans="1:7">
      <c r="A1527" s="10">
        <v>45845</v>
      </c>
      <c r="B1527">
        <v>2025</v>
      </c>
      <c r="C1527">
        <v>7</v>
      </c>
      <c r="D1527" t="s">
        <v>4297</v>
      </c>
      <c r="E1527">
        <v>3</v>
      </c>
      <c r="F1527">
        <v>7</v>
      </c>
      <c r="G1527" t="s">
        <v>4301</v>
      </c>
    </row>
    <row r="1528" spans="1:7">
      <c r="A1528" s="10">
        <v>45426</v>
      </c>
      <c r="B1528">
        <v>2024</v>
      </c>
      <c r="C1528">
        <v>5</v>
      </c>
      <c r="D1528" t="s">
        <v>4305</v>
      </c>
      <c r="E1528">
        <v>2</v>
      </c>
      <c r="F1528">
        <v>14</v>
      </c>
      <c r="G1528" t="s">
        <v>4303</v>
      </c>
    </row>
    <row r="1529" spans="1:7">
      <c r="A1529" s="10">
        <v>45267</v>
      </c>
      <c r="B1529">
        <v>2023</v>
      </c>
      <c r="C1529">
        <v>12</v>
      </c>
      <c r="D1529" t="s">
        <v>4299</v>
      </c>
      <c r="E1529">
        <v>4</v>
      </c>
      <c r="F1529">
        <v>7</v>
      </c>
      <c r="G1529" t="s">
        <v>4300</v>
      </c>
    </row>
    <row r="1530" spans="1:7">
      <c r="A1530" s="10">
        <v>45524</v>
      </c>
      <c r="B1530">
        <v>2024</v>
      </c>
      <c r="C1530">
        <v>8</v>
      </c>
      <c r="D1530" t="s">
        <v>4313</v>
      </c>
      <c r="E1530">
        <v>3</v>
      </c>
      <c r="F1530">
        <v>20</v>
      </c>
      <c r="G1530" t="s">
        <v>4303</v>
      </c>
    </row>
    <row r="1531" spans="1:7">
      <c r="A1531" s="10">
        <v>45350</v>
      </c>
      <c r="B1531">
        <v>2024</v>
      </c>
      <c r="C1531">
        <v>2</v>
      </c>
      <c r="D1531" t="s">
        <v>4312</v>
      </c>
      <c r="E1531">
        <v>1</v>
      </c>
      <c r="F1531">
        <v>28</v>
      </c>
      <c r="G1531" t="s">
        <v>4308</v>
      </c>
    </row>
    <row r="1532" spans="1:7">
      <c r="A1532" s="10">
        <v>45617</v>
      </c>
      <c r="B1532">
        <v>2024</v>
      </c>
      <c r="C1532">
        <v>11</v>
      </c>
      <c r="D1532" t="s">
        <v>4315</v>
      </c>
      <c r="E1532">
        <v>4</v>
      </c>
      <c r="F1532">
        <v>21</v>
      </c>
      <c r="G1532" t="s">
        <v>4300</v>
      </c>
    </row>
    <row r="1533" spans="1:7">
      <c r="A1533" s="10">
        <v>45398</v>
      </c>
      <c r="B1533">
        <v>2024</v>
      </c>
      <c r="C1533">
        <v>4</v>
      </c>
      <c r="D1533" t="s">
        <v>4314</v>
      </c>
      <c r="E1533">
        <v>2</v>
      </c>
      <c r="F1533">
        <v>16</v>
      </c>
      <c r="G1533" t="s">
        <v>4303</v>
      </c>
    </row>
    <row r="1534" spans="1:7">
      <c r="A1534" s="10">
        <v>45163</v>
      </c>
      <c r="B1534">
        <v>2023</v>
      </c>
      <c r="C1534">
        <v>8</v>
      </c>
      <c r="D1534" t="s">
        <v>4313</v>
      </c>
      <c r="E1534">
        <v>3</v>
      </c>
      <c r="F1534">
        <v>25</v>
      </c>
      <c r="G1534" t="s">
        <v>4306</v>
      </c>
    </row>
    <row r="1535" spans="1:7">
      <c r="A1535" s="10">
        <v>45523</v>
      </c>
      <c r="B1535">
        <v>2024</v>
      </c>
      <c r="C1535">
        <v>8</v>
      </c>
      <c r="D1535" t="s">
        <v>4313</v>
      </c>
      <c r="E1535">
        <v>3</v>
      </c>
      <c r="F1535">
        <v>19</v>
      </c>
      <c r="G1535" t="s">
        <v>4301</v>
      </c>
    </row>
    <row r="1536" spans="1:7">
      <c r="A1536" s="10">
        <v>45832</v>
      </c>
      <c r="B1536">
        <v>2025</v>
      </c>
      <c r="C1536">
        <v>6</v>
      </c>
      <c r="D1536" t="s">
        <v>4310</v>
      </c>
      <c r="E1536">
        <v>2</v>
      </c>
      <c r="F1536">
        <v>24</v>
      </c>
      <c r="G1536" t="s">
        <v>4303</v>
      </c>
    </row>
    <row r="1537" spans="1:7">
      <c r="A1537" s="10">
        <v>45612</v>
      </c>
      <c r="B1537">
        <v>2024</v>
      </c>
      <c r="C1537">
        <v>11</v>
      </c>
      <c r="D1537" t="s">
        <v>4315</v>
      </c>
      <c r="E1537">
        <v>4</v>
      </c>
      <c r="F1537">
        <v>16</v>
      </c>
      <c r="G1537" t="s">
        <v>4298</v>
      </c>
    </row>
    <row r="1538" spans="1:7">
      <c r="A1538" s="10">
        <v>45535</v>
      </c>
      <c r="B1538">
        <v>2024</v>
      </c>
      <c r="C1538">
        <v>8</v>
      </c>
      <c r="D1538" t="s">
        <v>4313</v>
      </c>
      <c r="E1538">
        <v>3</v>
      </c>
      <c r="F1538">
        <v>31</v>
      </c>
      <c r="G1538" t="s">
        <v>4298</v>
      </c>
    </row>
    <row r="1539" spans="1:7">
      <c r="A1539" s="10">
        <v>45577</v>
      </c>
      <c r="B1539">
        <v>2024</v>
      </c>
      <c r="C1539">
        <v>10</v>
      </c>
      <c r="D1539" t="s">
        <v>4302</v>
      </c>
      <c r="E1539">
        <v>4</v>
      </c>
      <c r="F1539">
        <v>12</v>
      </c>
      <c r="G1539" t="s">
        <v>4298</v>
      </c>
    </row>
    <row r="1540" spans="1:7">
      <c r="A1540" s="10">
        <v>45318</v>
      </c>
      <c r="B1540">
        <v>2024</v>
      </c>
      <c r="C1540">
        <v>1</v>
      </c>
      <c r="D1540" t="s">
        <v>4307</v>
      </c>
      <c r="E1540">
        <v>1</v>
      </c>
      <c r="F1540">
        <v>27</v>
      </c>
      <c r="G1540" t="s">
        <v>4298</v>
      </c>
    </row>
    <row r="1541" spans="1:7">
      <c r="A1541" s="10">
        <v>45730</v>
      </c>
      <c r="B1541">
        <v>2025</v>
      </c>
      <c r="C1541">
        <v>3</v>
      </c>
      <c r="D1541" t="s">
        <v>4311</v>
      </c>
      <c r="E1541">
        <v>1</v>
      </c>
      <c r="F1541">
        <v>14</v>
      </c>
      <c r="G1541" t="s">
        <v>4306</v>
      </c>
    </row>
    <row r="1542" spans="1:7">
      <c r="A1542" s="10">
        <v>45515</v>
      </c>
      <c r="B1542">
        <v>2024</v>
      </c>
      <c r="C1542">
        <v>8</v>
      </c>
      <c r="D1542" t="s">
        <v>4313</v>
      </c>
      <c r="E1542">
        <v>3</v>
      </c>
      <c r="F1542">
        <v>11</v>
      </c>
      <c r="G1542" t="s">
        <v>4309</v>
      </c>
    </row>
    <row r="1543" spans="1:7">
      <c r="A1543" s="10">
        <v>45784</v>
      </c>
      <c r="B1543">
        <v>2025</v>
      </c>
      <c r="C1543">
        <v>5</v>
      </c>
      <c r="D1543" t="s">
        <v>4305</v>
      </c>
      <c r="E1543">
        <v>2</v>
      </c>
      <c r="F1543">
        <v>7</v>
      </c>
      <c r="G1543" t="s">
        <v>4308</v>
      </c>
    </row>
    <row r="1544" spans="1:7">
      <c r="A1544" s="10">
        <v>45421</v>
      </c>
      <c r="B1544">
        <v>2024</v>
      </c>
      <c r="C1544">
        <v>5</v>
      </c>
      <c r="D1544" t="s">
        <v>4305</v>
      </c>
      <c r="E1544">
        <v>2</v>
      </c>
      <c r="F1544">
        <v>9</v>
      </c>
      <c r="G1544" t="s">
        <v>4300</v>
      </c>
    </row>
    <row r="1545" spans="1:7">
      <c r="A1545" s="10">
        <v>45056</v>
      </c>
      <c r="B1545">
        <v>2023</v>
      </c>
      <c r="C1545">
        <v>5</v>
      </c>
      <c r="D1545" t="s">
        <v>4305</v>
      </c>
      <c r="E1545">
        <v>2</v>
      </c>
      <c r="F1545">
        <v>10</v>
      </c>
      <c r="G1545" t="s">
        <v>4308</v>
      </c>
    </row>
    <row r="1546" spans="1:7">
      <c r="A1546" s="10">
        <v>45977</v>
      </c>
      <c r="B1546">
        <v>2025</v>
      </c>
      <c r="C1546">
        <v>11</v>
      </c>
      <c r="D1546" t="s">
        <v>4315</v>
      </c>
      <c r="E1546">
        <v>4</v>
      </c>
      <c r="F1546">
        <v>16</v>
      </c>
      <c r="G1546" t="s">
        <v>4309</v>
      </c>
    </row>
    <row r="1547" spans="1:7">
      <c r="A1547" s="10">
        <v>45076</v>
      </c>
      <c r="B1547">
        <v>2023</v>
      </c>
      <c r="C1547">
        <v>5</v>
      </c>
      <c r="D1547" t="s">
        <v>4305</v>
      </c>
      <c r="E1547">
        <v>2</v>
      </c>
      <c r="F1547">
        <v>30</v>
      </c>
      <c r="G1547" t="s">
        <v>4303</v>
      </c>
    </row>
    <row r="1548" spans="1:7">
      <c r="A1548" s="10">
        <v>45857</v>
      </c>
      <c r="B1548">
        <v>2025</v>
      </c>
      <c r="C1548">
        <v>7</v>
      </c>
      <c r="D1548" t="s">
        <v>4297</v>
      </c>
      <c r="E1548">
        <v>3</v>
      </c>
      <c r="F1548">
        <v>19</v>
      </c>
      <c r="G1548" t="s">
        <v>4298</v>
      </c>
    </row>
    <row r="1549" spans="1:7">
      <c r="A1549" s="10">
        <v>45943</v>
      </c>
      <c r="B1549">
        <v>2025</v>
      </c>
      <c r="C1549">
        <v>10</v>
      </c>
      <c r="D1549" t="s">
        <v>4302</v>
      </c>
      <c r="E1549">
        <v>4</v>
      </c>
      <c r="F1549">
        <v>13</v>
      </c>
      <c r="G1549" t="s">
        <v>4301</v>
      </c>
    </row>
    <row r="1550" spans="1:7">
      <c r="A1550" s="10">
        <v>45633</v>
      </c>
      <c r="B1550">
        <v>2024</v>
      </c>
      <c r="C1550">
        <v>12</v>
      </c>
      <c r="D1550" t="s">
        <v>4299</v>
      </c>
      <c r="E1550">
        <v>4</v>
      </c>
      <c r="F1550">
        <v>7</v>
      </c>
      <c r="G1550" t="s">
        <v>4298</v>
      </c>
    </row>
    <row r="1551" spans="1:7">
      <c r="A1551" s="10">
        <v>45988</v>
      </c>
      <c r="B1551">
        <v>2025</v>
      </c>
      <c r="C1551">
        <v>11</v>
      </c>
      <c r="D1551" t="s">
        <v>4315</v>
      </c>
      <c r="E1551">
        <v>4</v>
      </c>
      <c r="F1551">
        <v>27</v>
      </c>
      <c r="G1551" t="s">
        <v>4300</v>
      </c>
    </row>
    <row r="1552" spans="1:7">
      <c r="A1552" s="10">
        <v>45842</v>
      </c>
      <c r="B1552">
        <v>2025</v>
      </c>
      <c r="C1552">
        <v>7</v>
      </c>
      <c r="D1552" t="s">
        <v>4297</v>
      </c>
      <c r="E1552">
        <v>3</v>
      </c>
      <c r="F1552">
        <v>4</v>
      </c>
      <c r="G1552" t="s">
        <v>4306</v>
      </c>
    </row>
    <row r="1553" spans="1:7">
      <c r="A1553" s="10">
        <v>45270</v>
      </c>
      <c r="B1553">
        <v>2023</v>
      </c>
      <c r="C1553">
        <v>12</v>
      </c>
      <c r="D1553" t="s">
        <v>4299</v>
      </c>
      <c r="E1553">
        <v>4</v>
      </c>
      <c r="F1553">
        <v>10</v>
      </c>
      <c r="G1553" t="s">
        <v>4309</v>
      </c>
    </row>
    <row r="1554" spans="1:7">
      <c r="A1554" s="10">
        <v>45730</v>
      </c>
      <c r="B1554">
        <v>2025</v>
      </c>
      <c r="C1554">
        <v>3</v>
      </c>
      <c r="D1554" t="s">
        <v>4311</v>
      </c>
      <c r="E1554">
        <v>1</v>
      </c>
      <c r="F1554">
        <v>14</v>
      </c>
      <c r="G1554" t="s">
        <v>4306</v>
      </c>
    </row>
    <row r="1555" spans="1:7">
      <c r="A1555" s="10">
        <v>45022</v>
      </c>
      <c r="B1555">
        <v>2023</v>
      </c>
      <c r="C1555">
        <v>4</v>
      </c>
      <c r="D1555" t="s">
        <v>4314</v>
      </c>
      <c r="E1555">
        <v>2</v>
      </c>
      <c r="F1555">
        <v>6</v>
      </c>
      <c r="G1555" t="s">
        <v>4300</v>
      </c>
    </row>
    <row r="1556" spans="1:7">
      <c r="A1556" s="10">
        <v>45412</v>
      </c>
      <c r="B1556">
        <v>2024</v>
      </c>
      <c r="C1556">
        <v>4</v>
      </c>
      <c r="D1556" t="s">
        <v>4314</v>
      </c>
      <c r="E1556">
        <v>2</v>
      </c>
      <c r="F1556">
        <v>30</v>
      </c>
      <c r="G1556" t="s">
        <v>4303</v>
      </c>
    </row>
    <row r="1557" spans="1:7">
      <c r="A1557" s="10">
        <v>45685</v>
      </c>
      <c r="B1557">
        <v>2025</v>
      </c>
      <c r="C1557">
        <v>1</v>
      </c>
      <c r="D1557" t="s">
        <v>4307</v>
      </c>
      <c r="E1557">
        <v>1</v>
      </c>
      <c r="F1557">
        <v>28</v>
      </c>
      <c r="G1557" t="s">
        <v>4303</v>
      </c>
    </row>
    <row r="1558" spans="1:7">
      <c r="A1558" s="10">
        <v>45750</v>
      </c>
      <c r="B1558">
        <v>2025</v>
      </c>
      <c r="C1558">
        <v>4</v>
      </c>
      <c r="D1558" t="s">
        <v>4314</v>
      </c>
      <c r="E1558">
        <v>2</v>
      </c>
      <c r="F1558">
        <v>3</v>
      </c>
      <c r="G1558" t="s">
        <v>4300</v>
      </c>
    </row>
    <row r="1559" spans="1:7">
      <c r="A1559" s="10">
        <v>45796</v>
      </c>
      <c r="B1559">
        <v>2025</v>
      </c>
      <c r="C1559">
        <v>5</v>
      </c>
      <c r="D1559" t="s">
        <v>4305</v>
      </c>
      <c r="E1559">
        <v>2</v>
      </c>
      <c r="F1559">
        <v>19</v>
      </c>
      <c r="G1559" t="s">
        <v>4301</v>
      </c>
    </row>
    <row r="1560" spans="1:7">
      <c r="A1560" s="10">
        <v>45806</v>
      </c>
      <c r="B1560">
        <v>2025</v>
      </c>
      <c r="C1560">
        <v>5</v>
      </c>
      <c r="D1560" t="s">
        <v>4305</v>
      </c>
      <c r="E1560">
        <v>2</v>
      </c>
      <c r="F1560">
        <v>29</v>
      </c>
      <c r="G1560" t="s">
        <v>4300</v>
      </c>
    </row>
    <row r="1561" spans="1:7">
      <c r="A1561" s="10">
        <v>45238</v>
      </c>
      <c r="B1561">
        <v>2023</v>
      </c>
      <c r="C1561">
        <v>11</v>
      </c>
      <c r="D1561" t="s">
        <v>4315</v>
      </c>
      <c r="E1561">
        <v>4</v>
      </c>
      <c r="F1561">
        <v>8</v>
      </c>
      <c r="G1561" t="s">
        <v>4308</v>
      </c>
    </row>
    <row r="1562" spans="1:7">
      <c r="A1562" s="10">
        <v>45280</v>
      </c>
      <c r="B1562">
        <v>2023</v>
      </c>
      <c r="C1562">
        <v>12</v>
      </c>
      <c r="D1562" t="s">
        <v>4299</v>
      </c>
      <c r="E1562">
        <v>4</v>
      </c>
      <c r="F1562">
        <v>20</v>
      </c>
      <c r="G1562" t="s">
        <v>4308</v>
      </c>
    </row>
    <row r="1563" spans="1:7">
      <c r="A1563" s="10">
        <v>45084</v>
      </c>
      <c r="B1563">
        <v>2023</v>
      </c>
      <c r="C1563">
        <v>6</v>
      </c>
      <c r="D1563" t="s">
        <v>4310</v>
      </c>
      <c r="E1563">
        <v>2</v>
      </c>
      <c r="F1563">
        <v>7</v>
      </c>
      <c r="G1563" t="s">
        <v>4308</v>
      </c>
    </row>
    <row r="1564" spans="1:7">
      <c r="A1564" s="10">
        <v>44962</v>
      </c>
      <c r="B1564">
        <v>2023</v>
      </c>
      <c r="C1564">
        <v>2</v>
      </c>
      <c r="D1564" t="s">
        <v>4312</v>
      </c>
      <c r="E1564">
        <v>1</v>
      </c>
      <c r="F1564">
        <v>5</v>
      </c>
      <c r="G1564" t="s">
        <v>4309</v>
      </c>
    </row>
    <row r="1565" spans="1:7">
      <c r="A1565" s="10">
        <v>45436</v>
      </c>
      <c r="B1565">
        <v>2024</v>
      </c>
      <c r="C1565">
        <v>5</v>
      </c>
      <c r="D1565" t="s">
        <v>4305</v>
      </c>
      <c r="E1565">
        <v>2</v>
      </c>
      <c r="F1565">
        <v>24</v>
      </c>
      <c r="G1565" t="s">
        <v>4306</v>
      </c>
    </row>
    <row r="1566" spans="1:7">
      <c r="A1566" s="10">
        <v>45272</v>
      </c>
      <c r="B1566">
        <v>2023</v>
      </c>
      <c r="C1566">
        <v>12</v>
      </c>
      <c r="D1566" t="s">
        <v>4299</v>
      </c>
      <c r="E1566">
        <v>4</v>
      </c>
      <c r="F1566">
        <v>12</v>
      </c>
      <c r="G1566" t="s">
        <v>4303</v>
      </c>
    </row>
    <row r="1567" spans="1:7">
      <c r="A1567" s="10">
        <v>45625</v>
      </c>
      <c r="B1567">
        <v>2024</v>
      </c>
      <c r="C1567">
        <v>11</v>
      </c>
      <c r="D1567" t="s">
        <v>4315</v>
      </c>
      <c r="E1567">
        <v>4</v>
      </c>
      <c r="F1567">
        <v>29</v>
      </c>
      <c r="G1567" t="s">
        <v>4306</v>
      </c>
    </row>
    <row r="1568" spans="1:7">
      <c r="A1568" s="10">
        <v>45608</v>
      </c>
      <c r="B1568">
        <v>2024</v>
      </c>
      <c r="C1568">
        <v>11</v>
      </c>
      <c r="D1568" t="s">
        <v>4315</v>
      </c>
      <c r="E1568">
        <v>4</v>
      </c>
      <c r="F1568">
        <v>12</v>
      </c>
      <c r="G1568" t="s">
        <v>4303</v>
      </c>
    </row>
    <row r="1569" spans="1:7">
      <c r="A1569" s="10">
        <v>45170</v>
      </c>
      <c r="B1569">
        <v>2023</v>
      </c>
      <c r="C1569">
        <v>9</v>
      </c>
      <c r="D1569" t="s">
        <v>4304</v>
      </c>
      <c r="E1569">
        <v>3</v>
      </c>
      <c r="F1569">
        <v>1</v>
      </c>
      <c r="G1569" t="s">
        <v>4306</v>
      </c>
    </row>
    <row r="1570" spans="1:7">
      <c r="A1570" s="10">
        <v>45408</v>
      </c>
      <c r="B1570">
        <v>2024</v>
      </c>
      <c r="C1570">
        <v>4</v>
      </c>
      <c r="D1570" t="s">
        <v>4314</v>
      </c>
      <c r="E1570">
        <v>2</v>
      </c>
      <c r="F1570">
        <v>26</v>
      </c>
      <c r="G1570" t="s">
        <v>4306</v>
      </c>
    </row>
    <row r="1571" spans="1:7">
      <c r="A1571" s="10">
        <v>45482</v>
      </c>
      <c r="B1571">
        <v>2024</v>
      </c>
      <c r="C1571">
        <v>7</v>
      </c>
      <c r="D1571" t="s">
        <v>4297</v>
      </c>
      <c r="E1571">
        <v>3</v>
      </c>
      <c r="F1571">
        <v>9</v>
      </c>
      <c r="G1571" t="s">
        <v>4303</v>
      </c>
    </row>
    <row r="1572" spans="1:7">
      <c r="A1572" s="10">
        <v>45774</v>
      </c>
      <c r="B1572">
        <v>2025</v>
      </c>
      <c r="C1572">
        <v>4</v>
      </c>
      <c r="D1572" t="s">
        <v>4314</v>
      </c>
      <c r="E1572">
        <v>2</v>
      </c>
      <c r="F1572">
        <v>27</v>
      </c>
      <c r="G1572" t="s">
        <v>4309</v>
      </c>
    </row>
    <row r="1573" spans="1:7">
      <c r="A1573" s="10">
        <v>45052</v>
      </c>
      <c r="B1573">
        <v>2023</v>
      </c>
      <c r="C1573">
        <v>5</v>
      </c>
      <c r="D1573" t="s">
        <v>4305</v>
      </c>
      <c r="E1573">
        <v>2</v>
      </c>
      <c r="F1573">
        <v>6</v>
      </c>
      <c r="G1573" t="s">
        <v>4298</v>
      </c>
    </row>
    <row r="1574" spans="1:7">
      <c r="A1574" s="10">
        <v>45558</v>
      </c>
      <c r="B1574">
        <v>2024</v>
      </c>
      <c r="C1574">
        <v>9</v>
      </c>
      <c r="D1574" t="s">
        <v>4304</v>
      </c>
      <c r="E1574">
        <v>3</v>
      </c>
      <c r="F1574">
        <v>23</v>
      </c>
      <c r="G1574" t="s">
        <v>4301</v>
      </c>
    </row>
    <row r="1575" spans="1:7">
      <c r="A1575" s="10">
        <v>45379</v>
      </c>
      <c r="B1575">
        <v>2024</v>
      </c>
      <c r="C1575">
        <v>3</v>
      </c>
      <c r="D1575" t="s">
        <v>4311</v>
      </c>
      <c r="E1575">
        <v>1</v>
      </c>
      <c r="F1575">
        <v>28</v>
      </c>
      <c r="G1575" t="s">
        <v>4300</v>
      </c>
    </row>
    <row r="1576" spans="1:7">
      <c r="A1576" s="10">
        <v>45248</v>
      </c>
      <c r="B1576">
        <v>2023</v>
      </c>
      <c r="C1576">
        <v>11</v>
      </c>
      <c r="D1576" t="s">
        <v>4315</v>
      </c>
      <c r="E1576">
        <v>4</v>
      </c>
      <c r="F1576">
        <v>18</v>
      </c>
      <c r="G1576" t="s">
        <v>4298</v>
      </c>
    </row>
    <row r="1577" spans="1:7">
      <c r="A1577" s="10">
        <v>45636</v>
      </c>
      <c r="B1577">
        <v>2024</v>
      </c>
      <c r="C1577">
        <v>12</v>
      </c>
      <c r="D1577" t="s">
        <v>4299</v>
      </c>
      <c r="E1577">
        <v>4</v>
      </c>
      <c r="F1577">
        <v>10</v>
      </c>
      <c r="G1577" t="s">
        <v>4303</v>
      </c>
    </row>
    <row r="1578" spans="1:7">
      <c r="A1578" s="10">
        <v>45358</v>
      </c>
      <c r="B1578">
        <v>2024</v>
      </c>
      <c r="C1578">
        <v>3</v>
      </c>
      <c r="D1578" t="s">
        <v>4311</v>
      </c>
      <c r="E1578">
        <v>1</v>
      </c>
      <c r="F1578">
        <v>7</v>
      </c>
      <c r="G1578" t="s">
        <v>4300</v>
      </c>
    </row>
    <row r="1579" spans="1:7">
      <c r="A1579" s="10">
        <v>45478</v>
      </c>
      <c r="B1579">
        <v>2024</v>
      </c>
      <c r="C1579">
        <v>7</v>
      </c>
      <c r="D1579" t="s">
        <v>4297</v>
      </c>
      <c r="E1579">
        <v>3</v>
      </c>
      <c r="F1579">
        <v>5</v>
      </c>
      <c r="G1579" t="s">
        <v>4306</v>
      </c>
    </row>
    <row r="1580" spans="1:7">
      <c r="A1580" s="10">
        <v>45091</v>
      </c>
      <c r="B1580">
        <v>2023</v>
      </c>
      <c r="C1580">
        <v>6</v>
      </c>
      <c r="D1580" t="s">
        <v>4310</v>
      </c>
      <c r="E1580">
        <v>2</v>
      </c>
      <c r="F1580">
        <v>14</v>
      </c>
      <c r="G1580" t="s">
        <v>4308</v>
      </c>
    </row>
    <row r="1581" spans="1:7">
      <c r="A1581" s="10">
        <v>45799</v>
      </c>
      <c r="B1581">
        <v>2025</v>
      </c>
      <c r="C1581">
        <v>5</v>
      </c>
      <c r="D1581" t="s">
        <v>4305</v>
      </c>
      <c r="E1581">
        <v>2</v>
      </c>
      <c r="F1581">
        <v>22</v>
      </c>
      <c r="G1581" t="s">
        <v>4300</v>
      </c>
    </row>
    <row r="1582" spans="1:7">
      <c r="A1582" s="10">
        <v>45169</v>
      </c>
      <c r="B1582">
        <v>2023</v>
      </c>
      <c r="C1582">
        <v>8</v>
      </c>
      <c r="D1582" t="s">
        <v>4313</v>
      </c>
      <c r="E1582">
        <v>3</v>
      </c>
      <c r="F1582">
        <v>31</v>
      </c>
      <c r="G1582" t="s">
        <v>4300</v>
      </c>
    </row>
    <row r="1583" spans="1:7">
      <c r="A1583" s="10">
        <v>45518</v>
      </c>
      <c r="B1583">
        <v>2024</v>
      </c>
      <c r="C1583">
        <v>8</v>
      </c>
      <c r="D1583" t="s">
        <v>4313</v>
      </c>
      <c r="E1583">
        <v>3</v>
      </c>
      <c r="F1583">
        <v>14</v>
      </c>
      <c r="G1583" t="s">
        <v>4308</v>
      </c>
    </row>
    <row r="1584" spans="1:7">
      <c r="A1584" s="10">
        <v>45444</v>
      </c>
      <c r="B1584">
        <v>2024</v>
      </c>
      <c r="C1584">
        <v>6</v>
      </c>
      <c r="D1584" t="s">
        <v>4310</v>
      </c>
      <c r="E1584">
        <v>2</v>
      </c>
      <c r="F1584">
        <v>1</v>
      </c>
      <c r="G1584" t="s">
        <v>4298</v>
      </c>
    </row>
    <row r="1585" spans="1:7">
      <c r="A1585" s="10">
        <v>45001</v>
      </c>
      <c r="B1585">
        <v>2023</v>
      </c>
      <c r="C1585">
        <v>3</v>
      </c>
      <c r="D1585" t="s">
        <v>4311</v>
      </c>
      <c r="E1585">
        <v>1</v>
      </c>
      <c r="F1585">
        <v>16</v>
      </c>
      <c r="G1585" t="s">
        <v>4300</v>
      </c>
    </row>
    <row r="1586" spans="1:7">
      <c r="A1586" s="10">
        <v>45422</v>
      </c>
      <c r="B1586">
        <v>2024</v>
      </c>
      <c r="C1586">
        <v>5</v>
      </c>
      <c r="D1586" t="s">
        <v>4305</v>
      </c>
      <c r="E1586">
        <v>2</v>
      </c>
      <c r="F1586">
        <v>10</v>
      </c>
      <c r="G1586" t="s">
        <v>4306</v>
      </c>
    </row>
    <row r="1587" spans="1:7">
      <c r="A1587" s="10">
        <v>45137</v>
      </c>
      <c r="B1587">
        <v>2023</v>
      </c>
      <c r="C1587">
        <v>7</v>
      </c>
      <c r="D1587" t="s">
        <v>4297</v>
      </c>
      <c r="E1587">
        <v>3</v>
      </c>
      <c r="F1587">
        <v>30</v>
      </c>
      <c r="G1587" t="s">
        <v>4309</v>
      </c>
    </row>
    <row r="1588" spans="1:7">
      <c r="A1588" s="10">
        <v>45677</v>
      </c>
      <c r="B1588">
        <v>2025</v>
      </c>
      <c r="C1588">
        <v>1</v>
      </c>
      <c r="D1588" t="s">
        <v>4307</v>
      </c>
      <c r="E1588">
        <v>1</v>
      </c>
      <c r="F1588">
        <v>20</v>
      </c>
      <c r="G1588" t="s">
        <v>4301</v>
      </c>
    </row>
    <row r="1589" spans="1:7">
      <c r="A1589" s="10">
        <v>45565</v>
      </c>
      <c r="B1589">
        <v>2024</v>
      </c>
      <c r="C1589">
        <v>9</v>
      </c>
      <c r="D1589" t="s">
        <v>4304</v>
      </c>
      <c r="E1589">
        <v>3</v>
      </c>
      <c r="F1589">
        <v>30</v>
      </c>
      <c r="G1589" t="s">
        <v>4301</v>
      </c>
    </row>
    <row r="1590" spans="1:7">
      <c r="A1590" s="10">
        <v>45329</v>
      </c>
      <c r="B1590">
        <v>2024</v>
      </c>
      <c r="C1590">
        <v>2</v>
      </c>
      <c r="D1590" t="s">
        <v>4312</v>
      </c>
      <c r="E1590">
        <v>1</v>
      </c>
      <c r="F1590">
        <v>7</v>
      </c>
      <c r="G1590" t="s">
        <v>4308</v>
      </c>
    </row>
    <row r="1591" spans="1:7">
      <c r="A1591" s="10">
        <v>45354</v>
      </c>
      <c r="B1591">
        <v>2024</v>
      </c>
      <c r="C1591">
        <v>3</v>
      </c>
      <c r="D1591" t="s">
        <v>4311</v>
      </c>
      <c r="E1591">
        <v>1</v>
      </c>
      <c r="F1591">
        <v>3</v>
      </c>
      <c r="G1591" t="s">
        <v>4309</v>
      </c>
    </row>
    <row r="1592" spans="1:7">
      <c r="A1592" s="10">
        <v>45944</v>
      </c>
      <c r="B1592">
        <v>2025</v>
      </c>
      <c r="C1592">
        <v>10</v>
      </c>
      <c r="D1592" t="s">
        <v>4302</v>
      </c>
      <c r="E1592">
        <v>4</v>
      </c>
      <c r="F1592">
        <v>14</v>
      </c>
      <c r="G1592" t="s">
        <v>4303</v>
      </c>
    </row>
    <row r="1593" spans="1:7">
      <c r="A1593" s="10">
        <v>45242</v>
      </c>
      <c r="B1593">
        <v>2023</v>
      </c>
      <c r="C1593">
        <v>11</v>
      </c>
      <c r="D1593" t="s">
        <v>4315</v>
      </c>
      <c r="E1593">
        <v>4</v>
      </c>
      <c r="F1593">
        <v>12</v>
      </c>
      <c r="G1593" t="s">
        <v>4309</v>
      </c>
    </row>
    <row r="1594" spans="1:7">
      <c r="A1594" s="10">
        <v>46005</v>
      </c>
      <c r="B1594">
        <v>2025</v>
      </c>
      <c r="C1594">
        <v>12</v>
      </c>
      <c r="D1594" t="s">
        <v>4299</v>
      </c>
      <c r="E1594">
        <v>4</v>
      </c>
      <c r="F1594">
        <v>14</v>
      </c>
      <c r="G1594" t="s">
        <v>4309</v>
      </c>
    </row>
    <row r="1595" spans="1:7">
      <c r="A1595" s="10">
        <v>45041</v>
      </c>
      <c r="B1595">
        <v>2023</v>
      </c>
      <c r="C1595">
        <v>4</v>
      </c>
      <c r="D1595" t="s">
        <v>4314</v>
      </c>
      <c r="E1595">
        <v>2</v>
      </c>
      <c r="F1595">
        <v>25</v>
      </c>
      <c r="G1595" t="s">
        <v>4303</v>
      </c>
    </row>
    <row r="1596" spans="1:7">
      <c r="A1596" s="10">
        <v>45332</v>
      </c>
      <c r="B1596">
        <v>2024</v>
      </c>
      <c r="C1596">
        <v>2</v>
      </c>
      <c r="D1596" t="s">
        <v>4312</v>
      </c>
      <c r="E1596">
        <v>1</v>
      </c>
      <c r="F1596">
        <v>10</v>
      </c>
      <c r="G1596" t="s">
        <v>4298</v>
      </c>
    </row>
    <row r="1597" spans="1:7">
      <c r="A1597" s="10">
        <v>45288</v>
      </c>
      <c r="B1597">
        <v>2023</v>
      </c>
      <c r="C1597">
        <v>12</v>
      </c>
      <c r="D1597" t="s">
        <v>4299</v>
      </c>
      <c r="E1597">
        <v>4</v>
      </c>
      <c r="F1597">
        <v>28</v>
      </c>
      <c r="G1597" t="s">
        <v>4300</v>
      </c>
    </row>
    <row r="1598" spans="1:7">
      <c r="A1598" s="10">
        <v>45391</v>
      </c>
      <c r="B1598">
        <v>2024</v>
      </c>
      <c r="C1598">
        <v>4</v>
      </c>
      <c r="D1598" t="s">
        <v>4314</v>
      </c>
      <c r="E1598">
        <v>2</v>
      </c>
      <c r="F1598">
        <v>9</v>
      </c>
      <c r="G1598" t="s">
        <v>4303</v>
      </c>
    </row>
    <row r="1599" spans="1:7">
      <c r="A1599" s="10">
        <v>45475</v>
      </c>
      <c r="B1599">
        <v>2024</v>
      </c>
      <c r="C1599">
        <v>7</v>
      </c>
      <c r="D1599" t="s">
        <v>4297</v>
      </c>
      <c r="E1599">
        <v>3</v>
      </c>
      <c r="F1599">
        <v>2</v>
      </c>
      <c r="G1599" t="s">
        <v>4303</v>
      </c>
    </row>
    <row r="1600" spans="1:7">
      <c r="A1600" s="10">
        <v>45643</v>
      </c>
      <c r="B1600">
        <v>2024</v>
      </c>
      <c r="C1600">
        <v>12</v>
      </c>
      <c r="D1600" t="s">
        <v>4299</v>
      </c>
      <c r="E1600">
        <v>4</v>
      </c>
      <c r="F1600">
        <v>17</v>
      </c>
      <c r="G1600" t="s">
        <v>4303</v>
      </c>
    </row>
    <row r="1601" spans="1:7">
      <c r="A1601" s="10">
        <v>45054</v>
      </c>
      <c r="B1601">
        <v>2023</v>
      </c>
      <c r="C1601">
        <v>5</v>
      </c>
      <c r="D1601" t="s">
        <v>4305</v>
      </c>
      <c r="E1601">
        <v>2</v>
      </c>
      <c r="F1601">
        <v>8</v>
      </c>
      <c r="G1601" t="s">
        <v>4301</v>
      </c>
    </row>
    <row r="1602" spans="1:7">
      <c r="A1602" s="10">
        <v>45481</v>
      </c>
      <c r="B1602">
        <v>2024</v>
      </c>
      <c r="C1602">
        <v>7</v>
      </c>
      <c r="D1602" t="s">
        <v>4297</v>
      </c>
      <c r="E1602">
        <v>3</v>
      </c>
      <c r="F1602">
        <v>8</v>
      </c>
      <c r="G1602" t="s">
        <v>4301</v>
      </c>
    </row>
    <row r="1603" spans="1:7">
      <c r="A1603" s="10">
        <v>45671</v>
      </c>
      <c r="B1603">
        <v>2025</v>
      </c>
      <c r="C1603">
        <v>1</v>
      </c>
      <c r="D1603" t="s">
        <v>4307</v>
      </c>
      <c r="E1603">
        <v>1</v>
      </c>
      <c r="F1603">
        <v>14</v>
      </c>
      <c r="G1603" t="s">
        <v>4303</v>
      </c>
    </row>
    <row r="1604" spans="1:7">
      <c r="A1604" s="10">
        <v>45203</v>
      </c>
      <c r="B1604">
        <v>2023</v>
      </c>
      <c r="C1604">
        <v>10</v>
      </c>
      <c r="D1604" t="s">
        <v>4302</v>
      </c>
      <c r="E1604">
        <v>4</v>
      </c>
      <c r="F1604">
        <v>4</v>
      </c>
      <c r="G1604" t="s">
        <v>4308</v>
      </c>
    </row>
    <row r="1605" spans="1:7">
      <c r="A1605" s="10">
        <v>45294</v>
      </c>
      <c r="B1605">
        <v>2024</v>
      </c>
      <c r="C1605">
        <v>1</v>
      </c>
      <c r="D1605" t="s">
        <v>4307</v>
      </c>
      <c r="E1605">
        <v>1</v>
      </c>
      <c r="F1605">
        <v>3</v>
      </c>
      <c r="G1605" t="s">
        <v>4308</v>
      </c>
    </row>
    <row r="1606" spans="1:7">
      <c r="A1606" s="10">
        <v>45164</v>
      </c>
      <c r="B1606">
        <v>2023</v>
      </c>
      <c r="C1606">
        <v>8</v>
      </c>
      <c r="D1606" t="s">
        <v>4313</v>
      </c>
      <c r="E1606">
        <v>3</v>
      </c>
      <c r="F1606">
        <v>26</v>
      </c>
      <c r="G1606" t="s">
        <v>4298</v>
      </c>
    </row>
    <row r="1607" spans="1:7">
      <c r="A1607" s="10">
        <v>45684</v>
      </c>
      <c r="B1607">
        <v>2025</v>
      </c>
      <c r="C1607">
        <v>1</v>
      </c>
      <c r="D1607" t="s">
        <v>4307</v>
      </c>
      <c r="E1607">
        <v>1</v>
      </c>
      <c r="F1607">
        <v>27</v>
      </c>
      <c r="G1607" t="s">
        <v>4301</v>
      </c>
    </row>
    <row r="1608" spans="1:7">
      <c r="A1608" s="10">
        <v>45986</v>
      </c>
      <c r="B1608">
        <v>2025</v>
      </c>
      <c r="C1608">
        <v>11</v>
      </c>
      <c r="D1608" t="s">
        <v>4315</v>
      </c>
      <c r="E1608">
        <v>4</v>
      </c>
      <c r="F1608">
        <v>25</v>
      </c>
      <c r="G1608" t="s">
        <v>4303</v>
      </c>
    </row>
    <row r="1609" spans="1:7">
      <c r="A1609" s="10">
        <v>45204</v>
      </c>
      <c r="B1609">
        <v>2023</v>
      </c>
      <c r="C1609">
        <v>10</v>
      </c>
      <c r="D1609" t="s">
        <v>4302</v>
      </c>
      <c r="E1609">
        <v>4</v>
      </c>
      <c r="F1609">
        <v>5</v>
      </c>
      <c r="G1609" t="s">
        <v>4300</v>
      </c>
    </row>
    <row r="1610" spans="1:7">
      <c r="A1610" s="10">
        <v>45003</v>
      </c>
      <c r="B1610">
        <v>2023</v>
      </c>
      <c r="C1610">
        <v>3</v>
      </c>
      <c r="D1610" t="s">
        <v>4311</v>
      </c>
      <c r="E1610">
        <v>1</v>
      </c>
      <c r="F1610">
        <v>18</v>
      </c>
      <c r="G1610" t="s">
        <v>4298</v>
      </c>
    </row>
    <row r="1611" spans="1:7">
      <c r="A1611" s="10">
        <v>45125</v>
      </c>
      <c r="B1611">
        <v>2023</v>
      </c>
      <c r="C1611">
        <v>7</v>
      </c>
      <c r="D1611" t="s">
        <v>4297</v>
      </c>
      <c r="E1611">
        <v>3</v>
      </c>
      <c r="F1611">
        <v>18</v>
      </c>
      <c r="G1611" t="s">
        <v>4303</v>
      </c>
    </row>
    <row r="1612" spans="1:7">
      <c r="A1612" s="10">
        <v>45201</v>
      </c>
      <c r="B1612">
        <v>2023</v>
      </c>
      <c r="C1612">
        <v>10</v>
      </c>
      <c r="D1612" t="s">
        <v>4302</v>
      </c>
      <c r="E1612">
        <v>4</v>
      </c>
      <c r="F1612">
        <v>2</v>
      </c>
      <c r="G1612" t="s">
        <v>4301</v>
      </c>
    </row>
    <row r="1613" spans="1:7">
      <c r="A1613" s="10">
        <v>45652</v>
      </c>
      <c r="B1613">
        <v>2024</v>
      </c>
      <c r="C1613">
        <v>12</v>
      </c>
      <c r="D1613" t="s">
        <v>4299</v>
      </c>
      <c r="E1613">
        <v>4</v>
      </c>
      <c r="F1613">
        <v>26</v>
      </c>
      <c r="G1613" t="s">
        <v>4300</v>
      </c>
    </row>
    <row r="1614" spans="1:7">
      <c r="A1614" s="10">
        <v>45065</v>
      </c>
      <c r="B1614">
        <v>2023</v>
      </c>
      <c r="C1614">
        <v>5</v>
      </c>
      <c r="D1614" t="s">
        <v>4305</v>
      </c>
      <c r="E1614">
        <v>2</v>
      </c>
      <c r="F1614">
        <v>19</v>
      </c>
      <c r="G1614" t="s">
        <v>4306</v>
      </c>
    </row>
    <row r="1615" spans="1:7">
      <c r="A1615" s="10">
        <v>45118</v>
      </c>
      <c r="B1615">
        <v>2023</v>
      </c>
      <c r="C1615">
        <v>7</v>
      </c>
      <c r="D1615" t="s">
        <v>4297</v>
      </c>
      <c r="E1615">
        <v>3</v>
      </c>
      <c r="F1615">
        <v>11</v>
      </c>
      <c r="G1615" t="s">
        <v>4303</v>
      </c>
    </row>
    <row r="1616" spans="1:7">
      <c r="A1616" s="10">
        <v>45047</v>
      </c>
      <c r="B1616">
        <v>2023</v>
      </c>
      <c r="C1616">
        <v>5</v>
      </c>
      <c r="D1616" t="s">
        <v>4305</v>
      </c>
      <c r="E1616">
        <v>2</v>
      </c>
      <c r="F1616">
        <v>1</v>
      </c>
      <c r="G1616" t="s">
        <v>4301</v>
      </c>
    </row>
    <row r="1617" spans="1:7">
      <c r="A1617" s="10">
        <v>45109</v>
      </c>
      <c r="B1617">
        <v>2023</v>
      </c>
      <c r="C1617">
        <v>7</v>
      </c>
      <c r="D1617" t="s">
        <v>4297</v>
      </c>
      <c r="E1617">
        <v>3</v>
      </c>
      <c r="F1617">
        <v>2</v>
      </c>
      <c r="G1617" t="s">
        <v>4309</v>
      </c>
    </row>
    <row r="1618" spans="1:7">
      <c r="A1618" s="10">
        <v>45482</v>
      </c>
      <c r="B1618">
        <v>2024</v>
      </c>
      <c r="C1618">
        <v>7</v>
      </c>
      <c r="D1618" t="s">
        <v>4297</v>
      </c>
      <c r="E1618">
        <v>3</v>
      </c>
      <c r="F1618">
        <v>9</v>
      </c>
      <c r="G1618" t="s">
        <v>4303</v>
      </c>
    </row>
    <row r="1619" spans="1:7">
      <c r="A1619" s="10">
        <v>45218</v>
      </c>
      <c r="B1619">
        <v>2023</v>
      </c>
      <c r="C1619">
        <v>10</v>
      </c>
      <c r="D1619" t="s">
        <v>4302</v>
      </c>
      <c r="E1619">
        <v>4</v>
      </c>
      <c r="F1619">
        <v>19</v>
      </c>
      <c r="G1619" t="s">
        <v>4300</v>
      </c>
    </row>
    <row r="1620" spans="1:7">
      <c r="A1620" s="10">
        <v>45386</v>
      </c>
      <c r="B1620">
        <v>2024</v>
      </c>
      <c r="C1620">
        <v>4</v>
      </c>
      <c r="D1620" t="s">
        <v>4314</v>
      </c>
      <c r="E1620">
        <v>2</v>
      </c>
      <c r="F1620">
        <v>4</v>
      </c>
      <c r="G1620" t="s">
        <v>4300</v>
      </c>
    </row>
    <row r="1621" spans="1:7">
      <c r="A1621" s="10">
        <v>45342</v>
      </c>
      <c r="B1621">
        <v>2024</v>
      </c>
      <c r="C1621">
        <v>2</v>
      </c>
      <c r="D1621" t="s">
        <v>4312</v>
      </c>
      <c r="E1621">
        <v>1</v>
      </c>
      <c r="F1621">
        <v>20</v>
      </c>
      <c r="G1621" t="s">
        <v>4303</v>
      </c>
    </row>
    <row r="1622" spans="1:7">
      <c r="A1622" s="10">
        <v>45374</v>
      </c>
      <c r="B1622">
        <v>2024</v>
      </c>
      <c r="C1622">
        <v>3</v>
      </c>
      <c r="D1622" t="s">
        <v>4311</v>
      </c>
      <c r="E1622">
        <v>1</v>
      </c>
      <c r="F1622">
        <v>23</v>
      </c>
      <c r="G1622" t="s">
        <v>4298</v>
      </c>
    </row>
    <row r="1623" spans="1:7">
      <c r="A1623" s="10">
        <v>45597</v>
      </c>
      <c r="B1623">
        <v>2024</v>
      </c>
      <c r="C1623">
        <v>11</v>
      </c>
      <c r="D1623" t="s">
        <v>4315</v>
      </c>
      <c r="E1623">
        <v>4</v>
      </c>
      <c r="F1623">
        <v>1</v>
      </c>
      <c r="G1623" t="s">
        <v>4306</v>
      </c>
    </row>
    <row r="1624" spans="1:7">
      <c r="A1624" s="10">
        <v>45294</v>
      </c>
      <c r="B1624">
        <v>2024</v>
      </c>
      <c r="C1624">
        <v>1</v>
      </c>
      <c r="D1624" t="s">
        <v>4307</v>
      </c>
      <c r="E1624">
        <v>1</v>
      </c>
      <c r="F1624">
        <v>3</v>
      </c>
      <c r="G1624" t="s">
        <v>4308</v>
      </c>
    </row>
    <row r="1625" spans="1:7">
      <c r="A1625" s="10">
        <v>45842</v>
      </c>
      <c r="B1625">
        <v>2025</v>
      </c>
      <c r="C1625">
        <v>7</v>
      </c>
      <c r="D1625" t="s">
        <v>4297</v>
      </c>
      <c r="E1625">
        <v>3</v>
      </c>
      <c r="F1625">
        <v>4</v>
      </c>
      <c r="G1625" t="s">
        <v>4306</v>
      </c>
    </row>
    <row r="1626" spans="1:7">
      <c r="A1626" s="10">
        <v>45821</v>
      </c>
      <c r="B1626">
        <v>2025</v>
      </c>
      <c r="C1626">
        <v>6</v>
      </c>
      <c r="D1626" t="s">
        <v>4310</v>
      </c>
      <c r="E1626">
        <v>2</v>
      </c>
      <c r="F1626">
        <v>13</v>
      </c>
      <c r="G1626" t="s">
        <v>4306</v>
      </c>
    </row>
    <row r="1627" spans="1:7">
      <c r="A1627" s="10">
        <v>45050</v>
      </c>
      <c r="B1627">
        <v>2023</v>
      </c>
      <c r="C1627">
        <v>5</v>
      </c>
      <c r="D1627" t="s">
        <v>4305</v>
      </c>
      <c r="E1627">
        <v>2</v>
      </c>
      <c r="F1627">
        <v>4</v>
      </c>
      <c r="G1627" t="s">
        <v>4300</v>
      </c>
    </row>
    <row r="1628" spans="1:7">
      <c r="A1628" s="10">
        <v>45322</v>
      </c>
      <c r="B1628">
        <v>2024</v>
      </c>
      <c r="C1628">
        <v>1</v>
      </c>
      <c r="D1628" t="s">
        <v>4307</v>
      </c>
      <c r="E1628">
        <v>1</v>
      </c>
      <c r="F1628">
        <v>31</v>
      </c>
      <c r="G1628" t="s">
        <v>4308</v>
      </c>
    </row>
    <row r="1629" spans="1:7">
      <c r="A1629" s="10">
        <v>45666</v>
      </c>
      <c r="B1629">
        <v>2025</v>
      </c>
      <c r="C1629">
        <v>1</v>
      </c>
      <c r="D1629" t="s">
        <v>4307</v>
      </c>
      <c r="E1629">
        <v>1</v>
      </c>
      <c r="F1629">
        <v>9</v>
      </c>
      <c r="G1629" t="s">
        <v>4300</v>
      </c>
    </row>
    <row r="1630" spans="1:7">
      <c r="A1630" s="10">
        <v>45485</v>
      </c>
      <c r="B1630">
        <v>2024</v>
      </c>
      <c r="C1630">
        <v>7</v>
      </c>
      <c r="D1630" t="s">
        <v>4297</v>
      </c>
      <c r="E1630">
        <v>3</v>
      </c>
      <c r="F1630">
        <v>12</v>
      </c>
      <c r="G1630" t="s">
        <v>4306</v>
      </c>
    </row>
    <row r="1631" spans="1:7">
      <c r="A1631" s="10">
        <v>44942</v>
      </c>
      <c r="B1631">
        <v>2023</v>
      </c>
      <c r="C1631">
        <v>1</v>
      </c>
      <c r="D1631" t="s">
        <v>4307</v>
      </c>
      <c r="E1631">
        <v>1</v>
      </c>
      <c r="F1631">
        <v>16</v>
      </c>
      <c r="G1631" t="s">
        <v>4301</v>
      </c>
    </row>
    <row r="1632" spans="1:7">
      <c r="A1632" s="10">
        <v>45060</v>
      </c>
      <c r="B1632">
        <v>2023</v>
      </c>
      <c r="C1632">
        <v>5</v>
      </c>
      <c r="D1632" t="s">
        <v>4305</v>
      </c>
      <c r="E1632">
        <v>2</v>
      </c>
      <c r="F1632">
        <v>14</v>
      </c>
      <c r="G1632" t="s">
        <v>4309</v>
      </c>
    </row>
    <row r="1633" spans="1:7">
      <c r="A1633" s="10">
        <v>45082</v>
      </c>
      <c r="B1633">
        <v>2023</v>
      </c>
      <c r="C1633">
        <v>6</v>
      </c>
      <c r="D1633" t="s">
        <v>4310</v>
      </c>
      <c r="E1633">
        <v>2</v>
      </c>
      <c r="F1633">
        <v>5</v>
      </c>
      <c r="G1633" t="s">
        <v>4301</v>
      </c>
    </row>
    <row r="1634" spans="1:7">
      <c r="A1634" s="10">
        <v>45039</v>
      </c>
      <c r="B1634">
        <v>2023</v>
      </c>
      <c r="C1634">
        <v>4</v>
      </c>
      <c r="D1634" t="s">
        <v>4314</v>
      </c>
      <c r="E1634">
        <v>2</v>
      </c>
      <c r="F1634">
        <v>23</v>
      </c>
      <c r="G1634" t="s">
        <v>4309</v>
      </c>
    </row>
    <row r="1635" spans="1:7">
      <c r="A1635" s="10">
        <v>45861</v>
      </c>
      <c r="B1635">
        <v>2025</v>
      </c>
      <c r="C1635">
        <v>7</v>
      </c>
      <c r="D1635" t="s">
        <v>4297</v>
      </c>
      <c r="E1635">
        <v>3</v>
      </c>
      <c r="F1635">
        <v>23</v>
      </c>
      <c r="G1635" t="s">
        <v>4308</v>
      </c>
    </row>
    <row r="1636" spans="1:7">
      <c r="A1636" s="10">
        <v>45753</v>
      </c>
      <c r="B1636">
        <v>2025</v>
      </c>
      <c r="C1636">
        <v>4</v>
      </c>
      <c r="D1636" t="s">
        <v>4314</v>
      </c>
      <c r="E1636">
        <v>2</v>
      </c>
      <c r="F1636">
        <v>6</v>
      </c>
      <c r="G1636" t="s">
        <v>4309</v>
      </c>
    </row>
    <row r="1637" spans="1:7">
      <c r="A1637" s="10">
        <v>45738</v>
      </c>
      <c r="B1637">
        <v>2025</v>
      </c>
      <c r="C1637">
        <v>3</v>
      </c>
      <c r="D1637" t="s">
        <v>4311</v>
      </c>
      <c r="E1637">
        <v>1</v>
      </c>
      <c r="F1637">
        <v>22</v>
      </c>
      <c r="G1637" t="s">
        <v>4298</v>
      </c>
    </row>
    <row r="1638" spans="1:7">
      <c r="A1638" s="10">
        <v>45227</v>
      </c>
      <c r="B1638">
        <v>2023</v>
      </c>
      <c r="C1638">
        <v>10</v>
      </c>
      <c r="D1638" t="s">
        <v>4302</v>
      </c>
      <c r="E1638">
        <v>4</v>
      </c>
      <c r="F1638">
        <v>28</v>
      </c>
      <c r="G1638" t="s">
        <v>4298</v>
      </c>
    </row>
    <row r="1639" spans="1:7">
      <c r="A1639" s="10">
        <v>45010</v>
      </c>
      <c r="B1639">
        <v>2023</v>
      </c>
      <c r="C1639">
        <v>3</v>
      </c>
      <c r="D1639" t="s">
        <v>4311</v>
      </c>
      <c r="E1639">
        <v>1</v>
      </c>
      <c r="F1639">
        <v>25</v>
      </c>
      <c r="G1639" t="s">
        <v>4298</v>
      </c>
    </row>
    <row r="1640" spans="1:7">
      <c r="A1640" s="10">
        <v>45337</v>
      </c>
      <c r="B1640">
        <v>2024</v>
      </c>
      <c r="C1640">
        <v>2</v>
      </c>
      <c r="D1640" t="s">
        <v>4312</v>
      </c>
      <c r="E1640">
        <v>1</v>
      </c>
      <c r="F1640">
        <v>15</v>
      </c>
      <c r="G1640" t="s">
        <v>4300</v>
      </c>
    </row>
    <row r="1641" spans="1:7">
      <c r="A1641" s="10">
        <v>45023</v>
      </c>
      <c r="B1641">
        <v>2023</v>
      </c>
      <c r="C1641">
        <v>4</v>
      </c>
      <c r="D1641" t="s">
        <v>4314</v>
      </c>
      <c r="E1641">
        <v>2</v>
      </c>
      <c r="F1641">
        <v>7</v>
      </c>
      <c r="G1641" t="s">
        <v>4306</v>
      </c>
    </row>
    <row r="1642" spans="1:7">
      <c r="A1642" s="10">
        <v>45524</v>
      </c>
      <c r="B1642">
        <v>2024</v>
      </c>
      <c r="C1642">
        <v>8</v>
      </c>
      <c r="D1642" t="s">
        <v>4313</v>
      </c>
      <c r="E1642">
        <v>3</v>
      </c>
      <c r="F1642">
        <v>20</v>
      </c>
      <c r="G1642" t="s">
        <v>4303</v>
      </c>
    </row>
    <row r="1643" spans="1:7">
      <c r="A1643" s="10">
        <v>44962</v>
      </c>
      <c r="B1643">
        <v>2023</v>
      </c>
      <c r="C1643">
        <v>2</v>
      </c>
      <c r="D1643" t="s">
        <v>4312</v>
      </c>
      <c r="E1643">
        <v>1</v>
      </c>
      <c r="F1643">
        <v>5</v>
      </c>
      <c r="G1643" t="s">
        <v>4309</v>
      </c>
    </row>
    <row r="1644" spans="1:7">
      <c r="A1644" s="10">
        <v>44930</v>
      </c>
      <c r="B1644">
        <v>2023</v>
      </c>
      <c r="C1644">
        <v>1</v>
      </c>
      <c r="D1644" t="s">
        <v>4307</v>
      </c>
      <c r="E1644">
        <v>1</v>
      </c>
      <c r="F1644">
        <v>4</v>
      </c>
      <c r="G1644" t="s">
        <v>4308</v>
      </c>
    </row>
    <row r="1645" spans="1:7">
      <c r="A1645" s="10">
        <v>45482</v>
      </c>
      <c r="B1645">
        <v>2024</v>
      </c>
      <c r="C1645">
        <v>7</v>
      </c>
      <c r="D1645" t="s">
        <v>4297</v>
      </c>
      <c r="E1645">
        <v>3</v>
      </c>
      <c r="F1645">
        <v>9</v>
      </c>
      <c r="G1645" t="s">
        <v>4303</v>
      </c>
    </row>
    <row r="1646" spans="1:7">
      <c r="A1646" s="10">
        <v>45866</v>
      </c>
      <c r="B1646">
        <v>2025</v>
      </c>
      <c r="C1646">
        <v>7</v>
      </c>
      <c r="D1646" t="s">
        <v>4297</v>
      </c>
      <c r="E1646">
        <v>3</v>
      </c>
      <c r="F1646">
        <v>28</v>
      </c>
      <c r="G1646" t="s">
        <v>4301</v>
      </c>
    </row>
    <row r="1647" spans="1:7">
      <c r="A1647" s="10">
        <v>45440</v>
      </c>
      <c r="B1647">
        <v>2024</v>
      </c>
      <c r="C1647">
        <v>5</v>
      </c>
      <c r="D1647" t="s">
        <v>4305</v>
      </c>
      <c r="E1647">
        <v>2</v>
      </c>
      <c r="F1647">
        <v>28</v>
      </c>
      <c r="G1647" t="s">
        <v>4303</v>
      </c>
    </row>
    <row r="1648" spans="1:7">
      <c r="A1648" s="10">
        <v>45609</v>
      </c>
      <c r="B1648">
        <v>2024</v>
      </c>
      <c r="C1648">
        <v>11</v>
      </c>
      <c r="D1648" t="s">
        <v>4315</v>
      </c>
      <c r="E1648">
        <v>4</v>
      </c>
      <c r="F1648">
        <v>13</v>
      </c>
      <c r="G1648" t="s">
        <v>4308</v>
      </c>
    </row>
    <row r="1649" spans="1:7">
      <c r="A1649" s="10">
        <v>45264</v>
      </c>
      <c r="B1649">
        <v>2023</v>
      </c>
      <c r="C1649">
        <v>12</v>
      </c>
      <c r="D1649" t="s">
        <v>4299</v>
      </c>
      <c r="E1649">
        <v>4</v>
      </c>
      <c r="F1649">
        <v>4</v>
      </c>
      <c r="G1649" t="s">
        <v>4301</v>
      </c>
    </row>
    <row r="1650" spans="1:7">
      <c r="A1650" s="10">
        <v>45467</v>
      </c>
      <c r="B1650">
        <v>2024</v>
      </c>
      <c r="C1650">
        <v>6</v>
      </c>
      <c r="D1650" t="s">
        <v>4310</v>
      </c>
      <c r="E1650">
        <v>2</v>
      </c>
      <c r="F1650">
        <v>24</v>
      </c>
      <c r="G1650" t="s">
        <v>4301</v>
      </c>
    </row>
    <row r="1651" spans="1:7">
      <c r="A1651" s="10">
        <v>45870</v>
      </c>
      <c r="B1651">
        <v>2025</v>
      </c>
      <c r="C1651">
        <v>8</v>
      </c>
      <c r="D1651" t="s">
        <v>4313</v>
      </c>
      <c r="E1651">
        <v>3</v>
      </c>
      <c r="F1651">
        <v>1</v>
      </c>
      <c r="G1651" t="s">
        <v>4306</v>
      </c>
    </row>
    <row r="1652" spans="1:7">
      <c r="A1652" s="10">
        <v>45082</v>
      </c>
      <c r="B1652">
        <v>2023</v>
      </c>
      <c r="C1652">
        <v>6</v>
      </c>
      <c r="D1652" t="s">
        <v>4310</v>
      </c>
      <c r="E1652">
        <v>2</v>
      </c>
      <c r="F1652">
        <v>5</v>
      </c>
      <c r="G1652" t="s">
        <v>4301</v>
      </c>
    </row>
    <row r="1653" spans="1:7">
      <c r="A1653" s="10">
        <v>45061</v>
      </c>
      <c r="B1653">
        <v>2023</v>
      </c>
      <c r="C1653">
        <v>5</v>
      </c>
      <c r="D1653" t="s">
        <v>4305</v>
      </c>
      <c r="E1653">
        <v>2</v>
      </c>
      <c r="F1653">
        <v>15</v>
      </c>
      <c r="G1653" t="s">
        <v>4301</v>
      </c>
    </row>
    <row r="1654" spans="1:7">
      <c r="A1654" s="10">
        <v>45627</v>
      </c>
      <c r="B1654">
        <v>2024</v>
      </c>
      <c r="C1654">
        <v>12</v>
      </c>
      <c r="D1654" t="s">
        <v>4299</v>
      </c>
      <c r="E1654">
        <v>4</v>
      </c>
      <c r="F1654">
        <v>1</v>
      </c>
      <c r="G1654" t="s">
        <v>4309</v>
      </c>
    </row>
    <row r="1655" spans="1:7">
      <c r="A1655" s="10">
        <v>45656</v>
      </c>
      <c r="B1655">
        <v>2024</v>
      </c>
      <c r="C1655">
        <v>12</v>
      </c>
      <c r="D1655" t="s">
        <v>4299</v>
      </c>
      <c r="E1655">
        <v>4</v>
      </c>
      <c r="F1655">
        <v>30</v>
      </c>
      <c r="G1655" t="s">
        <v>4301</v>
      </c>
    </row>
    <row r="1656" spans="1:7">
      <c r="A1656" s="10">
        <v>45556</v>
      </c>
      <c r="B1656">
        <v>2024</v>
      </c>
      <c r="C1656">
        <v>9</v>
      </c>
      <c r="D1656" t="s">
        <v>4304</v>
      </c>
      <c r="E1656">
        <v>3</v>
      </c>
      <c r="F1656">
        <v>21</v>
      </c>
      <c r="G1656" t="s">
        <v>4298</v>
      </c>
    </row>
    <row r="1657" spans="1:7">
      <c r="A1657" s="10">
        <v>45752</v>
      </c>
      <c r="B1657">
        <v>2025</v>
      </c>
      <c r="C1657">
        <v>4</v>
      </c>
      <c r="D1657" t="s">
        <v>4314</v>
      </c>
      <c r="E1657">
        <v>2</v>
      </c>
      <c r="F1657">
        <v>5</v>
      </c>
      <c r="G1657" t="s">
        <v>4298</v>
      </c>
    </row>
    <row r="1658" spans="1:7">
      <c r="A1658" s="10">
        <v>45925</v>
      </c>
      <c r="B1658">
        <v>2025</v>
      </c>
      <c r="C1658">
        <v>9</v>
      </c>
      <c r="D1658" t="s">
        <v>4304</v>
      </c>
      <c r="E1658">
        <v>3</v>
      </c>
      <c r="F1658">
        <v>25</v>
      </c>
      <c r="G1658" t="s">
        <v>4300</v>
      </c>
    </row>
    <row r="1659" spans="1:7">
      <c r="A1659" s="10">
        <v>45517</v>
      </c>
      <c r="B1659">
        <v>2024</v>
      </c>
      <c r="C1659">
        <v>8</v>
      </c>
      <c r="D1659" t="s">
        <v>4313</v>
      </c>
      <c r="E1659">
        <v>3</v>
      </c>
      <c r="F1659">
        <v>13</v>
      </c>
      <c r="G1659" t="s">
        <v>4303</v>
      </c>
    </row>
    <row r="1660" spans="1:7">
      <c r="A1660" s="10">
        <v>45869</v>
      </c>
      <c r="B1660">
        <v>2025</v>
      </c>
      <c r="C1660">
        <v>7</v>
      </c>
      <c r="D1660" t="s">
        <v>4297</v>
      </c>
      <c r="E1660">
        <v>3</v>
      </c>
      <c r="F1660">
        <v>31</v>
      </c>
      <c r="G1660" t="s">
        <v>4300</v>
      </c>
    </row>
    <row r="1661" spans="1:7">
      <c r="A1661" s="10">
        <v>45259</v>
      </c>
      <c r="B1661">
        <v>2023</v>
      </c>
      <c r="C1661">
        <v>11</v>
      </c>
      <c r="D1661" t="s">
        <v>4315</v>
      </c>
      <c r="E1661">
        <v>4</v>
      </c>
      <c r="F1661">
        <v>29</v>
      </c>
      <c r="G1661" t="s">
        <v>4308</v>
      </c>
    </row>
    <row r="1662" spans="1:7">
      <c r="A1662" s="10">
        <v>45624</v>
      </c>
      <c r="B1662">
        <v>2024</v>
      </c>
      <c r="C1662">
        <v>11</v>
      </c>
      <c r="D1662" t="s">
        <v>4315</v>
      </c>
      <c r="E1662">
        <v>4</v>
      </c>
      <c r="F1662">
        <v>28</v>
      </c>
      <c r="G1662" t="s">
        <v>4300</v>
      </c>
    </row>
    <row r="1663" spans="1:7">
      <c r="A1663" s="10">
        <v>45012</v>
      </c>
      <c r="B1663">
        <v>2023</v>
      </c>
      <c r="C1663">
        <v>3</v>
      </c>
      <c r="D1663" t="s">
        <v>4311</v>
      </c>
      <c r="E1663">
        <v>1</v>
      </c>
      <c r="F1663">
        <v>27</v>
      </c>
      <c r="G1663" t="s">
        <v>4301</v>
      </c>
    </row>
    <row r="1664" spans="1:7">
      <c r="A1664" s="10">
        <v>45124</v>
      </c>
      <c r="B1664">
        <v>2023</v>
      </c>
      <c r="C1664">
        <v>7</v>
      </c>
      <c r="D1664" t="s">
        <v>4297</v>
      </c>
      <c r="E1664">
        <v>3</v>
      </c>
      <c r="F1664">
        <v>17</v>
      </c>
      <c r="G1664" t="s">
        <v>4301</v>
      </c>
    </row>
    <row r="1665" spans="1:7">
      <c r="A1665" s="10">
        <v>45220</v>
      </c>
      <c r="B1665">
        <v>2023</v>
      </c>
      <c r="C1665">
        <v>10</v>
      </c>
      <c r="D1665" t="s">
        <v>4302</v>
      </c>
      <c r="E1665">
        <v>4</v>
      </c>
      <c r="F1665">
        <v>21</v>
      </c>
      <c r="G1665" t="s">
        <v>4298</v>
      </c>
    </row>
    <row r="1666" spans="1:7">
      <c r="A1666" s="10">
        <v>45643</v>
      </c>
      <c r="B1666">
        <v>2024</v>
      </c>
      <c r="C1666">
        <v>12</v>
      </c>
      <c r="D1666" t="s">
        <v>4299</v>
      </c>
      <c r="E1666">
        <v>4</v>
      </c>
      <c r="F1666">
        <v>17</v>
      </c>
      <c r="G1666" t="s">
        <v>4303</v>
      </c>
    </row>
    <row r="1667" spans="1:7">
      <c r="A1667" s="10">
        <v>45677</v>
      </c>
      <c r="B1667">
        <v>2025</v>
      </c>
      <c r="C1667">
        <v>1</v>
      </c>
      <c r="D1667" t="s">
        <v>4307</v>
      </c>
      <c r="E1667">
        <v>1</v>
      </c>
      <c r="F1667">
        <v>20</v>
      </c>
      <c r="G1667" t="s">
        <v>4301</v>
      </c>
    </row>
    <row r="1668" spans="1:7">
      <c r="A1668" s="10">
        <v>45470</v>
      </c>
      <c r="B1668">
        <v>2024</v>
      </c>
      <c r="C1668">
        <v>6</v>
      </c>
      <c r="D1668" t="s">
        <v>4310</v>
      </c>
      <c r="E1668">
        <v>2</v>
      </c>
      <c r="F1668">
        <v>27</v>
      </c>
      <c r="G1668" t="s">
        <v>4300</v>
      </c>
    </row>
    <row r="1669" spans="1:7">
      <c r="A1669" s="10">
        <v>44991</v>
      </c>
      <c r="B1669">
        <v>2023</v>
      </c>
      <c r="C1669">
        <v>3</v>
      </c>
      <c r="D1669" t="s">
        <v>4311</v>
      </c>
      <c r="E1669">
        <v>1</v>
      </c>
      <c r="F1669">
        <v>6</v>
      </c>
      <c r="G1669" t="s">
        <v>4301</v>
      </c>
    </row>
    <row r="1670" spans="1:7">
      <c r="A1670" s="10">
        <v>45453</v>
      </c>
      <c r="B1670">
        <v>2024</v>
      </c>
      <c r="C1670">
        <v>6</v>
      </c>
      <c r="D1670" t="s">
        <v>4310</v>
      </c>
      <c r="E1670">
        <v>2</v>
      </c>
      <c r="F1670">
        <v>10</v>
      </c>
      <c r="G1670" t="s">
        <v>4301</v>
      </c>
    </row>
    <row r="1671" spans="1:7">
      <c r="A1671" s="10">
        <v>45647</v>
      </c>
      <c r="B1671">
        <v>2024</v>
      </c>
      <c r="C1671">
        <v>12</v>
      </c>
      <c r="D1671" t="s">
        <v>4299</v>
      </c>
      <c r="E1671">
        <v>4</v>
      </c>
      <c r="F1671">
        <v>21</v>
      </c>
      <c r="G1671" t="s">
        <v>4298</v>
      </c>
    </row>
    <row r="1672" spans="1:7">
      <c r="A1672" s="10">
        <v>45381</v>
      </c>
      <c r="B1672">
        <v>2024</v>
      </c>
      <c r="C1672">
        <v>3</v>
      </c>
      <c r="D1672" t="s">
        <v>4311</v>
      </c>
      <c r="E1672">
        <v>1</v>
      </c>
      <c r="F1672">
        <v>30</v>
      </c>
      <c r="G1672" t="s">
        <v>4298</v>
      </c>
    </row>
    <row r="1673" spans="1:7">
      <c r="A1673" s="10">
        <v>45973</v>
      </c>
      <c r="B1673">
        <v>2025</v>
      </c>
      <c r="C1673">
        <v>11</v>
      </c>
      <c r="D1673" t="s">
        <v>4315</v>
      </c>
      <c r="E1673">
        <v>4</v>
      </c>
      <c r="F1673">
        <v>12</v>
      </c>
      <c r="G1673" t="s">
        <v>4308</v>
      </c>
    </row>
    <row r="1674" spans="1:7">
      <c r="A1674" s="10">
        <v>45545</v>
      </c>
      <c r="B1674">
        <v>2024</v>
      </c>
      <c r="C1674">
        <v>9</v>
      </c>
      <c r="D1674" t="s">
        <v>4304</v>
      </c>
      <c r="E1674">
        <v>3</v>
      </c>
      <c r="F1674">
        <v>10</v>
      </c>
      <c r="G1674" t="s">
        <v>4303</v>
      </c>
    </row>
    <row r="1675" spans="1:7">
      <c r="A1675" s="10">
        <v>45667</v>
      </c>
      <c r="B1675">
        <v>2025</v>
      </c>
      <c r="C1675">
        <v>1</v>
      </c>
      <c r="D1675" t="s">
        <v>4307</v>
      </c>
      <c r="E1675">
        <v>1</v>
      </c>
      <c r="F1675">
        <v>10</v>
      </c>
      <c r="G1675" t="s">
        <v>4306</v>
      </c>
    </row>
    <row r="1676" spans="1:7">
      <c r="A1676" s="10">
        <v>45118</v>
      </c>
      <c r="B1676">
        <v>2023</v>
      </c>
      <c r="C1676">
        <v>7</v>
      </c>
      <c r="D1676" t="s">
        <v>4297</v>
      </c>
      <c r="E1676">
        <v>3</v>
      </c>
      <c r="F1676">
        <v>11</v>
      </c>
      <c r="G1676" t="s">
        <v>4303</v>
      </c>
    </row>
    <row r="1677" spans="1:7">
      <c r="A1677" s="10">
        <v>45081</v>
      </c>
      <c r="B1677">
        <v>2023</v>
      </c>
      <c r="C1677">
        <v>6</v>
      </c>
      <c r="D1677" t="s">
        <v>4310</v>
      </c>
      <c r="E1677">
        <v>2</v>
      </c>
      <c r="F1677">
        <v>4</v>
      </c>
      <c r="G1677" t="s">
        <v>4309</v>
      </c>
    </row>
    <row r="1678" spans="1:7">
      <c r="A1678" s="10">
        <v>45885</v>
      </c>
      <c r="B1678">
        <v>2025</v>
      </c>
      <c r="C1678">
        <v>8</v>
      </c>
      <c r="D1678" t="s">
        <v>4313</v>
      </c>
      <c r="E1678">
        <v>3</v>
      </c>
      <c r="F1678">
        <v>16</v>
      </c>
      <c r="G1678" t="s">
        <v>4298</v>
      </c>
    </row>
    <row r="1679" spans="1:7">
      <c r="A1679" s="10">
        <v>45596</v>
      </c>
      <c r="B1679">
        <v>2024</v>
      </c>
      <c r="C1679">
        <v>10</v>
      </c>
      <c r="D1679" t="s">
        <v>4302</v>
      </c>
      <c r="E1679">
        <v>4</v>
      </c>
      <c r="F1679">
        <v>31</v>
      </c>
      <c r="G1679" t="s">
        <v>4300</v>
      </c>
    </row>
    <row r="1680" spans="1:7">
      <c r="A1680" s="10">
        <v>45840</v>
      </c>
      <c r="B1680">
        <v>2025</v>
      </c>
      <c r="C1680">
        <v>7</v>
      </c>
      <c r="D1680" t="s">
        <v>4297</v>
      </c>
      <c r="E1680">
        <v>3</v>
      </c>
      <c r="F1680">
        <v>2</v>
      </c>
      <c r="G1680" t="s">
        <v>4308</v>
      </c>
    </row>
    <row r="1681" spans="1:7">
      <c r="A1681" s="10">
        <v>45870</v>
      </c>
      <c r="B1681">
        <v>2025</v>
      </c>
      <c r="C1681">
        <v>8</v>
      </c>
      <c r="D1681" t="s">
        <v>4313</v>
      </c>
      <c r="E1681">
        <v>3</v>
      </c>
      <c r="F1681">
        <v>1</v>
      </c>
      <c r="G1681" t="s">
        <v>4306</v>
      </c>
    </row>
    <row r="1682" spans="1:7">
      <c r="A1682" s="10">
        <v>45663</v>
      </c>
      <c r="B1682">
        <v>2025</v>
      </c>
      <c r="C1682">
        <v>1</v>
      </c>
      <c r="D1682" t="s">
        <v>4307</v>
      </c>
      <c r="E1682">
        <v>1</v>
      </c>
      <c r="F1682">
        <v>6</v>
      </c>
      <c r="G1682" t="s">
        <v>4301</v>
      </c>
    </row>
    <row r="1683" spans="1:7">
      <c r="A1683" s="10">
        <v>45850</v>
      </c>
      <c r="B1683">
        <v>2025</v>
      </c>
      <c r="C1683">
        <v>7</v>
      </c>
      <c r="D1683" t="s">
        <v>4297</v>
      </c>
      <c r="E1683">
        <v>3</v>
      </c>
      <c r="F1683">
        <v>12</v>
      </c>
      <c r="G1683" t="s">
        <v>4298</v>
      </c>
    </row>
    <row r="1684" spans="1:7">
      <c r="A1684" s="10">
        <v>45432</v>
      </c>
      <c r="B1684">
        <v>2024</v>
      </c>
      <c r="C1684">
        <v>5</v>
      </c>
      <c r="D1684" t="s">
        <v>4305</v>
      </c>
      <c r="E1684">
        <v>2</v>
      </c>
      <c r="F1684">
        <v>20</v>
      </c>
      <c r="G1684" t="s">
        <v>4301</v>
      </c>
    </row>
    <row r="1685" spans="1:7">
      <c r="A1685" s="10">
        <v>45053</v>
      </c>
      <c r="B1685">
        <v>2023</v>
      </c>
      <c r="C1685">
        <v>5</v>
      </c>
      <c r="D1685" t="s">
        <v>4305</v>
      </c>
      <c r="E1685">
        <v>2</v>
      </c>
      <c r="F1685">
        <v>7</v>
      </c>
      <c r="G1685" t="s">
        <v>4309</v>
      </c>
    </row>
    <row r="1686" spans="1:7">
      <c r="A1686" s="10">
        <v>45668</v>
      </c>
      <c r="B1686">
        <v>2025</v>
      </c>
      <c r="C1686">
        <v>1</v>
      </c>
      <c r="D1686" t="s">
        <v>4307</v>
      </c>
      <c r="E1686">
        <v>1</v>
      </c>
      <c r="F1686">
        <v>11</v>
      </c>
      <c r="G1686" t="s">
        <v>4298</v>
      </c>
    </row>
    <row r="1687" spans="1:7">
      <c r="A1687" s="10">
        <v>45024</v>
      </c>
      <c r="B1687">
        <v>2023</v>
      </c>
      <c r="C1687">
        <v>4</v>
      </c>
      <c r="D1687" t="s">
        <v>4314</v>
      </c>
      <c r="E1687">
        <v>2</v>
      </c>
      <c r="F1687">
        <v>8</v>
      </c>
      <c r="G1687" t="s">
        <v>4298</v>
      </c>
    </row>
    <row r="1688" spans="1:7">
      <c r="A1688" s="10">
        <v>45252</v>
      </c>
      <c r="B1688">
        <v>2023</v>
      </c>
      <c r="C1688">
        <v>11</v>
      </c>
      <c r="D1688" t="s">
        <v>4315</v>
      </c>
      <c r="E1688">
        <v>4</v>
      </c>
      <c r="F1688">
        <v>22</v>
      </c>
      <c r="G1688" t="s">
        <v>4308</v>
      </c>
    </row>
    <row r="1689" spans="1:7">
      <c r="A1689" s="10">
        <v>45705</v>
      </c>
      <c r="B1689">
        <v>2025</v>
      </c>
      <c r="C1689">
        <v>2</v>
      </c>
      <c r="D1689" t="s">
        <v>4312</v>
      </c>
      <c r="E1689">
        <v>1</v>
      </c>
      <c r="F1689">
        <v>17</v>
      </c>
      <c r="G1689" t="s">
        <v>4301</v>
      </c>
    </row>
    <row r="1690" spans="1:7">
      <c r="A1690" s="10">
        <v>45240</v>
      </c>
      <c r="B1690">
        <v>2023</v>
      </c>
      <c r="C1690">
        <v>11</v>
      </c>
      <c r="D1690" t="s">
        <v>4315</v>
      </c>
      <c r="E1690">
        <v>4</v>
      </c>
      <c r="F1690">
        <v>10</v>
      </c>
      <c r="G1690" t="s">
        <v>4306</v>
      </c>
    </row>
    <row r="1691" spans="1:7">
      <c r="A1691" s="10">
        <v>44984</v>
      </c>
      <c r="B1691">
        <v>2023</v>
      </c>
      <c r="C1691">
        <v>2</v>
      </c>
      <c r="D1691" t="s">
        <v>4312</v>
      </c>
      <c r="E1691">
        <v>1</v>
      </c>
      <c r="F1691">
        <v>27</v>
      </c>
      <c r="G1691" t="s">
        <v>4301</v>
      </c>
    </row>
    <row r="1692" spans="1:7">
      <c r="A1692" s="10">
        <v>45448</v>
      </c>
      <c r="B1692">
        <v>2024</v>
      </c>
      <c r="C1692">
        <v>6</v>
      </c>
      <c r="D1692" t="s">
        <v>4310</v>
      </c>
      <c r="E1692">
        <v>2</v>
      </c>
      <c r="F1692">
        <v>5</v>
      </c>
      <c r="G1692" t="s">
        <v>4308</v>
      </c>
    </row>
    <row r="1693" spans="1:7">
      <c r="A1693" s="10">
        <v>46015</v>
      </c>
      <c r="B1693">
        <v>2025</v>
      </c>
      <c r="C1693">
        <v>12</v>
      </c>
      <c r="D1693" t="s">
        <v>4299</v>
      </c>
      <c r="E1693">
        <v>4</v>
      </c>
      <c r="F1693">
        <v>24</v>
      </c>
      <c r="G1693" t="s">
        <v>4308</v>
      </c>
    </row>
    <row r="1694" spans="1:7">
      <c r="A1694" s="10">
        <v>45214</v>
      </c>
      <c r="B1694">
        <v>2023</v>
      </c>
      <c r="C1694">
        <v>10</v>
      </c>
      <c r="D1694" t="s">
        <v>4302</v>
      </c>
      <c r="E1694">
        <v>4</v>
      </c>
      <c r="F1694">
        <v>15</v>
      </c>
      <c r="G1694" t="s">
        <v>4309</v>
      </c>
    </row>
    <row r="1695" spans="1:7">
      <c r="A1695" s="10">
        <v>45633</v>
      </c>
      <c r="B1695">
        <v>2024</v>
      </c>
      <c r="C1695">
        <v>12</v>
      </c>
      <c r="D1695" t="s">
        <v>4299</v>
      </c>
      <c r="E1695">
        <v>4</v>
      </c>
      <c r="F1695">
        <v>7</v>
      </c>
      <c r="G1695" t="s">
        <v>4298</v>
      </c>
    </row>
    <row r="1696" spans="1:7">
      <c r="A1696" s="10">
        <v>45582</v>
      </c>
      <c r="B1696">
        <v>2024</v>
      </c>
      <c r="C1696">
        <v>10</v>
      </c>
      <c r="D1696" t="s">
        <v>4302</v>
      </c>
      <c r="E1696">
        <v>4</v>
      </c>
      <c r="F1696">
        <v>17</v>
      </c>
      <c r="G1696" t="s">
        <v>4300</v>
      </c>
    </row>
    <row r="1697" spans="1:7">
      <c r="A1697" s="10">
        <v>45216</v>
      </c>
      <c r="B1697">
        <v>2023</v>
      </c>
      <c r="C1697">
        <v>10</v>
      </c>
      <c r="D1697" t="s">
        <v>4302</v>
      </c>
      <c r="E1697">
        <v>4</v>
      </c>
      <c r="F1697">
        <v>17</v>
      </c>
      <c r="G1697" t="s">
        <v>4303</v>
      </c>
    </row>
    <row r="1698" spans="1:7">
      <c r="A1698" s="10">
        <v>45143</v>
      </c>
      <c r="B1698">
        <v>2023</v>
      </c>
      <c r="C1698">
        <v>8</v>
      </c>
      <c r="D1698" t="s">
        <v>4313</v>
      </c>
      <c r="E1698">
        <v>3</v>
      </c>
      <c r="F1698">
        <v>5</v>
      </c>
      <c r="G1698" t="s">
        <v>4298</v>
      </c>
    </row>
    <row r="1699" spans="1:7">
      <c r="A1699" s="10">
        <v>45883</v>
      </c>
      <c r="B1699">
        <v>2025</v>
      </c>
      <c r="C1699">
        <v>8</v>
      </c>
      <c r="D1699" t="s">
        <v>4313</v>
      </c>
      <c r="E1699">
        <v>3</v>
      </c>
      <c r="F1699">
        <v>14</v>
      </c>
      <c r="G1699" t="s">
        <v>4300</v>
      </c>
    </row>
    <row r="1700" spans="1:7">
      <c r="A1700" s="10">
        <v>45549</v>
      </c>
      <c r="B1700">
        <v>2024</v>
      </c>
      <c r="C1700">
        <v>9</v>
      </c>
      <c r="D1700" t="s">
        <v>4304</v>
      </c>
      <c r="E1700">
        <v>3</v>
      </c>
      <c r="F1700">
        <v>14</v>
      </c>
      <c r="G1700" t="s">
        <v>4298</v>
      </c>
    </row>
    <row r="1701" spans="1:7">
      <c r="A1701" s="10">
        <v>45585</v>
      </c>
      <c r="B1701">
        <v>2024</v>
      </c>
      <c r="C1701">
        <v>10</v>
      </c>
      <c r="D1701" t="s">
        <v>4302</v>
      </c>
      <c r="E1701">
        <v>4</v>
      </c>
      <c r="F1701">
        <v>20</v>
      </c>
      <c r="G1701" t="s">
        <v>4309</v>
      </c>
    </row>
    <row r="1702" spans="1:7">
      <c r="A1702" s="10">
        <v>45023</v>
      </c>
      <c r="B1702">
        <v>2023</v>
      </c>
      <c r="C1702">
        <v>4</v>
      </c>
      <c r="D1702" t="s">
        <v>4314</v>
      </c>
      <c r="E1702">
        <v>2</v>
      </c>
      <c r="F1702">
        <v>7</v>
      </c>
      <c r="G1702" t="s">
        <v>4306</v>
      </c>
    </row>
    <row r="1703" spans="1:7">
      <c r="A1703" s="10">
        <v>45503</v>
      </c>
      <c r="B1703">
        <v>2024</v>
      </c>
      <c r="C1703">
        <v>7</v>
      </c>
      <c r="D1703" t="s">
        <v>4297</v>
      </c>
      <c r="E1703">
        <v>3</v>
      </c>
      <c r="F1703">
        <v>30</v>
      </c>
      <c r="G1703" t="s">
        <v>4303</v>
      </c>
    </row>
    <row r="1704" spans="1:7">
      <c r="A1704" s="10">
        <v>45527</v>
      </c>
      <c r="B1704">
        <v>2024</v>
      </c>
      <c r="C1704">
        <v>8</v>
      </c>
      <c r="D1704" t="s">
        <v>4313</v>
      </c>
      <c r="E1704">
        <v>3</v>
      </c>
      <c r="F1704">
        <v>23</v>
      </c>
      <c r="G1704" t="s">
        <v>4306</v>
      </c>
    </row>
    <row r="1705" spans="1:7">
      <c r="A1705" s="10">
        <v>44979</v>
      </c>
      <c r="B1705">
        <v>2023</v>
      </c>
      <c r="C1705">
        <v>2</v>
      </c>
      <c r="D1705" t="s">
        <v>4312</v>
      </c>
      <c r="E1705">
        <v>1</v>
      </c>
      <c r="F1705">
        <v>22</v>
      </c>
      <c r="G1705" t="s">
        <v>4308</v>
      </c>
    </row>
    <row r="1706" spans="1:7">
      <c r="A1706" s="10">
        <v>45109</v>
      </c>
      <c r="B1706">
        <v>2023</v>
      </c>
      <c r="C1706">
        <v>7</v>
      </c>
      <c r="D1706" t="s">
        <v>4297</v>
      </c>
      <c r="E1706">
        <v>3</v>
      </c>
      <c r="F1706">
        <v>2</v>
      </c>
      <c r="G1706" t="s">
        <v>4309</v>
      </c>
    </row>
    <row r="1707" spans="1:7">
      <c r="A1707" s="10">
        <v>45703</v>
      </c>
      <c r="B1707">
        <v>2025</v>
      </c>
      <c r="C1707">
        <v>2</v>
      </c>
      <c r="D1707" t="s">
        <v>4312</v>
      </c>
      <c r="E1707">
        <v>1</v>
      </c>
      <c r="F1707">
        <v>15</v>
      </c>
      <c r="G1707" t="s">
        <v>4298</v>
      </c>
    </row>
    <row r="1708" spans="1:7">
      <c r="A1708" s="10">
        <v>45778</v>
      </c>
      <c r="B1708">
        <v>2025</v>
      </c>
      <c r="C1708">
        <v>5</v>
      </c>
      <c r="D1708" t="s">
        <v>4305</v>
      </c>
      <c r="E1708">
        <v>2</v>
      </c>
      <c r="F1708">
        <v>1</v>
      </c>
      <c r="G1708" t="s">
        <v>4300</v>
      </c>
    </row>
    <row r="1709" spans="1:7">
      <c r="A1709" s="10">
        <v>45461</v>
      </c>
      <c r="B1709">
        <v>2024</v>
      </c>
      <c r="C1709">
        <v>6</v>
      </c>
      <c r="D1709" t="s">
        <v>4310</v>
      </c>
      <c r="E1709">
        <v>2</v>
      </c>
      <c r="F1709">
        <v>18</v>
      </c>
      <c r="G1709" t="s">
        <v>4303</v>
      </c>
    </row>
    <row r="1710" spans="1:7">
      <c r="A1710" s="10">
        <v>45353</v>
      </c>
      <c r="B1710">
        <v>2024</v>
      </c>
      <c r="C1710">
        <v>3</v>
      </c>
      <c r="D1710" t="s">
        <v>4311</v>
      </c>
      <c r="E1710">
        <v>1</v>
      </c>
      <c r="F1710">
        <v>2</v>
      </c>
      <c r="G1710" t="s">
        <v>4298</v>
      </c>
    </row>
    <row r="1711" spans="1:7">
      <c r="A1711" s="10">
        <v>45037</v>
      </c>
      <c r="B1711">
        <v>2023</v>
      </c>
      <c r="C1711">
        <v>4</v>
      </c>
      <c r="D1711" t="s">
        <v>4314</v>
      </c>
      <c r="E1711">
        <v>2</v>
      </c>
      <c r="F1711">
        <v>21</v>
      </c>
      <c r="G1711" t="s">
        <v>4306</v>
      </c>
    </row>
    <row r="1712" spans="1:7">
      <c r="A1712" s="10">
        <v>45126</v>
      </c>
      <c r="B1712">
        <v>2023</v>
      </c>
      <c r="C1712">
        <v>7</v>
      </c>
      <c r="D1712" t="s">
        <v>4297</v>
      </c>
      <c r="E1712">
        <v>3</v>
      </c>
      <c r="F1712">
        <v>19</v>
      </c>
      <c r="G1712" t="s">
        <v>4308</v>
      </c>
    </row>
    <row r="1713" spans="1:7">
      <c r="A1713" s="10">
        <v>45612</v>
      </c>
      <c r="B1713">
        <v>2024</v>
      </c>
      <c r="C1713">
        <v>11</v>
      </c>
      <c r="D1713" t="s">
        <v>4315</v>
      </c>
      <c r="E1713">
        <v>4</v>
      </c>
      <c r="F1713">
        <v>16</v>
      </c>
      <c r="G1713" t="s">
        <v>4298</v>
      </c>
    </row>
    <row r="1714" spans="1:7">
      <c r="A1714" s="10">
        <v>45188</v>
      </c>
      <c r="B1714">
        <v>2023</v>
      </c>
      <c r="C1714">
        <v>9</v>
      </c>
      <c r="D1714" t="s">
        <v>4304</v>
      </c>
      <c r="E1714">
        <v>3</v>
      </c>
      <c r="F1714">
        <v>19</v>
      </c>
      <c r="G1714" t="s">
        <v>4303</v>
      </c>
    </row>
    <row r="1715" spans="1:7">
      <c r="A1715" s="10">
        <v>45530</v>
      </c>
      <c r="B1715">
        <v>2024</v>
      </c>
      <c r="C1715">
        <v>8</v>
      </c>
      <c r="D1715" t="s">
        <v>4313</v>
      </c>
      <c r="E1715">
        <v>3</v>
      </c>
      <c r="F1715">
        <v>26</v>
      </c>
      <c r="G1715" t="s">
        <v>4301</v>
      </c>
    </row>
    <row r="1716" spans="1:7">
      <c r="A1716" s="10">
        <v>45578</v>
      </c>
      <c r="B1716">
        <v>2024</v>
      </c>
      <c r="C1716">
        <v>10</v>
      </c>
      <c r="D1716" t="s">
        <v>4302</v>
      </c>
      <c r="E1716">
        <v>4</v>
      </c>
      <c r="F1716">
        <v>13</v>
      </c>
      <c r="G1716" t="s">
        <v>4309</v>
      </c>
    </row>
    <row r="1717" spans="1:7">
      <c r="A1717" s="10">
        <v>45830</v>
      </c>
      <c r="B1717">
        <v>2025</v>
      </c>
      <c r="C1717">
        <v>6</v>
      </c>
      <c r="D1717" t="s">
        <v>4310</v>
      </c>
      <c r="E1717">
        <v>2</v>
      </c>
      <c r="F1717">
        <v>22</v>
      </c>
      <c r="G1717" t="s">
        <v>4309</v>
      </c>
    </row>
    <row r="1718" spans="1:7">
      <c r="A1718" s="10">
        <v>45904</v>
      </c>
      <c r="B1718">
        <v>2025</v>
      </c>
      <c r="C1718">
        <v>9</v>
      </c>
      <c r="D1718" t="s">
        <v>4304</v>
      </c>
      <c r="E1718">
        <v>3</v>
      </c>
      <c r="F1718">
        <v>4</v>
      </c>
      <c r="G1718" t="s">
        <v>4300</v>
      </c>
    </row>
    <row r="1719" spans="1:7">
      <c r="A1719" s="10">
        <v>45106</v>
      </c>
      <c r="B1719">
        <v>2023</v>
      </c>
      <c r="C1719">
        <v>6</v>
      </c>
      <c r="D1719" t="s">
        <v>4310</v>
      </c>
      <c r="E1719">
        <v>2</v>
      </c>
      <c r="F1719">
        <v>29</v>
      </c>
      <c r="G1719" t="s">
        <v>4300</v>
      </c>
    </row>
    <row r="1720" spans="1:7">
      <c r="A1720" s="10">
        <v>45580</v>
      </c>
      <c r="B1720">
        <v>2024</v>
      </c>
      <c r="C1720">
        <v>10</v>
      </c>
      <c r="D1720" t="s">
        <v>4302</v>
      </c>
      <c r="E1720">
        <v>4</v>
      </c>
      <c r="F1720">
        <v>15</v>
      </c>
      <c r="G1720" t="s">
        <v>4303</v>
      </c>
    </row>
    <row r="1721" spans="1:7">
      <c r="A1721" s="10">
        <v>45200</v>
      </c>
      <c r="B1721">
        <v>2023</v>
      </c>
      <c r="C1721">
        <v>10</v>
      </c>
      <c r="D1721" t="s">
        <v>4302</v>
      </c>
      <c r="E1721">
        <v>4</v>
      </c>
      <c r="F1721">
        <v>1</v>
      </c>
      <c r="G1721" t="s">
        <v>4309</v>
      </c>
    </row>
    <row r="1722" spans="1:7">
      <c r="A1722" s="10">
        <v>45522</v>
      </c>
      <c r="B1722">
        <v>2024</v>
      </c>
      <c r="C1722">
        <v>8</v>
      </c>
      <c r="D1722" t="s">
        <v>4313</v>
      </c>
      <c r="E1722">
        <v>3</v>
      </c>
      <c r="F1722">
        <v>18</v>
      </c>
      <c r="G1722" t="s">
        <v>4309</v>
      </c>
    </row>
    <row r="1723" spans="1:7">
      <c r="A1723" s="10">
        <v>45048</v>
      </c>
      <c r="B1723">
        <v>2023</v>
      </c>
      <c r="C1723">
        <v>5</v>
      </c>
      <c r="D1723" t="s">
        <v>4305</v>
      </c>
      <c r="E1723">
        <v>2</v>
      </c>
      <c r="F1723">
        <v>2</v>
      </c>
      <c r="G1723" t="s">
        <v>4303</v>
      </c>
    </row>
    <row r="1724" spans="1:7">
      <c r="A1724" s="10">
        <v>45079</v>
      </c>
      <c r="B1724">
        <v>2023</v>
      </c>
      <c r="C1724">
        <v>6</v>
      </c>
      <c r="D1724" t="s">
        <v>4310</v>
      </c>
      <c r="E1724">
        <v>2</v>
      </c>
      <c r="F1724">
        <v>2</v>
      </c>
      <c r="G1724" t="s">
        <v>4306</v>
      </c>
    </row>
    <row r="1725" spans="1:7">
      <c r="A1725" s="10">
        <v>45002</v>
      </c>
      <c r="B1725">
        <v>2023</v>
      </c>
      <c r="C1725">
        <v>3</v>
      </c>
      <c r="D1725" t="s">
        <v>4311</v>
      </c>
      <c r="E1725">
        <v>1</v>
      </c>
      <c r="F1725">
        <v>17</v>
      </c>
      <c r="G1725" t="s">
        <v>4306</v>
      </c>
    </row>
    <row r="1726" spans="1:7">
      <c r="A1726" s="10">
        <v>45253</v>
      </c>
      <c r="B1726">
        <v>2023</v>
      </c>
      <c r="C1726">
        <v>11</v>
      </c>
      <c r="D1726" t="s">
        <v>4315</v>
      </c>
      <c r="E1726">
        <v>4</v>
      </c>
      <c r="F1726">
        <v>23</v>
      </c>
      <c r="G1726" t="s">
        <v>4300</v>
      </c>
    </row>
    <row r="1727" spans="1:7">
      <c r="A1727" s="10">
        <v>45848</v>
      </c>
      <c r="B1727">
        <v>2025</v>
      </c>
      <c r="C1727">
        <v>7</v>
      </c>
      <c r="D1727" t="s">
        <v>4297</v>
      </c>
      <c r="E1727">
        <v>3</v>
      </c>
      <c r="F1727">
        <v>10</v>
      </c>
      <c r="G1727" t="s">
        <v>4300</v>
      </c>
    </row>
    <row r="1728" spans="1:7">
      <c r="A1728" s="10">
        <v>44936</v>
      </c>
      <c r="B1728">
        <v>2023</v>
      </c>
      <c r="C1728">
        <v>1</v>
      </c>
      <c r="D1728" t="s">
        <v>4307</v>
      </c>
      <c r="E1728">
        <v>1</v>
      </c>
      <c r="F1728">
        <v>10</v>
      </c>
      <c r="G1728" t="s">
        <v>4303</v>
      </c>
    </row>
    <row r="1729" spans="1:7">
      <c r="A1729" s="10">
        <v>45916</v>
      </c>
      <c r="B1729">
        <v>2025</v>
      </c>
      <c r="C1729">
        <v>9</v>
      </c>
      <c r="D1729" t="s">
        <v>4304</v>
      </c>
      <c r="E1729">
        <v>3</v>
      </c>
      <c r="F1729">
        <v>16</v>
      </c>
      <c r="G1729" t="s">
        <v>4303</v>
      </c>
    </row>
    <row r="1730" spans="1:7">
      <c r="A1730" s="10">
        <v>45577</v>
      </c>
      <c r="B1730">
        <v>2024</v>
      </c>
      <c r="C1730">
        <v>10</v>
      </c>
      <c r="D1730" t="s">
        <v>4302</v>
      </c>
      <c r="E1730">
        <v>4</v>
      </c>
      <c r="F1730">
        <v>12</v>
      </c>
      <c r="G1730" t="s">
        <v>4298</v>
      </c>
    </row>
    <row r="1731" spans="1:7">
      <c r="A1731" s="10">
        <v>45680</v>
      </c>
      <c r="B1731">
        <v>2025</v>
      </c>
      <c r="C1731">
        <v>1</v>
      </c>
      <c r="D1731" t="s">
        <v>4307</v>
      </c>
      <c r="E1731">
        <v>1</v>
      </c>
      <c r="F1731">
        <v>23</v>
      </c>
      <c r="G1731" t="s">
        <v>4300</v>
      </c>
    </row>
    <row r="1732" spans="1:7">
      <c r="A1732" s="10">
        <v>45598</v>
      </c>
      <c r="B1732">
        <v>2024</v>
      </c>
      <c r="C1732">
        <v>11</v>
      </c>
      <c r="D1732" t="s">
        <v>4315</v>
      </c>
      <c r="E1732">
        <v>4</v>
      </c>
      <c r="F1732">
        <v>2</v>
      </c>
      <c r="G1732" t="s">
        <v>4298</v>
      </c>
    </row>
    <row r="1733" spans="1:7">
      <c r="A1733" s="10">
        <v>45406</v>
      </c>
      <c r="B1733">
        <v>2024</v>
      </c>
      <c r="C1733">
        <v>4</v>
      </c>
      <c r="D1733" t="s">
        <v>4314</v>
      </c>
      <c r="E1733">
        <v>2</v>
      </c>
      <c r="F1733">
        <v>24</v>
      </c>
      <c r="G1733" t="s">
        <v>4308</v>
      </c>
    </row>
    <row r="1734" spans="1:7">
      <c r="A1734" s="10">
        <v>45742</v>
      </c>
      <c r="B1734">
        <v>2025</v>
      </c>
      <c r="C1734">
        <v>3</v>
      </c>
      <c r="D1734" t="s">
        <v>4311</v>
      </c>
      <c r="E1734">
        <v>1</v>
      </c>
      <c r="F1734">
        <v>26</v>
      </c>
      <c r="G1734" t="s">
        <v>4308</v>
      </c>
    </row>
    <row r="1735" spans="1:7">
      <c r="A1735" s="10">
        <v>45176</v>
      </c>
      <c r="B1735">
        <v>2023</v>
      </c>
      <c r="C1735">
        <v>9</v>
      </c>
      <c r="D1735" t="s">
        <v>4304</v>
      </c>
      <c r="E1735">
        <v>3</v>
      </c>
      <c r="F1735">
        <v>7</v>
      </c>
      <c r="G1735" t="s">
        <v>4300</v>
      </c>
    </row>
    <row r="1736" spans="1:7">
      <c r="A1736" s="10">
        <v>45156</v>
      </c>
      <c r="B1736">
        <v>2023</v>
      </c>
      <c r="C1736">
        <v>8</v>
      </c>
      <c r="D1736" t="s">
        <v>4313</v>
      </c>
      <c r="E1736">
        <v>3</v>
      </c>
      <c r="F1736">
        <v>18</v>
      </c>
      <c r="G1736" t="s">
        <v>4306</v>
      </c>
    </row>
    <row r="1737" spans="1:7">
      <c r="A1737" s="10">
        <v>45217</v>
      </c>
      <c r="B1737">
        <v>2023</v>
      </c>
      <c r="C1737">
        <v>10</v>
      </c>
      <c r="D1737" t="s">
        <v>4302</v>
      </c>
      <c r="E1737">
        <v>4</v>
      </c>
      <c r="F1737">
        <v>18</v>
      </c>
      <c r="G1737" t="s">
        <v>4308</v>
      </c>
    </row>
    <row r="1738" spans="1:7">
      <c r="A1738" s="10">
        <v>45111</v>
      </c>
      <c r="B1738">
        <v>2023</v>
      </c>
      <c r="C1738">
        <v>7</v>
      </c>
      <c r="D1738" t="s">
        <v>4297</v>
      </c>
      <c r="E1738">
        <v>3</v>
      </c>
      <c r="F1738">
        <v>4</v>
      </c>
      <c r="G1738" t="s">
        <v>4303</v>
      </c>
    </row>
    <row r="1739" spans="1:7">
      <c r="A1739" s="10">
        <v>45821</v>
      </c>
      <c r="B1739">
        <v>2025</v>
      </c>
      <c r="C1739">
        <v>6</v>
      </c>
      <c r="D1739" t="s">
        <v>4310</v>
      </c>
      <c r="E1739">
        <v>2</v>
      </c>
      <c r="F1739">
        <v>13</v>
      </c>
      <c r="G1739" t="s">
        <v>4306</v>
      </c>
    </row>
    <row r="1740" spans="1:7">
      <c r="A1740" s="10">
        <v>45168</v>
      </c>
      <c r="B1740">
        <v>2023</v>
      </c>
      <c r="C1740">
        <v>8</v>
      </c>
      <c r="D1740" t="s">
        <v>4313</v>
      </c>
      <c r="E1740">
        <v>3</v>
      </c>
      <c r="F1740">
        <v>30</v>
      </c>
      <c r="G1740" t="s">
        <v>4308</v>
      </c>
    </row>
    <row r="1741" spans="1:7">
      <c r="A1741" s="10">
        <v>45520</v>
      </c>
      <c r="B1741">
        <v>2024</v>
      </c>
      <c r="C1741">
        <v>8</v>
      </c>
      <c r="D1741" t="s">
        <v>4313</v>
      </c>
      <c r="E1741">
        <v>3</v>
      </c>
      <c r="F1741">
        <v>16</v>
      </c>
      <c r="G1741" t="s">
        <v>4306</v>
      </c>
    </row>
    <row r="1742" spans="1:7">
      <c r="A1742" s="10">
        <v>45428</v>
      </c>
      <c r="B1742">
        <v>2024</v>
      </c>
      <c r="C1742">
        <v>5</v>
      </c>
      <c r="D1742" t="s">
        <v>4305</v>
      </c>
      <c r="E1742">
        <v>2</v>
      </c>
      <c r="F1742">
        <v>16</v>
      </c>
      <c r="G1742" t="s">
        <v>4300</v>
      </c>
    </row>
    <row r="1743" spans="1:7">
      <c r="A1743" s="10">
        <v>45675</v>
      </c>
      <c r="B1743">
        <v>2025</v>
      </c>
      <c r="C1743">
        <v>1</v>
      </c>
      <c r="D1743" t="s">
        <v>4307</v>
      </c>
      <c r="E1743">
        <v>1</v>
      </c>
      <c r="F1743">
        <v>18</v>
      </c>
      <c r="G1743" t="s">
        <v>4298</v>
      </c>
    </row>
    <row r="1744" spans="1:7">
      <c r="A1744" s="10">
        <v>45482</v>
      </c>
      <c r="B1744">
        <v>2024</v>
      </c>
      <c r="C1744">
        <v>7</v>
      </c>
      <c r="D1744" t="s">
        <v>4297</v>
      </c>
      <c r="E1744">
        <v>3</v>
      </c>
      <c r="F1744">
        <v>9</v>
      </c>
      <c r="G1744" t="s">
        <v>4303</v>
      </c>
    </row>
    <row r="1745" spans="1:7">
      <c r="A1745" s="10">
        <v>46004</v>
      </c>
      <c r="B1745">
        <v>2025</v>
      </c>
      <c r="C1745">
        <v>12</v>
      </c>
      <c r="D1745" t="s">
        <v>4299</v>
      </c>
      <c r="E1745">
        <v>4</v>
      </c>
      <c r="F1745">
        <v>13</v>
      </c>
      <c r="G1745" t="s">
        <v>4298</v>
      </c>
    </row>
    <row r="1746" spans="1:7">
      <c r="A1746" s="10">
        <v>44989</v>
      </c>
      <c r="B1746">
        <v>2023</v>
      </c>
      <c r="C1746">
        <v>3</v>
      </c>
      <c r="D1746" t="s">
        <v>4311</v>
      </c>
      <c r="E1746">
        <v>1</v>
      </c>
      <c r="F1746">
        <v>4</v>
      </c>
      <c r="G1746" t="s">
        <v>4298</v>
      </c>
    </row>
    <row r="1747" spans="1:7">
      <c r="A1747" s="10">
        <v>45967</v>
      </c>
      <c r="B1747">
        <v>2025</v>
      </c>
      <c r="C1747">
        <v>11</v>
      </c>
      <c r="D1747" t="s">
        <v>4315</v>
      </c>
      <c r="E1747">
        <v>4</v>
      </c>
      <c r="F1747">
        <v>6</v>
      </c>
      <c r="G1747" t="s">
        <v>4300</v>
      </c>
    </row>
    <row r="1748" spans="1:7">
      <c r="A1748" s="10">
        <v>45499</v>
      </c>
      <c r="B1748">
        <v>2024</v>
      </c>
      <c r="C1748">
        <v>7</v>
      </c>
      <c r="D1748" t="s">
        <v>4297</v>
      </c>
      <c r="E1748">
        <v>3</v>
      </c>
      <c r="F1748">
        <v>26</v>
      </c>
      <c r="G1748" t="s">
        <v>4306</v>
      </c>
    </row>
    <row r="1749" spans="1:7">
      <c r="A1749" s="10">
        <v>45683</v>
      </c>
      <c r="B1749">
        <v>2025</v>
      </c>
      <c r="C1749">
        <v>1</v>
      </c>
      <c r="D1749" t="s">
        <v>4307</v>
      </c>
      <c r="E1749">
        <v>1</v>
      </c>
      <c r="F1749">
        <v>26</v>
      </c>
      <c r="G1749" t="s">
        <v>4309</v>
      </c>
    </row>
    <row r="1750" spans="1:7">
      <c r="A1750" s="10">
        <v>45482</v>
      </c>
      <c r="B1750">
        <v>2024</v>
      </c>
      <c r="C1750">
        <v>7</v>
      </c>
      <c r="D1750" t="s">
        <v>4297</v>
      </c>
      <c r="E1750">
        <v>3</v>
      </c>
      <c r="F1750">
        <v>9</v>
      </c>
      <c r="G1750" t="s">
        <v>4303</v>
      </c>
    </row>
    <row r="1751" spans="1:7">
      <c r="A1751" s="10">
        <v>45363</v>
      </c>
      <c r="B1751">
        <v>2024</v>
      </c>
      <c r="C1751">
        <v>3</v>
      </c>
      <c r="D1751" t="s">
        <v>4311</v>
      </c>
      <c r="E1751">
        <v>1</v>
      </c>
      <c r="F1751">
        <v>12</v>
      </c>
      <c r="G1751" t="s">
        <v>4303</v>
      </c>
    </row>
    <row r="1752" spans="1:7">
      <c r="A1752" s="10">
        <v>45139</v>
      </c>
      <c r="B1752">
        <v>2023</v>
      </c>
      <c r="C1752">
        <v>8</v>
      </c>
      <c r="D1752" t="s">
        <v>4313</v>
      </c>
      <c r="E1752">
        <v>3</v>
      </c>
      <c r="F1752">
        <v>1</v>
      </c>
      <c r="G1752" t="s">
        <v>4303</v>
      </c>
    </row>
    <row r="1753" spans="1:7">
      <c r="A1753" s="10">
        <v>45482</v>
      </c>
      <c r="B1753">
        <v>2024</v>
      </c>
      <c r="C1753">
        <v>7</v>
      </c>
      <c r="D1753" t="s">
        <v>4297</v>
      </c>
      <c r="E1753">
        <v>3</v>
      </c>
      <c r="F1753">
        <v>9</v>
      </c>
      <c r="G1753" t="s">
        <v>4303</v>
      </c>
    </row>
    <row r="1754" spans="1:7">
      <c r="A1754" s="10">
        <v>45334</v>
      </c>
      <c r="B1754">
        <v>2024</v>
      </c>
      <c r="C1754">
        <v>2</v>
      </c>
      <c r="D1754" t="s">
        <v>4312</v>
      </c>
      <c r="E1754">
        <v>1</v>
      </c>
      <c r="F1754">
        <v>12</v>
      </c>
      <c r="G1754" t="s">
        <v>4301</v>
      </c>
    </row>
    <row r="1755" spans="1:7">
      <c r="A1755" s="10">
        <v>45875</v>
      </c>
      <c r="B1755">
        <v>2025</v>
      </c>
      <c r="C1755">
        <v>8</v>
      </c>
      <c r="D1755" t="s">
        <v>4313</v>
      </c>
      <c r="E1755">
        <v>3</v>
      </c>
      <c r="F1755">
        <v>6</v>
      </c>
      <c r="G1755" t="s">
        <v>4308</v>
      </c>
    </row>
    <row r="1756" spans="1:7">
      <c r="A1756" s="10">
        <v>45355</v>
      </c>
      <c r="B1756">
        <v>2024</v>
      </c>
      <c r="C1756">
        <v>3</v>
      </c>
      <c r="D1756" t="s">
        <v>4311</v>
      </c>
      <c r="E1756">
        <v>1</v>
      </c>
      <c r="F1756">
        <v>4</v>
      </c>
      <c r="G1756" t="s">
        <v>4301</v>
      </c>
    </row>
    <row r="1757" spans="1:7">
      <c r="A1757" s="10">
        <v>45370</v>
      </c>
      <c r="B1757">
        <v>2024</v>
      </c>
      <c r="C1757">
        <v>3</v>
      </c>
      <c r="D1757" t="s">
        <v>4311</v>
      </c>
      <c r="E1757">
        <v>1</v>
      </c>
      <c r="F1757">
        <v>19</v>
      </c>
      <c r="G1757" t="s">
        <v>4303</v>
      </c>
    </row>
    <row r="1758" spans="1:7">
      <c r="A1758" s="10">
        <v>45827</v>
      </c>
      <c r="B1758">
        <v>2025</v>
      </c>
      <c r="C1758">
        <v>6</v>
      </c>
      <c r="D1758" t="s">
        <v>4310</v>
      </c>
      <c r="E1758">
        <v>2</v>
      </c>
      <c r="F1758">
        <v>19</v>
      </c>
      <c r="G1758" t="s">
        <v>4300</v>
      </c>
    </row>
    <row r="1759" spans="1:7">
      <c r="A1759" s="10">
        <v>45208</v>
      </c>
      <c r="B1759">
        <v>2023</v>
      </c>
      <c r="C1759">
        <v>10</v>
      </c>
      <c r="D1759" t="s">
        <v>4302</v>
      </c>
      <c r="E1759">
        <v>4</v>
      </c>
      <c r="F1759">
        <v>9</v>
      </c>
      <c r="G1759" t="s">
        <v>4301</v>
      </c>
    </row>
    <row r="1760" spans="1:7">
      <c r="A1760" s="10">
        <v>45117</v>
      </c>
      <c r="B1760">
        <v>2023</v>
      </c>
      <c r="C1760">
        <v>7</v>
      </c>
      <c r="D1760" t="s">
        <v>4297</v>
      </c>
      <c r="E1760">
        <v>3</v>
      </c>
      <c r="F1760">
        <v>10</v>
      </c>
      <c r="G1760" t="s">
        <v>4301</v>
      </c>
    </row>
    <row r="1761" spans="1:7">
      <c r="A1761" s="10">
        <v>45143</v>
      </c>
      <c r="B1761">
        <v>2023</v>
      </c>
      <c r="C1761">
        <v>8</v>
      </c>
      <c r="D1761" t="s">
        <v>4313</v>
      </c>
      <c r="E1761">
        <v>3</v>
      </c>
      <c r="F1761">
        <v>5</v>
      </c>
      <c r="G1761" t="s">
        <v>4298</v>
      </c>
    </row>
    <row r="1762" spans="1:7">
      <c r="A1762" s="10">
        <v>45908</v>
      </c>
      <c r="B1762">
        <v>2025</v>
      </c>
      <c r="C1762">
        <v>9</v>
      </c>
      <c r="D1762" t="s">
        <v>4304</v>
      </c>
      <c r="E1762">
        <v>3</v>
      </c>
      <c r="F1762">
        <v>8</v>
      </c>
      <c r="G1762" t="s">
        <v>4301</v>
      </c>
    </row>
    <row r="1763" spans="1:7">
      <c r="A1763" s="10">
        <v>45014</v>
      </c>
      <c r="B1763">
        <v>2023</v>
      </c>
      <c r="C1763">
        <v>3</v>
      </c>
      <c r="D1763" t="s">
        <v>4311</v>
      </c>
      <c r="E1763">
        <v>1</v>
      </c>
      <c r="F1763">
        <v>29</v>
      </c>
      <c r="G1763" t="s">
        <v>4308</v>
      </c>
    </row>
    <row r="1764" spans="1:7">
      <c r="A1764" s="10">
        <v>45973</v>
      </c>
      <c r="B1764">
        <v>2025</v>
      </c>
      <c r="C1764">
        <v>11</v>
      </c>
      <c r="D1764" t="s">
        <v>4315</v>
      </c>
      <c r="E1764">
        <v>4</v>
      </c>
      <c r="F1764">
        <v>12</v>
      </c>
      <c r="G1764" t="s">
        <v>4308</v>
      </c>
    </row>
    <row r="1765" spans="1:7">
      <c r="A1765" s="10">
        <v>45643</v>
      </c>
      <c r="B1765">
        <v>2024</v>
      </c>
      <c r="C1765">
        <v>12</v>
      </c>
      <c r="D1765" t="s">
        <v>4299</v>
      </c>
      <c r="E1765">
        <v>4</v>
      </c>
      <c r="F1765">
        <v>17</v>
      </c>
      <c r="G1765" t="s">
        <v>4303</v>
      </c>
    </row>
    <row r="1766" spans="1:7">
      <c r="A1766" s="10">
        <v>45345</v>
      </c>
      <c r="B1766">
        <v>2024</v>
      </c>
      <c r="C1766">
        <v>2</v>
      </c>
      <c r="D1766" t="s">
        <v>4312</v>
      </c>
      <c r="E1766">
        <v>1</v>
      </c>
      <c r="F1766">
        <v>23</v>
      </c>
      <c r="G1766" t="s">
        <v>4306</v>
      </c>
    </row>
    <row r="1767" spans="1:7">
      <c r="A1767" s="10">
        <v>45121</v>
      </c>
      <c r="B1767">
        <v>2023</v>
      </c>
      <c r="C1767">
        <v>7</v>
      </c>
      <c r="D1767" t="s">
        <v>4297</v>
      </c>
      <c r="E1767">
        <v>3</v>
      </c>
      <c r="F1767">
        <v>14</v>
      </c>
      <c r="G1767" t="s">
        <v>4306</v>
      </c>
    </row>
    <row r="1768" spans="1:7">
      <c r="A1768" s="10">
        <v>45159</v>
      </c>
      <c r="B1768">
        <v>2023</v>
      </c>
      <c r="C1768">
        <v>8</v>
      </c>
      <c r="D1768" t="s">
        <v>4313</v>
      </c>
      <c r="E1768">
        <v>3</v>
      </c>
      <c r="F1768">
        <v>21</v>
      </c>
      <c r="G1768" t="s">
        <v>4301</v>
      </c>
    </row>
    <row r="1769" spans="1:7">
      <c r="A1769" s="10">
        <v>45014</v>
      </c>
      <c r="B1769">
        <v>2023</v>
      </c>
      <c r="C1769">
        <v>3</v>
      </c>
      <c r="D1769" t="s">
        <v>4311</v>
      </c>
      <c r="E1769">
        <v>1</v>
      </c>
      <c r="F1769">
        <v>29</v>
      </c>
      <c r="G1769" t="s">
        <v>4308</v>
      </c>
    </row>
    <row r="1770" spans="1:7">
      <c r="A1770" s="10">
        <v>45910</v>
      </c>
      <c r="B1770">
        <v>2025</v>
      </c>
      <c r="C1770">
        <v>9</v>
      </c>
      <c r="D1770" t="s">
        <v>4304</v>
      </c>
      <c r="E1770">
        <v>3</v>
      </c>
      <c r="F1770">
        <v>10</v>
      </c>
      <c r="G1770" t="s">
        <v>4308</v>
      </c>
    </row>
    <row r="1771" spans="1:7">
      <c r="A1771" s="10">
        <v>45489</v>
      </c>
      <c r="B1771">
        <v>2024</v>
      </c>
      <c r="C1771">
        <v>7</v>
      </c>
      <c r="D1771" t="s">
        <v>4297</v>
      </c>
      <c r="E1771">
        <v>3</v>
      </c>
      <c r="F1771">
        <v>16</v>
      </c>
      <c r="G1771" t="s">
        <v>4303</v>
      </c>
    </row>
    <row r="1772" spans="1:7">
      <c r="A1772" s="10">
        <v>45326</v>
      </c>
      <c r="B1772">
        <v>2024</v>
      </c>
      <c r="C1772">
        <v>2</v>
      </c>
      <c r="D1772" t="s">
        <v>4312</v>
      </c>
      <c r="E1772">
        <v>1</v>
      </c>
      <c r="F1772">
        <v>4</v>
      </c>
      <c r="G1772" t="s">
        <v>4309</v>
      </c>
    </row>
    <row r="1773" spans="1:7">
      <c r="A1773" s="10">
        <v>45514</v>
      </c>
      <c r="B1773">
        <v>2024</v>
      </c>
      <c r="C1773">
        <v>8</v>
      </c>
      <c r="D1773" t="s">
        <v>4313</v>
      </c>
      <c r="E1773">
        <v>3</v>
      </c>
      <c r="F1773">
        <v>10</v>
      </c>
      <c r="G1773" t="s">
        <v>4298</v>
      </c>
    </row>
    <row r="1774" spans="1:7">
      <c r="A1774" s="10">
        <v>45932</v>
      </c>
      <c r="B1774">
        <v>2025</v>
      </c>
      <c r="C1774">
        <v>10</v>
      </c>
      <c r="D1774" t="s">
        <v>4302</v>
      </c>
      <c r="E1774">
        <v>4</v>
      </c>
      <c r="F1774">
        <v>2</v>
      </c>
      <c r="G1774" t="s">
        <v>4300</v>
      </c>
    </row>
    <row r="1775" spans="1:7">
      <c r="A1775" s="10">
        <v>45691</v>
      </c>
      <c r="B1775">
        <v>2025</v>
      </c>
      <c r="C1775">
        <v>2</v>
      </c>
      <c r="D1775" t="s">
        <v>4312</v>
      </c>
      <c r="E1775">
        <v>1</v>
      </c>
      <c r="F1775">
        <v>3</v>
      </c>
      <c r="G1775" t="s">
        <v>4301</v>
      </c>
    </row>
    <row r="1776" spans="1:7">
      <c r="A1776" s="10">
        <v>45804</v>
      </c>
      <c r="B1776">
        <v>2025</v>
      </c>
      <c r="C1776">
        <v>5</v>
      </c>
      <c r="D1776" t="s">
        <v>4305</v>
      </c>
      <c r="E1776">
        <v>2</v>
      </c>
      <c r="F1776">
        <v>27</v>
      </c>
      <c r="G1776" t="s">
        <v>4303</v>
      </c>
    </row>
    <row r="1777" spans="1:7">
      <c r="A1777" s="10">
        <v>45357</v>
      </c>
      <c r="B1777">
        <v>2024</v>
      </c>
      <c r="C1777">
        <v>3</v>
      </c>
      <c r="D1777" t="s">
        <v>4311</v>
      </c>
      <c r="E1777">
        <v>1</v>
      </c>
      <c r="F1777">
        <v>6</v>
      </c>
      <c r="G1777" t="s">
        <v>4308</v>
      </c>
    </row>
    <row r="1778" spans="1:7">
      <c r="A1778" s="10">
        <v>45519</v>
      </c>
      <c r="B1778">
        <v>2024</v>
      </c>
      <c r="C1778">
        <v>8</v>
      </c>
      <c r="D1778" t="s">
        <v>4313</v>
      </c>
      <c r="E1778">
        <v>3</v>
      </c>
      <c r="F1778">
        <v>15</v>
      </c>
      <c r="G1778" t="s">
        <v>4300</v>
      </c>
    </row>
    <row r="1779" spans="1:7">
      <c r="A1779" s="10">
        <v>45065</v>
      </c>
      <c r="B1779">
        <v>2023</v>
      </c>
      <c r="C1779">
        <v>5</v>
      </c>
      <c r="D1779" t="s">
        <v>4305</v>
      </c>
      <c r="E1779">
        <v>2</v>
      </c>
      <c r="F1779">
        <v>19</v>
      </c>
      <c r="G1779" t="s">
        <v>4306</v>
      </c>
    </row>
    <row r="1780" spans="1:7">
      <c r="A1780" s="10">
        <v>46008</v>
      </c>
      <c r="B1780">
        <v>2025</v>
      </c>
      <c r="C1780">
        <v>12</v>
      </c>
      <c r="D1780" t="s">
        <v>4299</v>
      </c>
      <c r="E1780">
        <v>4</v>
      </c>
      <c r="F1780">
        <v>17</v>
      </c>
      <c r="G1780" t="s">
        <v>4308</v>
      </c>
    </row>
    <row r="1781" spans="1:7">
      <c r="A1781" s="10">
        <v>45539</v>
      </c>
      <c r="B1781">
        <v>2024</v>
      </c>
      <c r="C1781">
        <v>9</v>
      </c>
      <c r="D1781" t="s">
        <v>4304</v>
      </c>
      <c r="E1781">
        <v>3</v>
      </c>
      <c r="F1781">
        <v>4</v>
      </c>
      <c r="G1781" t="s">
        <v>4308</v>
      </c>
    </row>
    <row r="1782" spans="1:7">
      <c r="A1782" s="10">
        <v>45477</v>
      </c>
      <c r="B1782">
        <v>2024</v>
      </c>
      <c r="C1782">
        <v>7</v>
      </c>
      <c r="D1782" t="s">
        <v>4297</v>
      </c>
      <c r="E1782">
        <v>3</v>
      </c>
      <c r="F1782">
        <v>4</v>
      </c>
      <c r="G1782" t="s">
        <v>4300</v>
      </c>
    </row>
    <row r="1783" spans="1:7">
      <c r="A1783" s="10">
        <v>45205</v>
      </c>
      <c r="B1783">
        <v>2023</v>
      </c>
      <c r="C1783">
        <v>10</v>
      </c>
      <c r="D1783" t="s">
        <v>4302</v>
      </c>
      <c r="E1783">
        <v>4</v>
      </c>
      <c r="F1783">
        <v>6</v>
      </c>
      <c r="G1783" t="s">
        <v>4306</v>
      </c>
    </row>
    <row r="1784" spans="1:7">
      <c r="A1784" s="10">
        <v>44940</v>
      </c>
      <c r="B1784">
        <v>2023</v>
      </c>
      <c r="C1784">
        <v>1</v>
      </c>
      <c r="D1784" t="s">
        <v>4307</v>
      </c>
      <c r="E1784">
        <v>1</v>
      </c>
      <c r="F1784">
        <v>14</v>
      </c>
      <c r="G1784" t="s">
        <v>4298</v>
      </c>
    </row>
    <row r="1785" spans="1:7">
      <c r="A1785" s="10">
        <v>45101</v>
      </c>
      <c r="B1785">
        <v>2023</v>
      </c>
      <c r="C1785">
        <v>6</v>
      </c>
      <c r="D1785" t="s">
        <v>4310</v>
      </c>
      <c r="E1785">
        <v>2</v>
      </c>
      <c r="F1785">
        <v>24</v>
      </c>
      <c r="G1785" t="s">
        <v>4298</v>
      </c>
    </row>
    <row r="1786" spans="1:7">
      <c r="A1786" s="10">
        <v>45011</v>
      </c>
      <c r="B1786">
        <v>2023</v>
      </c>
      <c r="C1786">
        <v>3</v>
      </c>
      <c r="D1786" t="s">
        <v>4311</v>
      </c>
      <c r="E1786">
        <v>1</v>
      </c>
      <c r="F1786">
        <v>26</v>
      </c>
      <c r="G1786" t="s">
        <v>4309</v>
      </c>
    </row>
    <row r="1787" spans="1:7">
      <c r="A1787" s="10">
        <v>45080</v>
      </c>
      <c r="B1787">
        <v>2023</v>
      </c>
      <c r="C1787">
        <v>6</v>
      </c>
      <c r="D1787" t="s">
        <v>4310</v>
      </c>
      <c r="E1787">
        <v>2</v>
      </c>
      <c r="F1787">
        <v>3</v>
      </c>
      <c r="G1787" t="s">
        <v>4298</v>
      </c>
    </row>
    <row r="1788" spans="1:7">
      <c r="A1788" s="10">
        <v>45309</v>
      </c>
      <c r="B1788">
        <v>2024</v>
      </c>
      <c r="C1788">
        <v>1</v>
      </c>
      <c r="D1788" t="s">
        <v>4307</v>
      </c>
      <c r="E1788">
        <v>1</v>
      </c>
      <c r="F1788">
        <v>18</v>
      </c>
      <c r="G1788" t="s">
        <v>4300</v>
      </c>
    </row>
    <row r="1789" spans="1:7">
      <c r="A1789" s="10">
        <v>45781</v>
      </c>
      <c r="B1789">
        <v>2025</v>
      </c>
      <c r="C1789">
        <v>5</v>
      </c>
      <c r="D1789" t="s">
        <v>4305</v>
      </c>
      <c r="E1789">
        <v>2</v>
      </c>
      <c r="F1789">
        <v>4</v>
      </c>
      <c r="G1789" t="s">
        <v>4309</v>
      </c>
    </row>
    <row r="1790" spans="1:7">
      <c r="A1790" s="10">
        <v>45012</v>
      </c>
      <c r="B1790">
        <v>2023</v>
      </c>
      <c r="C1790">
        <v>3</v>
      </c>
      <c r="D1790" t="s">
        <v>4311</v>
      </c>
      <c r="E1790">
        <v>1</v>
      </c>
      <c r="F1790">
        <v>27</v>
      </c>
      <c r="G1790" t="s">
        <v>4301</v>
      </c>
    </row>
    <row r="1791" spans="1:7">
      <c r="A1791" s="10">
        <v>45150</v>
      </c>
      <c r="B1791">
        <v>2023</v>
      </c>
      <c r="C1791">
        <v>8</v>
      </c>
      <c r="D1791" t="s">
        <v>4313</v>
      </c>
      <c r="E1791">
        <v>3</v>
      </c>
      <c r="F1791">
        <v>12</v>
      </c>
      <c r="G1791" t="s">
        <v>4298</v>
      </c>
    </row>
    <row r="1792" spans="1:7">
      <c r="A1792" s="10">
        <v>45610</v>
      </c>
      <c r="B1792">
        <v>2024</v>
      </c>
      <c r="C1792">
        <v>11</v>
      </c>
      <c r="D1792" t="s">
        <v>4315</v>
      </c>
      <c r="E1792">
        <v>4</v>
      </c>
      <c r="F1792">
        <v>14</v>
      </c>
      <c r="G1792" t="s">
        <v>4300</v>
      </c>
    </row>
    <row r="1793" spans="1:7">
      <c r="A1793" s="10">
        <v>45487</v>
      </c>
      <c r="B1793">
        <v>2024</v>
      </c>
      <c r="C1793">
        <v>7</v>
      </c>
      <c r="D1793" t="s">
        <v>4297</v>
      </c>
      <c r="E1793">
        <v>3</v>
      </c>
      <c r="F1793">
        <v>14</v>
      </c>
      <c r="G1793" t="s">
        <v>4309</v>
      </c>
    </row>
    <row r="1794" spans="1:7">
      <c r="A1794" s="10">
        <v>45608</v>
      </c>
      <c r="B1794">
        <v>2024</v>
      </c>
      <c r="C1794">
        <v>11</v>
      </c>
      <c r="D1794" t="s">
        <v>4315</v>
      </c>
      <c r="E1794">
        <v>4</v>
      </c>
      <c r="F1794">
        <v>12</v>
      </c>
      <c r="G1794" t="s">
        <v>4303</v>
      </c>
    </row>
    <row r="1795" spans="1:7">
      <c r="A1795" s="10">
        <v>46005</v>
      </c>
      <c r="B1795">
        <v>2025</v>
      </c>
      <c r="C1795">
        <v>12</v>
      </c>
      <c r="D1795" t="s">
        <v>4299</v>
      </c>
      <c r="E1795">
        <v>4</v>
      </c>
      <c r="F1795">
        <v>14</v>
      </c>
      <c r="G1795" t="s">
        <v>4309</v>
      </c>
    </row>
    <row r="1796" spans="1:7">
      <c r="A1796" s="10">
        <v>45319</v>
      </c>
      <c r="B1796">
        <v>2024</v>
      </c>
      <c r="C1796">
        <v>1</v>
      </c>
      <c r="D1796" t="s">
        <v>4307</v>
      </c>
      <c r="E1796">
        <v>1</v>
      </c>
      <c r="F1796">
        <v>28</v>
      </c>
      <c r="G1796" t="s">
        <v>4309</v>
      </c>
    </row>
    <row r="1797" spans="1:7">
      <c r="A1797" s="10">
        <v>45842</v>
      </c>
      <c r="B1797">
        <v>2025</v>
      </c>
      <c r="C1797">
        <v>7</v>
      </c>
      <c r="D1797" t="s">
        <v>4297</v>
      </c>
      <c r="E1797">
        <v>3</v>
      </c>
      <c r="F1797">
        <v>4</v>
      </c>
      <c r="G1797" t="s">
        <v>4306</v>
      </c>
    </row>
    <row r="1798" spans="1:7">
      <c r="A1798" s="10">
        <v>45191</v>
      </c>
      <c r="B1798">
        <v>2023</v>
      </c>
      <c r="C1798">
        <v>9</v>
      </c>
      <c r="D1798" t="s">
        <v>4304</v>
      </c>
      <c r="E1798">
        <v>3</v>
      </c>
      <c r="F1798">
        <v>22</v>
      </c>
      <c r="G1798" t="s">
        <v>4306</v>
      </c>
    </row>
    <row r="1799" spans="1:7">
      <c r="A1799" s="10">
        <v>45150</v>
      </c>
      <c r="B1799">
        <v>2023</v>
      </c>
      <c r="C1799">
        <v>8</v>
      </c>
      <c r="D1799" t="s">
        <v>4313</v>
      </c>
      <c r="E1799">
        <v>3</v>
      </c>
      <c r="F1799">
        <v>12</v>
      </c>
      <c r="G1799" t="s">
        <v>4298</v>
      </c>
    </row>
    <row r="1800" spans="1:7">
      <c r="A1800" s="10">
        <v>45499</v>
      </c>
      <c r="B1800">
        <v>2024</v>
      </c>
      <c r="C1800">
        <v>7</v>
      </c>
      <c r="D1800" t="s">
        <v>4297</v>
      </c>
      <c r="E1800">
        <v>3</v>
      </c>
      <c r="F1800">
        <v>26</v>
      </c>
      <c r="G1800" t="s">
        <v>4306</v>
      </c>
    </row>
    <row r="1801" spans="1:7">
      <c r="A1801" s="10">
        <v>44991</v>
      </c>
      <c r="B1801">
        <v>2023</v>
      </c>
      <c r="C1801">
        <v>3</v>
      </c>
      <c r="D1801" t="s">
        <v>4311</v>
      </c>
      <c r="E1801">
        <v>1</v>
      </c>
      <c r="F1801">
        <v>6</v>
      </c>
      <c r="G1801" t="s">
        <v>4301</v>
      </c>
    </row>
    <row r="1802" spans="1:7">
      <c r="A1802" s="10">
        <v>45267</v>
      </c>
      <c r="B1802">
        <v>2023</v>
      </c>
      <c r="C1802">
        <v>12</v>
      </c>
      <c r="D1802" t="s">
        <v>4299</v>
      </c>
      <c r="E1802">
        <v>4</v>
      </c>
      <c r="F1802">
        <v>7</v>
      </c>
      <c r="G1802" t="s">
        <v>4300</v>
      </c>
    </row>
    <row r="1803" spans="1:7">
      <c r="A1803" s="10">
        <v>45885</v>
      </c>
      <c r="B1803">
        <v>2025</v>
      </c>
      <c r="C1803">
        <v>8</v>
      </c>
      <c r="D1803" t="s">
        <v>4313</v>
      </c>
      <c r="E1803">
        <v>3</v>
      </c>
      <c r="F1803">
        <v>16</v>
      </c>
      <c r="G1803" t="s">
        <v>4298</v>
      </c>
    </row>
    <row r="1804" spans="1:7">
      <c r="A1804" s="10">
        <v>45068</v>
      </c>
      <c r="B1804">
        <v>2023</v>
      </c>
      <c r="C1804">
        <v>5</v>
      </c>
      <c r="D1804" t="s">
        <v>4305</v>
      </c>
      <c r="E1804">
        <v>2</v>
      </c>
      <c r="F1804">
        <v>22</v>
      </c>
      <c r="G1804" t="s">
        <v>4301</v>
      </c>
    </row>
    <row r="1805" spans="1:7">
      <c r="A1805" s="10">
        <v>45542</v>
      </c>
      <c r="B1805">
        <v>2024</v>
      </c>
      <c r="C1805">
        <v>9</v>
      </c>
      <c r="D1805" t="s">
        <v>4304</v>
      </c>
      <c r="E1805">
        <v>3</v>
      </c>
      <c r="F1805">
        <v>7</v>
      </c>
      <c r="G1805" t="s">
        <v>4298</v>
      </c>
    </row>
    <row r="1806" spans="1:7">
      <c r="A1806" s="10">
        <v>45482</v>
      </c>
      <c r="B1806">
        <v>2024</v>
      </c>
      <c r="C1806">
        <v>7</v>
      </c>
      <c r="D1806" t="s">
        <v>4297</v>
      </c>
      <c r="E1806">
        <v>3</v>
      </c>
      <c r="F1806">
        <v>9</v>
      </c>
      <c r="G1806" t="s">
        <v>4303</v>
      </c>
    </row>
    <row r="1807" spans="1:7">
      <c r="A1807" s="10">
        <v>46005</v>
      </c>
      <c r="B1807">
        <v>2025</v>
      </c>
      <c r="C1807">
        <v>12</v>
      </c>
      <c r="D1807" t="s">
        <v>4299</v>
      </c>
      <c r="E1807">
        <v>4</v>
      </c>
      <c r="F1807">
        <v>14</v>
      </c>
      <c r="G1807" t="s">
        <v>4309</v>
      </c>
    </row>
    <row r="1808" spans="1:7">
      <c r="A1808" s="10">
        <v>45237</v>
      </c>
      <c r="B1808">
        <v>2023</v>
      </c>
      <c r="C1808">
        <v>11</v>
      </c>
      <c r="D1808" t="s">
        <v>4315</v>
      </c>
      <c r="E1808">
        <v>4</v>
      </c>
      <c r="F1808">
        <v>7</v>
      </c>
      <c r="G1808" t="s">
        <v>4303</v>
      </c>
    </row>
    <row r="1809" spans="1:7">
      <c r="A1809" s="10">
        <v>45129</v>
      </c>
      <c r="B1809">
        <v>2023</v>
      </c>
      <c r="C1809">
        <v>7</v>
      </c>
      <c r="D1809" t="s">
        <v>4297</v>
      </c>
      <c r="E1809">
        <v>3</v>
      </c>
      <c r="F1809">
        <v>22</v>
      </c>
      <c r="G1809" t="s">
        <v>4298</v>
      </c>
    </row>
    <row r="1810" spans="1:7">
      <c r="A1810" s="10">
        <v>45132</v>
      </c>
      <c r="B1810">
        <v>2023</v>
      </c>
      <c r="C1810">
        <v>7</v>
      </c>
      <c r="D1810" t="s">
        <v>4297</v>
      </c>
      <c r="E1810">
        <v>3</v>
      </c>
      <c r="F1810">
        <v>25</v>
      </c>
      <c r="G1810" t="s">
        <v>4303</v>
      </c>
    </row>
    <row r="1811" spans="1:7">
      <c r="A1811" s="10">
        <v>45652</v>
      </c>
      <c r="B1811">
        <v>2024</v>
      </c>
      <c r="C1811">
        <v>12</v>
      </c>
      <c r="D1811" t="s">
        <v>4299</v>
      </c>
      <c r="E1811">
        <v>4</v>
      </c>
      <c r="F1811">
        <v>26</v>
      </c>
      <c r="G1811" t="s">
        <v>4300</v>
      </c>
    </row>
    <row r="1812" spans="1:7">
      <c r="A1812" s="10">
        <v>45372</v>
      </c>
      <c r="B1812">
        <v>2024</v>
      </c>
      <c r="C1812">
        <v>3</v>
      </c>
      <c r="D1812" t="s">
        <v>4311</v>
      </c>
      <c r="E1812">
        <v>1</v>
      </c>
      <c r="F1812">
        <v>21</v>
      </c>
      <c r="G1812" t="s">
        <v>4300</v>
      </c>
    </row>
    <row r="1813" spans="1:7">
      <c r="A1813" s="10">
        <v>45896</v>
      </c>
      <c r="B1813">
        <v>2025</v>
      </c>
      <c r="C1813">
        <v>8</v>
      </c>
      <c r="D1813" t="s">
        <v>4313</v>
      </c>
      <c r="E1813">
        <v>3</v>
      </c>
      <c r="F1813">
        <v>27</v>
      </c>
      <c r="G1813" t="s">
        <v>4308</v>
      </c>
    </row>
    <row r="1814" spans="1:7">
      <c r="A1814" s="10">
        <v>45671</v>
      </c>
      <c r="B1814">
        <v>2025</v>
      </c>
      <c r="C1814">
        <v>1</v>
      </c>
      <c r="D1814" t="s">
        <v>4307</v>
      </c>
      <c r="E1814">
        <v>1</v>
      </c>
      <c r="F1814">
        <v>14</v>
      </c>
      <c r="G1814" t="s">
        <v>4303</v>
      </c>
    </row>
    <row r="1815" spans="1:7">
      <c r="A1815" s="10">
        <v>45131</v>
      </c>
      <c r="B1815">
        <v>2023</v>
      </c>
      <c r="C1815">
        <v>7</v>
      </c>
      <c r="D1815" t="s">
        <v>4297</v>
      </c>
      <c r="E1815">
        <v>3</v>
      </c>
      <c r="F1815">
        <v>24</v>
      </c>
      <c r="G1815" t="s">
        <v>4301</v>
      </c>
    </row>
    <row r="1816" spans="1:7">
      <c r="A1816" s="10">
        <v>45049</v>
      </c>
      <c r="B1816">
        <v>2023</v>
      </c>
      <c r="C1816">
        <v>5</v>
      </c>
      <c r="D1816" t="s">
        <v>4305</v>
      </c>
      <c r="E1816">
        <v>2</v>
      </c>
      <c r="F1816">
        <v>3</v>
      </c>
      <c r="G1816" t="s">
        <v>4308</v>
      </c>
    </row>
    <row r="1817" spans="1:7">
      <c r="A1817" s="10">
        <v>45446</v>
      </c>
      <c r="B1817">
        <v>2024</v>
      </c>
      <c r="C1817">
        <v>6</v>
      </c>
      <c r="D1817" t="s">
        <v>4310</v>
      </c>
      <c r="E1817">
        <v>2</v>
      </c>
      <c r="F1817">
        <v>3</v>
      </c>
      <c r="G1817" t="s">
        <v>4301</v>
      </c>
    </row>
    <row r="1818" spans="1:7">
      <c r="A1818" s="10">
        <v>45007</v>
      </c>
      <c r="B1818">
        <v>2023</v>
      </c>
      <c r="C1818">
        <v>3</v>
      </c>
      <c r="D1818" t="s">
        <v>4311</v>
      </c>
      <c r="E1818">
        <v>1</v>
      </c>
      <c r="F1818">
        <v>22</v>
      </c>
      <c r="G1818" t="s">
        <v>4308</v>
      </c>
    </row>
    <row r="1819" spans="1:7">
      <c r="A1819" s="10">
        <v>45409</v>
      </c>
      <c r="B1819">
        <v>2024</v>
      </c>
      <c r="C1819">
        <v>4</v>
      </c>
      <c r="D1819" t="s">
        <v>4314</v>
      </c>
      <c r="E1819">
        <v>2</v>
      </c>
      <c r="F1819">
        <v>27</v>
      </c>
      <c r="G1819" t="s">
        <v>4298</v>
      </c>
    </row>
    <row r="1820" spans="1:7">
      <c r="A1820" s="10">
        <v>45114</v>
      </c>
      <c r="B1820">
        <v>2023</v>
      </c>
      <c r="C1820">
        <v>7</v>
      </c>
      <c r="D1820" t="s">
        <v>4297</v>
      </c>
      <c r="E1820">
        <v>3</v>
      </c>
      <c r="F1820">
        <v>7</v>
      </c>
      <c r="G1820" t="s">
        <v>4306</v>
      </c>
    </row>
    <row r="1821" spans="1:7">
      <c r="A1821" s="10">
        <v>45553</v>
      </c>
      <c r="B1821">
        <v>2024</v>
      </c>
      <c r="C1821">
        <v>9</v>
      </c>
      <c r="D1821" t="s">
        <v>4304</v>
      </c>
      <c r="E1821">
        <v>3</v>
      </c>
      <c r="F1821">
        <v>18</v>
      </c>
      <c r="G1821" t="s">
        <v>4308</v>
      </c>
    </row>
    <row r="1822" spans="1:7">
      <c r="A1822" s="10">
        <v>45572</v>
      </c>
      <c r="B1822">
        <v>2024</v>
      </c>
      <c r="C1822">
        <v>10</v>
      </c>
      <c r="D1822" t="s">
        <v>4302</v>
      </c>
      <c r="E1822">
        <v>4</v>
      </c>
      <c r="F1822">
        <v>7</v>
      </c>
      <c r="G1822" t="s">
        <v>4301</v>
      </c>
    </row>
    <row r="1823" spans="1:7">
      <c r="A1823" s="10">
        <v>45146</v>
      </c>
      <c r="B1823">
        <v>2023</v>
      </c>
      <c r="C1823">
        <v>8</v>
      </c>
      <c r="D1823" t="s">
        <v>4313</v>
      </c>
      <c r="E1823">
        <v>3</v>
      </c>
      <c r="F1823">
        <v>8</v>
      </c>
      <c r="G1823" t="s">
        <v>4303</v>
      </c>
    </row>
    <row r="1824" spans="1:7">
      <c r="A1824" s="10">
        <v>45970</v>
      </c>
      <c r="B1824">
        <v>2025</v>
      </c>
      <c r="C1824">
        <v>11</v>
      </c>
      <c r="D1824" t="s">
        <v>4315</v>
      </c>
      <c r="E1824">
        <v>4</v>
      </c>
      <c r="F1824">
        <v>9</v>
      </c>
      <c r="G1824" t="s">
        <v>4309</v>
      </c>
    </row>
    <row r="1825" spans="1:7">
      <c r="A1825" s="10">
        <v>45715</v>
      </c>
      <c r="B1825">
        <v>2025</v>
      </c>
      <c r="C1825">
        <v>2</v>
      </c>
      <c r="D1825" t="s">
        <v>4312</v>
      </c>
      <c r="E1825">
        <v>1</v>
      </c>
      <c r="F1825">
        <v>27</v>
      </c>
      <c r="G1825" t="s">
        <v>4300</v>
      </c>
    </row>
    <row r="1826" spans="1:7">
      <c r="A1826" s="10">
        <v>45073</v>
      </c>
      <c r="B1826">
        <v>2023</v>
      </c>
      <c r="C1826">
        <v>5</v>
      </c>
      <c r="D1826" t="s">
        <v>4305</v>
      </c>
      <c r="E1826">
        <v>2</v>
      </c>
      <c r="F1826">
        <v>27</v>
      </c>
      <c r="G1826" t="s">
        <v>4298</v>
      </c>
    </row>
    <row r="1827" spans="1:7">
      <c r="A1827" s="10">
        <v>45362</v>
      </c>
      <c r="B1827">
        <v>2024</v>
      </c>
      <c r="C1827">
        <v>3</v>
      </c>
      <c r="D1827" t="s">
        <v>4311</v>
      </c>
      <c r="E1827">
        <v>1</v>
      </c>
      <c r="F1827">
        <v>11</v>
      </c>
      <c r="G1827" t="s">
        <v>4301</v>
      </c>
    </row>
    <row r="1828" spans="1:7">
      <c r="A1828" s="10">
        <v>45172</v>
      </c>
      <c r="B1828">
        <v>2023</v>
      </c>
      <c r="C1828">
        <v>9</v>
      </c>
      <c r="D1828" t="s">
        <v>4304</v>
      </c>
      <c r="E1828">
        <v>3</v>
      </c>
      <c r="F1828">
        <v>3</v>
      </c>
      <c r="G1828" t="s">
        <v>4309</v>
      </c>
    </row>
    <row r="1829" spans="1:7">
      <c r="A1829" s="10">
        <v>45459</v>
      </c>
      <c r="B1829">
        <v>2024</v>
      </c>
      <c r="C1829">
        <v>6</v>
      </c>
      <c r="D1829" t="s">
        <v>4310</v>
      </c>
      <c r="E1829">
        <v>2</v>
      </c>
      <c r="F1829">
        <v>16</v>
      </c>
      <c r="G1829" t="s">
        <v>4309</v>
      </c>
    </row>
    <row r="1830" spans="1:7">
      <c r="A1830" s="10">
        <v>45099</v>
      </c>
      <c r="B1830">
        <v>2023</v>
      </c>
      <c r="C1830">
        <v>6</v>
      </c>
      <c r="D1830" t="s">
        <v>4310</v>
      </c>
      <c r="E1830">
        <v>2</v>
      </c>
      <c r="F1830">
        <v>22</v>
      </c>
      <c r="G1830" t="s">
        <v>4300</v>
      </c>
    </row>
    <row r="1831" spans="1:7">
      <c r="A1831" s="10">
        <v>45155</v>
      </c>
      <c r="B1831">
        <v>2023</v>
      </c>
      <c r="C1831">
        <v>8</v>
      </c>
      <c r="D1831" t="s">
        <v>4313</v>
      </c>
      <c r="E1831">
        <v>3</v>
      </c>
      <c r="F1831">
        <v>17</v>
      </c>
      <c r="G1831" t="s">
        <v>4300</v>
      </c>
    </row>
    <row r="1832" spans="1:7">
      <c r="A1832" s="10">
        <v>45612</v>
      </c>
      <c r="B1832">
        <v>2024</v>
      </c>
      <c r="C1832">
        <v>11</v>
      </c>
      <c r="D1832" t="s">
        <v>4315</v>
      </c>
      <c r="E1832">
        <v>4</v>
      </c>
      <c r="F1832">
        <v>16</v>
      </c>
      <c r="G1832" t="s">
        <v>4298</v>
      </c>
    </row>
    <row r="1833" spans="1:7">
      <c r="A1833" s="10">
        <v>45133</v>
      </c>
      <c r="B1833">
        <v>2023</v>
      </c>
      <c r="C1833">
        <v>7</v>
      </c>
      <c r="D1833" t="s">
        <v>4297</v>
      </c>
      <c r="E1833">
        <v>3</v>
      </c>
      <c r="F1833">
        <v>26</v>
      </c>
      <c r="G1833" t="s">
        <v>4308</v>
      </c>
    </row>
    <row r="1834" spans="1:7">
      <c r="A1834" s="10">
        <v>45423</v>
      </c>
      <c r="B1834">
        <v>2024</v>
      </c>
      <c r="C1834">
        <v>5</v>
      </c>
      <c r="D1834" t="s">
        <v>4305</v>
      </c>
      <c r="E1834">
        <v>2</v>
      </c>
      <c r="F1834">
        <v>11</v>
      </c>
      <c r="G1834" t="s">
        <v>4298</v>
      </c>
    </row>
    <row r="1835" spans="1:7">
      <c r="A1835" s="10">
        <v>45108</v>
      </c>
      <c r="B1835">
        <v>2023</v>
      </c>
      <c r="C1835">
        <v>7</v>
      </c>
      <c r="D1835" t="s">
        <v>4297</v>
      </c>
      <c r="E1835">
        <v>3</v>
      </c>
      <c r="F1835">
        <v>1</v>
      </c>
      <c r="G1835" t="s">
        <v>4298</v>
      </c>
    </row>
    <row r="1836" spans="1:7">
      <c r="A1836" s="10">
        <v>45878</v>
      </c>
      <c r="B1836">
        <v>2025</v>
      </c>
      <c r="C1836">
        <v>8</v>
      </c>
      <c r="D1836" t="s">
        <v>4313</v>
      </c>
      <c r="E1836">
        <v>3</v>
      </c>
      <c r="F1836">
        <v>9</v>
      </c>
      <c r="G1836" t="s">
        <v>4298</v>
      </c>
    </row>
    <row r="1837" spans="1:7">
      <c r="A1837" s="10">
        <v>45726</v>
      </c>
      <c r="B1837">
        <v>2025</v>
      </c>
      <c r="C1837">
        <v>3</v>
      </c>
      <c r="D1837" t="s">
        <v>4311</v>
      </c>
      <c r="E1837">
        <v>1</v>
      </c>
      <c r="F1837">
        <v>10</v>
      </c>
      <c r="G1837" t="s">
        <v>4301</v>
      </c>
    </row>
    <row r="1838" spans="1:7">
      <c r="A1838" s="10">
        <v>45451</v>
      </c>
      <c r="B1838">
        <v>2024</v>
      </c>
      <c r="C1838">
        <v>6</v>
      </c>
      <c r="D1838" t="s">
        <v>4310</v>
      </c>
      <c r="E1838">
        <v>2</v>
      </c>
      <c r="F1838">
        <v>8</v>
      </c>
      <c r="G1838" t="s">
        <v>4298</v>
      </c>
    </row>
    <row r="1839" spans="1:7">
      <c r="A1839" s="10">
        <v>45055</v>
      </c>
      <c r="B1839">
        <v>2023</v>
      </c>
      <c r="C1839">
        <v>5</v>
      </c>
      <c r="D1839" t="s">
        <v>4305</v>
      </c>
      <c r="E1839">
        <v>2</v>
      </c>
      <c r="F1839">
        <v>9</v>
      </c>
      <c r="G1839" t="s">
        <v>4303</v>
      </c>
    </row>
    <row r="1840" spans="1:7">
      <c r="A1840" s="10">
        <v>45722</v>
      </c>
      <c r="B1840">
        <v>2025</v>
      </c>
      <c r="C1840">
        <v>3</v>
      </c>
      <c r="D1840" t="s">
        <v>4311</v>
      </c>
      <c r="E1840">
        <v>1</v>
      </c>
      <c r="F1840">
        <v>6</v>
      </c>
      <c r="G1840" t="s">
        <v>4300</v>
      </c>
    </row>
    <row r="1841" spans="1:7">
      <c r="A1841" s="10">
        <v>45307</v>
      </c>
      <c r="B1841">
        <v>2024</v>
      </c>
      <c r="C1841">
        <v>1</v>
      </c>
      <c r="D1841" t="s">
        <v>4307</v>
      </c>
      <c r="E1841">
        <v>1</v>
      </c>
      <c r="F1841">
        <v>16</v>
      </c>
      <c r="G1841" t="s">
        <v>4303</v>
      </c>
    </row>
    <row r="1842" spans="1:7">
      <c r="A1842" s="10">
        <v>45942</v>
      </c>
      <c r="B1842">
        <v>2025</v>
      </c>
      <c r="C1842">
        <v>10</v>
      </c>
      <c r="D1842" t="s">
        <v>4302</v>
      </c>
      <c r="E1842">
        <v>4</v>
      </c>
      <c r="F1842">
        <v>12</v>
      </c>
      <c r="G1842" t="s">
        <v>4309</v>
      </c>
    </row>
    <row r="1843" spans="1:7">
      <c r="A1843" s="10">
        <v>45608</v>
      </c>
      <c r="B1843">
        <v>2024</v>
      </c>
      <c r="C1843">
        <v>11</v>
      </c>
      <c r="D1843" t="s">
        <v>4315</v>
      </c>
      <c r="E1843">
        <v>4</v>
      </c>
      <c r="F1843">
        <v>12</v>
      </c>
      <c r="G1843" t="s">
        <v>4303</v>
      </c>
    </row>
    <row r="1844" spans="1:7">
      <c r="A1844" s="10">
        <v>45763</v>
      </c>
      <c r="B1844">
        <v>2025</v>
      </c>
      <c r="C1844">
        <v>4</v>
      </c>
      <c r="D1844" t="s">
        <v>4314</v>
      </c>
      <c r="E1844">
        <v>2</v>
      </c>
      <c r="F1844">
        <v>16</v>
      </c>
      <c r="G1844" t="s">
        <v>4308</v>
      </c>
    </row>
    <row r="1845" spans="1:7">
      <c r="A1845" s="10">
        <v>45262</v>
      </c>
      <c r="B1845">
        <v>2023</v>
      </c>
      <c r="C1845">
        <v>12</v>
      </c>
      <c r="D1845" t="s">
        <v>4299</v>
      </c>
      <c r="E1845">
        <v>4</v>
      </c>
      <c r="F1845">
        <v>2</v>
      </c>
      <c r="G1845" t="s">
        <v>4298</v>
      </c>
    </row>
    <row r="1846" spans="1:7">
      <c r="A1846" s="10">
        <v>45389</v>
      </c>
      <c r="B1846">
        <v>2024</v>
      </c>
      <c r="C1846">
        <v>4</v>
      </c>
      <c r="D1846" t="s">
        <v>4314</v>
      </c>
      <c r="E1846">
        <v>2</v>
      </c>
      <c r="F1846">
        <v>7</v>
      </c>
      <c r="G1846" t="s">
        <v>4309</v>
      </c>
    </row>
    <row r="1847" spans="1:7">
      <c r="A1847" s="10">
        <v>45328</v>
      </c>
      <c r="B1847">
        <v>2024</v>
      </c>
      <c r="C1847">
        <v>2</v>
      </c>
      <c r="D1847" t="s">
        <v>4312</v>
      </c>
      <c r="E1847">
        <v>1</v>
      </c>
      <c r="F1847">
        <v>6</v>
      </c>
      <c r="G1847" t="s">
        <v>4303</v>
      </c>
    </row>
    <row r="1848" spans="1:7">
      <c r="A1848" s="10">
        <v>45719</v>
      </c>
      <c r="B1848">
        <v>2025</v>
      </c>
      <c r="C1848">
        <v>3</v>
      </c>
      <c r="D1848" t="s">
        <v>4311</v>
      </c>
      <c r="E1848">
        <v>1</v>
      </c>
      <c r="F1848">
        <v>3</v>
      </c>
      <c r="G1848" t="s">
        <v>4301</v>
      </c>
    </row>
    <row r="1849" spans="1:7">
      <c r="A1849" s="10">
        <v>45068</v>
      </c>
      <c r="B1849">
        <v>2023</v>
      </c>
      <c r="C1849">
        <v>5</v>
      </c>
      <c r="D1849" t="s">
        <v>4305</v>
      </c>
      <c r="E1849">
        <v>2</v>
      </c>
      <c r="F1849">
        <v>22</v>
      </c>
      <c r="G1849" t="s">
        <v>4301</v>
      </c>
    </row>
    <row r="1850" spans="1:7">
      <c r="A1850" s="10">
        <v>45310</v>
      </c>
      <c r="B1850">
        <v>2024</v>
      </c>
      <c r="C1850">
        <v>1</v>
      </c>
      <c r="D1850" t="s">
        <v>4307</v>
      </c>
      <c r="E1850">
        <v>1</v>
      </c>
      <c r="F1850">
        <v>19</v>
      </c>
      <c r="G1850" t="s">
        <v>4306</v>
      </c>
    </row>
    <row r="1851" spans="1:7">
      <c r="A1851" s="10">
        <v>45482</v>
      </c>
      <c r="B1851">
        <v>2024</v>
      </c>
      <c r="C1851">
        <v>7</v>
      </c>
      <c r="D1851" t="s">
        <v>4297</v>
      </c>
      <c r="E1851">
        <v>3</v>
      </c>
      <c r="F1851">
        <v>9</v>
      </c>
      <c r="G1851" t="s">
        <v>4303</v>
      </c>
    </row>
    <row r="1852" spans="1:7">
      <c r="A1852" s="10">
        <v>45826</v>
      </c>
      <c r="B1852">
        <v>2025</v>
      </c>
      <c r="C1852">
        <v>6</v>
      </c>
      <c r="D1852" t="s">
        <v>4310</v>
      </c>
      <c r="E1852">
        <v>2</v>
      </c>
      <c r="F1852">
        <v>18</v>
      </c>
      <c r="G1852" t="s">
        <v>4308</v>
      </c>
    </row>
    <row r="1853" spans="1:7">
      <c r="A1853" s="10">
        <v>45509</v>
      </c>
      <c r="B1853">
        <v>2024</v>
      </c>
      <c r="C1853">
        <v>8</v>
      </c>
      <c r="D1853" t="s">
        <v>4313</v>
      </c>
      <c r="E1853">
        <v>3</v>
      </c>
      <c r="F1853">
        <v>5</v>
      </c>
      <c r="G1853" t="s">
        <v>4301</v>
      </c>
    </row>
    <row r="1854" spans="1:7">
      <c r="A1854" s="10">
        <v>45709</v>
      </c>
      <c r="B1854">
        <v>2025</v>
      </c>
      <c r="C1854">
        <v>2</v>
      </c>
      <c r="D1854" t="s">
        <v>4312</v>
      </c>
      <c r="E1854">
        <v>1</v>
      </c>
      <c r="F1854">
        <v>21</v>
      </c>
      <c r="G1854" t="s">
        <v>4306</v>
      </c>
    </row>
    <row r="1855" spans="1:7">
      <c r="A1855" s="10">
        <v>45405</v>
      </c>
      <c r="B1855">
        <v>2024</v>
      </c>
      <c r="C1855">
        <v>4</v>
      </c>
      <c r="D1855" t="s">
        <v>4314</v>
      </c>
      <c r="E1855">
        <v>2</v>
      </c>
      <c r="F1855">
        <v>23</v>
      </c>
      <c r="G1855" t="s">
        <v>4303</v>
      </c>
    </row>
    <row r="1856" spans="1:7">
      <c r="A1856" s="10">
        <v>45264</v>
      </c>
      <c r="B1856">
        <v>2023</v>
      </c>
      <c r="C1856">
        <v>12</v>
      </c>
      <c r="D1856" t="s">
        <v>4299</v>
      </c>
      <c r="E1856">
        <v>4</v>
      </c>
      <c r="F1856">
        <v>4</v>
      </c>
      <c r="G1856" t="s">
        <v>4301</v>
      </c>
    </row>
    <row r="1857" spans="1:7">
      <c r="A1857" s="10">
        <v>45496</v>
      </c>
      <c r="B1857">
        <v>2024</v>
      </c>
      <c r="C1857">
        <v>7</v>
      </c>
      <c r="D1857" t="s">
        <v>4297</v>
      </c>
      <c r="E1857">
        <v>3</v>
      </c>
      <c r="F1857">
        <v>23</v>
      </c>
      <c r="G1857" t="s">
        <v>4303</v>
      </c>
    </row>
    <row r="1858" spans="1:7">
      <c r="A1858" s="10">
        <v>45482</v>
      </c>
      <c r="B1858">
        <v>2024</v>
      </c>
      <c r="C1858">
        <v>7</v>
      </c>
      <c r="D1858" t="s">
        <v>4297</v>
      </c>
      <c r="E1858">
        <v>3</v>
      </c>
      <c r="F1858">
        <v>9</v>
      </c>
      <c r="G1858" t="s">
        <v>4303</v>
      </c>
    </row>
    <row r="1859" spans="1:7">
      <c r="A1859" s="10">
        <v>44986</v>
      </c>
      <c r="B1859">
        <v>2023</v>
      </c>
      <c r="C1859">
        <v>3</v>
      </c>
      <c r="D1859" t="s">
        <v>4311</v>
      </c>
      <c r="E1859">
        <v>1</v>
      </c>
      <c r="F1859">
        <v>1</v>
      </c>
      <c r="G1859" t="s">
        <v>4308</v>
      </c>
    </row>
    <row r="1860" spans="1:7">
      <c r="A1860" s="10">
        <v>45430</v>
      </c>
      <c r="B1860">
        <v>2024</v>
      </c>
      <c r="C1860">
        <v>5</v>
      </c>
      <c r="D1860" t="s">
        <v>4305</v>
      </c>
      <c r="E1860">
        <v>2</v>
      </c>
      <c r="F1860">
        <v>18</v>
      </c>
      <c r="G1860" t="s">
        <v>4298</v>
      </c>
    </row>
    <row r="1861" spans="1:7">
      <c r="A1861" s="10">
        <v>45902</v>
      </c>
      <c r="B1861">
        <v>2025</v>
      </c>
      <c r="C1861">
        <v>9</v>
      </c>
      <c r="D1861" t="s">
        <v>4304</v>
      </c>
      <c r="E1861">
        <v>3</v>
      </c>
      <c r="F1861">
        <v>2</v>
      </c>
      <c r="G1861" t="s">
        <v>4303</v>
      </c>
    </row>
    <row r="1862" spans="1:7">
      <c r="A1862" s="10">
        <v>45651</v>
      </c>
      <c r="B1862">
        <v>2024</v>
      </c>
      <c r="C1862">
        <v>12</v>
      </c>
      <c r="D1862" t="s">
        <v>4299</v>
      </c>
      <c r="E1862">
        <v>4</v>
      </c>
      <c r="F1862">
        <v>25</v>
      </c>
      <c r="G1862" t="s">
        <v>4308</v>
      </c>
    </row>
    <row r="1863" spans="1:7">
      <c r="A1863" s="10">
        <v>45271</v>
      </c>
      <c r="B1863">
        <v>2023</v>
      </c>
      <c r="C1863">
        <v>12</v>
      </c>
      <c r="D1863" t="s">
        <v>4299</v>
      </c>
      <c r="E1863">
        <v>4</v>
      </c>
      <c r="F1863">
        <v>11</v>
      </c>
      <c r="G1863" t="s">
        <v>4301</v>
      </c>
    </row>
    <row r="1864" spans="1:7">
      <c r="A1864" s="10">
        <v>45777</v>
      </c>
      <c r="B1864">
        <v>2025</v>
      </c>
      <c r="C1864">
        <v>4</v>
      </c>
      <c r="D1864" t="s">
        <v>4314</v>
      </c>
      <c r="E1864">
        <v>2</v>
      </c>
      <c r="F1864">
        <v>30</v>
      </c>
      <c r="G1864" t="s">
        <v>4308</v>
      </c>
    </row>
    <row r="1865" spans="1:7">
      <c r="A1865" s="10">
        <v>45482</v>
      </c>
      <c r="B1865">
        <v>2024</v>
      </c>
      <c r="C1865">
        <v>7</v>
      </c>
      <c r="D1865" t="s">
        <v>4297</v>
      </c>
      <c r="E1865">
        <v>3</v>
      </c>
      <c r="F1865">
        <v>9</v>
      </c>
      <c r="G1865" t="s">
        <v>4303</v>
      </c>
    </row>
    <row r="1866" spans="1:7">
      <c r="A1866" s="10">
        <v>44932</v>
      </c>
      <c r="B1866">
        <v>2023</v>
      </c>
      <c r="C1866">
        <v>1</v>
      </c>
      <c r="D1866" t="s">
        <v>4307</v>
      </c>
      <c r="E1866">
        <v>1</v>
      </c>
      <c r="F1866">
        <v>6</v>
      </c>
      <c r="G1866" t="s">
        <v>4306</v>
      </c>
    </row>
    <row r="1867" spans="1:7">
      <c r="A1867" s="10">
        <v>45268</v>
      </c>
      <c r="B1867">
        <v>2023</v>
      </c>
      <c r="C1867">
        <v>12</v>
      </c>
      <c r="D1867" t="s">
        <v>4299</v>
      </c>
      <c r="E1867">
        <v>4</v>
      </c>
      <c r="F1867">
        <v>8</v>
      </c>
      <c r="G1867" t="s">
        <v>4306</v>
      </c>
    </row>
    <row r="1868" spans="1:7">
      <c r="A1868" s="10">
        <v>45017</v>
      </c>
      <c r="B1868">
        <v>2023</v>
      </c>
      <c r="C1868">
        <v>4</v>
      </c>
      <c r="D1868" t="s">
        <v>4314</v>
      </c>
      <c r="E1868">
        <v>2</v>
      </c>
      <c r="F1868">
        <v>1</v>
      </c>
      <c r="G1868" t="s">
        <v>4298</v>
      </c>
    </row>
    <row r="1869" spans="1:7">
      <c r="A1869" s="10">
        <v>45642</v>
      </c>
      <c r="B1869">
        <v>2024</v>
      </c>
      <c r="C1869">
        <v>12</v>
      </c>
      <c r="D1869" t="s">
        <v>4299</v>
      </c>
      <c r="E1869">
        <v>4</v>
      </c>
      <c r="F1869">
        <v>16</v>
      </c>
      <c r="G1869" t="s">
        <v>4301</v>
      </c>
    </row>
    <row r="1870" spans="1:7">
      <c r="A1870" s="10">
        <v>45360</v>
      </c>
      <c r="B1870">
        <v>2024</v>
      </c>
      <c r="C1870">
        <v>3</v>
      </c>
      <c r="D1870" t="s">
        <v>4311</v>
      </c>
      <c r="E1870">
        <v>1</v>
      </c>
      <c r="F1870">
        <v>9</v>
      </c>
      <c r="G1870" t="s">
        <v>4298</v>
      </c>
    </row>
    <row r="1871" spans="1:7">
      <c r="A1871" s="10">
        <v>45163</v>
      </c>
      <c r="B1871">
        <v>2023</v>
      </c>
      <c r="C1871">
        <v>8</v>
      </c>
      <c r="D1871" t="s">
        <v>4313</v>
      </c>
      <c r="E1871">
        <v>3</v>
      </c>
      <c r="F1871">
        <v>25</v>
      </c>
      <c r="G1871" t="s">
        <v>4306</v>
      </c>
    </row>
    <row r="1872" spans="1:7">
      <c r="A1872" s="10">
        <v>45101</v>
      </c>
      <c r="B1872">
        <v>2023</v>
      </c>
      <c r="C1872">
        <v>6</v>
      </c>
      <c r="D1872" t="s">
        <v>4310</v>
      </c>
      <c r="E1872">
        <v>2</v>
      </c>
      <c r="F1872">
        <v>24</v>
      </c>
      <c r="G1872" t="s">
        <v>4298</v>
      </c>
    </row>
    <row r="1873" spans="1:7">
      <c r="A1873" s="10">
        <v>45502</v>
      </c>
      <c r="B1873">
        <v>2024</v>
      </c>
      <c r="C1873">
        <v>7</v>
      </c>
      <c r="D1873" t="s">
        <v>4297</v>
      </c>
      <c r="E1873">
        <v>3</v>
      </c>
      <c r="F1873">
        <v>29</v>
      </c>
      <c r="G1873" t="s">
        <v>4301</v>
      </c>
    </row>
    <row r="1874" spans="1:7">
      <c r="A1874" s="10">
        <v>45004</v>
      </c>
      <c r="B1874">
        <v>2023</v>
      </c>
      <c r="C1874">
        <v>3</v>
      </c>
      <c r="D1874" t="s">
        <v>4311</v>
      </c>
      <c r="E1874">
        <v>1</v>
      </c>
      <c r="F1874">
        <v>19</v>
      </c>
      <c r="G1874" t="s">
        <v>4309</v>
      </c>
    </row>
    <row r="1875" spans="1:7">
      <c r="A1875" s="10">
        <v>45542</v>
      </c>
      <c r="B1875">
        <v>2024</v>
      </c>
      <c r="C1875">
        <v>9</v>
      </c>
      <c r="D1875" t="s">
        <v>4304</v>
      </c>
      <c r="E1875">
        <v>3</v>
      </c>
      <c r="F1875">
        <v>7</v>
      </c>
      <c r="G1875" t="s">
        <v>4298</v>
      </c>
    </row>
    <row r="1876" spans="1:7">
      <c r="A1876" s="10">
        <v>45158</v>
      </c>
      <c r="B1876">
        <v>2023</v>
      </c>
      <c r="C1876">
        <v>8</v>
      </c>
      <c r="D1876" t="s">
        <v>4313</v>
      </c>
      <c r="E1876">
        <v>3</v>
      </c>
      <c r="F1876">
        <v>20</v>
      </c>
      <c r="G1876" t="s">
        <v>4309</v>
      </c>
    </row>
    <row r="1877" spans="1:7">
      <c r="A1877" s="10">
        <v>45629</v>
      </c>
      <c r="B1877">
        <v>2024</v>
      </c>
      <c r="C1877">
        <v>12</v>
      </c>
      <c r="D1877" t="s">
        <v>4299</v>
      </c>
      <c r="E1877">
        <v>4</v>
      </c>
      <c r="F1877">
        <v>3</v>
      </c>
      <c r="G1877" t="s">
        <v>4303</v>
      </c>
    </row>
    <row r="1878" spans="1:7">
      <c r="A1878" s="10">
        <v>45262</v>
      </c>
      <c r="B1878">
        <v>2023</v>
      </c>
      <c r="C1878">
        <v>12</v>
      </c>
      <c r="D1878" t="s">
        <v>4299</v>
      </c>
      <c r="E1878">
        <v>4</v>
      </c>
      <c r="F1878">
        <v>2</v>
      </c>
      <c r="G1878" t="s">
        <v>4298</v>
      </c>
    </row>
    <row r="1879" spans="1:7">
      <c r="A1879" s="10">
        <v>45482</v>
      </c>
      <c r="B1879">
        <v>2024</v>
      </c>
      <c r="C1879">
        <v>7</v>
      </c>
      <c r="D1879" t="s">
        <v>4297</v>
      </c>
      <c r="E1879">
        <v>3</v>
      </c>
      <c r="F1879">
        <v>9</v>
      </c>
      <c r="G1879" t="s">
        <v>4303</v>
      </c>
    </row>
    <row r="1880" spans="1:7">
      <c r="A1880" s="10">
        <v>45258</v>
      </c>
      <c r="B1880">
        <v>2023</v>
      </c>
      <c r="C1880">
        <v>11</v>
      </c>
      <c r="D1880" t="s">
        <v>4315</v>
      </c>
      <c r="E1880">
        <v>4</v>
      </c>
      <c r="F1880">
        <v>28</v>
      </c>
      <c r="G1880" t="s">
        <v>4303</v>
      </c>
    </row>
    <row r="1881" spans="1:7">
      <c r="A1881" s="10">
        <v>45482</v>
      </c>
      <c r="B1881">
        <v>2024</v>
      </c>
      <c r="C1881">
        <v>7</v>
      </c>
      <c r="D1881" t="s">
        <v>4297</v>
      </c>
      <c r="E1881">
        <v>3</v>
      </c>
      <c r="F1881">
        <v>9</v>
      </c>
      <c r="G1881" t="s">
        <v>4303</v>
      </c>
    </row>
    <row r="1882" spans="1:7">
      <c r="A1882" s="10">
        <v>45769</v>
      </c>
      <c r="B1882">
        <v>2025</v>
      </c>
      <c r="C1882">
        <v>4</v>
      </c>
      <c r="D1882" t="s">
        <v>4314</v>
      </c>
      <c r="E1882">
        <v>2</v>
      </c>
      <c r="F1882">
        <v>22</v>
      </c>
      <c r="G1882" t="s">
        <v>4303</v>
      </c>
    </row>
    <row r="1883" spans="1:7">
      <c r="A1883" s="10">
        <v>45965</v>
      </c>
      <c r="B1883">
        <v>2025</v>
      </c>
      <c r="C1883">
        <v>11</v>
      </c>
      <c r="D1883" t="s">
        <v>4315</v>
      </c>
      <c r="E1883">
        <v>4</v>
      </c>
      <c r="F1883">
        <v>4</v>
      </c>
      <c r="G1883" t="s">
        <v>4303</v>
      </c>
    </row>
    <row r="1884" spans="1:7">
      <c r="A1884" s="10">
        <v>45751</v>
      </c>
      <c r="B1884">
        <v>2025</v>
      </c>
      <c r="C1884">
        <v>4</v>
      </c>
      <c r="D1884" t="s">
        <v>4314</v>
      </c>
      <c r="E1884">
        <v>2</v>
      </c>
      <c r="F1884">
        <v>4</v>
      </c>
      <c r="G1884" t="s">
        <v>4306</v>
      </c>
    </row>
    <row r="1885" spans="1:7">
      <c r="A1885" s="10">
        <v>45373</v>
      </c>
      <c r="B1885">
        <v>2024</v>
      </c>
      <c r="C1885">
        <v>3</v>
      </c>
      <c r="D1885" t="s">
        <v>4311</v>
      </c>
      <c r="E1885">
        <v>1</v>
      </c>
      <c r="F1885">
        <v>22</v>
      </c>
      <c r="G1885" t="s">
        <v>4306</v>
      </c>
    </row>
    <row r="1886" spans="1:7">
      <c r="A1886" s="10">
        <v>45827</v>
      </c>
      <c r="B1886">
        <v>2025</v>
      </c>
      <c r="C1886">
        <v>6</v>
      </c>
      <c r="D1886" t="s">
        <v>4310</v>
      </c>
      <c r="E1886">
        <v>2</v>
      </c>
      <c r="F1886">
        <v>19</v>
      </c>
      <c r="G1886" t="s">
        <v>4300</v>
      </c>
    </row>
    <row r="1887" spans="1:7">
      <c r="A1887" s="10">
        <v>45056</v>
      </c>
      <c r="B1887">
        <v>2023</v>
      </c>
      <c r="C1887">
        <v>5</v>
      </c>
      <c r="D1887" t="s">
        <v>4305</v>
      </c>
      <c r="E1887">
        <v>2</v>
      </c>
      <c r="F1887">
        <v>10</v>
      </c>
      <c r="G1887" t="s">
        <v>4308</v>
      </c>
    </row>
    <row r="1888" spans="1:7">
      <c r="A1888" s="10">
        <v>45452</v>
      </c>
      <c r="B1888">
        <v>2024</v>
      </c>
      <c r="C1888">
        <v>6</v>
      </c>
      <c r="D1888" t="s">
        <v>4310</v>
      </c>
      <c r="E1888">
        <v>2</v>
      </c>
      <c r="F1888">
        <v>9</v>
      </c>
      <c r="G1888" t="s">
        <v>4309</v>
      </c>
    </row>
    <row r="1889" spans="1:7">
      <c r="A1889" s="10">
        <v>45530</v>
      </c>
      <c r="B1889">
        <v>2024</v>
      </c>
      <c r="C1889">
        <v>8</v>
      </c>
      <c r="D1889" t="s">
        <v>4313</v>
      </c>
      <c r="E1889">
        <v>3</v>
      </c>
      <c r="F1889">
        <v>26</v>
      </c>
      <c r="G1889" t="s">
        <v>4301</v>
      </c>
    </row>
    <row r="1890" spans="1:7">
      <c r="A1890" s="10">
        <v>45814</v>
      </c>
      <c r="B1890">
        <v>2025</v>
      </c>
      <c r="C1890">
        <v>6</v>
      </c>
      <c r="D1890" t="s">
        <v>4310</v>
      </c>
      <c r="E1890">
        <v>2</v>
      </c>
      <c r="F1890">
        <v>6</v>
      </c>
      <c r="G1890" t="s">
        <v>4306</v>
      </c>
    </row>
    <row r="1891" spans="1:7">
      <c r="A1891" s="10">
        <v>45539</v>
      </c>
      <c r="B1891">
        <v>2024</v>
      </c>
      <c r="C1891">
        <v>9</v>
      </c>
      <c r="D1891" t="s">
        <v>4304</v>
      </c>
      <c r="E1891">
        <v>3</v>
      </c>
      <c r="F1891">
        <v>4</v>
      </c>
      <c r="G1891" t="s">
        <v>4308</v>
      </c>
    </row>
    <row r="1892" spans="1:7">
      <c r="A1892" s="10">
        <v>45804</v>
      </c>
      <c r="B1892">
        <v>2025</v>
      </c>
      <c r="C1892">
        <v>5</v>
      </c>
      <c r="D1892" t="s">
        <v>4305</v>
      </c>
      <c r="E1892">
        <v>2</v>
      </c>
      <c r="F1892">
        <v>27</v>
      </c>
      <c r="G1892" t="s">
        <v>4303</v>
      </c>
    </row>
    <row r="1893" spans="1:7">
      <c r="A1893" s="10">
        <v>45937</v>
      </c>
      <c r="B1893">
        <v>2025</v>
      </c>
      <c r="C1893">
        <v>10</v>
      </c>
      <c r="D1893" t="s">
        <v>4302</v>
      </c>
      <c r="E1893">
        <v>4</v>
      </c>
      <c r="F1893">
        <v>7</v>
      </c>
      <c r="G1893" t="s">
        <v>4303</v>
      </c>
    </row>
    <row r="1894" spans="1:7">
      <c r="A1894" s="10">
        <v>44972</v>
      </c>
      <c r="B1894">
        <v>2023</v>
      </c>
      <c r="C1894">
        <v>2</v>
      </c>
      <c r="D1894" t="s">
        <v>4312</v>
      </c>
      <c r="E1894">
        <v>1</v>
      </c>
      <c r="F1894">
        <v>15</v>
      </c>
      <c r="G1894" t="s">
        <v>4308</v>
      </c>
    </row>
    <row r="1895" spans="1:7">
      <c r="A1895" s="10">
        <v>45826</v>
      </c>
      <c r="B1895">
        <v>2025</v>
      </c>
      <c r="C1895">
        <v>6</v>
      </c>
      <c r="D1895" t="s">
        <v>4310</v>
      </c>
      <c r="E1895">
        <v>2</v>
      </c>
      <c r="F1895">
        <v>18</v>
      </c>
      <c r="G1895" t="s">
        <v>4308</v>
      </c>
    </row>
    <row r="1896" spans="1:7">
      <c r="A1896" s="10">
        <v>45455</v>
      </c>
      <c r="B1896">
        <v>2024</v>
      </c>
      <c r="C1896">
        <v>6</v>
      </c>
      <c r="D1896" t="s">
        <v>4310</v>
      </c>
      <c r="E1896">
        <v>2</v>
      </c>
      <c r="F1896">
        <v>12</v>
      </c>
      <c r="G1896" t="s">
        <v>4308</v>
      </c>
    </row>
    <row r="1897" spans="1:7">
      <c r="A1897" s="10">
        <v>45682</v>
      </c>
      <c r="B1897">
        <v>2025</v>
      </c>
      <c r="C1897">
        <v>1</v>
      </c>
      <c r="D1897" t="s">
        <v>4307</v>
      </c>
      <c r="E1897">
        <v>1</v>
      </c>
      <c r="F1897">
        <v>25</v>
      </c>
      <c r="G1897" t="s">
        <v>4298</v>
      </c>
    </row>
    <row r="1898" spans="1:7">
      <c r="A1898" s="10">
        <v>45511</v>
      </c>
      <c r="B1898">
        <v>2024</v>
      </c>
      <c r="C1898">
        <v>8</v>
      </c>
      <c r="D1898" t="s">
        <v>4313</v>
      </c>
      <c r="E1898">
        <v>3</v>
      </c>
      <c r="F1898">
        <v>7</v>
      </c>
      <c r="G1898" t="s">
        <v>4308</v>
      </c>
    </row>
    <row r="1899" spans="1:7">
      <c r="A1899" s="10">
        <v>45300</v>
      </c>
      <c r="B1899">
        <v>2024</v>
      </c>
      <c r="C1899">
        <v>1</v>
      </c>
      <c r="D1899" t="s">
        <v>4307</v>
      </c>
      <c r="E1899">
        <v>1</v>
      </c>
      <c r="F1899">
        <v>9</v>
      </c>
      <c r="G1899" t="s">
        <v>4303</v>
      </c>
    </row>
    <row r="1900" spans="1:7">
      <c r="A1900" s="10">
        <v>45273</v>
      </c>
      <c r="B1900">
        <v>2023</v>
      </c>
      <c r="C1900">
        <v>12</v>
      </c>
      <c r="D1900" t="s">
        <v>4299</v>
      </c>
      <c r="E1900">
        <v>4</v>
      </c>
      <c r="F1900">
        <v>13</v>
      </c>
      <c r="G1900" t="s">
        <v>4308</v>
      </c>
    </row>
    <row r="1901" spans="1:7">
      <c r="A1901" s="10">
        <v>45931</v>
      </c>
      <c r="B1901">
        <v>2025</v>
      </c>
      <c r="C1901">
        <v>10</v>
      </c>
      <c r="D1901" t="s">
        <v>4302</v>
      </c>
      <c r="E1901">
        <v>4</v>
      </c>
      <c r="F1901">
        <v>1</v>
      </c>
      <c r="G1901" t="s">
        <v>4308</v>
      </c>
    </row>
    <row r="1902" spans="1:7">
      <c r="A1902" s="10">
        <v>45482</v>
      </c>
      <c r="B1902">
        <v>2024</v>
      </c>
      <c r="C1902">
        <v>7</v>
      </c>
      <c r="D1902" t="s">
        <v>4297</v>
      </c>
      <c r="E1902">
        <v>3</v>
      </c>
      <c r="F1902">
        <v>9</v>
      </c>
      <c r="G1902" t="s">
        <v>4303</v>
      </c>
    </row>
    <row r="1903" spans="1:7">
      <c r="A1903" s="10">
        <v>45204</v>
      </c>
      <c r="B1903">
        <v>2023</v>
      </c>
      <c r="C1903">
        <v>10</v>
      </c>
      <c r="D1903" t="s">
        <v>4302</v>
      </c>
      <c r="E1903">
        <v>4</v>
      </c>
      <c r="F1903">
        <v>5</v>
      </c>
      <c r="G1903" t="s">
        <v>4300</v>
      </c>
    </row>
    <row r="1904" spans="1:7">
      <c r="A1904" s="10">
        <v>45383</v>
      </c>
      <c r="B1904">
        <v>2024</v>
      </c>
      <c r="C1904">
        <v>4</v>
      </c>
      <c r="D1904" t="s">
        <v>4314</v>
      </c>
      <c r="E1904">
        <v>2</v>
      </c>
      <c r="F1904">
        <v>1</v>
      </c>
      <c r="G1904" t="s">
        <v>4301</v>
      </c>
    </row>
    <row r="1905" spans="1:7">
      <c r="A1905" s="10">
        <v>45951</v>
      </c>
      <c r="B1905">
        <v>2025</v>
      </c>
      <c r="C1905">
        <v>10</v>
      </c>
      <c r="D1905" t="s">
        <v>4302</v>
      </c>
      <c r="E1905">
        <v>4</v>
      </c>
      <c r="F1905">
        <v>21</v>
      </c>
      <c r="G1905" t="s">
        <v>4303</v>
      </c>
    </row>
    <row r="1906" spans="1:7">
      <c r="A1906" s="10">
        <v>45147</v>
      </c>
      <c r="B1906">
        <v>2023</v>
      </c>
      <c r="C1906">
        <v>8</v>
      </c>
      <c r="D1906" t="s">
        <v>4313</v>
      </c>
      <c r="E1906">
        <v>3</v>
      </c>
      <c r="F1906">
        <v>9</v>
      </c>
      <c r="G1906" t="s">
        <v>4308</v>
      </c>
    </row>
    <row r="1907" spans="1:7">
      <c r="A1907" s="10">
        <v>45415</v>
      </c>
      <c r="B1907">
        <v>2024</v>
      </c>
      <c r="C1907">
        <v>5</v>
      </c>
      <c r="D1907" t="s">
        <v>4305</v>
      </c>
      <c r="E1907">
        <v>2</v>
      </c>
      <c r="F1907">
        <v>3</v>
      </c>
      <c r="G1907" t="s">
        <v>4306</v>
      </c>
    </row>
    <row r="1908" spans="1:7">
      <c r="A1908" s="10">
        <v>45271</v>
      </c>
      <c r="B1908">
        <v>2023</v>
      </c>
      <c r="C1908">
        <v>12</v>
      </c>
      <c r="D1908" t="s">
        <v>4299</v>
      </c>
      <c r="E1908">
        <v>4</v>
      </c>
      <c r="F1908">
        <v>11</v>
      </c>
      <c r="G1908" t="s">
        <v>4301</v>
      </c>
    </row>
    <row r="1909" spans="1:7">
      <c r="A1909" s="10">
        <v>45367</v>
      </c>
      <c r="B1909">
        <v>2024</v>
      </c>
      <c r="C1909">
        <v>3</v>
      </c>
      <c r="D1909" t="s">
        <v>4311</v>
      </c>
      <c r="E1909">
        <v>1</v>
      </c>
      <c r="F1909">
        <v>16</v>
      </c>
      <c r="G1909" t="s">
        <v>4298</v>
      </c>
    </row>
    <row r="1910" spans="1:7">
      <c r="A1910" s="10">
        <v>45415</v>
      </c>
      <c r="B1910">
        <v>2024</v>
      </c>
      <c r="C1910">
        <v>5</v>
      </c>
      <c r="D1910" t="s">
        <v>4305</v>
      </c>
      <c r="E1910">
        <v>2</v>
      </c>
      <c r="F1910">
        <v>3</v>
      </c>
      <c r="G1910" t="s">
        <v>4306</v>
      </c>
    </row>
    <row r="1911" spans="1:7">
      <c r="A1911" s="10">
        <v>44987</v>
      </c>
      <c r="B1911">
        <v>2023</v>
      </c>
      <c r="C1911">
        <v>3</v>
      </c>
      <c r="D1911" t="s">
        <v>4311</v>
      </c>
      <c r="E1911">
        <v>1</v>
      </c>
      <c r="F1911">
        <v>2</v>
      </c>
      <c r="G1911" t="s">
        <v>4300</v>
      </c>
    </row>
    <row r="1912" spans="1:7">
      <c r="A1912" s="10">
        <v>45057</v>
      </c>
      <c r="B1912">
        <v>2023</v>
      </c>
      <c r="C1912">
        <v>5</v>
      </c>
      <c r="D1912" t="s">
        <v>4305</v>
      </c>
      <c r="E1912">
        <v>2</v>
      </c>
      <c r="F1912">
        <v>11</v>
      </c>
      <c r="G1912" t="s">
        <v>4300</v>
      </c>
    </row>
    <row r="1913" spans="1:7">
      <c r="A1913" s="10">
        <v>45863</v>
      </c>
      <c r="B1913">
        <v>2025</v>
      </c>
      <c r="C1913">
        <v>7</v>
      </c>
      <c r="D1913" t="s">
        <v>4297</v>
      </c>
      <c r="E1913">
        <v>3</v>
      </c>
      <c r="F1913">
        <v>25</v>
      </c>
      <c r="G1913" t="s">
        <v>4306</v>
      </c>
    </row>
    <row r="1914" spans="1:7">
      <c r="A1914" s="10">
        <v>45790</v>
      </c>
      <c r="B1914">
        <v>2025</v>
      </c>
      <c r="C1914">
        <v>5</v>
      </c>
      <c r="D1914" t="s">
        <v>4305</v>
      </c>
      <c r="E1914">
        <v>2</v>
      </c>
      <c r="F1914">
        <v>13</v>
      </c>
      <c r="G1914" t="s">
        <v>4303</v>
      </c>
    </row>
    <row r="1915" spans="1:7">
      <c r="A1915" s="10">
        <v>45459</v>
      </c>
      <c r="B1915">
        <v>2024</v>
      </c>
      <c r="C1915">
        <v>6</v>
      </c>
      <c r="D1915" t="s">
        <v>4310</v>
      </c>
      <c r="E1915">
        <v>2</v>
      </c>
      <c r="F1915">
        <v>16</v>
      </c>
      <c r="G1915" t="s">
        <v>4309</v>
      </c>
    </row>
    <row r="1916" spans="1:7">
      <c r="A1916" s="10">
        <v>45085</v>
      </c>
      <c r="B1916">
        <v>2023</v>
      </c>
      <c r="C1916">
        <v>6</v>
      </c>
      <c r="D1916" t="s">
        <v>4310</v>
      </c>
      <c r="E1916">
        <v>2</v>
      </c>
      <c r="F1916">
        <v>8</v>
      </c>
      <c r="G1916" t="s">
        <v>4300</v>
      </c>
    </row>
    <row r="1917" spans="1:7">
      <c r="A1917" s="10">
        <v>45056</v>
      </c>
      <c r="B1917">
        <v>2023</v>
      </c>
      <c r="C1917">
        <v>5</v>
      </c>
      <c r="D1917" t="s">
        <v>4305</v>
      </c>
      <c r="E1917">
        <v>2</v>
      </c>
      <c r="F1917">
        <v>10</v>
      </c>
      <c r="G1917" t="s">
        <v>4308</v>
      </c>
    </row>
    <row r="1918" spans="1:7">
      <c r="A1918" s="10">
        <v>45292</v>
      </c>
      <c r="B1918">
        <v>2024</v>
      </c>
      <c r="C1918">
        <v>1</v>
      </c>
      <c r="D1918" t="s">
        <v>4307</v>
      </c>
      <c r="E1918">
        <v>1</v>
      </c>
      <c r="F1918">
        <v>1</v>
      </c>
      <c r="G1918" t="s">
        <v>4301</v>
      </c>
    </row>
    <row r="1919" spans="1:7">
      <c r="A1919" s="10">
        <v>45394</v>
      </c>
      <c r="B1919">
        <v>2024</v>
      </c>
      <c r="C1919">
        <v>4</v>
      </c>
      <c r="D1919" t="s">
        <v>4314</v>
      </c>
      <c r="E1919">
        <v>2</v>
      </c>
      <c r="F1919">
        <v>12</v>
      </c>
      <c r="G1919" t="s">
        <v>4306</v>
      </c>
    </row>
    <row r="1920" spans="1:7">
      <c r="A1920" s="10">
        <v>45851</v>
      </c>
      <c r="B1920">
        <v>2025</v>
      </c>
      <c r="C1920">
        <v>7</v>
      </c>
      <c r="D1920" t="s">
        <v>4297</v>
      </c>
      <c r="E1920">
        <v>3</v>
      </c>
      <c r="F1920">
        <v>13</v>
      </c>
      <c r="G1920" t="s">
        <v>4309</v>
      </c>
    </row>
    <row r="1921" spans="1:7">
      <c r="A1921" s="10">
        <v>45161</v>
      </c>
      <c r="B1921">
        <v>2023</v>
      </c>
      <c r="C1921">
        <v>8</v>
      </c>
      <c r="D1921" t="s">
        <v>4313</v>
      </c>
      <c r="E1921">
        <v>3</v>
      </c>
      <c r="F1921">
        <v>23</v>
      </c>
      <c r="G1921" t="s">
        <v>4308</v>
      </c>
    </row>
    <row r="1922" spans="1:7">
      <c r="A1922" s="10">
        <v>44943</v>
      </c>
      <c r="B1922">
        <v>2023</v>
      </c>
      <c r="C1922">
        <v>1</v>
      </c>
      <c r="D1922" t="s">
        <v>4307</v>
      </c>
      <c r="E1922">
        <v>1</v>
      </c>
      <c r="F1922">
        <v>17</v>
      </c>
      <c r="G1922" t="s">
        <v>4303</v>
      </c>
    </row>
    <row r="1923" spans="1:7">
      <c r="A1923" s="10">
        <v>45532</v>
      </c>
      <c r="B1923">
        <v>2024</v>
      </c>
      <c r="C1923">
        <v>8</v>
      </c>
      <c r="D1923" t="s">
        <v>4313</v>
      </c>
      <c r="E1923">
        <v>3</v>
      </c>
      <c r="F1923">
        <v>28</v>
      </c>
      <c r="G1923" t="s">
        <v>4308</v>
      </c>
    </row>
    <row r="1924" spans="1:7">
      <c r="A1924" s="10">
        <v>45736</v>
      </c>
      <c r="B1924">
        <v>2025</v>
      </c>
      <c r="C1924">
        <v>3</v>
      </c>
      <c r="D1924" t="s">
        <v>4311</v>
      </c>
      <c r="E1924">
        <v>1</v>
      </c>
      <c r="F1924">
        <v>20</v>
      </c>
      <c r="G1924" t="s">
        <v>4300</v>
      </c>
    </row>
    <row r="1925" spans="1:7">
      <c r="A1925" s="10">
        <v>45678</v>
      </c>
      <c r="B1925">
        <v>2025</v>
      </c>
      <c r="C1925">
        <v>1</v>
      </c>
      <c r="D1925" t="s">
        <v>4307</v>
      </c>
      <c r="E1925">
        <v>1</v>
      </c>
      <c r="F1925">
        <v>21</v>
      </c>
      <c r="G1925" t="s">
        <v>4303</v>
      </c>
    </row>
    <row r="1926" spans="1:7">
      <c r="A1926" s="10">
        <v>45164</v>
      </c>
      <c r="B1926">
        <v>2023</v>
      </c>
      <c r="C1926">
        <v>8</v>
      </c>
      <c r="D1926" t="s">
        <v>4313</v>
      </c>
      <c r="E1926">
        <v>3</v>
      </c>
      <c r="F1926">
        <v>26</v>
      </c>
      <c r="G1926" t="s">
        <v>4298</v>
      </c>
    </row>
    <row r="1927" spans="1:7">
      <c r="A1927" s="10">
        <v>45610</v>
      </c>
      <c r="B1927">
        <v>2024</v>
      </c>
      <c r="C1927">
        <v>11</v>
      </c>
      <c r="D1927" t="s">
        <v>4315</v>
      </c>
      <c r="E1927">
        <v>4</v>
      </c>
      <c r="F1927">
        <v>14</v>
      </c>
      <c r="G1927" t="s">
        <v>4300</v>
      </c>
    </row>
    <row r="1928" spans="1:7">
      <c r="A1928" s="10">
        <v>45362</v>
      </c>
      <c r="B1928">
        <v>2024</v>
      </c>
      <c r="C1928">
        <v>3</v>
      </c>
      <c r="D1928" t="s">
        <v>4311</v>
      </c>
      <c r="E1928">
        <v>1</v>
      </c>
      <c r="F1928">
        <v>11</v>
      </c>
      <c r="G1928" t="s">
        <v>4301</v>
      </c>
    </row>
    <row r="1929" spans="1:7">
      <c r="A1929" s="10">
        <v>45008</v>
      </c>
      <c r="B1929">
        <v>2023</v>
      </c>
      <c r="C1929">
        <v>3</v>
      </c>
      <c r="D1929" t="s">
        <v>4311</v>
      </c>
      <c r="E1929">
        <v>1</v>
      </c>
      <c r="F1929">
        <v>23</v>
      </c>
      <c r="G1929" t="s">
        <v>4300</v>
      </c>
    </row>
    <row r="1930" spans="1:7">
      <c r="A1930" s="10">
        <v>45482</v>
      </c>
      <c r="B1930">
        <v>2024</v>
      </c>
      <c r="C1930">
        <v>7</v>
      </c>
      <c r="D1930" t="s">
        <v>4297</v>
      </c>
      <c r="E1930">
        <v>3</v>
      </c>
      <c r="F1930">
        <v>9</v>
      </c>
      <c r="G1930" t="s">
        <v>4303</v>
      </c>
    </row>
    <row r="1931" spans="1:7">
      <c r="A1931" s="10">
        <v>45329</v>
      </c>
      <c r="B1931">
        <v>2024</v>
      </c>
      <c r="C1931">
        <v>2</v>
      </c>
      <c r="D1931" t="s">
        <v>4312</v>
      </c>
      <c r="E1931">
        <v>1</v>
      </c>
      <c r="F1931">
        <v>7</v>
      </c>
      <c r="G1931" t="s">
        <v>4308</v>
      </c>
    </row>
    <row r="1932" spans="1:7">
      <c r="A1932" s="10">
        <v>45679</v>
      </c>
      <c r="B1932">
        <v>2025</v>
      </c>
      <c r="C1932">
        <v>1</v>
      </c>
      <c r="D1932" t="s">
        <v>4307</v>
      </c>
      <c r="E1932">
        <v>1</v>
      </c>
      <c r="F1932">
        <v>22</v>
      </c>
      <c r="G1932" t="s">
        <v>4308</v>
      </c>
    </row>
    <row r="1933" spans="1:7">
      <c r="A1933" s="10">
        <v>46012</v>
      </c>
      <c r="B1933">
        <v>2025</v>
      </c>
      <c r="C1933">
        <v>12</v>
      </c>
      <c r="D1933" t="s">
        <v>4299</v>
      </c>
      <c r="E1933">
        <v>4</v>
      </c>
      <c r="F1933">
        <v>21</v>
      </c>
      <c r="G1933" t="s">
        <v>4309</v>
      </c>
    </row>
    <row r="1934" spans="1:7">
      <c r="A1934" s="10">
        <v>44936</v>
      </c>
      <c r="B1934">
        <v>2023</v>
      </c>
      <c r="C1934">
        <v>1</v>
      </c>
      <c r="D1934" t="s">
        <v>4307</v>
      </c>
      <c r="E1934">
        <v>1</v>
      </c>
      <c r="F1934">
        <v>10</v>
      </c>
      <c r="G1934" t="s">
        <v>4303</v>
      </c>
    </row>
    <row r="1935" spans="1:7">
      <c r="A1935" s="10">
        <v>45976</v>
      </c>
      <c r="B1935">
        <v>2025</v>
      </c>
      <c r="C1935">
        <v>11</v>
      </c>
      <c r="D1935" t="s">
        <v>4315</v>
      </c>
      <c r="E1935">
        <v>4</v>
      </c>
      <c r="F1935">
        <v>15</v>
      </c>
      <c r="G1935" t="s">
        <v>4298</v>
      </c>
    </row>
    <row r="1936" spans="1:7">
      <c r="A1936" s="10">
        <v>45561</v>
      </c>
      <c r="B1936">
        <v>2024</v>
      </c>
      <c r="C1936">
        <v>9</v>
      </c>
      <c r="D1936" t="s">
        <v>4304</v>
      </c>
      <c r="E1936">
        <v>3</v>
      </c>
      <c r="F1936">
        <v>26</v>
      </c>
      <c r="G1936" t="s">
        <v>4300</v>
      </c>
    </row>
    <row r="1937" spans="1:7">
      <c r="A1937" s="10">
        <v>45630</v>
      </c>
      <c r="B1937">
        <v>2024</v>
      </c>
      <c r="C1937">
        <v>12</v>
      </c>
      <c r="D1937" t="s">
        <v>4299</v>
      </c>
      <c r="E1937">
        <v>4</v>
      </c>
      <c r="F1937">
        <v>4</v>
      </c>
      <c r="G1937" t="s">
        <v>4308</v>
      </c>
    </row>
    <row r="1938" spans="1:7">
      <c r="A1938" s="10">
        <v>44947</v>
      </c>
      <c r="B1938">
        <v>2023</v>
      </c>
      <c r="C1938">
        <v>1</v>
      </c>
      <c r="D1938" t="s">
        <v>4307</v>
      </c>
      <c r="E1938">
        <v>1</v>
      </c>
      <c r="F1938">
        <v>21</v>
      </c>
      <c r="G1938" t="s">
        <v>4298</v>
      </c>
    </row>
    <row r="1939" spans="1:7">
      <c r="A1939" s="10">
        <v>45952</v>
      </c>
      <c r="B1939">
        <v>2025</v>
      </c>
      <c r="C1939">
        <v>10</v>
      </c>
      <c r="D1939" t="s">
        <v>4302</v>
      </c>
      <c r="E1939">
        <v>4</v>
      </c>
      <c r="F1939">
        <v>22</v>
      </c>
      <c r="G1939" t="s">
        <v>4308</v>
      </c>
    </row>
    <row r="1940" spans="1:7">
      <c r="A1940" s="10">
        <v>45148</v>
      </c>
      <c r="B1940">
        <v>2023</v>
      </c>
      <c r="C1940">
        <v>8</v>
      </c>
      <c r="D1940" t="s">
        <v>4313</v>
      </c>
      <c r="E1940">
        <v>3</v>
      </c>
      <c r="F1940">
        <v>10</v>
      </c>
      <c r="G1940" t="s">
        <v>4300</v>
      </c>
    </row>
    <row r="1941" spans="1:7">
      <c r="A1941" s="10">
        <v>45644</v>
      </c>
      <c r="B1941">
        <v>2024</v>
      </c>
      <c r="C1941">
        <v>12</v>
      </c>
      <c r="D1941" t="s">
        <v>4299</v>
      </c>
      <c r="E1941">
        <v>4</v>
      </c>
      <c r="F1941">
        <v>18</v>
      </c>
      <c r="G1941" t="s">
        <v>4308</v>
      </c>
    </row>
    <row r="1942" spans="1:7">
      <c r="A1942" s="10">
        <v>45527</v>
      </c>
      <c r="B1942">
        <v>2024</v>
      </c>
      <c r="C1942">
        <v>8</v>
      </c>
      <c r="D1942" t="s">
        <v>4313</v>
      </c>
      <c r="E1942">
        <v>3</v>
      </c>
      <c r="F1942">
        <v>23</v>
      </c>
      <c r="G1942" t="s">
        <v>4306</v>
      </c>
    </row>
    <row r="1943" spans="1:7">
      <c r="A1943" s="10">
        <v>45913</v>
      </c>
      <c r="B1943">
        <v>2025</v>
      </c>
      <c r="C1943">
        <v>9</v>
      </c>
      <c r="D1943" t="s">
        <v>4304</v>
      </c>
      <c r="E1943">
        <v>3</v>
      </c>
      <c r="F1943">
        <v>13</v>
      </c>
      <c r="G1943" t="s">
        <v>4298</v>
      </c>
    </row>
    <row r="1944" spans="1:7">
      <c r="A1944" s="10">
        <v>45210</v>
      </c>
      <c r="B1944">
        <v>2023</v>
      </c>
      <c r="C1944">
        <v>10</v>
      </c>
      <c r="D1944" t="s">
        <v>4302</v>
      </c>
      <c r="E1944">
        <v>4</v>
      </c>
      <c r="F1944">
        <v>11</v>
      </c>
      <c r="G1944" t="s">
        <v>4308</v>
      </c>
    </row>
    <row r="1945" spans="1:7">
      <c r="A1945" s="10">
        <v>45019</v>
      </c>
      <c r="B1945">
        <v>2023</v>
      </c>
      <c r="C1945">
        <v>4</v>
      </c>
      <c r="D1945" t="s">
        <v>4314</v>
      </c>
      <c r="E1945">
        <v>2</v>
      </c>
      <c r="F1945">
        <v>3</v>
      </c>
      <c r="G1945" t="s">
        <v>4301</v>
      </c>
    </row>
    <row r="1946" spans="1:7">
      <c r="A1946" s="10">
        <v>45935</v>
      </c>
      <c r="B1946">
        <v>2025</v>
      </c>
      <c r="C1946">
        <v>10</v>
      </c>
      <c r="D1946" t="s">
        <v>4302</v>
      </c>
      <c r="E1946">
        <v>4</v>
      </c>
      <c r="F1946">
        <v>5</v>
      </c>
      <c r="G1946" t="s">
        <v>4309</v>
      </c>
    </row>
    <row r="1947" spans="1:7">
      <c r="A1947" s="10">
        <v>45858</v>
      </c>
      <c r="B1947">
        <v>2025</v>
      </c>
      <c r="C1947">
        <v>7</v>
      </c>
      <c r="D1947" t="s">
        <v>4297</v>
      </c>
      <c r="E1947">
        <v>3</v>
      </c>
      <c r="F1947">
        <v>20</v>
      </c>
      <c r="G1947" t="s">
        <v>4309</v>
      </c>
    </row>
    <row r="1948" spans="1:7">
      <c r="A1948" s="10">
        <v>45595</v>
      </c>
      <c r="B1948">
        <v>2024</v>
      </c>
      <c r="C1948">
        <v>10</v>
      </c>
      <c r="D1948" t="s">
        <v>4302</v>
      </c>
      <c r="E1948">
        <v>4</v>
      </c>
      <c r="F1948">
        <v>30</v>
      </c>
      <c r="G1948" t="s">
        <v>4308</v>
      </c>
    </row>
    <row r="1949" spans="1:7">
      <c r="A1949" s="10">
        <v>45429</v>
      </c>
      <c r="B1949">
        <v>2024</v>
      </c>
      <c r="C1949">
        <v>5</v>
      </c>
      <c r="D1949" t="s">
        <v>4305</v>
      </c>
      <c r="E1949">
        <v>2</v>
      </c>
      <c r="F1949">
        <v>17</v>
      </c>
      <c r="G1949" t="s">
        <v>4306</v>
      </c>
    </row>
    <row r="1950" spans="1:7">
      <c r="A1950" s="10">
        <v>45743</v>
      </c>
      <c r="B1950">
        <v>2025</v>
      </c>
      <c r="C1950">
        <v>3</v>
      </c>
      <c r="D1950" t="s">
        <v>4311</v>
      </c>
      <c r="E1950">
        <v>1</v>
      </c>
      <c r="F1950">
        <v>27</v>
      </c>
      <c r="G1950" t="s">
        <v>4300</v>
      </c>
    </row>
    <row r="1951" spans="1:7">
      <c r="A1951" s="10">
        <v>44947</v>
      </c>
      <c r="B1951">
        <v>2023</v>
      </c>
      <c r="C1951">
        <v>1</v>
      </c>
      <c r="D1951" t="s">
        <v>4307</v>
      </c>
      <c r="E1951">
        <v>1</v>
      </c>
      <c r="F1951">
        <v>21</v>
      </c>
      <c r="G1951" t="s">
        <v>4298</v>
      </c>
    </row>
    <row r="1952" spans="1:7">
      <c r="A1952" s="10">
        <v>45567</v>
      </c>
      <c r="B1952">
        <v>2024</v>
      </c>
      <c r="C1952">
        <v>10</v>
      </c>
      <c r="D1952" t="s">
        <v>4302</v>
      </c>
      <c r="E1952">
        <v>4</v>
      </c>
      <c r="F1952">
        <v>2</v>
      </c>
      <c r="G1952" t="s">
        <v>4308</v>
      </c>
    </row>
    <row r="1953" spans="1:7">
      <c r="A1953" s="10">
        <v>44927</v>
      </c>
      <c r="B1953">
        <v>2023</v>
      </c>
      <c r="C1953">
        <v>1</v>
      </c>
      <c r="D1953" t="s">
        <v>4307</v>
      </c>
      <c r="E1953">
        <v>1</v>
      </c>
      <c r="F1953">
        <v>1</v>
      </c>
      <c r="G1953" t="s">
        <v>4309</v>
      </c>
    </row>
    <row r="1954" spans="1:7">
      <c r="A1954" s="10">
        <v>45389</v>
      </c>
      <c r="B1954">
        <v>2024</v>
      </c>
      <c r="C1954">
        <v>4</v>
      </c>
      <c r="D1954" t="s">
        <v>4314</v>
      </c>
      <c r="E1954">
        <v>2</v>
      </c>
      <c r="F1954">
        <v>7</v>
      </c>
      <c r="G1954" t="s">
        <v>4309</v>
      </c>
    </row>
    <row r="1955" spans="1:7">
      <c r="A1955" s="10">
        <v>45304</v>
      </c>
      <c r="B1955">
        <v>2024</v>
      </c>
      <c r="C1955">
        <v>1</v>
      </c>
      <c r="D1955" t="s">
        <v>4307</v>
      </c>
      <c r="E1955">
        <v>1</v>
      </c>
      <c r="F1955">
        <v>13</v>
      </c>
      <c r="G1955" t="s">
        <v>4298</v>
      </c>
    </row>
    <row r="1956" spans="1:7">
      <c r="A1956" s="10">
        <v>45627</v>
      </c>
      <c r="B1956">
        <v>2024</v>
      </c>
      <c r="C1956">
        <v>12</v>
      </c>
      <c r="D1956" t="s">
        <v>4299</v>
      </c>
      <c r="E1956">
        <v>4</v>
      </c>
      <c r="F1956">
        <v>1</v>
      </c>
      <c r="G1956" t="s">
        <v>4309</v>
      </c>
    </row>
    <row r="1957" spans="1:7">
      <c r="A1957" s="10">
        <v>44994</v>
      </c>
      <c r="B1957">
        <v>2023</v>
      </c>
      <c r="C1957">
        <v>3</v>
      </c>
      <c r="D1957" t="s">
        <v>4311</v>
      </c>
      <c r="E1957">
        <v>1</v>
      </c>
      <c r="F1957">
        <v>9</v>
      </c>
      <c r="G1957" t="s">
        <v>4300</v>
      </c>
    </row>
    <row r="1958" spans="1:7">
      <c r="A1958" s="10">
        <v>44931</v>
      </c>
      <c r="B1958">
        <v>2023</v>
      </c>
      <c r="C1958">
        <v>1</v>
      </c>
      <c r="D1958" t="s">
        <v>4307</v>
      </c>
      <c r="E1958">
        <v>1</v>
      </c>
      <c r="F1958">
        <v>5</v>
      </c>
      <c r="G1958" t="s">
        <v>4300</v>
      </c>
    </row>
    <row r="1959" spans="1:7">
      <c r="A1959" s="10">
        <v>45026</v>
      </c>
      <c r="B1959">
        <v>2023</v>
      </c>
      <c r="C1959">
        <v>4</v>
      </c>
      <c r="D1959" t="s">
        <v>4314</v>
      </c>
      <c r="E1959">
        <v>2</v>
      </c>
      <c r="F1959">
        <v>10</v>
      </c>
      <c r="G1959" t="s">
        <v>4301</v>
      </c>
    </row>
    <row r="1960" spans="1:7">
      <c r="A1960" s="10">
        <v>45233</v>
      </c>
      <c r="B1960">
        <v>2023</v>
      </c>
      <c r="C1960">
        <v>11</v>
      </c>
      <c r="D1960" t="s">
        <v>4315</v>
      </c>
      <c r="E1960">
        <v>4</v>
      </c>
      <c r="F1960">
        <v>3</v>
      </c>
      <c r="G1960" t="s">
        <v>4306</v>
      </c>
    </row>
    <row r="1961" spans="1:7">
      <c r="A1961" s="10">
        <v>45775</v>
      </c>
      <c r="B1961">
        <v>2025</v>
      </c>
      <c r="C1961">
        <v>4</v>
      </c>
      <c r="D1961" t="s">
        <v>4314</v>
      </c>
      <c r="E1961">
        <v>2</v>
      </c>
      <c r="F1961">
        <v>28</v>
      </c>
      <c r="G1961" t="s">
        <v>4301</v>
      </c>
    </row>
    <row r="1962" spans="1:7">
      <c r="A1962" s="10">
        <v>45578</v>
      </c>
      <c r="B1962">
        <v>2024</v>
      </c>
      <c r="C1962">
        <v>10</v>
      </c>
      <c r="D1962" t="s">
        <v>4302</v>
      </c>
      <c r="E1962">
        <v>4</v>
      </c>
      <c r="F1962">
        <v>13</v>
      </c>
      <c r="G1962" t="s">
        <v>4309</v>
      </c>
    </row>
    <row r="1963" spans="1:7">
      <c r="A1963" s="10">
        <v>45410</v>
      </c>
      <c r="B1963">
        <v>2024</v>
      </c>
      <c r="C1963">
        <v>4</v>
      </c>
      <c r="D1963" t="s">
        <v>4314</v>
      </c>
      <c r="E1963">
        <v>2</v>
      </c>
      <c r="F1963">
        <v>28</v>
      </c>
      <c r="G1963" t="s">
        <v>4309</v>
      </c>
    </row>
    <row r="1964" spans="1:7">
      <c r="A1964" s="10">
        <v>45377</v>
      </c>
      <c r="B1964">
        <v>2024</v>
      </c>
      <c r="C1964">
        <v>3</v>
      </c>
      <c r="D1964" t="s">
        <v>4311</v>
      </c>
      <c r="E1964">
        <v>1</v>
      </c>
      <c r="F1964">
        <v>26</v>
      </c>
      <c r="G1964" t="s">
        <v>4303</v>
      </c>
    </row>
    <row r="1965" spans="1:7">
      <c r="A1965" s="10">
        <v>45648</v>
      </c>
      <c r="B1965">
        <v>2024</v>
      </c>
      <c r="C1965">
        <v>12</v>
      </c>
      <c r="D1965" t="s">
        <v>4299</v>
      </c>
      <c r="E1965">
        <v>4</v>
      </c>
      <c r="F1965">
        <v>22</v>
      </c>
      <c r="G1965" t="s">
        <v>4309</v>
      </c>
    </row>
    <row r="1966" spans="1:7">
      <c r="A1966" s="10">
        <v>45693</v>
      </c>
      <c r="B1966">
        <v>2025</v>
      </c>
      <c r="C1966">
        <v>2</v>
      </c>
      <c r="D1966" t="s">
        <v>4312</v>
      </c>
      <c r="E1966">
        <v>1</v>
      </c>
      <c r="F1966">
        <v>5</v>
      </c>
      <c r="G1966" t="s">
        <v>4308</v>
      </c>
    </row>
    <row r="1967" spans="1:7">
      <c r="A1967" s="10">
        <v>45240</v>
      </c>
      <c r="B1967">
        <v>2023</v>
      </c>
      <c r="C1967">
        <v>11</v>
      </c>
      <c r="D1967" t="s">
        <v>4315</v>
      </c>
      <c r="E1967">
        <v>4</v>
      </c>
      <c r="F1967">
        <v>10</v>
      </c>
      <c r="G1967" t="s">
        <v>4306</v>
      </c>
    </row>
    <row r="1968" spans="1:7">
      <c r="A1968" s="10">
        <v>45784</v>
      </c>
      <c r="B1968">
        <v>2025</v>
      </c>
      <c r="C1968">
        <v>5</v>
      </c>
      <c r="D1968" t="s">
        <v>4305</v>
      </c>
      <c r="E1968">
        <v>2</v>
      </c>
      <c r="F1968">
        <v>7</v>
      </c>
      <c r="G1968" t="s">
        <v>4308</v>
      </c>
    </row>
    <row r="1969" spans="1:7">
      <c r="A1969" s="10">
        <v>45378</v>
      </c>
      <c r="B1969">
        <v>2024</v>
      </c>
      <c r="C1969">
        <v>3</v>
      </c>
      <c r="D1969" t="s">
        <v>4311</v>
      </c>
      <c r="E1969">
        <v>1</v>
      </c>
      <c r="F1969">
        <v>27</v>
      </c>
      <c r="G1969" t="s">
        <v>4308</v>
      </c>
    </row>
    <row r="1970" spans="1:7">
      <c r="A1970" s="10">
        <v>45674</v>
      </c>
      <c r="B1970">
        <v>2025</v>
      </c>
      <c r="C1970">
        <v>1</v>
      </c>
      <c r="D1970" t="s">
        <v>4307</v>
      </c>
      <c r="E1970">
        <v>1</v>
      </c>
      <c r="F1970">
        <v>17</v>
      </c>
      <c r="G1970" t="s">
        <v>4306</v>
      </c>
    </row>
    <row r="1971" spans="1:7">
      <c r="A1971" s="10">
        <v>45475</v>
      </c>
      <c r="B1971">
        <v>2024</v>
      </c>
      <c r="C1971">
        <v>7</v>
      </c>
      <c r="D1971" t="s">
        <v>4297</v>
      </c>
      <c r="E1971">
        <v>3</v>
      </c>
      <c r="F1971">
        <v>2</v>
      </c>
      <c r="G1971" t="s">
        <v>4303</v>
      </c>
    </row>
    <row r="1972" spans="1:7">
      <c r="A1972" s="10">
        <v>45743</v>
      </c>
      <c r="B1972">
        <v>2025</v>
      </c>
      <c r="C1972">
        <v>3</v>
      </c>
      <c r="D1972" t="s">
        <v>4311</v>
      </c>
      <c r="E1972">
        <v>1</v>
      </c>
      <c r="F1972">
        <v>27</v>
      </c>
      <c r="G1972" t="s">
        <v>4300</v>
      </c>
    </row>
    <row r="1973" spans="1:7">
      <c r="A1973" s="10">
        <v>45777</v>
      </c>
      <c r="B1973">
        <v>2025</v>
      </c>
      <c r="C1973">
        <v>4</v>
      </c>
      <c r="D1973" t="s">
        <v>4314</v>
      </c>
      <c r="E1973">
        <v>2</v>
      </c>
      <c r="F1973">
        <v>30</v>
      </c>
      <c r="G1973" t="s">
        <v>4308</v>
      </c>
    </row>
    <row r="1974" spans="1:7">
      <c r="A1974" s="10">
        <v>45777</v>
      </c>
      <c r="B1974">
        <v>2025</v>
      </c>
      <c r="C1974">
        <v>4</v>
      </c>
      <c r="D1974" t="s">
        <v>4314</v>
      </c>
      <c r="E1974">
        <v>2</v>
      </c>
      <c r="F1974">
        <v>30</v>
      </c>
      <c r="G1974" t="s">
        <v>4308</v>
      </c>
    </row>
    <row r="1975" spans="1:7">
      <c r="A1975" s="10">
        <v>45423</v>
      </c>
      <c r="B1975">
        <v>2024</v>
      </c>
      <c r="C1975">
        <v>5</v>
      </c>
      <c r="D1975" t="s">
        <v>4305</v>
      </c>
      <c r="E1975">
        <v>2</v>
      </c>
      <c r="F1975">
        <v>11</v>
      </c>
      <c r="G1975" t="s">
        <v>4298</v>
      </c>
    </row>
    <row r="1976" spans="1:7">
      <c r="A1976" s="10">
        <v>45964</v>
      </c>
      <c r="B1976">
        <v>2025</v>
      </c>
      <c r="C1976">
        <v>11</v>
      </c>
      <c r="D1976" t="s">
        <v>4315</v>
      </c>
      <c r="E1976">
        <v>4</v>
      </c>
      <c r="F1976">
        <v>3</v>
      </c>
      <c r="G1976" t="s">
        <v>4301</v>
      </c>
    </row>
    <row r="1977" spans="1:7">
      <c r="A1977" s="10">
        <v>45113</v>
      </c>
      <c r="B1977">
        <v>2023</v>
      </c>
      <c r="C1977">
        <v>7</v>
      </c>
      <c r="D1977" t="s">
        <v>4297</v>
      </c>
      <c r="E1977">
        <v>3</v>
      </c>
      <c r="F1977">
        <v>6</v>
      </c>
      <c r="G1977" t="s">
        <v>4300</v>
      </c>
    </row>
    <row r="1978" spans="1:7">
      <c r="A1978" s="10">
        <v>45581</v>
      </c>
      <c r="B1978">
        <v>2024</v>
      </c>
      <c r="C1978">
        <v>10</v>
      </c>
      <c r="D1978" t="s">
        <v>4302</v>
      </c>
      <c r="E1978">
        <v>4</v>
      </c>
      <c r="F1978">
        <v>16</v>
      </c>
      <c r="G1978" t="s">
        <v>4308</v>
      </c>
    </row>
    <row r="1979" spans="1:7">
      <c r="A1979" s="10">
        <v>45805</v>
      </c>
      <c r="B1979">
        <v>2025</v>
      </c>
      <c r="C1979">
        <v>5</v>
      </c>
      <c r="D1979" t="s">
        <v>4305</v>
      </c>
      <c r="E1979">
        <v>2</v>
      </c>
      <c r="F1979">
        <v>28</v>
      </c>
      <c r="G1979" t="s">
        <v>4308</v>
      </c>
    </row>
    <row r="1980" spans="1:7">
      <c r="A1980" s="10">
        <v>45964</v>
      </c>
      <c r="B1980">
        <v>2025</v>
      </c>
      <c r="C1980">
        <v>11</v>
      </c>
      <c r="D1980" t="s">
        <v>4315</v>
      </c>
      <c r="E1980">
        <v>4</v>
      </c>
      <c r="F1980">
        <v>3</v>
      </c>
      <c r="G1980" t="s">
        <v>4301</v>
      </c>
    </row>
    <row r="1981" spans="1:7">
      <c r="A1981" s="10">
        <v>45393</v>
      </c>
      <c r="B1981">
        <v>2024</v>
      </c>
      <c r="C1981">
        <v>4</v>
      </c>
      <c r="D1981" t="s">
        <v>4314</v>
      </c>
      <c r="E1981">
        <v>2</v>
      </c>
      <c r="F1981">
        <v>11</v>
      </c>
      <c r="G1981" t="s">
        <v>4300</v>
      </c>
    </row>
    <row r="1982" spans="1:7">
      <c r="A1982" s="10">
        <v>44965</v>
      </c>
      <c r="B1982">
        <v>2023</v>
      </c>
      <c r="C1982">
        <v>2</v>
      </c>
      <c r="D1982" t="s">
        <v>4312</v>
      </c>
      <c r="E1982">
        <v>1</v>
      </c>
      <c r="F1982">
        <v>8</v>
      </c>
      <c r="G1982" t="s">
        <v>4308</v>
      </c>
    </row>
    <row r="1983" spans="1:7">
      <c r="A1983" s="10">
        <v>45431</v>
      </c>
      <c r="B1983">
        <v>2024</v>
      </c>
      <c r="C1983">
        <v>5</v>
      </c>
      <c r="D1983" t="s">
        <v>4305</v>
      </c>
      <c r="E1983">
        <v>2</v>
      </c>
      <c r="F1983">
        <v>19</v>
      </c>
      <c r="G1983" t="s">
        <v>4309</v>
      </c>
    </row>
    <row r="1984" spans="1:7">
      <c r="A1984" s="10">
        <v>45733</v>
      </c>
      <c r="B1984">
        <v>2025</v>
      </c>
      <c r="C1984">
        <v>3</v>
      </c>
      <c r="D1984" t="s">
        <v>4311</v>
      </c>
      <c r="E1984">
        <v>1</v>
      </c>
      <c r="F1984">
        <v>17</v>
      </c>
      <c r="G1984" t="s">
        <v>4301</v>
      </c>
    </row>
    <row r="1985" spans="1:7">
      <c r="A1985" s="10">
        <v>45940</v>
      </c>
      <c r="B1985">
        <v>2025</v>
      </c>
      <c r="C1985">
        <v>10</v>
      </c>
      <c r="D1985" t="s">
        <v>4302</v>
      </c>
      <c r="E1985">
        <v>4</v>
      </c>
      <c r="F1985">
        <v>10</v>
      </c>
      <c r="G1985" t="s">
        <v>4306</v>
      </c>
    </row>
    <row r="1986" spans="1:7">
      <c r="A1986" s="10">
        <v>45850</v>
      </c>
      <c r="B1986">
        <v>2025</v>
      </c>
      <c r="C1986">
        <v>7</v>
      </c>
      <c r="D1986" t="s">
        <v>4297</v>
      </c>
      <c r="E1986">
        <v>3</v>
      </c>
      <c r="F1986">
        <v>12</v>
      </c>
      <c r="G1986" t="s">
        <v>4298</v>
      </c>
    </row>
    <row r="1987" spans="1:7">
      <c r="A1987" s="10">
        <v>45523</v>
      </c>
      <c r="B1987">
        <v>2024</v>
      </c>
      <c r="C1987">
        <v>8</v>
      </c>
      <c r="D1987" t="s">
        <v>4313</v>
      </c>
      <c r="E1987">
        <v>3</v>
      </c>
      <c r="F1987">
        <v>19</v>
      </c>
      <c r="G1987" t="s">
        <v>4301</v>
      </c>
    </row>
    <row r="1988" spans="1:7">
      <c r="A1988" s="10">
        <v>45482</v>
      </c>
      <c r="B1988">
        <v>2024</v>
      </c>
      <c r="C1988">
        <v>7</v>
      </c>
      <c r="D1988" t="s">
        <v>4297</v>
      </c>
      <c r="E1988">
        <v>3</v>
      </c>
      <c r="F1988">
        <v>9</v>
      </c>
      <c r="G1988" t="s">
        <v>4303</v>
      </c>
    </row>
    <row r="1989" spans="1:7">
      <c r="A1989" s="10">
        <v>45168</v>
      </c>
      <c r="B1989">
        <v>2023</v>
      </c>
      <c r="C1989">
        <v>8</v>
      </c>
      <c r="D1989" t="s">
        <v>4313</v>
      </c>
      <c r="E1989">
        <v>3</v>
      </c>
      <c r="F1989">
        <v>30</v>
      </c>
      <c r="G1989" t="s">
        <v>4308</v>
      </c>
    </row>
    <row r="1990" spans="1:7">
      <c r="A1990" s="10">
        <v>45364</v>
      </c>
      <c r="B1990">
        <v>2024</v>
      </c>
      <c r="C1990">
        <v>3</v>
      </c>
      <c r="D1990" t="s">
        <v>4311</v>
      </c>
      <c r="E1990">
        <v>1</v>
      </c>
      <c r="F1990">
        <v>13</v>
      </c>
      <c r="G1990" t="s">
        <v>4308</v>
      </c>
    </row>
    <row r="1991" spans="1:7">
      <c r="A1991" s="10">
        <v>45567</v>
      </c>
      <c r="B1991">
        <v>2024</v>
      </c>
      <c r="C1991">
        <v>10</v>
      </c>
      <c r="D1991" t="s">
        <v>4302</v>
      </c>
      <c r="E1991">
        <v>4</v>
      </c>
      <c r="F1991">
        <v>2</v>
      </c>
      <c r="G1991" t="s">
        <v>4308</v>
      </c>
    </row>
    <row r="1992" spans="1:7">
      <c r="A1992" s="10">
        <v>45885</v>
      </c>
      <c r="B1992">
        <v>2025</v>
      </c>
      <c r="C1992">
        <v>8</v>
      </c>
      <c r="D1992" t="s">
        <v>4313</v>
      </c>
      <c r="E1992">
        <v>3</v>
      </c>
      <c r="F1992">
        <v>16</v>
      </c>
      <c r="G1992" t="s">
        <v>4298</v>
      </c>
    </row>
    <row r="1993" spans="1:7">
      <c r="A1993" s="10">
        <v>45094</v>
      </c>
      <c r="B1993">
        <v>2023</v>
      </c>
      <c r="C1993">
        <v>6</v>
      </c>
      <c r="D1993" t="s">
        <v>4310</v>
      </c>
      <c r="E1993">
        <v>2</v>
      </c>
      <c r="F1993">
        <v>17</v>
      </c>
      <c r="G1993" t="s">
        <v>4298</v>
      </c>
    </row>
    <row r="1994" spans="1:7">
      <c r="A1994" s="10">
        <v>45797</v>
      </c>
      <c r="B1994">
        <v>2025</v>
      </c>
      <c r="C1994">
        <v>5</v>
      </c>
      <c r="D1994" t="s">
        <v>4305</v>
      </c>
      <c r="E1994">
        <v>2</v>
      </c>
      <c r="F1994">
        <v>20</v>
      </c>
      <c r="G1994" t="s">
        <v>4303</v>
      </c>
    </row>
    <row r="1995" spans="1:7">
      <c r="A1995" s="10">
        <v>45730</v>
      </c>
      <c r="B1995">
        <v>2025</v>
      </c>
      <c r="C1995">
        <v>3</v>
      </c>
      <c r="D1995" t="s">
        <v>4311</v>
      </c>
      <c r="E1995">
        <v>1</v>
      </c>
      <c r="F1995">
        <v>14</v>
      </c>
      <c r="G1995" t="s">
        <v>4306</v>
      </c>
    </row>
    <row r="1996" spans="1:7">
      <c r="A1996" s="10">
        <v>45168</v>
      </c>
      <c r="B1996">
        <v>2023</v>
      </c>
      <c r="C1996">
        <v>8</v>
      </c>
      <c r="D1996" t="s">
        <v>4313</v>
      </c>
      <c r="E1996">
        <v>3</v>
      </c>
      <c r="F1996">
        <v>30</v>
      </c>
      <c r="G1996" t="s">
        <v>4308</v>
      </c>
    </row>
    <row r="1997" spans="1:7">
      <c r="A1997" s="10">
        <v>45968</v>
      </c>
      <c r="B1997">
        <v>2025</v>
      </c>
      <c r="C1997">
        <v>11</v>
      </c>
      <c r="D1997" t="s">
        <v>4315</v>
      </c>
      <c r="E1997">
        <v>4</v>
      </c>
      <c r="F1997">
        <v>7</v>
      </c>
      <c r="G1997" t="s">
        <v>4306</v>
      </c>
    </row>
    <row r="1998" spans="1:7">
      <c r="A1998" s="10">
        <v>45250</v>
      </c>
      <c r="B1998">
        <v>2023</v>
      </c>
      <c r="C1998">
        <v>11</v>
      </c>
      <c r="D1998" t="s">
        <v>4315</v>
      </c>
      <c r="E1998">
        <v>4</v>
      </c>
      <c r="F1998">
        <v>20</v>
      </c>
      <c r="G1998" t="s">
        <v>4301</v>
      </c>
    </row>
    <row r="1999" spans="1:7">
      <c r="A1999" s="10">
        <v>45372</v>
      </c>
      <c r="B1999">
        <v>2024</v>
      </c>
      <c r="C1999">
        <v>3</v>
      </c>
      <c r="D1999" t="s">
        <v>4311</v>
      </c>
      <c r="E1999">
        <v>1</v>
      </c>
      <c r="F1999">
        <v>21</v>
      </c>
      <c r="G1999" t="s">
        <v>4300</v>
      </c>
    </row>
    <row r="2000" spans="1:7">
      <c r="A2000" s="10">
        <v>45019</v>
      </c>
      <c r="B2000">
        <v>2023</v>
      </c>
      <c r="C2000">
        <v>4</v>
      </c>
      <c r="D2000" t="s">
        <v>4314</v>
      </c>
      <c r="E2000">
        <v>2</v>
      </c>
      <c r="F2000">
        <v>3</v>
      </c>
      <c r="G2000" t="s">
        <v>4301</v>
      </c>
    </row>
    <row r="2001" spans="1:7">
      <c r="A2001" s="10">
        <v>45052</v>
      </c>
      <c r="B2001">
        <v>2023</v>
      </c>
      <c r="C2001">
        <v>5</v>
      </c>
      <c r="D2001" t="s">
        <v>4305</v>
      </c>
      <c r="E2001">
        <v>2</v>
      </c>
      <c r="F2001">
        <v>6</v>
      </c>
      <c r="G2001" t="s">
        <v>4298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F84E-FD79-49D5-981A-D615E2053E30}">
  <dimension ref="A1:B9"/>
  <sheetViews>
    <sheetView workbookViewId="0">
      <selection activeCell="B7" sqref="B7"/>
    </sheetView>
  </sheetViews>
  <sheetFormatPr defaultRowHeight="14.4"/>
  <cols>
    <col min="1" max="1" width="16.77734375" customWidth="1"/>
    <col min="2" max="2" width="20.109375" customWidth="1"/>
  </cols>
  <sheetData>
    <row r="1" spans="1:2">
      <c r="A1" t="s">
        <v>4260</v>
      </c>
      <c r="B1" t="s">
        <v>9</v>
      </c>
    </row>
    <row r="2" spans="1:2">
      <c r="A2" t="s">
        <v>4263</v>
      </c>
      <c r="B2" t="s">
        <v>80</v>
      </c>
    </row>
    <row r="3" spans="1:2">
      <c r="A3" t="s">
        <v>4265</v>
      </c>
      <c r="B3" t="s">
        <v>46</v>
      </c>
    </row>
    <row r="4" spans="1:2">
      <c r="A4" t="s">
        <v>4266</v>
      </c>
      <c r="B4" t="s">
        <v>4261</v>
      </c>
    </row>
    <row r="5" spans="1:2">
      <c r="A5" t="s">
        <v>4267</v>
      </c>
      <c r="B5" t="s">
        <v>71</v>
      </c>
    </row>
    <row r="6" spans="1:2">
      <c r="A6" t="s">
        <v>4268</v>
      </c>
      <c r="B6" t="s">
        <v>4262</v>
      </c>
    </row>
    <row r="7" spans="1:2">
      <c r="A7" t="s">
        <v>4269</v>
      </c>
      <c r="B7" t="s">
        <v>64</v>
      </c>
    </row>
    <row r="8" spans="1:2">
      <c r="A8" t="s">
        <v>4270</v>
      </c>
      <c r="B8" t="s">
        <v>34</v>
      </c>
    </row>
    <row r="9" spans="1:2">
      <c r="A9" t="s">
        <v>4271</v>
      </c>
      <c r="B9" t="s">
        <v>97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F4F9C-E950-4D0D-B441-5BD959EA2821}">
  <dimension ref="A1:B7"/>
  <sheetViews>
    <sheetView tabSelected="1" workbookViewId="0"/>
  </sheetViews>
  <sheetFormatPr defaultRowHeight="14.4"/>
  <cols>
    <col min="1" max="1" width="13.21875" customWidth="1"/>
    <col min="2" max="2" width="16.88671875" customWidth="1"/>
  </cols>
  <sheetData>
    <row r="1" spans="1:2">
      <c r="A1" t="s">
        <v>4272</v>
      </c>
      <c r="B1" t="s">
        <v>13</v>
      </c>
    </row>
    <row r="2" spans="1:2">
      <c r="A2" t="s">
        <v>4264</v>
      </c>
      <c r="B2" t="s">
        <v>91</v>
      </c>
    </row>
    <row r="3" spans="1:2">
      <c r="A3" t="s">
        <v>4273</v>
      </c>
      <c r="B3" t="s">
        <v>73</v>
      </c>
    </row>
    <row r="4" spans="1:2">
      <c r="A4" t="s">
        <v>4274</v>
      </c>
      <c r="B4" t="s">
        <v>35</v>
      </c>
    </row>
    <row r="5" spans="1:2">
      <c r="A5" t="s">
        <v>4275</v>
      </c>
      <c r="B5" t="s">
        <v>56</v>
      </c>
    </row>
    <row r="6" spans="1:2">
      <c r="A6" t="s">
        <v>4276</v>
      </c>
      <c r="B6" t="s">
        <v>4237</v>
      </c>
    </row>
    <row r="7" spans="1:2">
      <c r="A7" t="s">
        <v>4277</v>
      </c>
      <c r="B7" t="s">
        <v>192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001"/>
  <sheetViews>
    <sheetView workbookViewId="0">
      <pane ySplit="1" topLeftCell="A2" activePane="bottomLeft" state="frozen"/>
      <selection pane="bottomLeft" activeCell="U1" sqref="U1"/>
    </sheetView>
  </sheetViews>
  <sheetFormatPr defaultRowHeight="14.4"/>
  <cols>
    <col min="1" max="1" width="14" customWidth="1"/>
    <col min="2" max="2" width="22" customWidth="1"/>
    <col min="3" max="3" width="13.21875" customWidth="1"/>
    <col min="4" max="4" width="19.44140625" customWidth="1"/>
    <col min="5" max="5" width="18.109375" customWidth="1"/>
    <col min="6" max="6" width="20.77734375" customWidth="1"/>
    <col min="7" max="8" width="20" customWidth="1"/>
    <col min="9" max="9" width="22" customWidth="1"/>
    <col min="10" max="10" width="20" customWidth="1"/>
    <col min="11" max="12" width="18" customWidth="1"/>
    <col min="13" max="13" width="18.44140625" customWidth="1"/>
    <col min="14" max="14" width="16.44140625" customWidth="1"/>
    <col min="15" max="15" width="21.109375" customWidth="1"/>
    <col min="16" max="16" width="19.77734375" customWidth="1"/>
    <col min="17" max="17" width="18.33203125" customWidth="1"/>
    <col min="18" max="18" width="14" customWidth="1"/>
    <col min="19" max="19" width="16.109375" customWidth="1"/>
    <col min="20" max="20" width="18" customWidth="1"/>
    <col min="21" max="21" width="24.33203125" customWidth="1"/>
    <col min="22" max="22" width="17.88671875" customWidth="1"/>
    <col min="23" max="23" width="19.6640625" customWidth="1"/>
    <col min="24" max="24" width="23.77734375" customWidth="1"/>
    <col min="25" max="25" width="21" customWidth="1"/>
    <col min="26" max="26" width="27" customWidth="1"/>
    <col min="27" max="27" width="18.88671875" customWidth="1"/>
    <col min="28" max="28" width="22.21875" customWidth="1"/>
    <col min="29" max="29" width="25.6640625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/>
      <c r="V1" s="3"/>
      <c r="W1" s="3"/>
    </row>
    <row r="2" spans="1:23">
      <c r="A2" t="s">
        <v>20</v>
      </c>
      <c r="B2" t="s">
        <v>21</v>
      </c>
      <c r="C2" t="s">
        <v>22</v>
      </c>
      <c r="D2" s="2">
        <v>23837</v>
      </c>
      <c r="E2" s="2">
        <v>45136</v>
      </c>
      <c r="F2" s="2">
        <v>45154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56612.9</v>
      </c>
      <c r="M2">
        <v>44868.27</v>
      </c>
      <c r="N2" t="s">
        <v>192</v>
      </c>
      <c r="O2">
        <v>18</v>
      </c>
      <c r="P2">
        <v>148</v>
      </c>
      <c r="Q2">
        <v>4</v>
      </c>
      <c r="R2">
        <v>181</v>
      </c>
      <c r="S2">
        <v>193.5</v>
      </c>
      <c r="T2" t="s">
        <v>37</v>
      </c>
      <c r="U2" s="3"/>
      <c r="V2" s="3"/>
      <c r="W2" s="3"/>
    </row>
    <row r="3" spans="1:23">
      <c r="A3" t="s">
        <v>28</v>
      </c>
      <c r="B3" t="s">
        <v>29</v>
      </c>
      <c r="C3" t="s">
        <v>30</v>
      </c>
      <c r="D3" s="2">
        <v>20634</v>
      </c>
      <c r="E3" s="2">
        <v>45631</v>
      </c>
      <c r="F3" s="2">
        <v>45640</v>
      </c>
      <c r="G3" t="s">
        <v>31</v>
      </c>
      <c r="H3" t="s">
        <v>32</v>
      </c>
      <c r="I3" t="s">
        <v>33</v>
      </c>
      <c r="J3" t="s">
        <v>34</v>
      </c>
      <c r="K3" t="s">
        <v>27</v>
      </c>
      <c r="L3">
        <v>22003.05</v>
      </c>
      <c r="M3">
        <v>20876.96</v>
      </c>
      <c r="N3" t="s">
        <v>35</v>
      </c>
      <c r="O3">
        <v>9</v>
      </c>
      <c r="P3">
        <v>163</v>
      </c>
      <c r="Q3">
        <v>5</v>
      </c>
      <c r="R3" t="s">
        <v>36</v>
      </c>
      <c r="S3">
        <v>106.5</v>
      </c>
      <c r="T3" t="s">
        <v>37</v>
      </c>
      <c r="U3" s="3"/>
      <c r="V3" s="3"/>
      <c r="W3" s="3"/>
    </row>
    <row r="4" spans="1:23">
      <c r="A4" t="s">
        <v>38</v>
      </c>
      <c r="B4" t="s">
        <v>39</v>
      </c>
      <c r="C4" t="s">
        <v>40</v>
      </c>
      <c r="D4" s="2">
        <v>32453</v>
      </c>
      <c r="E4" t="s">
        <v>41</v>
      </c>
      <c r="F4" t="s">
        <v>42</v>
      </c>
      <c r="G4" t="s">
        <v>43</v>
      </c>
      <c r="H4" t="s">
        <v>44</v>
      </c>
      <c r="I4" t="s">
        <v>45</v>
      </c>
      <c r="J4" t="s">
        <v>46</v>
      </c>
      <c r="K4" t="s">
        <v>27</v>
      </c>
      <c r="L4">
        <v>211105.85</v>
      </c>
      <c r="M4">
        <v>162280.10999999999</v>
      </c>
      <c r="N4" t="s">
        <v>73</v>
      </c>
      <c r="O4">
        <v>8</v>
      </c>
      <c r="P4">
        <v>13</v>
      </c>
      <c r="Q4">
        <v>5</v>
      </c>
      <c r="R4">
        <v>141</v>
      </c>
      <c r="S4">
        <v>120.9</v>
      </c>
      <c r="T4" t="s">
        <v>47</v>
      </c>
      <c r="U4" s="3"/>
      <c r="V4" s="3"/>
      <c r="W4" s="3"/>
    </row>
    <row r="5" spans="1:23">
      <c r="A5" t="s">
        <v>48</v>
      </c>
      <c r="B5" t="s">
        <v>49</v>
      </c>
      <c r="C5" t="s">
        <v>50</v>
      </c>
      <c r="D5" t="s">
        <v>51</v>
      </c>
      <c r="E5" s="2">
        <v>45937</v>
      </c>
      <c r="F5" s="2">
        <v>45940</v>
      </c>
      <c r="H5" t="s">
        <v>52</v>
      </c>
      <c r="I5" t="s">
        <v>53</v>
      </c>
      <c r="J5" t="s">
        <v>54</v>
      </c>
      <c r="K5" t="s">
        <v>55</v>
      </c>
      <c r="L5">
        <v>198539.64</v>
      </c>
      <c r="M5">
        <v>165775.95000000001</v>
      </c>
      <c r="N5" t="s">
        <v>56</v>
      </c>
      <c r="O5">
        <v>3</v>
      </c>
      <c r="P5">
        <v>103</v>
      </c>
      <c r="Q5">
        <v>4</v>
      </c>
      <c r="S5">
        <v>259.3</v>
      </c>
      <c r="T5" t="s">
        <v>57</v>
      </c>
      <c r="U5" s="3"/>
      <c r="V5" s="3"/>
      <c r="W5" s="3"/>
    </row>
    <row r="6" spans="1:23">
      <c r="A6" t="s">
        <v>58</v>
      </c>
      <c r="B6" t="s">
        <v>59</v>
      </c>
      <c r="C6" t="s">
        <v>60</v>
      </c>
      <c r="D6" s="2">
        <v>30010</v>
      </c>
      <c r="E6" t="s">
        <v>61</v>
      </c>
      <c r="F6" s="2">
        <v>45555</v>
      </c>
      <c r="G6" t="s">
        <v>62</v>
      </c>
      <c r="H6" t="s">
        <v>63</v>
      </c>
      <c r="I6" t="s">
        <v>53</v>
      </c>
      <c r="J6" t="s">
        <v>64</v>
      </c>
      <c r="K6" t="s">
        <v>27</v>
      </c>
      <c r="L6">
        <v>238491.19</v>
      </c>
      <c r="M6">
        <v>209393.65</v>
      </c>
      <c r="N6" t="s">
        <v>56</v>
      </c>
      <c r="O6">
        <v>17</v>
      </c>
      <c r="P6">
        <v>158</v>
      </c>
      <c r="Q6">
        <v>5</v>
      </c>
      <c r="R6">
        <v>152</v>
      </c>
      <c r="S6">
        <v>73.7</v>
      </c>
      <c r="T6" t="s">
        <v>65</v>
      </c>
      <c r="U6" s="3"/>
      <c r="V6" s="3"/>
      <c r="W6" s="3"/>
    </row>
    <row r="7" spans="1:23">
      <c r="A7" t="s">
        <v>66</v>
      </c>
      <c r="B7" t="s">
        <v>67</v>
      </c>
      <c r="D7" t="s">
        <v>68</v>
      </c>
      <c r="E7" s="2">
        <v>45793</v>
      </c>
      <c r="F7" t="s">
        <v>69</v>
      </c>
      <c r="G7" t="s">
        <v>70</v>
      </c>
      <c r="I7" t="s">
        <v>45</v>
      </c>
      <c r="J7" t="s">
        <v>71</v>
      </c>
      <c r="K7" t="s">
        <v>72</v>
      </c>
      <c r="L7">
        <v>101250.59</v>
      </c>
      <c r="M7">
        <v>77023.240000000005</v>
      </c>
      <c r="N7" t="s">
        <v>73</v>
      </c>
      <c r="O7" t="s">
        <v>74</v>
      </c>
      <c r="P7">
        <v>117</v>
      </c>
      <c r="R7">
        <v>147</v>
      </c>
      <c r="T7" t="s">
        <v>47</v>
      </c>
      <c r="U7" s="3"/>
      <c r="V7" s="3"/>
      <c r="W7" s="3"/>
    </row>
    <row r="8" spans="1:23">
      <c r="A8" t="s">
        <v>75</v>
      </c>
      <c r="B8" t="s">
        <v>76</v>
      </c>
      <c r="C8" t="s">
        <v>22</v>
      </c>
      <c r="D8" s="2">
        <v>33823</v>
      </c>
      <c r="E8" s="2">
        <v>45197</v>
      </c>
      <c r="F8" s="2">
        <v>45213</v>
      </c>
      <c r="G8" t="s">
        <v>77</v>
      </c>
      <c r="H8" t="s">
        <v>78</v>
      </c>
      <c r="I8" t="s">
        <v>79</v>
      </c>
      <c r="J8" t="s">
        <v>80</v>
      </c>
      <c r="K8" t="s">
        <v>55</v>
      </c>
      <c r="L8">
        <v>25845.63</v>
      </c>
      <c r="M8">
        <v>18219.05</v>
      </c>
      <c r="N8" t="s">
        <v>73</v>
      </c>
      <c r="O8">
        <v>16</v>
      </c>
      <c r="P8">
        <v>113</v>
      </c>
      <c r="Q8">
        <v>4</v>
      </c>
      <c r="R8">
        <v>149</v>
      </c>
      <c r="S8">
        <v>234.1</v>
      </c>
      <c r="T8" t="s">
        <v>81</v>
      </c>
      <c r="U8" s="3"/>
      <c r="V8" s="3"/>
      <c r="W8" s="3"/>
    </row>
    <row r="9" spans="1:23">
      <c r="A9" t="s">
        <v>82</v>
      </c>
      <c r="B9" t="s">
        <v>83</v>
      </c>
      <c r="C9" t="s">
        <v>84</v>
      </c>
      <c r="D9" t="s">
        <v>85</v>
      </c>
      <c r="E9" s="2">
        <v>44957</v>
      </c>
      <c r="F9" s="2">
        <v>44960</v>
      </c>
      <c r="H9" t="s">
        <v>86</v>
      </c>
      <c r="I9" t="s">
        <v>53</v>
      </c>
      <c r="J9" t="s">
        <v>34</v>
      </c>
      <c r="L9">
        <v>122696.18</v>
      </c>
      <c r="M9">
        <v>117714.12</v>
      </c>
      <c r="N9" t="s">
        <v>56</v>
      </c>
      <c r="O9">
        <v>3</v>
      </c>
      <c r="P9">
        <v>236</v>
      </c>
      <c r="Q9">
        <v>1</v>
      </c>
      <c r="R9">
        <v>111</v>
      </c>
      <c r="S9">
        <v>142</v>
      </c>
      <c r="T9" t="s">
        <v>37</v>
      </c>
      <c r="U9" s="3"/>
      <c r="V9" s="3"/>
      <c r="W9" s="3"/>
    </row>
    <row r="10" spans="1:23">
      <c r="A10" t="s">
        <v>87</v>
      </c>
      <c r="B10" t="s">
        <v>88</v>
      </c>
      <c r="C10" t="s">
        <v>50</v>
      </c>
      <c r="D10" s="2">
        <v>19378</v>
      </c>
      <c r="E10" s="2">
        <v>45903</v>
      </c>
      <c r="F10" s="2">
        <v>45920</v>
      </c>
      <c r="G10" t="s">
        <v>89</v>
      </c>
      <c r="H10" t="s">
        <v>90</v>
      </c>
      <c r="I10" t="s">
        <v>25</v>
      </c>
      <c r="J10" t="s">
        <v>64</v>
      </c>
      <c r="K10" t="s">
        <v>55</v>
      </c>
      <c r="L10">
        <v>22327.59</v>
      </c>
      <c r="M10">
        <v>16088.29</v>
      </c>
      <c r="N10" t="s">
        <v>91</v>
      </c>
      <c r="O10">
        <v>17</v>
      </c>
      <c r="P10">
        <v>22</v>
      </c>
      <c r="Q10">
        <v>4</v>
      </c>
      <c r="R10">
        <v>141</v>
      </c>
      <c r="S10">
        <v>92.8</v>
      </c>
      <c r="T10" t="s">
        <v>37</v>
      </c>
      <c r="U10" s="3"/>
      <c r="V10" s="3"/>
      <c r="W10" s="3"/>
    </row>
    <row r="11" spans="1:23">
      <c r="A11" t="s">
        <v>92</v>
      </c>
      <c r="B11" t="s">
        <v>93</v>
      </c>
      <c r="C11" t="s">
        <v>50</v>
      </c>
      <c r="D11" s="2">
        <v>39845</v>
      </c>
      <c r="E11" s="2">
        <v>45865</v>
      </c>
      <c r="G11" t="s">
        <v>94</v>
      </c>
      <c r="H11" t="s">
        <v>95</v>
      </c>
      <c r="I11" t="s">
        <v>96</v>
      </c>
      <c r="J11" t="s">
        <v>97</v>
      </c>
      <c r="K11" t="s">
        <v>55</v>
      </c>
      <c r="L11">
        <v>233481.7</v>
      </c>
      <c r="M11">
        <v>225025.24</v>
      </c>
      <c r="N11" t="s">
        <v>56</v>
      </c>
      <c r="O11">
        <v>4</v>
      </c>
      <c r="P11">
        <v>99</v>
      </c>
      <c r="Q11">
        <v>5</v>
      </c>
      <c r="R11">
        <v>110</v>
      </c>
      <c r="S11">
        <v>153.30000000000001</v>
      </c>
      <c r="T11" t="s">
        <v>37</v>
      </c>
      <c r="U11" s="3"/>
      <c r="V11" s="3"/>
      <c r="W11" s="3"/>
    </row>
    <row r="12" spans="1:23">
      <c r="A12" t="s">
        <v>98</v>
      </c>
      <c r="B12" t="s">
        <v>99</v>
      </c>
      <c r="C12" t="s">
        <v>100</v>
      </c>
      <c r="D12" t="s">
        <v>101</v>
      </c>
      <c r="E12" s="2">
        <v>45467</v>
      </c>
      <c r="F12" s="2">
        <v>45484</v>
      </c>
      <c r="H12" t="s">
        <v>24</v>
      </c>
      <c r="I12" t="s">
        <v>33</v>
      </c>
      <c r="J12" t="s">
        <v>34</v>
      </c>
      <c r="K12" t="s">
        <v>55</v>
      </c>
      <c r="L12">
        <v>207763.65</v>
      </c>
      <c r="M12">
        <v>145655.54999999999</v>
      </c>
      <c r="O12" t="s">
        <v>102</v>
      </c>
      <c r="P12">
        <v>202</v>
      </c>
      <c r="Q12">
        <v>3</v>
      </c>
      <c r="R12">
        <v>171</v>
      </c>
      <c r="S12">
        <v>256.2</v>
      </c>
      <c r="T12" t="s">
        <v>47</v>
      </c>
      <c r="U12" s="3"/>
      <c r="V12" s="3"/>
      <c r="W12" s="3"/>
    </row>
    <row r="13" spans="1:23">
      <c r="A13" t="s">
        <v>103</v>
      </c>
      <c r="B13" t="s">
        <v>104</v>
      </c>
      <c r="C13" t="s">
        <v>50</v>
      </c>
      <c r="D13" s="2">
        <v>39094</v>
      </c>
      <c r="E13" s="2">
        <v>45357</v>
      </c>
      <c r="F13" s="2">
        <v>45365</v>
      </c>
      <c r="G13" t="s">
        <v>105</v>
      </c>
      <c r="H13" t="s">
        <v>78</v>
      </c>
      <c r="I13" t="s">
        <v>79</v>
      </c>
      <c r="J13" t="s">
        <v>106</v>
      </c>
      <c r="K13" t="s">
        <v>55</v>
      </c>
      <c r="L13">
        <v>187995.71</v>
      </c>
      <c r="M13">
        <v>180359.65</v>
      </c>
      <c r="N13" t="s">
        <v>73</v>
      </c>
      <c r="O13">
        <v>8</v>
      </c>
      <c r="P13">
        <v>209</v>
      </c>
      <c r="Q13">
        <v>3</v>
      </c>
      <c r="R13">
        <v>142</v>
      </c>
      <c r="S13">
        <v>74.7</v>
      </c>
      <c r="U13" s="3"/>
      <c r="V13" s="3"/>
      <c r="W13" s="3"/>
    </row>
    <row r="14" spans="1:23">
      <c r="A14" t="s">
        <v>107</v>
      </c>
      <c r="B14" t="s">
        <v>108</v>
      </c>
      <c r="C14" t="s">
        <v>22</v>
      </c>
      <c r="D14" s="2">
        <v>37354</v>
      </c>
      <c r="E14" s="2">
        <v>44975</v>
      </c>
      <c r="F14" s="2">
        <v>44982</v>
      </c>
      <c r="G14" t="s">
        <v>109</v>
      </c>
      <c r="I14" t="s">
        <v>33</v>
      </c>
      <c r="J14" t="s">
        <v>71</v>
      </c>
      <c r="K14" t="s">
        <v>110</v>
      </c>
      <c r="L14">
        <v>89408.67</v>
      </c>
      <c r="M14">
        <v>65975.83</v>
      </c>
      <c r="N14" t="s">
        <v>56</v>
      </c>
      <c r="O14">
        <v>7</v>
      </c>
      <c r="P14">
        <v>220</v>
      </c>
      <c r="R14">
        <v>132</v>
      </c>
      <c r="S14">
        <v>248.5</v>
      </c>
      <c r="T14" t="s">
        <v>37</v>
      </c>
      <c r="U14" s="3"/>
      <c r="V14" s="3"/>
      <c r="W14" s="3"/>
    </row>
    <row r="15" spans="1:23">
      <c r="A15" t="s">
        <v>111</v>
      </c>
      <c r="B15" t="s">
        <v>112</v>
      </c>
      <c r="C15" t="s">
        <v>22</v>
      </c>
      <c r="D15" s="2">
        <v>19342</v>
      </c>
      <c r="E15" s="2">
        <v>44930</v>
      </c>
      <c r="F15" s="2">
        <v>44947</v>
      </c>
      <c r="G15" t="s">
        <v>89</v>
      </c>
      <c r="H15" t="s">
        <v>113</v>
      </c>
      <c r="I15" t="s">
        <v>45</v>
      </c>
      <c r="J15" t="s">
        <v>46</v>
      </c>
      <c r="K15" t="s">
        <v>114</v>
      </c>
      <c r="L15">
        <v>109246.11</v>
      </c>
      <c r="M15">
        <v>90652.05</v>
      </c>
      <c r="N15" t="s">
        <v>56</v>
      </c>
      <c r="O15" t="s">
        <v>102</v>
      </c>
      <c r="P15">
        <v>164</v>
      </c>
      <c r="Q15">
        <v>5</v>
      </c>
      <c r="R15">
        <v>174</v>
      </c>
      <c r="S15">
        <v>231.1</v>
      </c>
      <c r="T15" t="s">
        <v>106</v>
      </c>
      <c r="U15" s="3"/>
      <c r="V15" s="3"/>
      <c r="W15" s="3"/>
    </row>
    <row r="16" spans="1:23">
      <c r="A16" t="s">
        <v>115</v>
      </c>
      <c r="B16" t="s">
        <v>116</v>
      </c>
      <c r="C16" t="s">
        <v>30</v>
      </c>
      <c r="D16" s="2">
        <v>31057</v>
      </c>
      <c r="E16" s="2">
        <v>45514</v>
      </c>
      <c r="F16" s="2">
        <v>45521</v>
      </c>
      <c r="G16" t="s">
        <v>117</v>
      </c>
      <c r="H16" t="s">
        <v>118</v>
      </c>
      <c r="I16" t="s">
        <v>119</v>
      </c>
      <c r="J16" t="s">
        <v>34</v>
      </c>
      <c r="K16" t="s">
        <v>120</v>
      </c>
      <c r="L16" t="s">
        <v>121</v>
      </c>
      <c r="N16" t="s">
        <v>73</v>
      </c>
      <c r="O16">
        <v>7</v>
      </c>
      <c r="P16">
        <v>126</v>
      </c>
      <c r="Q16">
        <v>3</v>
      </c>
      <c r="R16">
        <v>174</v>
      </c>
      <c r="S16">
        <v>86.1</v>
      </c>
      <c r="T16" t="s">
        <v>37</v>
      </c>
      <c r="U16" s="3"/>
      <c r="V16" s="3"/>
      <c r="W16" s="3"/>
    </row>
    <row r="17" spans="1:23">
      <c r="A17" t="s">
        <v>122</v>
      </c>
      <c r="B17" t="s">
        <v>83</v>
      </c>
      <c r="C17" t="s">
        <v>30</v>
      </c>
      <c r="D17" t="s">
        <v>123</v>
      </c>
      <c r="E17" s="2">
        <v>45325</v>
      </c>
      <c r="F17" s="2">
        <v>45338</v>
      </c>
      <c r="G17" t="s">
        <v>94</v>
      </c>
      <c r="H17" t="s">
        <v>124</v>
      </c>
      <c r="I17" t="s">
        <v>25</v>
      </c>
      <c r="J17" t="s">
        <v>26</v>
      </c>
      <c r="L17">
        <v>195159.05</v>
      </c>
      <c r="M17">
        <v>146909.1</v>
      </c>
      <c r="N17" t="s">
        <v>73</v>
      </c>
      <c r="O17">
        <v>13</v>
      </c>
      <c r="P17">
        <v>183</v>
      </c>
      <c r="R17">
        <v>149</v>
      </c>
      <c r="S17">
        <v>79.5</v>
      </c>
      <c r="T17" t="s">
        <v>47</v>
      </c>
      <c r="U17" s="3"/>
      <c r="V17" s="3"/>
      <c r="W17" s="3"/>
    </row>
    <row r="18" spans="1:23">
      <c r="A18" t="s">
        <v>125</v>
      </c>
      <c r="B18" t="s">
        <v>126</v>
      </c>
      <c r="C18" t="s">
        <v>84</v>
      </c>
      <c r="D18" s="2">
        <v>28573</v>
      </c>
      <c r="E18" s="2">
        <v>45899</v>
      </c>
      <c r="F18" s="2">
        <v>45914</v>
      </c>
      <c r="G18" t="s">
        <v>94</v>
      </c>
      <c r="I18" t="s">
        <v>96</v>
      </c>
      <c r="J18" t="s">
        <v>64</v>
      </c>
      <c r="K18" t="s">
        <v>110</v>
      </c>
      <c r="L18">
        <v>122437.75999999999</v>
      </c>
      <c r="M18">
        <v>95792.76</v>
      </c>
      <c r="N18" t="s">
        <v>73</v>
      </c>
      <c r="O18">
        <v>15</v>
      </c>
      <c r="P18">
        <v>24</v>
      </c>
      <c r="Q18">
        <v>5</v>
      </c>
      <c r="R18">
        <v>120</v>
      </c>
      <c r="S18">
        <v>121.6</v>
      </c>
      <c r="T18" t="s">
        <v>127</v>
      </c>
      <c r="U18" s="3"/>
      <c r="V18" s="3"/>
      <c r="W18" s="3"/>
    </row>
    <row r="19" spans="1:23">
      <c r="A19" t="s">
        <v>128</v>
      </c>
      <c r="B19" t="s">
        <v>129</v>
      </c>
      <c r="D19" s="2">
        <v>40513</v>
      </c>
      <c r="E19" t="s">
        <v>130</v>
      </c>
      <c r="G19" t="s">
        <v>105</v>
      </c>
      <c r="H19" t="s">
        <v>44</v>
      </c>
      <c r="I19" t="s">
        <v>79</v>
      </c>
      <c r="J19" t="s">
        <v>34</v>
      </c>
      <c r="K19" t="s">
        <v>55</v>
      </c>
      <c r="L19">
        <v>135709.59</v>
      </c>
      <c r="M19">
        <v>99646.63</v>
      </c>
      <c r="O19">
        <v>16</v>
      </c>
      <c r="P19">
        <v>159</v>
      </c>
      <c r="Q19">
        <v>4</v>
      </c>
      <c r="R19">
        <v>152</v>
      </c>
      <c r="S19">
        <v>111.7</v>
      </c>
      <c r="T19" t="s">
        <v>37</v>
      </c>
      <c r="U19" s="3"/>
      <c r="V19" s="3"/>
      <c r="W19" s="3"/>
    </row>
    <row r="20" spans="1:23">
      <c r="A20" t="s">
        <v>131</v>
      </c>
      <c r="B20" t="s">
        <v>132</v>
      </c>
      <c r="C20" t="s">
        <v>133</v>
      </c>
      <c r="D20" s="2">
        <v>20407</v>
      </c>
      <c r="E20" s="2">
        <v>45204</v>
      </c>
      <c r="F20" s="2">
        <v>45219</v>
      </c>
      <c r="G20" t="s">
        <v>109</v>
      </c>
      <c r="H20" t="s">
        <v>134</v>
      </c>
      <c r="I20" t="s">
        <v>119</v>
      </c>
      <c r="J20" t="s">
        <v>80</v>
      </c>
      <c r="K20" t="s">
        <v>120</v>
      </c>
      <c r="L20">
        <v>115038.08</v>
      </c>
      <c r="M20">
        <v>106797.78</v>
      </c>
      <c r="N20" t="s">
        <v>56</v>
      </c>
      <c r="O20">
        <v>15</v>
      </c>
      <c r="P20">
        <v>102</v>
      </c>
      <c r="Q20">
        <v>5</v>
      </c>
      <c r="R20">
        <v>186</v>
      </c>
      <c r="S20">
        <v>250.7</v>
      </c>
      <c r="T20" t="s">
        <v>37</v>
      </c>
      <c r="U20" s="3"/>
      <c r="V20" s="3"/>
      <c r="W20" s="3"/>
    </row>
    <row r="21" spans="1:23">
      <c r="A21" t="s">
        <v>135</v>
      </c>
      <c r="B21" t="s">
        <v>136</v>
      </c>
      <c r="C21" t="s">
        <v>133</v>
      </c>
      <c r="D21" s="2">
        <v>32575</v>
      </c>
      <c r="E21" s="2">
        <v>45185</v>
      </c>
      <c r="F21" s="2">
        <v>45201</v>
      </c>
      <c r="G21" t="s">
        <v>117</v>
      </c>
      <c r="H21" t="s">
        <v>86</v>
      </c>
      <c r="J21" t="s">
        <v>71</v>
      </c>
      <c r="K21" t="s">
        <v>55</v>
      </c>
      <c r="L21" t="s">
        <v>137</v>
      </c>
      <c r="M21">
        <v>169570.37</v>
      </c>
      <c r="N21" t="s">
        <v>73</v>
      </c>
      <c r="O21">
        <v>16</v>
      </c>
      <c r="P21">
        <v>196</v>
      </c>
      <c r="Q21">
        <v>2</v>
      </c>
      <c r="R21">
        <v>189</v>
      </c>
      <c r="S21">
        <v>225.7</v>
      </c>
      <c r="T21" t="s">
        <v>65</v>
      </c>
      <c r="U21" s="3"/>
      <c r="V21" s="3"/>
      <c r="W21" s="3"/>
    </row>
    <row r="22" spans="1:23">
      <c r="A22" t="s">
        <v>138</v>
      </c>
      <c r="B22" t="s">
        <v>139</v>
      </c>
      <c r="D22" s="2">
        <v>36948</v>
      </c>
      <c r="E22" t="s">
        <v>140</v>
      </c>
      <c r="F22" s="2">
        <v>45023</v>
      </c>
      <c r="G22" t="s">
        <v>141</v>
      </c>
      <c r="H22" t="s">
        <v>63</v>
      </c>
      <c r="I22" t="s">
        <v>33</v>
      </c>
      <c r="J22" t="s">
        <v>64</v>
      </c>
      <c r="K22" t="s">
        <v>110</v>
      </c>
      <c r="L22">
        <v>162766.96</v>
      </c>
      <c r="M22">
        <v>155421.72</v>
      </c>
      <c r="O22">
        <v>12</v>
      </c>
      <c r="P22">
        <v>215</v>
      </c>
      <c r="R22">
        <v>103</v>
      </c>
      <c r="S22">
        <v>152.4</v>
      </c>
      <c r="T22" t="s">
        <v>65</v>
      </c>
      <c r="U22" s="3"/>
      <c r="V22" s="3"/>
      <c r="W22" s="3"/>
    </row>
    <row r="23" spans="1:23">
      <c r="A23" t="s">
        <v>142</v>
      </c>
      <c r="B23" t="s">
        <v>143</v>
      </c>
      <c r="C23" t="s">
        <v>100</v>
      </c>
      <c r="D23" s="2">
        <v>37661</v>
      </c>
      <c r="E23" s="2">
        <v>45850</v>
      </c>
      <c r="F23" s="2">
        <v>45858</v>
      </c>
      <c r="G23" t="s">
        <v>144</v>
      </c>
      <c r="H23" t="s">
        <v>118</v>
      </c>
      <c r="I23" t="s">
        <v>79</v>
      </c>
      <c r="J23" t="s">
        <v>46</v>
      </c>
      <c r="K23" t="s">
        <v>55</v>
      </c>
      <c r="L23" t="s">
        <v>145</v>
      </c>
      <c r="M23">
        <v>7246.15</v>
      </c>
      <c r="N23" t="s">
        <v>56</v>
      </c>
      <c r="O23">
        <v>8</v>
      </c>
      <c r="P23">
        <v>59</v>
      </c>
      <c r="Q23">
        <v>5</v>
      </c>
      <c r="R23">
        <v>123</v>
      </c>
      <c r="S23">
        <v>134.69999999999999</v>
      </c>
      <c r="T23" t="s">
        <v>37</v>
      </c>
      <c r="U23" s="3"/>
      <c r="V23" s="3"/>
      <c r="W23" s="3"/>
    </row>
    <row r="24" spans="1:23">
      <c r="A24" t="s">
        <v>146</v>
      </c>
      <c r="B24" t="s">
        <v>147</v>
      </c>
      <c r="C24" t="s">
        <v>22</v>
      </c>
      <c r="D24" t="s">
        <v>148</v>
      </c>
      <c r="E24" s="2">
        <v>45425</v>
      </c>
      <c r="F24" s="2">
        <v>45435</v>
      </c>
      <c r="G24" t="s">
        <v>105</v>
      </c>
      <c r="H24" t="s">
        <v>32</v>
      </c>
      <c r="I24" t="s">
        <v>119</v>
      </c>
      <c r="J24" t="s">
        <v>34</v>
      </c>
      <c r="K24" t="s">
        <v>27</v>
      </c>
      <c r="L24">
        <v>249166.29</v>
      </c>
      <c r="M24">
        <v>179228.71</v>
      </c>
      <c r="N24" t="s">
        <v>73</v>
      </c>
      <c r="O24">
        <v>10</v>
      </c>
      <c r="P24">
        <v>184</v>
      </c>
      <c r="R24">
        <v>124</v>
      </c>
      <c r="S24">
        <v>128.30000000000001</v>
      </c>
      <c r="T24" t="s">
        <v>47</v>
      </c>
      <c r="U24" s="3"/>
      <c r="V24" s="3"/>
      <c r="W24" s="3"/>
    </row>
    <row r="25" spans="1:23">
      <c r="A25" t="s">
        <v>149</v>
      </c>
      <c r="B25" t="s">
        <v>150</v>
      </c>
      <c r="C25" t="s">
        <v>151</v>
      </c>
      <c r="D25" s="2">
        <v>37721</v>
      </c>
      <c r="E25" s="2">
        <v>45392</v>
      </c>
      <c r="F25" s="2">
        <v>45404</v>
      </c>
      <c r="G25" t="s">
        <v>152</v>
      </c>
      <c r="H25" t="s">
        <v>153</v>
      </c>
      <c r="I25" t="s">
        <v>53</v>
      </c>
      <c r="J25" t="s">
        <v>71</v>
      </c>
      <c r="K25" t="s">
        <v>55</v>
      </c>
      <c r="L25">
        <v>13765.14</v>
      </c>
      <c r="M25">
        <v>11920.72</v>
      </c>
      <c r="N25" t="s">
        <v>73</v>
      </c>
      <c r="O25">
        <v>12</v>
      </c>
      <c r="P25">
        <v>183</v>
      </c>
      <c r="Q25">
        <v>3</v>
      </c>
      <c r="R25">
        <v>171</v>
      </c>
      <c r="S25">
        <v>235</v>
      </c>
      <c r="T25" t="s">
        <v>37</v>
      </c>
      <c r="U25" s="3"/>
      <c r="V25" s="3"/>
      <c r="W25" s="3"/>
    </row>
    <row r="26" spans="1:23">
      <c r="A26" t="s">
        <v>154</v>
      </c>
      <c r="B26" t="s">
        <v>155</v>
      </c>
      <c r="C26" t="s">
        <v>156</v>
      </c>
      <c r="D26" s="2">
        <v>21635</v>
      </c>
      <c r="E26" t="s">
        <v>157</v>
      </c>
      <c r="F26" s="2">
        <v>45552</v>
      </c>
      <c r="G26" t="s">
        <v>114</v>
      </c>
      <c r="H26" t="s">
        <v>95</v>
      </c>
      <c r="I26" t="s">
        <v>79</v>
      </c>
      <c r="K26" t="s">
        <v>114</v>
      </c>
      <c r="L26">
        <v>150041.39000000001</v>
      </c>
      <c r="M26">
        <v>103668.93</v>
      </c>
      <c r="N26" t="s">
        <v>192</v>
      </c>
      <c r="O26">
        <v>3</v>
      </c>
      <c r="P26">
        <v>138</v>
      </c>
      <c r="Q26">
        <v>4</v>
      </c>
      <c r="R26">
        <v>147</v>
      </c>
      <c r="S26">
        <v>242.6</v>
      </c>
      <c r="T26" t="s">
        <v>65</v>
      </c>
      <c r="U26" s="3"/>
      <c r="V26" s="3"/>
      <c r="W26" s="3"/>
    </row>
    <row r="27" spans="1:23">
      <c r="A27" t="s">
        <v>158</v>
      </c>
      <c r="B27" t="s">
        <v>159</v>
      </c>
      <c r="C27" t="s">
        <v>60</v>
      </c>
      <c r="D27" s="2">
        <v>18459</v>
      </c>
      <c r="E27" s="2">
        <v>45889</v>
      </c>
      <c r="G27" t="s">
        <v>109</v>
      </c>
      <c r="H27" t="s">
        <v>160</v>
      </c>
      <c r="I27" t="s">
        <v>96</v>
      </c>
      <c r="J27" t="s">
        <v>34</v>
      </c>
      <c r="K27" t="s">
        <v>161</v>
      </c>
      <c r="L27">
        <v>20116.990000000002</v>
      </c>
      <c r="M27">
        <v>19657.79</v>
      </c>
      <c r="N27" t="s">
        <v>162</v>
      </c>
      <c r="O27">
        <v>10</v>
      </c>
      <c r="P27">
        <v>206</v>
      </c>
      <c r="Q27">
        <v>4</v>
      </c>
      <c r="R27">
        <v>144</v>
      </c>
      <c r="S27">
        <v>91.8</v>
      </c>
      <c r="T27" t="s">
        <v>47</v>
      </c>
      <c r="U27" s="3"/>
      <c r="V27" s="3"/>
      <c r="W27" s="3"/>
    </row>
    <row r="28" spans="1:23">
      <c r="A28" t="s">
        <v>163</v>
      </c>
      <c r="B28" t="s">
        <v>164</v>
      </c>
      <c r="C28" t="s">
        <v>84</v>
      </c>
      <c r="D28" s="2">
        <v>30909</v>
      </c>
      <c r="E28" s="2">
        <v>45091</v>
      </c>
      <c r="F28" t="s">
        <v>165</v>
      </c>
      <c r="G28" t="s">
        <v>31</v>
      </c>
      <c r="H28" t="s">
        <v>63</v>
      </c>
      <c r="I28" t="s">
        <v>96</v>
      </c>
      <c r="J28" t="s">
        <v>166</v>
      </c>
      <c r="K28" t="s">
        <v>110</v>
      </c>
      <c r="L28">
        <v>25103.4</v>
      </c>
      <c r="M28">
        <v>20287.8</v>
      </c>
      <c r="N28" t="s">
        <v>35</v>
      </c>
      <c r="O28">
        <v>2</v>
      </c>
      <c r="P28">
        <v>152</v>
      </c>
      <c r="Q28">
        <v>1</v>
      </c>
      <c r="R28">
        <v>187</v>
      </c>
      <c r="S28">
        <v>197.7</v>
      </c>
      <c r="T28" t="s">
        <v>127</v>
      </c>
      <c r="U28" s="3"/>
      <c r="V28" s="3"/>
      <c r="W28" s="3"/>
    </row>
    <row r="29" spans="1:23">
      <c r="A29" t="s">
        <v>167</v>
      </c>
      <c r="B29" t="s">
        <v>168</v>
      </c>
      <c r="C29" t="s">
        <v>40</v>
      </c>
      <c r="D29" t="s">
        <v>169</v>
      </c>
      <c r="E29" s="2">
        <v>45770</v>
      </c>
      <c r="F29" s="2">
        <v>45786</v>
      </c>
      <c r="G29" t="s">
        <v>43</v>
      </c>
      <c r="I29" t="s">
        <v>25</v>
      </c>
      <c r="J29" t="s">
        <v>34</v>
      </c>
      <c r="K29" t="s">
        <v>55</v>
      </c>
      <c r="L29">
        <v>24294.799999999999</v>
      </c>
      <c r="M29">
        <v>19362.52</v>
      </c>
      <c r="O29">
        <v>16</v>
      </c>
      <c r="P29">
        <v>202</v>
      </c>
      <c r="Q29">
        <v>4</v>
      </c>
      <c r="R29">
        <v>155</v>
      </c>
      <c r="S29">
        <v>226.7</v>
      </c>
      <c r="T29" t="s">
        <v>37</v>
      </c>
      <c r="U29" s="3"/>
      <c r="V29" s="3"/>
      <c r="W29" s="3"/>
    </row>
    <row r="30" spans="1:23">
      <c r="A30" t="s">
        <v>170</v>
      </c>
      <c r="B30" t="s">
        <v>171</v>
      </c>
      <c r="C30" t="s">
        <v>133</v>
      </c>
      <c r="D30" s="2">
        <v>33172</v>
      </c>
      <c r="E30" s="2">
        <v>45417</v>
      </c>
      <c r="F30" s="2">
        <v>45423</v>
      </c>
      <c r="G30" t="s">
        <v>152</v>
      </c>
      <c r="H30" t="s">
        <v>95</v>
      </c>
      <c r="I30" t="s">
        <v>79</v>
      </c>
      <c r="J30" t="s">
        <v>26</v>
      </c>
      <c r="K30" t="s">
        <v>55</v>
      </c>
      <c r="L30">
        <v>58113.41</v>
      </c>
      <c r="M30">
        <v>48724.28</v>
      </c>
      <c r="N30" t="s">
        <v>56</v>
      </c>
      <c r="O30">
        <v>6</v>
      </c>
      <c r="P30">
        <v>35</v>
      </c>
      <c r="Q30">
        <v>3</v>
      </c>
      <c r="R30">
        <v>153</v>
      </c>
      <c r="S30">
        <v>247.2</v>
      </c>
      <c r="T30" t="s">
        <v>65</v>
      </c>
      <c r="U30" s="3"/>
      <c r="V30" s="3"/>
      <c r="W30" s="3"/>
    </row>
    <row r="31" spans="1:23">
      <c r="A31" t="s">
        <v>172</v>
      </c>
      <c r="B31" t="s">
        <v>173</v>
      </c>
      <c r="C31" t="s">
        <v>30</v>
      </c>
      <c r="D31" s="2">
        <v>26185</v>
      </c>
      <c r="E31" s="2">
        <v>44932</v>
      </c>
      <c r="F31" t="s">
        <v>174</v>
      </c>
      <c r="H31" t="s">
        <v>118</v>
      </c>
      <c r="J31" t="s">
        <v>97</v>
      </c>
      <c r="K31" t="s">
        <v>27</v>
      </c>
      <c r="L31" t="s">
        <v>175</v>
      </c>
      <c r="M31">
        <v>86275.35</v>
      </c>
      <c r="N31" t="s">
        <v>91</v>
      </c>
      <c r="O31">
        <v>10</v>
      </c>
      <c r="P31">
        <v>146</v>
      </c>
      <c r="R31">
        <v>138</v>
      </c>
      <c r="S31">
        <v>156.5</v>
      </c>
      <c r="T31" t="s">
        <v>65</v>
      </c>
      <c r="U31" s="3"/>
      <c r="V31" s="3"/>
      <c r="W31" s="3"/>
    </row>
    <row r="32" spans="1:23">
      <c r="A32" t="s">
        <v>176</v>
      </c>
      <c r="B32" t="s">
        <v>177</v>
      </c>
      <c r="C32" t="s">
        <v>133</v>
      </c>
      <c r="D32" s="2">
        <v>21447</v>
      </c>
      <c r="E32" t="s">
        <v>178</v>
      </c>
      <c r="F32" s="2">
        <v>45610</v>
      </c>
      <c r="G32" t="s">
        <v>77</v>
      </c>
      <c r="H32" t="s">
        <v>52</v>
      </c>
      <c r="J32" t="s">
        <v>179</v>
      </c>
      <c r="K32" t="s">
        <v>55</v>
      </c>
      <c r="L32">
        <v>181304.85</v>
      </c>
      <c r="M32">
        <v>165570.47</v>
      </c>
      <c r="N32" t="s">
        <v>73</v>
      </c>
      <c r="O32">
        <v>4</v>
      </c>
      <c r="P32">
        <v>44</v>
      </c>
      <c r="Q32">
        <v>2</v>
      </c>
      <c r="R32">
        <v>150</v>
      </c>
      <c r="S32">
        <v>218.5</v>
      </c>
      <c r="T32" t="s">
        <v>65</v>
      </c>
      <c r="U32" s="3"/>
      <c r="V32" s="3"/>
      <c r="W32" s="3"/>
    </row>
    <row r="33" spans="1:23">
      <c r="A33" t="s">
        <v>180</v>
      </c>
      <c r="B33" t="s">
        <v>181</v>
      </c>
      <c r="C33" t="s">
        <v>40</v>
      </c>
      <c r="D33" s="2">
        <v>24068</v>
      </c>
      <c r="E33" s="2">
        <v>45515</v>
      </c>
      <c r="F33" t="s">
        <v>182</v>
      </c>
      <c r="G33" t="s">
        <v>43</v>
      </c>
      <c r="H33" t="s">
        <v>52</v>
      </c>
      <c r="I33" t="s">
        <v>33</v>
      </c>
      <c r="J33" t="s">
        <v>34</v>
      </c>
      <c r="K33" t="s">
        <v>183</v>
      </c>
      <c r="L33">
        <v>43675.28</v>
      </c>
      <c r="M33">
        <v>42409.89</v>
      </c>
      <c r="N33" t="s">
        <v>192</v>
      </c>
      <c r="O33">
        <v>8</v>
      </c>
      <c r="P33">
        <v>16</v>
      </c>
      <c r="Q33">
        <v>5</v>
      </c>
      <c r="R33">
        <v>97</v>
      </c>
      <c r="S33">
        <v>125.7</v>
      </c>
      <c r="T33" t="s">
        <v>65</v>
      </c>
      <c r="U33" s="3"/>
      <c r="V33" s="3"/>
      <c r="W33" s="3"/>
    </row>
    <row r="34" spans="1:23">
      <c r="A34" t="s">
        <v>184</v>
      </c>
      <c r="B34" t="s">
        <v>185</v>
      </c>
      <c r="C34" t="s">
        <v>100</v>
      </c>
      <c r="D34" s="2">
        <v>29168</v>
      </c>
      <c r="E34" s="2">
        <v>45868</v>
      </c>
      <c r="F34" s="2">
        <v>45877</v>
      </c>
      <c r="G34" t="s">
        <v>70</v>
      </c>
      <c r="H34" t="s">
        <v>32</v>
      </c>
      <c r="I34" t="s">
        <v>96</v>
      </c>
      <c r="J34" t="s">
        <v>186</v>
      </c>
      <c r="L34">
        <v>41598.97</v>
      </c>
      <c r="M34">
        <v>38869.75</v>
      </c>
      <c r="N34" t="s">
        <v>56</v>
      </c>
      <c r="O34">
        <v>9</v>
      </c>
      <c r="P34">
        <v>155</v>
      </c>
      <c r="Q34">
        <v>5</v>
      </c>
      <c r="R34">
        <v>171</v>
      </c>
      <c r="S34">
        <v>252.8</v>
      </c>
      <c r="U34" s="3"/>
      <c r="V34" s="3"/>
      <c r="W34" s="3"/>
    </row>
    <row r="35" spans="1:23">
      <c r="A35" t="s">
        <v>187</v>
      </c>
      <c r="B35" t="s">
        <v>164</v>
      </c>
      <c r="C35" t="s">
        <v>133</v>
      </c>
      <c r="D35" t="s">
        <v>188</v>
      </c>
      <c r="E35" t="s">
        <v>189</v>
      </c>
      <c r="F35" s="2">
        <v>45043</v>
      </c>
      <c r="G35" t="s">
        <v>190</v>
      </c>
      <c r="H35" t="s">
        <v>78</v>
      </c>
      <c r="I35" t="s">
        <v>45</v>
      </c>
      <c r="K35" t="s">
        <v>191</v>
      </c>
      <c r="L35">
        <v>200978.16</v>
      </c>
      <c r="M35">
        <v>179068.6</v>
      </c>
      <c r="N35" t="s">
        <v>192</v>
      </c>
      <c r="O35">
        <v>16</v>
      </c>
      <c r="P35" t="s">
        <v>36</v>
      </c>
      <c r="Q35">
        <v>5</v>
      </c>
      <c r="R35">
        <v>176</v>
      </c>
      <c r="S35">
        <v>213.6</v>
      </c>
      <c r="U35" s="3"/>
      <c r="V35" s="3"/>
      <c r="W35" s="3"/>
    </row>
    <row r="36" spans="1:23">
      <c r="A36" t="s">
        <v>193</v>
      </c>
      <c r="B36" t="s">
        <v>194</v>
      </c>
      <c r="C36" t="s">
        <v>60</v>
      </c>
      <c r="D36" s="2">
        <v>36781</v>
      </c>
      <c r="E36" s="2">
        <v>46014</v>
      </c>
      <c r="F36" s="2">
        <v>46031</v>
      </c>
      <c r="H36" t="s">
        <v>124</v>
      </c>
      <c r="I36" t="s">
        <v>96</v>
      </c>
      <c r="J36" t="s">
        <v>34</v>
      </c>
      <c r="K36" t="s">
        <v>55</v>
      </c>
      <c r="M36">
        <v>223533.28</v>
      </c>
      <c r="N36" t="s">
        <v>91</v>
      </c>
      <c r="O36">
        <v>17</v>
      </c>
      <c r="P36">
        <v>91</v>
      </c>
      <c r="Q36">
        <v>2</v>
      </c>
      <c r="R36">
        <v>149</v>
      </c>
      <c r="S36">
        <v>252.9</v>
      </c>
      <c r="T36" t="s">
        <v>47</v>
      </c>
      <c r="U36" s="3"/>
      <c r="V36" s="3"/>
      <c r="W36" s="3"/>
    </row>
    <row r="37" spans="1:23">
      <c r="A37" t="s">
        <v>195</v>
      </c>
      <c r="B37" t="s">
        <v>49</v>
      </c>
      <c r="C37" t="s">
        <v>196</v>
      </c>
      <c r="D37" s="2">
        <v>20767</v>
      </c>
      <c r="E37" s="2">
        <v>45892</v>
      </c>
      <c r="F37" s="2">
        <v>45893</v>
      </c>
      <c r="G37" t="s">
        <v>89</v>
      </c>
      <c r="H37" t="s">
        <v>63</v>
      </c>
      <c r="I37" t="s">
        <v>45</v>
      </c>
      <c r="J37" t="s">
        <v>197</v>
      </c>
      <c r="L37">
        <v>159762.47</v>
      </c>
      <c r="M37">
        <v>147648.56</v>
      </c>
      <c r="N37" t="s">
        <v>56</v>
      </c>
      <c r="O37">
        <v>1</v>
      </c>
      <c r="P37">
        <v>82</v>
      </c>
      <c r="Q37">
        <v>4</v>
      </c>
      <c r="R37">
        <v>104</v>
      </c>
      <c r="S37">
        <v>96.6</v>
      </c>
      <c r="T37" t="s">
        <v>37</v>
      </c>
      <c r="U37" s="3"/>
      <c r="V37" s="3"/>
      <c r="W37" s="3"/>
    </row>
    <row r="38" spans="1:23">
      <c r="A38" t="s">
        <v>198</v>
      </c>
      <c r="B38" t="s">
        <v>199</v>
      </c>
      <c r="C38" t="s">
        <v>30</v>
      </c>
      <c r="D38" s="2">
        <v>33296</v>
      </c>
      <c r="E38" s="2">
        <v>45929</v>
      </c>
      <c r="F38" t="s">
        <v>200</v>
      </c>
      <c r="G38" t="s">
        <v>109</v>
      </c>
      <c r="H38" t="s">
        <v>24</v>
      </c>
      <c r="I38" t="s">
        <v>119</v>
      </c>
      <c r="J38" t="s">
        <v>80</v>
      </c>
      <c r="K38" t="s">
        <v>55</v>
      </c>
      <c r="L38">
        <v>112237.31</v>
      </c>
      <c r="M38">
        <v>107370.15</v>
      </c>
      <c r="N38" t="s">
        <v>73</v>
      </c>
      <c r="O38">
        <v>14</v>
      </c>
      <c r="P38">
        <v>30</v>
      </c>
      <c r="Q38">
        <v>5</v>
      </c>
      <c r="S38">
        <v>241.3</v>
      </c>
      <c r="U38" s="3"/>
      <c r="V38" s="3"/>
      <c r="W38" s="3"/>
    </row>
    <row r="39" spans="1:23">
      <c r="A39" t="s">
        <v>201</v>
      </c>
      <c r="B39" t="s">
        <v>202</v>
      </c>
      <c r="C39" t="s">
        <v>60</v>
      </c>
      <c r="D39" s="2">
        <v>36806</v>
      </c>
      <c r="E39" t="s">
        <v>203</v>
      </c>
      <c r="F39" s="2">
        <v>45085</v>
      </c>
      <c r="G39" t="s">
        <v>94</v>
      </c>
      <c r="I39" t="s">
        <v>45</v>
      </c>
      <c r="J39" t="s">
        <v>204</v>
      </c>
      <c r="K39" t="s">
        <v>55</v>
      </c>
      <c r="M39">
        <v>122467.06</v>
      </c>
      <c r="N39" t="s">
        <v>73</v>
      </c>
      <c r="O39">
        <v>18</v>
      </c>
      <c r="P39">
        <v>224</v>
      </c>
      <c r="Q39">
        <v>3</v>
      </c>
      <c r="R39">
        <v>106</v>
      </c>
      <c r="S39">
        <v>172.6</v>
      </c>
      <c r="T39" t="s">
        <v>47</v>
      </c>
      <c r="U39" s="3"/>
      <c r="V39" s="3"/>
      <c r="W39" s="3"/>
    </row>
    <row r="40" spans="1:23">
      <c r="A40" t="s">
        <v>205</v>
      </c>
      <c r="B40" t="s">
        <v>83</v>
      </c>
      <c r="C40" t="s">
        <v>206</v>
      </c>
      <c r="D40" s="2">
        <v>36328</v>
      </c>
      <c r="E40" s="2">
        <v>45150</v>
      </c>
      <c r="F40" s="2">
        <v>45165</v>
      </c>
      <c r="G40" t="s">
        <v>117</v>
      </c>
      <c r="H40" t="s">
        <v>207</v>
      </c>
      <c r="I40" t="s">
        <v>96</v>
      </c>
      <c r="J40" t="s">
        <v>34</v>
      </c>
      <c r="K40" t="s">
        <v>120</v>
      </c>
      <c r="L40">
        <v>161726.82</v>
      </c>
      <c r="M40">
        <v>116159.9</v>
      </c>
      <c r="O40">
        <v>15</v>
      </c>
      <c r="P40">
        <v>127</v>
      </c>
      <c r="Q40">
        <v>4</v>
      </c>
      <c r="R40">
        <v>144</v>
      </c>
      <c r="S40">
        <v>200.4</v>
      </c>
      <c r="T40" t="s">
        <v>37</v>
      </c>
      <c r="U40" s="3"/>
      <c r="V40" s="3"/>
      <c r="W40" s="3"/>
    </row>
    <row r="41" spans="1:23">
      <c r="A41" t="s">
        <v>208</v>
      </c>
      <c r="B41" t="s">
        <v>93</v>
      </c>
      <c r="C41" t="s">
        <v>84</v>
      </c>
      <c r="D41" s="2">
        <v>32328</v>
      </c>
      <c r="E41" s="2">
        <v>45161</v>
      </c>
      <c r="F41" s="2">
        <v>45179</v>
      </c>
      <c r="G41" t="s">
        <v>94</v>
      </c>
      <c r="H41" t="s">
        <v>134</v>
      </c>
      <c r="J41" t="s">
        <v>80</v>
      </c>
      <c r="K41" t="s">
        <v>72</v>
      </c>
      <c r="L41">
        <v>104918.86</v>
      </c>
      <c r="M41">
        <v>81693.820000000007</v>
      </c>
      <c r="N41" t="s">
        <v>56</v>
      </c>
      <c r="O41">
        <v>18</v>
      </c>
      <c r="P41">
        <v>191</v>
      </c>
      <c r="Q41">
        <v>2</v>
      </c>
      <c r="R41">
        <v>130</v>
      </c>
      <c r="S41">
        <v>151.1</v>
      </c>
      <c r="U41" s="3"/>
      <c r="V41" s="3"/>
      <c r="W41" s="3"/>
    </row>
    <row r="42" spans="1:23">
      <c r="A42" t="s">
        <v>209</v>
      </c>
      <c r="B42" t="s">
        <v>181</v>
      </c>
      <c r="C42" t="s">
        <v>84</v>
      </c>
      <c r="D42" s="2">
        <v>31220</v>
      </c>
      <c r="E42" t="s">
        <v>210</v>
      </c>
      <c r="F42" s="2">
        <v>45191</v>
      </c>
      <c r="G42" t="s">
        <v>141</v>
      </c>
      <c r="H42" t="s">
        <v>78</v>
      </c>
      <c r="I42" t="s">
        <v>79</v>
      </c>
      <c r="J42" t="s">
        <v>179</v>
      </c>
      <c r="K42" t="s">
        <v>120</v>
      </c>
      <c r="L42" t="s">
        <v>211</v>
      </c>
      <c r="M42">
        <v>173003.04</v>
      </c>
      <c r="N42" t="s">
        <v>91</v>
      </c>
      <c r="O42">
        <v>14</v>
      </c>
      <c r="P42">
        <v>31</v>
      </c>
      <c r="R42" t="s">
        <v>212</v>
      </c>
      <c r="S42">
        <v>99.4</v>
      </c>
      <c r="T42" t="s">
        <v>37</v>
      </c>
      <c r="U42" s="3"/>
      <c r="V42" s="3"/>
      <c r="W42" s="3"/>
    </row>
    <row r="43" spans="1:23">
      <c r="A43" t="s">
        <v>213</v>
      </c>
      <c r="B43" t="s">
        <v>88</v>
      </c>
      <c r="D43" s="2">
        <v>40144</v>
      </c>
      <c r="E43" s="2">
        <v>45474</v>
      </c>
      <c r="F43" t="s">
        <v>214</v>
      </c>
      <c r="G43" t="s">
        <v>31</v>
      </c>
      <c r="H43" t="s">
        <v>78</v>
      </c>
      <c r="I43" t="s">
        <v>96</v>
      </c>
      <c r="J43" t="s">
        <v>46</v>
      </c>
      <c r="K43" t="s">
        <v>120</v>
      </c>
      <c r="L43">
        <v>89378.3</v>
      </c>
      <c r="M43">
        <v>85888.86</v>
      </c>
      <c r="N43" t="s">
        <v>35</v>
      </c>
      <c r="O43">
        <v>1</v>
      </c>
      <c r="P43">
        <v>149</v>
      </c>
      <c r="Q43">
        <v>4</v>
      </c>
      <c r="R43">
        <v>98</v>
      </c>
      <c r="S43">
        <v>97</v>
      </c>
      <c r="U43" s="3"/>
      <c r="V43" s="3"/>
      <c r="W43" s="3"/>
    </row>
    <row r="44" spans="1:23">
      <c r="A44" t="s">
        <v>215</v>
      </c>
      <c r="B44" t="s">
        <v>216</v>
      </c>
      <c r="C44" t="s">
        <v>60</v>
      </c>
      <c r="D44" s="2">
        <v>36070</v>
      </c>
      <c r="E44" s="2">
        <v>45094</v>
      </c>
      <c r="F44" s="2">
        <v>45103</v>
      </c>
      <c r="G44" t="s">
        <v>43</v>
      </c>
      <c r="J44" t="s">
        <v>34</v>
      </c>
      <c r="K44" t="s">
        <v>161</v>
      </c>
      <c r="L44">
        <v>70108.789999999994</v>
      </c>
      <c r="M44">
        <v>46323.03</v>
      </c>
      <c r="O44">
        <v>9</v>
      </c>
      <c r="P44">
        <v>115</v>
      </c>
      <c r="Q44">
        <v>2</v>
      </c>
      <c r="R44">
        <v>126</v>
      </c>
      <c r="S44">
        <v>198.9</v>
      </c>
      <c r="T44" t="s">
        <v>37</v>
      </c>
      <c r="U44" s="3"/>
      <c r="V44" s="3"/>
      <c r="W44" s="3"/>
    </row>
    <row r="45" spans="1:23">
      <c r="A45" t="s">
        <v>217</v>
      </c>
      <c r="B45" t="s">
        <v>218</v>
      </c>
      <c r="C45" t="s">
        <v>30</v>
      </c>
      <c r="D45" s="2">
        <v>22353</v>
      </c>
      <c r="E45" s="2">
        <v>46017</v>
      </c>
      <c r="F45" t="s">
        <v>219</v>
      </c>
      <c r="I45" t="s">
        <v>119</v>
      </c>
      <c r="J45" t="s">
        <v>26</v>
      </c>
      <c r="K45" t="s">
        <v>55</v>
      </c>
      <c r="L45">
        <v>100775.12</v>
      </c>
      <c r="M45">
        <v>61048.27</v>
      </c>
      <c r="N45" t="s">
        <v>192</v>
      </c>
      <c r="O45">
        <v>8</v>
      </c>
      <c r="P45">
        <v>9</v>
      </c>
      <c r="R45">
        <v>99</v>
      </c>
      <c r="S45">
        <v>233.8</v>
      </c>
      <c r="T45" t="s">
        <v>37</v>
      </c>
      <c r="U45" s="3"/>
      <c r="V45" s="3"/>
      <c r="W45" s="3"/>
    </row>
    <row r="46" spans="1:23">
      <c r="A46" t="s">
        <v>220</v>
      </c>
      <c r="B46" t="s">
        <v>221</v>
      </c>
      <c r="C46" t="s">
        <v>40</v>
      </c>
      <c r="D46" s="2">
        <v>23942</v>
      </c>
      <c r="E46" t="s">
        <v>222</v>
      </c>
      <c r="H46" t="s">
        <v>44</v>
      </c>
      <c r="I46" t="s">
        <v>119</v>
      </c>
      <c r="J46" t="s">
        <v>80</v>
      </c>
      <c r="K46" t="s">
        <v>110</v>
      </c>
      <c r="L46">
        <v>84934.48</v>
      </c>
      <c r="M46">
        <v>61400.31</v>
      </c>
      <c r="N46" t="s">
        <v>73</v>
      </c>
      <c r="O46">
        <v>17</v>
      </c>
      <c r="P46">
        <v>167</v>
      </c>
      <c r="Q46">
        <v>2</v>
      </c>
      <c r="R46">
        <v>157</v>
      </c>
      <c r="S46">
        <v>166.9</v>
      </c>
      <c r="T46" t="s">
        <v>65</v>
      </c>
      <c r="U46" s="3"/>
      <c r="V46" s="3"/>
      <c r="W46" s="3"/>
    </row>
    <row r="47" spans="1:23">
      <c r="A47" t="s">
        <v>223</v>
      </c>
      <c r="B47" t="s">
        <v>224</v>
      </c>
      <c r="D47" s="2">
        <v>28813</v>
      </c>
      <c r="E47" t="s">
        <v>225</v>
      </c>
      <c r="F47" s="2">
        <v>45599</v>
      </c>
      <c r="G47" t="s">
        <v>161</v>
      </c>
      <c r="H47" t="s">
        <v>226</v>
      </c>
      <c r="J47" t="s">
        <v>71</v>
      </c>
      <c r="K47" t="s">
        <v>72</v>
      </c>
      <c r="L47">
        <v>199591.6</v>
      </c>
      <c r="M47">
        <v>128769.81</v>
      </c>
      <c r="N47" t="s">
        <v>35</v>
      </c>
      <c r="O47" t="s">
        <v>227</v>
      </c>
      <c r="P47">
        <v>134</v>
      </c>
      <c r="Q47">
        <v>2</v>
      </c>
      <c r="R47">
        <v>129</v>
      </c>
      <c r="S47">
        <v>157.69999999999999</v>
      </c>
      <c r="T47" t="s">
        <v>37</v>
      </c>
      <c r="U47" s="3"/>
      <c r="V47" s="3"/>
      <c r="W47" s="3"/>
    </row>
    <row r="48" spans="1:23">
      <c r="A48" t="s">
        <v>228</v>
      </c>
      <c r="B48" t="s">
        <v>229</v>
      </c>
      <c r="D48" s="2">
        <v>33339</v>
      </c>
      <c r="E48" s="2">
        <v>45901</v>
      </c>
      <c r="F48" s="2">
        <v>45918</v>
      </c>
      <c r="G48" t="s">
        <v>152</v>
      </c>
      <c r="H48" t="s">
        <v>32</v>
      </c>
      <c r="I48" t="s">
        <v>33</v>
      </c>
      <c r="J48" t="s">
        <v>46</v>
      </c>
      <c r="K48" t="s">
        <v>72</v>
      </c>
      <c r="L48">
        <v>245640.43</v>
      </c>
      <c r="M48">
        <v>209129.59</v>
      </c>
      <c r="N48" t="s">
        <v>192</v>
      </c>
      <c r="O48">
        <v>17</v>
      </c>
      <c r="P48">
        <v>49</v>
      </c>
      <c r="Q48">
        <v>1</v>
      </c>
      <c r="R48">
        <v>121</v>
      </c>
      <c r="S48">
        <v>204.4</v>
      </c>
      <c r="T48" t="s">
        <v>37</v>
      </c>
      <c r="U48" s="3"/>
      <c r="V48" s="3"/>
      <c r="W48" s="3"/>
    </row>
    <row r="49" spans="1:23">
      <c r="A49" t="s">
        <v>230</v>
      </c>
      <c r="B49" t="s">
        <v>164</v>
      </c>
      <c r="C49" t="s">
        <v>22</v>
      </c>
      <c r="D49" s="2">
        <v>35389</v>
      </c>
      <c r="E49" s="2">
        <v>45234</v>
      </c>
      <c r="F49" s="2">
        <v>45245</v>
      </c>
      <c r="G49" t="s">
        <v>141</v>
      </c>
      <c r="H49" t="s">
        <v>124</v>
      </c>
      <c r="I49" t="s">
        <v>119</v>
      </c>
      <c r="J49" t="s">
        <v>71</v>
      </c>
      <c r="K49" t="s">
        <v>110</v>
      </c>
      <c r="L49">
        <v>242004.89</v>
      </c>
      <c r="M49">
        <v>184854.1</v>
      </c>
      <c r="N49" t="s">
        <v>73</v>
      </c>
      <c r="O49">
        <v>11</v>
      </c>
      <c r="P49">
        <v>38</v>
      </c>
      <c r="Q49">
        <v>2</v>
      </c>
      <c r="R49">
        <v>129</v>
      </c>
      <c r="S49">
        <v>176.2</v>
      </c>
      <c r="U49" s="3"/>
      <c r="V49" s="3"/>
      <c r="W49" s="3"/>
    </row>
    <row r="50" spans="1:23">
      <c r="A50" t="s">
        <v>231</v>
      </c>
      <c r="B50" t="s">
        <v>194</v>
      </c>
      <c r="C50" t="s">
        <v>50</v>
      </c>
      <c r="D50" s="2">
        <v>40397</v>
      </c>
      <c r="E50" s="2">
        <v>45390</v>
      </c>
      <c r="F50" t="s">
        <v>232</v>
      </c>
      <c r="G50" t="s">
        <v>109</v>
      </c>
      <c r="I50" t="s">
        <v>33</v>
      </c>
      <c r="J50" t="s">
        <v>64</v>
      </c>
      <c r="K50" t="s">
        <v>110</v>
      </c>
      <c r="L50">
        <v>193291.49</v>
      </c>
      <c r="M50">
        <v>158564.54</v>
      </c>
      <c r="N50" t="s">
        <v>192</v>
      </c>
      <c r="O50">
        <v>5</v>
      </c>
      <c r="P50">
        <v>14</v>
      </c>
      <c r="Q50">
        <v>5</v>
      </c>
      <c r="R50">
        <v>188</v>
      </c>
      <c r="S50">
        <v>187.4</v>
      </c>
      <c r="T50" t="s">
        <v>37</v>
      </c>
      <c r="U50" s="3"/>
      <c r="V50" s="3"/>
      <c r="W50" s="3"/>
    </row>
    <row r="51" spans="1:23">
      <c r="A51" t="s">
        <v>233</v>
      </c>
      <c r="B51" t="s">
        <v>234</v>
      </c>
      <c r="C51" t="s">
        <v>22</v>
      </c>
      <c r="D51" s="2">
        <v>36155</v>
      </c>
      <c r="E51" s="2">
        <v>45846</v>
      </c>
      <c r="F51" t="s">
        <v>235</v>
      </c>
      <c r="G51" t="s">
        <v>109</v>
      </c>
      <c r="H51" t="s">
        <v>78</v>
      </c>
      <c r="J51" t="s">
        <v>80</v>
      </c>
      <c r="K51" t="s">
        <v>110</v>
      </c>
      <c r="L51">
        <v>93540.64</v>
      </c>
      <c r="M51">
        <v>83793.59</v>
      </c>
      <c r="N51" t="s">
        <v>192</v>
      </c>
      <c r="O51" t="s">
        <v>236</v>
      </c>
      <c r="P51">
        <v>123</v>
      </c>
      <c r="Q51">
        <v>5</v>
      </c>
      <c r="R51">
        <v>189</v>
      </c>
      <c r="S51">
        <v>142.6</v>
      </c>
      <c r="T51" t="s">
        <v>37</v>
      </c>
      <c r="U51" s="3"/>
      <c r="V51" s="3"/>
      <c r="W51" s="3"/>
    </row>
    <row r="52" spans="1:23">
      <c r="A52" t="s">
        <v>237</v>
      </c>
      <c r="B52" t="s">
        <v>238</v>
      </c>
      <c r="D52" t="s">
        <v>239</v>
      </c>
      <c r="E52" s="2">
        <v>45847</v>
      </c>
      <c r="F52" s="2">
        <v>45864</v>
      </c>
      <c r="G52" t="s">
        <v>43</v>
      </c>
      <c r="H52" t="s">
        <v>52</v>
      </c>
      <c r="I52" t="s">
        <v>45</v>
      </c>
      <c r="J52" t="s">
        <v>34</v>
      </c>
      <c r="K52" t="s">
        <v>27</v>
      </c>
      <c r="L52">
        <v>221445.87</v>
      </c>
      <c r="M52">
        <v>182575.27</v>
      </c>
      <c r="N52" t="s">
        <v>73</v>
      </c>
      <c r="O52">
        <v>17</v>
      </c>
      <c r="P52">
        <v>106</v>
      </c>
      <c r="R52">
        <v>137</v>
      </c>
      <c r="S52">
        <v>114.8</v>
      </c>
      <c r="T52" t="s">
        <v>37</v>
      </c>
      <c r="U52" s="3"/>
      <c r="V52" s="3"/>
      <c r="W52" s="3"/>
    </row>
    <row r="53" spans="1:23">
      <c r="A53" t="s">
        <v>240</v>
      </c>
      <c r="B53" t="s">
        <v>241</v>
      </c>
      <c r="C53" t="s">
        <v>206</v>
      </c>
      <c r="D53" t="s">
        <v>242</v>
      </c>
      <c r="E53" s="2">
        <v>45089</v>
      </c>
      <c r="F53" s="2">
        <v>45090</v>
      </c>
      <c r="I53" t="s">
        <v>79</v>
      </c>
      <c r="J53" t="s">
        <v>197</v>
      </c>
      <c r="K53" t="s">
        <v>120</v>
      </c>
      <c r="L53">
        <v>194602.73</v>
      </c>
      <c r="M53">
        <v>153803.35999999999</v>
      </c>
      <c r="O53">
        <v>1</v>
      </c>
      <c r="P53">
        <v>17</v>
      </c>
      <c r="Q53">
        <v>4</v>
      </c>
      <c r="R53">
        <v>143</v>
      </c>
      <c r="S53">
        <v>191.4</v>
      </c>
      <c r="T53" t="s">
        <v>37</v>
      </c>
      <c r="U53" s="3"/>
      <c r="V53" s="3"/>
      <c r="W53" s="3"/>
    </row>
    <row r="54" spans="1:23">
      <c r="A54" t="s">
        <v>243</v>
      </c>
      <c r="B54" t="s">
        <v>244</v>
      </c>
      <c r="C54" t="s">
        <v>30</v>
      </c>
      <c r="D54" s="2">
        <v>22607</v>
      </c>
      <c r="E54" t="s">
        <v>245</v>
      </c>
      <c r="F54" s="2">
        <v>45119</v>
      </c>
      <c r="G54" t="s">
        <v>161</v>
      </c>
      <c r="H54" t="s">
        <v>95</v>
      </c>
      <c r="I54" t="s">
        <v>25</v>
      </c>
      <c r="J54" t="s">
        <v>34</v>
      </c>
      <c r="K54" t="s">
        <v>27</v>
      </c>
      <c r="L54">
        <v>218649.53</v>
      </c>
      <c r="M54">
        <v>194751.41</v>
      </c>
      <c r="N54" t="s">
        <v>73</v>
      </c>
      <c r="O54">
        <v>17</v>
      </c>
      <c r="P54">
        <v>100</v>
      </c>
      <c r="Q54">
        <v>5</v>
      </c>
      <c r="R54">
        <v>185</v>
      </c>
      <c r="S54">
        <v>73.099999999999994</v>
      </c>
      <c r="T54" t="s">
        <v>37</v>
      </c>
      <c r="U54" s="3"/>
      <c r="V54" s="3"/>
      <c r="W54" s="3"/>
    </row>
    <row r="55" spans="1:23">
      <c r="A55" t="s">
        <v>246</v>
      </c>
      <c r="B55" t="s">
        <v>247</v>
      </c>
      <c r="D55" s="2">
        <v>32958</v>
      </c>
      <c r="E55" s="2">
        <v>45203</v>
      </c>
      <c r="F55" s="2">
        <v>45206</v>
      </c>
      <c r="G55" t="s">
        <v>77</v>
      </c>
      <c r="H55" t="s">
        <v>24</v>
      </c>
      <c r="I55" t="s">
        <v>96</v>
      </c>
      <c r="J55" t="s">
        <v>80</v>
      </c>
      <c r="K55" t="s">
        <v>161</v>
      </c>
      <c r="L55">
        <v>13342.05</v>
      </c>
      <c r="M55">
        <v>12884.91</v>
      </c>
      <c r="O55">
        <v>3</v>
      </c>
      <c r="P55">
        <v>85</v>
      </c>
      <c r="Q55">
        <v>5</v>
      </c>
      <c r="R55">
        <v>155</v>
      </c>
      <c r="S55">
        <v>145.69999999999999</v>
      </c>
      <c r="T55" t="s">
        <v>37</v>
      </c>
      <c r="U55" s="3"/>
      <c r="V55" s="3"/>
      <c r="W55" s="3"/>
    </row>
    <row r="56" spans="1:23">
      <c r="A56" t="s">
        <v>248</v>
      </c>
      <c r="B56" t="s">
        <v>249</v>
      </c>
      <c r="C56" t="s">
        <v>206</v>
      </c>
      <c r="D56" s="2">
        <v>39274</v>
      </c>
      <c r="E56" s="2">
        <v>45309</v>
      </c>
      <c r="F56" s="2">
        <v>45325</v>
      </c>
      <c r="G56" t="s">
        <v>105</v>
      </c>
      <c r="H56" t="s">
        <v>78</v>
      </c>
      <c r="I56" t="s">
        <v>96</v>
      </c>
      <c r="J56" t="s">
        <v>26</v>
      </c>
      <c r="K56" t="s">
        <v>72</v>
      </c>
      <c r="L56">
        <v>182452.63</v>
      </c>
      <c r="M56">
        <v>151286.46</v>
      </c>
      <c r="N56" t="s">
        <v>73</v>
      </c>
      <c r="O56">
        <v>16</v>
      </c>
      <c r="P56">
        <v>215</v>
      </c>
      <c r="Q56">
        <v>3</v>
      </c>
      <c r="R56">
        <v>159</v>
      </c>
      <c r="S56">
        <v>125.8</v>
      </c>
      <c r="T56" t="s">
        <v>37</v>
      </c>
      <c r="U56" s="3"/>
      <c r="V56" s="3"/>
      <c r="W56" s="3"/>
    </row>
    <row r="57" spans="1:23">
      <c r="A57" t="s">
        <v>250</v>
      </c>
      <c r="B57" t="s">
        <v>251</v>
      </c>
      <c r="C57" t="s">
        <v>133</v>
      </c>
      <c r="D57" s="2">
        <v>20049</v>
      </c>
      <c r="E57" s="2">
        <v>45758</v>
      </c>
      <c r="F57" s="2">
        <v>45770</v>
      </c>
      <c r="G57" t="s">
        <v>31</v>
      </c>
      <c r="H57" t="s">
        <v>113</v>
      </c>
      <c r="I57" t="s">
        <v>53</v>
      </c>
      <c r="J57" t="s">
        <v>166</v>
      </c>
      <c r="K57" t="s">
        <v>72</v>
      </c>
      <c r="L57">
        <v>37837.919999999998</v>
      </c>
      <c r="M57">
        <v>30765.41</v>
      </c>
      <c r="N57" t="s">
        <v>73</v>
      </c>
      <c r="O57">
        <v>12</v>
      </c>
      <c r="P57">
        <v>117</v>
      </c>
      <c r="Q57">
        <v>1</v>
      </c>
      <c r="R57">
        <v>106</v>
      </c>
      <c r="S57">
        <v>82.8</v>
      </c>
      <c r="U57" s="3"/>
      <c r="V57" s="3"/>
      <c r="W57" s="3"/>
    </row>
    <row r="58" spans="1:23">
      <c r="A58" t="s">
        <v>252</v>
      </c>
      <c r="B58" t="s">
        <v>253</v>
      </c>
      <c r="C58" t="s">
        <v>22</v>
      </c>
      <c r="D58" s="2">
        <v>23774</v>
      </c>
      <c r="E58" s="2">
        <v>45308</v>
      </c>
      <c r="F58" t="s">
        <v>254</v>
      </c>
      <c r="G58" t="s">
        <v>89</v>
      </c>
      <c r="H58" t="s">
        <v>255</v>
      </c>
      <c r="I58" t="s">
        <v>96</v>
      </c>
      <c r="J58" t="s">
        <v>71</v>
      </c>
      <c r="K58" t="s">
        <v>183</v>
      </c>
      <c r="L58">
        <v>176749.36</v>
      </c>
      <c r="M58">
        <v>176556.62</v>
      </c>
      <c r="O58">
        <v>16</v>
      </c>
      <c r="P58">
        <v>78</v>
      </c>
      <c r="R58">
        <v>115</v>
      </c>
      <c r="S58">
        <v>93.3</v>
      </c>
      <c r="T58" t="s">
        <v>37</v>
      </c>
      <c r="U58" s="3"/>
      <c r="V58" s="3"/>
      <c r="W58" s="3"/>
    </row>
    <row r="59" spans="1:23">
      <c r="A59" t="s">
        <v>256</v>
      </c>
      <c r="B59" t="s">
        <v>139</v>
      </c>
      <c r="C59" t="s">
        <v>60</v>
      </c>
      <c r="D59" s="2">
        <v>35056</v>
      </c>
      <c r="E59" s="2">
        <v>45283</v>
      </c>
      <c r="F59" s="2">
        <v>45295</v>
      </c>
      <c r="G59" t="s">
        <v>161</v>
      </c>
      <c r="H59" t="s">
        <v>86</v>
      </c>
      <c r="I59" t="s">
        <v>53</v>
      </c>
      <c r="J59" t="s">
        <v>80</v>
      </c>
      <c r="K59" t="s">
        <v>120</v>
      </c>
      <c r="L59">
        <v>198117.33</v>
      </c>
      <c r="M59">
        <v>160132.09</v>
      </c>
      <c r="N59" t="s">
        <v>192</v>
      </c>
      <c r="O59">
        <v>12</v>
      </c>
      <c r="P59">
        <v>151</v>
      </c>
      <c r="Q59">
        <v>5</v>
      </c>
      <c r="R59">
        <v>149</v>
      </c>
      <c r="S59">
        <v>222.7</v>
      </c>
      <c r="T59" t="s">
        <v>37</v>
      </c>
      <c r="U59" s="3"/>
      <c r="V59" s="3"/>
      <c r="W59" s="3"/>
    </row>
    <row r="60" spans="1:23">
      <c r="A60" t="s">
        <v>257</v>
      </c>
      <c r="B60" t="s">
        <v>83</v>
      </c>
      <c r="C60" t="s">
        <v>206</v>
      </c>
      <c r="D60" s="2">
        <v>34224</v>
      </c>
      <c r="E60" s="2">
        <v>45189</v>
      </c>
      <c r="F60" s="2">
        <v>45207</v>
      </c>
      <c r="G60" t="s">
        <v>62</v>
      </c>
      <c r="H60" t="s">
        <v>78</v>
      </c>
      <c r="I60" t="s">
        <v>53</v>
      </c>
      <c r="J60" t="s">
        <v>34</v>
      </c>
      <c r="K60" t="s">
        <v>72</v>
      </c>
      <c r="L60">
        <v>126958.79</v>
      </c>
      <c r="M60">
        <v>120536.86</v>
      </c>
      <c r="N60" t="s">
        <v>91</v>
      </c>
      <c r="O60">
        <v>18</v>
      </c>
      <c r="P60">
        <v>137</v>
      </c>
      <c r="Q60">
        <v>3</v>
      </c>
      <c r="R60">
        <v>128</v>
      </c>
      <c r="S60">
        <v>101.3</v>
      </c>
      <c r="T60" t="s">
        <v>65</v>
      </c>
      <c r="U60" s="3"/>
      <c r="V60" s="3"/>
      <c r="W60" s="3"/>
    </row>
    <row r="61" spans="1:23">
      <c r="A61" t="s">
        <v>258</v>
      </c>
      <c r="B61" t="s">
        <v>259</v>
      </c>
      <c r="C61" t="s">
        <v>60</v>
      </c>
      <c r="D61" s="2">
        <v>32055</v>
      </c>
      <c r="E61" s="2">
        <v>45277</v>
      </c>
      <c r="F61" s="2">
        <v>45288</v>
      </c>
      <c r="G61" t="s">
        <v>117</v>
      </c>
      <c r="H61" t="s">
        <v>24</v>
      </c>
      <c r="I61" t="s">
        <v>25</v>
      </c>
      <c r="J61" t="s">
        <v>26</v>
      </c>
      <c r="L61">
        <v>13751.8</v>
      </c>
      <c r="M61">
        <v>10886.07</v>
      </c>
      <c r="N61" t="s">
        <v>35</v>
      </c>
      <c r="O61">
        <v>11</v>
      </c>
      <c r="P61">
        <v>72</v>
      </c>
      <c r="Q61">
        <v>4</v>
      </c>
      <c r="R61">
        <v>188</v>
      </c>
      <c r="S61">
        <v>178.7</v>
      </c>
      <c r="T61" t="s">
        <v>37</v>
      </c>
      <c r="U61" s="3"/>
      <c r="V61" s="3"/>
      <c r="W61" s="3"/>
    </row>
    <row r="62" spans="1:23">
      <c r="A62" t="s">
        <v>260</v>
      </c>
      <c r="B62" t="s">
        <v>261</v>
      </c>
      <c r="C62" t="s">
        <v>30</v>
      </c>
      <c r="D62" s="2">
        <v>29440</v>
      </c>
      <c r="E62" s="2">
        <v>45623</v>
      </c>
      <c r="F62" s="2">
        <v>45628</v>
      </c>
      <c r="G62" t="s">
        <v>31</v>
      </c>
      <c r="H62" t="s">
        <v>63</v>
      </c>
      <c r="I62" t="s">
        <v>119</v>
      </c>
      <c r="J62" t="s">
        <v>34</v>
      </c>
      <c r="K62" t="s">
        <v>27</v>
      </c>
      <c r="L62">
        <v>34864.620000000003</v>
      </c>
      <c r="M62">
        <v>29791.61</v>
      </c>
      <c r="O62">
        <v>5</v>
      </c>
      <c r="P62">
        <v>32</v>
      </c>
      <c r="Q62">
        <v>5</v>
      </c>
      <c r="R62">
        <v>120</v>
      </c>
      <c r="S62">
        <v>158.6</v>
      </c>
      <c r="T62" t="s">
        <v>65</v>
      </c>
      <c r="U62" s="3"/>
      <c r="V62" s="3"/>
      <c r="W62" s="3"/>
    </row>
    <row r="63" spans="1:23">
      <c r="A63" t="s">
        <v>262</v>
      </c>
      <c r="B63" t="s">
        <v>202</v>
      </c>
      <c r="C63" t="s">
        <v>60</v>
      </c>
      <c r="D63" t="s">
        <v>263</v>
      </c>
      <c r="E63" t="s">
        <v>264</v>
      </c>
      <c r="F63" s="2">
        <v>45958</v>
      </c>
      <c r="G63" t="s">
        <v>161</v>
      </c>
      <c r="H63" t="s">
        <v>134</v>
      </c>
      <c r="J63" t="s">
        <v>80</v>
      </c>
      <c r="K63" t="s">
        <v>161</v>
      </c>
      <c r="L63" t="s">
        <v>265</v>
      </c>
      <c r="M63">
        <v>39837.550000000003</v>
      </c>
      <c r="O63" t="s">
        <v>266</v>
      </c>
      <c r="P63">
        <v>77</v>
      </c>
      <c r="R63">
        <v>166</v>
      </c>
      <c r="S63">
        <v>237.6</v>
      </c>
      <c r="U63" s="3"/>
      <c r="V63" s="3"/>
      <c r="W63" s="3"/>
    </row>
    <row r="64" spans="1:23">
      <c r="A64" t="s">
        <v>267</v>
      </c>
      <c r="B64" t="s">
        <v>268</v>
      </c>
      <c r="C64" t="s">
        <v>84</v>
      </c>
      <c r="D64" s="2">
        <v>24881</v>
      </c>
      <c r="E64" s="2">
        <v>45959</v>
      </c>
      <c r="F64" s="2">
        <v>45974</v>
      </c>
      <c r="G64" t="s">
        <v>109</v>
      </c>
      <c r="I64" t="s">
        <v>33</v>
      </c>
      <c r="J64" t="s">
        <v>97</v>
      </c>
      <c r="K64" t="s">
        <v>55</v>
      </c>
      <c r="L64">
        <v>243833</v>
      </c>
      <c r="M64">
        <v>188083.39</v>
      </c>
      <c r="N64" t="s">
        <v>192</v>
      </c>
      <c r="O64">
        <v>15</v>
      </c>
      <c r="P64">
        <v>91</v>
      </c>
      <c r="R64">
        <v>136</v>
      </c>
      <c r="S64">
        <v>213.4</v>
      </c>
      <c r="T64" t="s">
        <v>47</v>
      </c>
      <c r="U64" s="3"/>
      <c r="V64" s="3"/>
      <c r="W64" s="3"/>
    </row>
    <row r="65" spans="1:23">
      <c r="A65" t="s">
        <v>269</v>
      </c>
      <c r="B65" t="s">
        <v>270</v>
      </c>
      <c r="D65" s="2">
        <v>35569</v>
      </c>
      <c r="E65" t="s">
        <v>271</v>
      </c>
      <c r="F65" t="s">
        <v>272</v>
      </c>
      <c r="G65" t="s">
        <v>89</v>
      </c>
      <c r="H65" t="s">
        <v>32</v>
      </c>
      <c r="I65" t="s">
        <v>96</v>
      </c>
      <c r="J65" t="s">
        <v>34</v>
      </c>
      <c r="L65">
        <v>204397.84</v>
      </c>
      <c r="M65">
        <v>163389.89000000001</v>
      </c>
      <c r="N65" t="s">
        <v>35</v>
      </c>
      <c r="O65">
        <v>17</v>
      </c>
      <c r="P65">
        <v>33</v>
      </c>
      <c r="Q65">
        <v>4</v>
      </c>
      <c r="R65">
        <v>164</v>
      </c>
      <c r="S65">
        <v>128.5</v>
      </c>
      <c r="U65" s="3"/>
      <c r="V65" s="3"/>
      <c r="W65" s="3"/>
    </row>
    <row r="66" spans="1:23">
      <c r="A66" t="s">
        <v>273</v>
      </c>
      <c r="B66" t="s">
        <v>274</v>
      </c>
      <c r="C66" t="s">
        <v>100</v>
      </c>
      <c r="D66" t="s">
        <v>275</v>
      </c>
      <c r="E66" s="2">
        <v>45152</v>
      </c>
      <c r="G66" t="s">
        <v>105</v>
      </c>
      <c r="H66" t="s">
        <v>134</v>
      </c>
      <c r="I66" t="s">
        <v>53</v>
      </c>
      <c r="J66" t="s">
        <v>34</v>
      </c>
      <c r="K66" t="s">
        <v>27</v>
      </c>
      <c r="L66">
        <v>173398.81</v>
      </c>
      <c r="M66">
        <v>140109.46</v>
      </c>
      <c r="N66" t="s">
        <v>192</v>
      </c>
      <c r="O66">
        <v>7</v>
      </c>
      <c r="P66">
        <v>161</v>
      </c>
      <c r="R66">
        <v>184</v>
      </c>
      <c r="S66">
        <v>208.2</v>
      </c>
      <c r="U66" s="3"/>
      <c r="V66" s="3"/>
      <c r="W66" s="3"/>
    </row>
    <row r="67" spans="1:23">
      <c r="A67" t="s">
        <v>276</v>
      </c>
      <c r="B67" t="s">
        <v>277</v>
      </c>
      <c r="C67" t="s">
        <v>206</v>
      </c>
      <c r="D67" s="2">
        <v>22745</v>
      </c>
      <c r="E67" s="2">
        <v>45538</v>
      </c>
      <c r="F67" s="2">
        <v>45546</v>
      </c>
      <c r="G67" t="s">
        <v>109</v>
      </c>
      <c r="H67" t="s">
        <v>278</v>
      </c>
      <c r="I67" t="s">
        <v>96</v>
      </c>
      <c r="J67" t="s">
        <v>80</v>
      </c>
      <c r="K67" t="s">
        <v>55</v>
      </c>
      <c r="L67">
        <v>173334.38</v>
      </c>
      <c r="M67">
        <v>130929.27</v>
      </c>
      <c r="N67" t="s">
        <v>192</v>
      </c>
      <c r="O67">
        <v>8</v>
      </c>
      <c r="P67">
        <v>94</v>
      </c>
      <c r="R67">
        <v>182</v>
      </c>
      <c r="S67">
        <v>122</v>
      </c>
      <c r="T67" t="s">
        <v>37</v>
      </c>
      <c r="U67" s="3"/>
      <c r="V67" s="3"/>
      <c r="W67" s="3"/>
    </row>
    <row r="68" spans="1:23">
      <c r="A68" t="s">
        <v>279</v>
      </c>
      <c r="B68" t="s">
        <v>280</v>
      </c>
      <c r="C68" t="s">
        <v>100</v>
      </c>
      <c r="D68" s="2">
        <v>37508</v>
      </c>
      <c r="E68" t="s">
        <v>281</v>
      </c>
      <c r="F68" s="2">
        <v>45488</v>
      </c>
      <c r="G68" t="s">
        <v>31</v>
      </c>
      <c r="H68" t="s">
        <v>118</v>
      </c>
      <c r="I68" t="s">
        <v>45</v>
      </c>
      <c r="J68" t="s">
        <v>80</v>
      </c>
      <c r="K68" t="s">
        <v>120</v>
      </c>
      <c r="L68">
        <v>15064.44</v>
      </c>
      <c r="M68">
        <v>10408.49</v>
      </c>
      <c r="O68">
        <v>5</v>
      </c>
      <c r="P68">
        <v>64</v>
      </c>
      <c r="Q68">
        <v>1</v>
      </c>
      <c r="R68">
        <v>102</v>
      </c>
      <c r="S68">
        <v>148.5</v>
      </c>
      <c r="T68" t="s">
        <v>106</v>
      </c>
      <c r="U68" s="3"/>
      <c r="V68" s="3"/>
      <c r="W68" s="3"/>
    </row>
    <row r="69" spans="1:23">
      <c r="A69" t="s">
        <v>282</v>
      </c>
      <c r="B69" t="s">
        <v>283</v>
      </c>
      <c r="D69" s="2">
        <v>33263</v>
      </c>
      <c r="E69" t="s">
        <v>284</v>
      </c>
      <c r="F69" t="s">
        <v>285</v>
      </c>
      <c r="G69" t="s">
        <v>31</v>
      </c>
      <c r="H69" t="s">
        <v>106</v>
      </c>
      <c r="I69" t="s">
        <v>25</v>
      </c>
      <c r="J69" t="s">
        <v>97</v>
      </c>
      <c r="K69" t="s">
        <v>286</v>
      </c>
      <c r="L69">
        <v>105926.53</v>
      </c>
      <c r="M69">
        <v>103826.73</v>
      </c>
      <c r="N69" t="s">
        <v>56</v>
      </c>
      <c r="O69">
        <v>8</v>
      </c>
      <c r="P69">
        <v>14</v>
      </c>
      <c r="Q69">
        <v>4</v>
      </c>
      <c r="R69">
        <v>190</v>
      </c>
      <c r="S69">
        <v>164.1</v>
      </c>
      <c r="U69" s="3"/>
      <c r="V69" s="3"/>
      <c r="W69" s="3"/>
    </row>
    <row r="70" spans="1:23">
      <c r="A70" t="s">
        <v>287</v>
      </c>
      <c r="B70" t="s">
        <v>288</v>
      </c>
      <c r="C70" t="s">
        <v>22</v>
      </c>
      <c r="D70" t="s">
        <v>289</v>
      </c>
      <c r="E70" s="2">
        <v>45259</v>
      </c>
      <c r="F70" t="s">
        <v>290</v>
      </c>
      <c r="G70" t="s">
        <v>31</v>
      </c>
      <c r="H70" t="s">
        <v>124</v>
      </c>
      <c r="I70" t="s">
        <v>25</v>
      </c>
      <c r="J70" t="s">
        <v>46</v>
      </c>
      <c r="K70" t="s">
        <v>72</v>
      </c>
      <c r="L70">
        <v>198215</v>
      </c>
      <c r="M70">
        <v>160968.07999999999</v>
      </c>
      <c r="N70" t="s">
        <v>192</v>
      </c>
      <c r="O70">
        <v>15</v>
      </c>
      <c r="P70">
        <v>54</v>
      </c>
      <c r="Q70">
        <v>3</v>
      </c>
      <c r="R70">
        <v>168</v>
      </c>
      <c r="S70">
        <v>232.7</v>
      </c>
      <c r="T70" t="s">
        <v>37</v>
      </c>
      <c r="U70" s="3"/>
      <c r="V70" s="3"/>
      <c r="W70" s="3"/>
    </row>
    <row r="71" spans="1:23">
      <c r="A71" t="s">
        <v>291</v>
      </c>
      <c r="B71" t="s">
        <v>292</v>
      </c>
      <c r="D71" s="2">
        <v>35339</v>
      </c>
      <c r="E71" t="s">
        <v>293</v>
      </c>
      <c r="F71" s="2">
        <v>45474</v>
      </c>
      <c r="G71" t="s">
        <v>152</v>
      </c>
      <c r="H71" t="s">
        <v>113</v>
      </c>
      <c r="I71" t="s">
        <v>33</v>
      </c>
      <c r="J71" t="s">
        <v>34</v>
      </c>
      <c r="K71" t="s">
        <v>27</v>
      </c>
      <c r="L71">
        <v>78434.570000000007</v>
      </c>
      <c r="M71">
        <v>67495.38</v>
      </c>
      <c r="N71" t="s">
        <v>73</v>
      </c>
      <c r="O71">
        <v>12</v>
      </c>
      <c r="P71">
        <v>234</v>
      </c>
      <c r="Q71">
        <v>5</v>
      </c>
      <c r="R71">
        <v>178</v>
      </c>
      <c r="S71">
        <v>92.3</v>
      </c>
      <c r="T71" t="s">
        <v>65</v>
      </c>
      <c r="U71" s="3"/>
      <c r="V71" s="3"/>
      <c r="W71" s="3"/>
    </row>
    <row r="72" spans="1:23">
      <c r="A72" t="s">
        <v>294</v>
      </c>
      <c r="B72" t="s">
        <v>295</v>
      </c>
      <c r="C72" t="s">
        <v>296</v>
      </c>
      <c r="D72" s="2">
        <v>34270</v>
      </c>
      <c r="E72" s="2">
        <v>45094</v>
      </c>
      <c r="F72" s="2">
        <v>45111</v>
      </c>
      <c r="G72" t="s">
        <v>31</v>
      </c>
      <c r="H72" t="s">
        <v>63</v>
      </c>
      <c r="I72" t="s">
        <v>33</v>
      </c>
      <c r="K72" t="s">
        <v>120</v>
      </c>
      <c r="L72">
        <v>30271.68</v>
      </c>
      <c r="M72">
        <v>26450.78</v>
      </c>
      <c r="O72">
        <v>17</v>
      </c>
      <c r="P72">
        <v>56</v>
      </c>
      <c r="R72">
        <v>109</v>
      </c>
      <c r="S72">
        <v>101.3</v>
      </c>
      <c r="T72" t="s">
        <v>37</v>
      </c>
      <c r="U72" s="3"/>
      <c r="V72" s="3"/>
      <c r="W72" s="3"/>
    </row>
    <row r="73" spans="1:23">
      <c r="A73" t="s">
        <v>297</v>
      </c>
      <c r="B73" t="s">
        <v>298</v>
      </c>
      <c r="C73" t="s">
        <v>22</v>
      </c>
      <c r="D73" s="2">
        <v>35077</v>
      </c>
      <c r="E73" s="2">
        <v>45448</v>
      </c>
      <c r="F73" s="2">
        <v>45449</v>
      </c>
      <c r="G73" t="s">
        <v>144</v>
      </c>
      <c r="H73" t="s">
        <v>52</v>
      </c>
      <c r="I73" t="s">
        <v>25</v>
      </c>
      <c r="J73" t="s">
        <v>34</v>
      </c>
      <c r="K73" t="s">
        <v>110</v>
      </c>
      <c r="L73">
        <v>87770.89</v>
      </c>
      <c r="M73">
        <v>75689.14</v>
      </c>
      <c r="N73" t="s">
        <v>192</v>
      </c>
      <c r="O73">
        <v>1</v>
      </c>
      <c r="P73" t="s">
        <v>299</v>
      </c>
      <c r="Q73">
        <v>2</v>
      </c>
      <c r="R73">
        <v>150</v>
      </c>
      <c r="S73">
        <v>76</v>
      </c>
      <c r="T73" t="s">
        <v>37</v>
      </c>
      <c r="U73" s="3"/>
      <c r="V73" s="3"/>
      <c r="W73" s="3"/>
    </row>
    <row r="74" spans="1:23">
      <c r="A74" t="s">
        <v>300</v>
      </c>
      <c r="B74" t="s">
        <v>301</v>
      </c>
      <c r="C74" t="s">
        <v>196</v>
      </c>
      <c r="D74" s="2">
        <v>20897</v>
      </c>
      <c r="E74" t="s">
        <v>302</v>
      </c>
      <c r="F74" s="2">
        <v>45748</v>
      </c>
      <c r="G74" t="s">
        <v>94</v>
      </c>
      <c r="I74" t="s">
        <v>25</v>
      </c>
      <c r="J74" t="s">
        <v>179</v>
      </c>
      <c r="L74">
        <v>244676.44</v>
      </c>
      <c r="M74">
        <v>209674.85</v>
      </c>
      <c r="N74" t="s">
        <v>91</v>
      </c>
      <c r="O74">
        <v>17</v>
      </c>
      <c r="P74">
        <v>144</v>
      </c>
      <c r="Q74">
        <v>4</v>
      </c>
      <c r="R74">
        <v>158</v>
      </c>
      <c r="S74">
        <v>142.1</v>
      </c>
      <c r="T74" t="s">
        <v>47</v>
      </c>
      <c r="U74" s="3"/>
      <c r="V74" s="3"/>
      <c r="W74" s="3"/>
    </row>
    <row r="75" spans="1:23">
      <c r="A75" t="s">
        <v>303</v>
      </c>
      <c r="B75" t="s">
        <v>304</v>
      </c>
      <c r="C75" t="s">
        <v>100</v>
      </c>
      <c r="D75" s="2">
        <v>19775</v>
      </c>
      <c r="E75" s="2">
        <v>44995</v>
      </c>
      <c r="F75" s="2">
        <v>45010</v>
      </c>
      <c r="G75" t="s">
        <v>31</v>
      </c>
      <c r="I75" t="s">
        <v>25</v>
      </c>
      <c r="J75" t="s">
        <v>80</v>
      </c>
      <c r="K75" t="s">
        <v>161</v>
      </c>
      <c r="L75" t="s">
        <v>305</v>
      </c>
      <c r="M75">
        <v>146788.69</v>
      </c>
      <c r="N75" t="s">
        <v>192</v>
      </c>
      <c r="O75">
        <v>15</v>
      </c>
      <c r="P75">
        <v>143</v>
      </c>
      <c r="Q75">
        <v>4</v>
      </c>
      <c r="R75">
        <v>186</v>
      </c>
      <c r="S75">
        <v>234.1</v>
      </c>
      <c r="T75" t="s">
        <v>37</v>
      </c>
      <c r="U75" s="3"/>
      <c r="V75" s="3"/>
      <c r="W75" s="3"/>
    </row>
    <row r="76" spans="1:23">
      <c r="A76" t="s">
        <v>306</v>
      </c>
      <c r="B76" t="s">
        <v>76</v>
      </c>
      <c r="C76" t="s">
        <v>307</v>
      </c>
      <c r="D76" s="2">
        <v>25325</v>
      </c>
      <c r="E76" t="s">
        <v>308</v>
      </c>
      <c r="F76" s="2">
        <v>45299</v>
      </c>
      <c r="G76" t="s">
        <v>152</v>
      </c>
      <c r="H76" t="s">
        <v>63</v>
      </c>
      <c r="I76" t="s">
        <v>79</v>
      </c>
      <c r="J76" t="s">
        <v>64</v>
      </c>
      <c r="K76" t="s">
        <v>27</v>
      </c>
      <c r="L76">
        <v>81386.78</v>
      </c>
      <c r="M76">
        <v>63591.88</v>
      </c>
      <c r="N76" t="s">
        <v>91</v>
      </c>
      <c r="O76">
        <v>14</v>
      </c>
      <c r="P76">
        <v>81</v>
      </c>
      <c r="Q76">
        <v>4</v>
      </c>
      <c r="R76" t="s">
        <v>309</v>
      </c>
      <c r="S76">
        <v>213.3</v>
      </c>
      <c r="T76" t="s">
        <v>37</v>
      </c>
      <c r="U76" s="3"/>
      <c r="V76" s="3"/>
      <c r="W76" s="3"/>
    </row>
    <row r="77" spans="1:23">
      <c r="A77" t="s">
        <v>310</v>
      </c>
      <c r="B77" t="s">
        <v>311</v>
      </c>
      <c r="C77" t="s">
        <v>40</v>
      </c>
      <c r="D77" s="2">
        <v>40053</v>
      </c>
      <c r="E77" s="2">
        <v>45686</v>
      </c>
      <c r="F77" s="2">
        <v>45689</v>
      </c>
      <c r="H77" t="s">
        <v>312</v>
      </c>
      <c r="I77" t="s">
        <v>25</v>
      </c>
      <c r="J77" t="s">
        <v>71</v>
      </c>
      <c r="L77">
        <v>95849.07</v>
      </c>
      <c r="M77">
        <v>75988.08</v>
      </c>
      <c r="N77" t="s">
        <v>91</v>
      </c>
      <c r="O77">
        <v>3</v>
      </c>
      <c r="P77">
        <v>228</v>
      </c>
      <c r="Q77">
        <v>2</v>
      </c>
      <c r="R77">
        <v>114</v>
      </c>
      <c r="S77">
        <v>222.9</v>
      </c>
      <c r="T77" t="s">
        <v>37</v>
      </c>
      <c r="U77" s="3"/>
      <c r="V77" s="3"/>
      <c r="W77" s="3"/>
    </row>
    <row r="78" spans="1:23">
      <c r="A78" t="s">
        <v>313</v>
      </c>
      <c r="B78" t="s">
        <v>314</v>
      </c>
      <c r="C78" t="s">
        <v>106</v>
      </c>
      <c r="D78" t="s">
        <v>315</v>
      </c>
      <c r="E78" s="2">
        <v>45417</v>
      </c>
      <c r="F78" s="2">
        <v>45435</v>
      </c>
      <c r="G78" t="s">
        <v>109</v>
      </c>
      <c r="H78" t="s">
        <v>134</v>
      </c>
      <c r="J78" t="s">
        <v>64</v>
      </c>
      <c r="K78" t="s">
        <v>72</v>
      </c>
      <c r="L78" t="s">
        <v>316</v>
      </c>
      <c r="M78">
        <v>126935.93</v>
      </c>
      <c r="O78">
        <v>18</v>
      </c>
      <c r="P78">
        <v>136</v>
      </c>
      <c r="R78">
        <v>149</v>
      </c>
      <c r="S78">
        <v>88.7</v>
      </c>
      <c r="U78" s="3"/>
      <c r="V78" s="3"/>
      <c r="W78" s="3"/>
    </row>
    <row r="79" spans="1:23">
      <c r="A79" t="s">
        <v>317</v>
      </c>
      <c r="B79" t="s">
        <v>251</v>
      </c>
      <c r="C79" t="s">
        <v>60</v>
      </c>
      <c r="D79" t="s">
        <v>318</v>
      </c>
      <c r="E79" t="s">
        <v>319</v>
      </c>
      <c r="F79" s="2">
        <v>45712</v>
      </c>
      <c r="G79" t="s">
        <v>141</v>
      </c>
      <c r="H79" t="s">
        <v>113</v>
      </c>
      <c r="I79" t="s">
        <v>119</v>
      </c>
      <c r="J79" t="s">
        <v>71</v>
      </c>
      <c r="K79" t="s">
        <v>110</v>
      </c>
      <c r="L79">
        <v>191431.75</v>
      </c>
      <c r="M79">
        <v>180032.92</v>
      </c>
      <c r="N79" t="s">
        <v>192</v>
      </c>
      <c r="O79">
        <v>8</v>
      </c>
      <c r="R79">
        <v>148</v>
      </c>
      <c r="S79">
        <v>102</v>
      </c>
      <c r="T79" t="s">
        <v>65</v>
      </c>
      <c r="U79" s="3"/>
      <c r="V79" s="3"/>
      <c r="W79" s="3"/>
    </row>
    <row r="80" spans="1:23">
      <c r="A80" t="s">
        <v>320</v>
      </c>
      <c r="B80" t="s">
        <v>321</v>
      </c>
      <c r="D80" s="2">
        <v>27846</v>
      </c>
      <c r="E80" s="2">
        <v>45400</v>
      </c>
      <c r="F80" t="s">
        <v>322</v>
      </c>
      <c r="G80" t="s">
        <v>152</v>
      </c>
      <c r="H80" t="s">
        <v>86</v>
      </c>
      <c r="J80" t="s">
        <v>204</v>
      </c>
      <c r="K80" t="s">
        <v>55</v>
      </c>
      <c r="L80">
        <v>17461.400000000001</v>
      </c>
      <c r="M80">
        <v>13358.36</v>
      </c>
      <c r="N80" t="s">
        <v>192</v>
      </c>
      <c r="O80">
        <v>3</v>
      </c>
      <c r="P80">
        <v>162</v>
      </c>
      <c r="R80">
        <v>174</v>
      </c>
      <c r="S80">
        <v>162.69999999999999</v>
      </c>
      <c r="T80" t="s">
        <v>37</v>
      </c>
      <c r="U80" s="3"/>
      <c r="V80" s="3"/>
      <c r="W80" s="3"/>
    </row>
    <row r="81" spans="1:23">
      <c r="A81" t="s">
        <v>323</v>
      </c>
      <c r="B81" t="s">
        <v>324</v>
      </c>
      <c r="C81" t="s">
        <v>60</v>
      </c>
      <c r="D81" s="2">
        <v>23852</v>
      </c>
      <c r="E81" s="2">
        <v>46005</v>
      </c>
      <c r="F81" t="s">
        <v>325</v>
      </c>
      <c r="G81" t="s">
        <v>109</v>
      </c>
      <c r="H81" t="s">
        <v>78</v>
      </c>
      <c r="I81" t="s">
        <v>79</v>
      </c>
      <c r="J81" t="s">
        <v>26</v>
      </c>
      <c r="K81" t="s">
        <v>120</v>
      </c>
      <c r="L81">
        <v>94830.27</v>
      </c>
      <c r="M81">
        <v>75467.289999999994</v>
      </c>
      <c r="N81" t="s">
        <v>326</v>
      </c>
      <c r="O81">
        <v>9</v>
      </c>
      <c r="P81">
        <v>67</v>
      </c>
      <c r="Q81">
        <v>4</v>
      </c>
      <c r="R81">
        <v>128</v>
      </c>
      <c r="S81">
        <v>200</v>
      </c>
      <c r="T81" t="s">
        <v>37</v>
      </c>
      <c r="U81" s="3"/>
      <c r="V81" s="3"/>
      <c r="W81" s="3"/>
    </row>
    <row r="82" spans="1:23">
      <c r="A82" t="s">
        <v>327</v>
      </c>
      <c r="B82" t="s">
        <v>328</v>
      </c>
      <c r="C82" t="s">
        <v>84</v>
      </c>
      <c r="D82" t="s">
        <v>329</v>
      </c>
      <c r="E82" s="2">
        <v>45359</v>
      </c>
      <c r="F82" t="s">
        <v>330</v>
      </c>
      <c r="G82" t="s">
        <v>161</v>
      </c>
      <c r="H82" t="s">
        <v>113</v>
      </c>
      <c r="I82" t="s">
        <v>96</v>
      </c>
      <c r="J82" t="s">
        <v>64</v>
      </c>
      <c r="K82" t="s">
        <v>55</v>
      </c>
      <c r="L82">
        <v>141968.69</v>
      </c>
      <c r="M82">
        <v>107016.9</v>
      </c>
      <c r="N82" t="s">
        <v>192</v>
      </c>
      <c r="O82">
        <v>16</v>
      </c>
      <c r="P82">
        <v>222</v>
      </c>
      <c r="Q82">
        <v>5</v>
      </c>
      <c r="R82">
        <v>92</v>
      </c>
      <c r="S82">
        <v>252.7</v>
      </c>
      <c r="T82" t="s">
        <v>37</v>
      </c>
      <c r="U82" s="3"/>
      <c r="V82" s="3"/>
      <c r="W82" s="3"/>
    </row>
    <row r="83" spans="1:23">
      <c r="A83" t="s">
        <v>331</v>
      </c>
      <c r="B83" t="s">
        <v>332</v>
      </c>
      <c r="C83" t="s">
        <v>196</v>
      </c>
      <c r="D83" s="2">
        <v>19404</v>
      </c>
      <c r="E83" s="2">
        <v>45402</v>
      </c>
      <c r="F83" s="2">
        <v>45405</v>
      </c>
      <c r="G83" t="s">
        <v>70</v>
      </c>
      <c r="H83" t="s">
        <v>118</v>
      </c>
      <c r="I83" t="s">
        <v>79</v>
      </c>
      <c r="J83" t="s">
        <v>46</v>
      </c>
      <c r="K83" t="s">
        <v>110</v>
      </c>
      <c r="L83">
        <v>9832.35</v>
      </c>
      <c r="M83">
        <v>9193.8799999999992</v>
      </c>
      <c r="N83" t="s">
        <v>192</v>
      </c>
      <c r="O83">
        <v>3</v>
      </c>
      <c r="P83">
        <v>120</v>
      </c>
      <c r="R83">
        <v>119</v>
      </c>
      <c r="S83">
        <v>137.6</v>
      </c>
      <c r="T83" t="s">
        <v>37</v>
      </c>
      <c r="U83" s="3"/>
      <c r="V83" s="3"/>
      <c r="W83" s="3"/>
    </row>
    <row r="84" spans="1:23">
      <c r="A84" t="s">
        <v>333</v>
      </c>
      <c r="B84" t="s">
        <v>334</v>
      </c>
      <c r="C84" t="s">
        <v>30</v>
      </c>
      <c r="D84" s="2">
        <v>25723</v>
      </c>
      <c r="E84" s="2">
        <v>45114</v>
      </c>
      <c r="F84" s="2">
        <v>45115</v>
      </c>
      <c r="G84" t="s">
        <v>77</v>
      </c>
      <c r="H84" t="s">
        <v>63</v>
      </c>
      <c r="I84" t="s">
        <v>96</v>
      </c>
      <c r="J84" t="s">
        <v>26</v>
      </c>
      <c r="K84" t="s">
        <v>72</v>
      </c>
      <c r="M84">
        <v>29270.32</v>
      </c>
      <c r="N84" t="s">
        <v>73</v>
      </c>
      <c r="O84">
        <v>1</v>
      </c>
      <c r="P84">
        <v>147</v>
      </c>
      <c r="R84">
        <v>155</v>
      </c>
      <c r="S84">
        <v>147.5</v>
      </c>
      <c r="T84" t="s">
        <v>37</v>
      </c>
      <c r="U84" s="3"/>
      <c r="V84" s="3"/>
      <c r="W84" s="3"/>
    </row>
    <row r="85" spans="1:23">
      <c r="A85" t="s">
        <v>335</v>
      </c>
      <c r="B85" t="s">
        <v>244</v>
      </c>
      <c r="C85" t="s">
        <v>84</v>
      </c>
      <c r="D85" t="s">
        <v>336</v>
      </c>
      <c r="E85" s="2">
        <v>45274</v>
      </c>
      <c r="F85" s="2">
        <v>45279</v>
      </c>
      <c r="G85" t="s">
        <v>109</v>
      </c>
      <c r="H85" t="s">
        <v>32</v>
      </c>
      <c r="I85" t="s">
        <v>53</v>
      </c>
      <c r="K85" t="s">
        <v>27</v>
      </c>
      <c r="L85">
        <v>43883.83</v>
      </c>
      <c r="M85">
        <v>36262.559999999998</v>
      </c>
      <c r="O85">
        <v>5</v>
      </c>
      <c r="P85">
        <v>128</v>
      </c>
      <c r="Q85">
        <v>2</v>
      </c>
      <c r="R85">
        <v>136</v>
      </c>
      <c r="S85">
        <v>117.8</v>
      </c>
      <c r="T85" t="s">
        <v>47</v>
      </c>
      <c r="U85" s="3"/>
      <c r="V85" s="3"/>
      <c r="W85" s="3"/>
    </row>
    <row r="86" spans="1:23">
      <c r="A86" t="s">
        <v>337</v>
      </c>
      <c r="B86" t="s">
        <v>338</v>
      </c>
      <c r="C86" t="s">
        <v>22</v>
      </c>
      <c r="D86" t="s">
        <v>339</v>
      </c>
      <c r="E86" t="s">
        <v>340</v>
      </c>
      <c r="F86" s="2">
        <v>45354</v>
      </c>
      <c r="G86" t="s">
        <v>43</v>
      </c>
      <c r="H86" t="s">
        <v>63</v>
      </c>
      <c r="I86" t="s">
        <v>96</v>
      </c>
      <c r="J86" t="s">
        <v>34</v>
      </c>
      <c r="K86" t="s">
        <v>110</v>
      </c>
      <c r="L86">
        <v>242021.36</v>
      </c>
      <c r="M86">
        <v>193076.38</v>
      </c>
      <c r="N86" t="s">
        <v>91</v>
      </c>
      <c r="O86">
        <v>16</v>
      </c>
      <c r="P86">
        <v>76</v>
      </c>
      <c r="Q86">
        <v>4</v>
      </c>
      <c r="R86">
        <v>136</v>
      </c>
      <c r="S86">
        <v>91.6</v>
      </c>
      <c r="T86" t="s">
        <v>37</v>
      </c>
      <c r="U86" s="3"/>
      <c r="V86" s="3"/>
      <c r="W86" s="3"/>
    </row>
    <row r="87" spans="1:23">
      <c r="A87" t="s">
        <v>341</v>
      </c>
      <c r="B87" t="s">
        <v>342</v>
      </c>
      <c r="C87" t="s">
        <v>206</v>
      </c>
      <c r="D87" s="2">
        <v>21499</v>
      </c>
      <c r="E87" s="2">
        <v>45422</v>
      </c>
      <c r="F87" s="2">
        <v>45431</v>
      </c>
      <c r="G87" t="s">
        <v>31</v>
      </c>
      <c r="H87" t="s">
        <v>134</v>
      </c>
      <c r="I87" t="s">
        <v>79</v>
      </c>
      <c r="J87" t="s">
        <v>26</v>
      </c>
      <c r="K87" t="s">
        <v>55</v>
      </c>
      <c r="L87">
        <v>113644.01</v>
      </c>
      <c r="M87">
        <v>86300.51</v>
      </c>
      <c r="N87" t="s">
        <v>192</v>
      </c>
      <c r="O87" t="s">
        <v>343</v>
      </c>
      <c r="P87">
        <v>107</v>
      </c>
      <c r="R87">
        <v>154</v>
      </c>
      <c r="S87">
        <v>245.5</v>
      </c>
      <c r="U87" s="3"/>
      <c r="V87" s="3"/>
      <c r="W87" s="3"/>
    </row>
    <row r="88" spans="1:23">
      <c r="A88" t="s">
        <v>344</v>
      </c>
      <c r="B88" t="s">
        <v>345</v>
      </c>
      <c r="D88" s="2">
        <v>33563</v>
      </c>
      <c r="E88" t="s">
        <v>346</v>
      </c>
      <c r="F88" t="s">
        <v>347</v>
      </c>
      <c r="G88" t="s">
        <v>43</v>
      </c>
      <c r="H88" t="s">
        <v>52</v>
      </c>
      <c r="I88" t="s">
        <v>25</v>
      </c>
      <c r="J88" t="s">
        <v>26</v>
      </c>
      <c r="K88" t="s">
        <v>72</v>
      </c>
      <c r="L88">
        <v>66537.75</v>
      </c>
      <c r="M88">
        <v>55336.14</v>
      </c>
      <c r="N88" t="s">
        <v>192</v>
      </c>
      <c r="O88">
        <v>11</v>
      </c>
      <c r="P88">
        <v>147</v>
      </c>
      <c r="Q88">
        <v>4</v>
      </c>
      <c r="R88">
        <v>147</v>
      </c>
      <c r="S88">
        <v>141.1</v>
      </c>
      <c r="T88" t="s">
        <v>348</v>
      </c>
      <c r="U88" s="3"/>
      <c r="V88" s="3"/>
      <c r="W88" s="3"/>
    </row>
    <row r="89" spans="1:23">
      <c r="A89" t="s">
        <v>349</v>
      </c>
      <c r="B89" t="s">
        <v>350</v>
      </c>
      <c r="C89" t="s">
        <v>206</v>
      </c>
      <c r="D89" s="2">
        <v>26515</v>
      </c>
      <c r="E89" t="s">
        <v>351</v>
      </c>
      <c r="F89" s="2">
        <v>45839</v>
      </c>
      <c r="G89" t="s">
        <v>109</v>
      </c>
      <c r="H89" t="s">
        <v>24</v>
      </c>
      <c r="I89" t="s">
        <v>33</v>
      </c>
      <c r="J89" t="s">
        <v>179</v>
      </c>
      <c r="K89" t="s">
        <v>72</v>
      </c>
      <c r="L89" t="s">
        <v>352</v>
      </c>
      <c r="M89">
        <v>132470.76</v>
      </c>
      <c r="N89" t="s">
        <v>192</v>
      </c>
      <c r="O89">
        <v>15</v>
      </c>
      <c r="P89">
        <v>209</v>
      </c>
      <c r="Q89">
        <v>3</v>
      </c>
      <c r="R89">
        <v>184</v>
      </c>
      <c r="T89" t="s">
        <v>47</v>
      </c>
      <c r="U89" s="3"/>
      <c r="V89" s="3"/>
      <c r="W89" s="3"/>
    </row>
    <row r="90" spans="1:23">
      <c r="A90" t="s">
        <v>353</v>
      </c>
      <c r="B90" t="s">
        <v>354</v>
      </c>
      <c r="D90" s="2">
        <v>28307</v>
      </c>
      <c r="E90" s="2">
        <v>45366</v>
      </c>
      <c r="F90" s="2">
        <v>45373</v>
      </c>
      <c r="G90" t="s">
        <v>31</v>
      </c>
      <c r="H90" t="s">
        <v>78</v>
      </c>
      <c r="I90" t="s">
        <v>33</v>
      </c>
      <c r="K90" t="s">
        <v>72</v>
      </c>
      <c r="L90">
        <v>27683.63</v>
      </c>
      <c r="M90">
        <v>18838.13</v>
      </c>
      <c r="O90">
        <v>7</v>
      </c>
      <c r="P90">
        <v>88</v>
      </c>
      <c r="Q90">
        <v>4</v>
      </c>
      <c r="R90">
        <v>148</v>
      </c>
      <c r="S90">
        <v>91.7</v>
      </c>
      <c r="U90" s="3"/>
      <c r="V90" s="3"/>
      <c r="W90" s="3"/>
    </row>
    <row r="91" spans="1:23">
      <c r="A91" t="s">
        <v>355</v>
      </c>
      <c r="B91" t="s">
        <v>356</v>
      </c>
      <c r="C91" t="s">
        <v>40</v>
      </c>
      <c r="D91" s="2">
        <v>34039</v>
      </c>
      <c r="E91" t="s">
        <v>357</v>
      </c>
      <c r="F91" t="s">
        <v>358</v>
      </c>
      <c r="G91" t="s">
        <v>62</v>
      </c>
      <c r="H91" t="s">
        <v>63</v>
      </c>
      <c r="I91" t="s">
        <v>53</v>
      </c>
      <c r="J91" t="s">
        <v>64</v>
      </c>
      <c r="K91" t="s">
        <v>110</v>
      </c>
      <c r="L91">
        <v>98644.66</v>
      </c>
      <c r="M91">
        <v>65818.100000000006</v>
      </c>
      <c r="N91" t="s">
        <v>162</v>
      </c>
      <c r="O91">
        <v>8</v>
      </c>
      <c r="Q91">
        <v>4</v>
      </c>
      <c r="R91">
        <v>113</v>
      </c>
      <c r="S91">
        <v>162.5</v>
      </c>
      <c r="T91" t="s">
        <v>37</v>
      </c>
      <c r="U91" s="3"/>
      <c r="V91" s="3"/>
      <c r="W91" s="3"/>
    </row>
    <row r="92" spans="1:23">
      <c r="A92" t="s">
        <v>359</v>
      </c>
      <c r="B92" t="s">
        <v>360</v>
      </c>
      <c r="C92" t="s">
        <v>206</v>
      </c>
      <c r="D92" s="2">
        <v>28080</v>
      </c>
      <c r="E92" s="2">
        <v>45778</v>
      </c>
      <c r="F92" s="2">
        <v>45793</v>
      </c>
      <c r="G92" t="s">
        <v>161</v>
      </c>
      <c r="H92" t="s">
        <v>118</v>
      </c>
      <c r="I92" t="s">
        <v>25</v>
      </c>
      <c r="J92" t="s">
        <v>361</v>
      </c>
      <c r="K92" t="s">
        <v>120</v>
      </c>
      <c r="L92">
        <v>74792.25</v>
      </c>
      <c r="M92">
        <v>57399.54</v>
      </c>
      <c r="O92">
        <v>15</v>
      </c>
      <c r="P92">
        <v>78</v>
      </c>
      <c r="Q92">
        <v>3</v>
      </c>
      <c r="R92">
        <v>189</v>
      </c>
      <c r="S92">
        <v>156.9</v>
      </c>
      <c r="U92" s="3"/>
      <c r="V92" s="3"/>
      <c r="W92" s="3"/>
    </row>
    <row r="93" spans="1:23">
      <c r="A93" t="s">
        <v>362</v>
      </c>
      <c r="B93" t="s">
        <v>363</v>
      </c>
      <c r="C93" t="s">
        <v>296</v>
      </c>
      <c r="D93" t="s">
        <v>364</v>
      </c>
      <c r="E93" s="2">
        <v>45465</v>
      </c>
      <c r="F93" t="s">
        <v>365</v>
      </c>
      <c r="G93" t="s">
        <v>161</v>
      </c>
      <c r="H93" t="s">
        <v>226</v>
      </c>
      <c r="I93" t="s">
        <v>33</v>
      </c>
      <c r="J93" t="s">
        <v>80</v>
      </c>
      <c r="K93" t="s">
        <v>55</v>
      </c>
      <c r="L93" t="s">
        <v>366</v>
      </c>
      <c r="M93">
        <v>40557.089999999997</v>
      </c>
      <c r="N93" t="s">
        <v>91</v>
      </c>
      <c r="O93">
        <v>12</v>
      </c>
      <c r="P93">
        <v>94</v>
      </c>
      <c r="Q93">
        <v>4</v>
      </c>
      <c r="R93">
        <v>111</v>
      </c>
      <c r="S93">
        <v>187.1</v>
      </c>
      <c r="T93" t="s">
        <v>47</v>
      </c>
      <c r="U93" s="3"/>
      <c r="V93" s="3"/>
      <c r="W93" s="3"/>
    </row>
    <row r="94" spans="1:23">
      <c r="A94" t="s">
        <v>367</v>
      </c>
      <c r="B94" t="s">
        <v>368</v>
      </c>
      <c r="C94" t="s">
        <v>30</v>
      </c>
      <c r="D94" s="2">
        <v>39456</v>
      </c>
      <c r="E94" s="2">
        <v>45186</v>
      </c>
      <c r="F94" t="s">
        <v>369</v>
      </c>
      <c r="G94" t="s">
        <v>370</v>
      </c>
      <c r="H94" t="s">
        <v>63</v>
      </c>
      <c r="I94" t="s">
        <v>45</v>
      </c>
      <c r="J94" t="s">
        <v>34</v>
      </c>
      <c r="K94" t="s">
        <v>55</v>
      </c>
      <c r="L94">
        <v>123641.03</v>
      </c>
      <c r="M94">
        <v>99005.37</v>
      </c>
      <c r="N94" t="s">
        <v>73</v>
      </c>
      <c r="O94">
        <v>5</v>
      </c>
      <c r="Q94">
        <v>4</v>
      </c>
      <c r="R94" t="s">
        <v>371</v>
      </c>
      <c r="S94">
        <v>155.9</v>
      </c>
      <c r="U94" s="3"/>
      <c r="V94" s="3"/>
      <c r="W94" s="3"/>
    </row>
    <row r="95" spans="1:23">
      <c r="A95" t="s">
        <v>372</v>
      </c>
      <c r="B95" t="s">
        <v>373</v>
      </c>
      <c r="C95" t="s">
        <v>50</v>
      </c>
      <c r="D95" s="2">
        <v>38043</v>
      </c>
      <c r="E95" s="2">
        <v>46021</v>
      </c>
      <c r="F95" s="2">
        <v>46034</v>
      </c>
      <c r="G95" t="s">
        <v>43</v>
      </c>
      <c r="H95" t="s">
        <v>106</v>
      </c>
      <c r="I95" t="s">
        <v>45</v>
      </c>
      <c r="J95" t="s">
        <v>34</v>
      </c>
      <c r="K95" t="s">
        <v>55</v>
      </c>
      <c r="L95">
        <v>68962.87</v>
      </c>
      <c r="M95">
        <v>55261.78</v>
      </c>
      <c r="N95" t="s">
        <v>35</v>
      </c>
      <c r="O95">
        <v>13</v>
      </c>
      <c r="Q95">
        <v>3</v>
      </c>
      <c r="R95">
        <v>162</v>
      </c>
      <c r="S95">
        <v>232</v>
      </c>
      <c r="T95" t="s">
        <v>65</v>
      </c>
      <c r="U95" s="3"/>
      <c r="V95" s="3"/>
      <c r="W95" s="3"/>
    </row>
    <row r="96" spans="1:23">
      <c r="A96" t="s">
        <v>374</v>
      </c>
      <c r="B96" t="s">
        <v>199</v>
      </c>
      <c r="C96" t="s">
        <v>22</v>
      </c>
      <c r="D96" s="2">
        <v>22039</v>
      </c>
      <c r="E96" t="s">
        <v>375</v>
      </c>
      <c r="F96" s="2">
        <v>45674</v>
      </c>
      <c r="G96" t="s">
        <v>141</v>
      </c>
      <c r="H96" t="s">
        <v>376</v>
      </c>
      <c r="I96" t="s">
        <v>53</v>
      </c>
      <c r="J96" t="s">
        <v>179</v>
      </c>
      <c r="K96" t="s">
        <v>55</v>
      </c>
      <c r="L96">
        <v>100594.54</v>
      </c>
      <c r="N96" t="s">
        <v>73</v>
      </c>
      <c r="O96">
        <v>9</v>
      </c>
      <c r="P96">
        <v>198</v>
      </c>
      <c r="Q96">
        <v>4</v>
      </c>
      <c r="R96">
        <v>144</v>
      </c>
      <c r="S96">
        <v>194.5</v>
      </c>
      <c r="U96" s="3"/>
      <c r="V96" s="3"/>
      <c r="W96" s="3"/>
    </row>
    <row r="97" spans="1:23">
      <c r="A97" t="s">
        <v>377</v>
      </c>
      <c r="B97" t="s">
        <v>378</v>
      </c>
      <c r="C97" t="s">
        <v>40</v>
      </c>
      <c r="D97" s="2">
        <v>23561</v>
      </c>
      <c r="E97" t="s">
        <v>379</v>
      </c>
      <c r="F97" s="2">
        <v>45140</v>
      </c>
      <c r="G97" t="s">
        <v>109</v>
      </c>
      <c r="H97" t="s">
        <v>124</v>
      </c>
      <c r="I97" t="s">
        <v>79</v>
      </c>
      <c r="J97" t="s">
        <v>97</v>
      </c>
      <c r="K97" t="s">
        <v>27</v>
      </c>
      <c r="L97">
        <v>161290.1</v>
      </c>
      <c r="M97">
        <v>101843.01</v>
      </c>
      <c r="N97" t="s">
        <v>73</v>
      </c>
      <c r="O97">
        <v>4</v>
      </c>
      <c r="P97">
        <v>140</v>
      </c>
      <c r="Q97">
        <v>1</v>
      </c>
      <c r="R97" t="s">
        <v>380</v>
      </c>
      <c r="S97">
        <v>193.5</v>
      </c>
      <c r="T97" t="s">
        <v>37</v>
      </c>
      <c r="U97" s="3"/>
      <c r="V97" s="3"/>
      <c r="W97" s="3"/>
    </row>
    <row r="98" spans="1:23">
      <c r="A98" t="s">
        <v>381</v>
      </c>
      <c r="B98" t="s">
        <v>253</v>
      </c>
      <c r="C98" t="s">
        <v>30</v>
      </c>
      <c r="D98" s="2">
        <v>25635</v>
      </c>
      <c r="E98" s="2">
        <v>45494</v>
      </c>
      <c r="F98" s="2">
        <v>45497</v>
      </c>
      <c r="G98" t="s">
        <v>117</v>
      </c>
      <c r="H98" t="s">
        <v>118</v>
      </c>
      <c r="I98" t="s">
        <v>96</v>
      </c>
      <c r="J98" t="s">
        <v>179</v>
      </c>
      <c r="K98" t="s">
        <v>161</v>
      </c>
      <c r="L98">
        <v>212353.3</v>
      </c>
      <c r="M98">
        <v>173776.34</v>
      </c>
      <c r="N98" t="s">
        <v>192</v>
      </c>
      <c r="O98">
        <v>3</v>
      </c>
      <c r="P98">
        <v>57</v>
      </c>
      <c r="R98">
        <v>167</v>
      </c>
      <c r="S98">
        <v>166.8</v>
      </c>
      <c r="U98" s="3"/>
      <c r="V98" s="3"/>
      <c r="W98" s="3"/>
    </row>
    <row r="99" spans="1:23">
      <c r="A99" t="s">
        <v>382</v>
      </c>
      <c r="B99" t="s">
        <v>383</v>
      </c>
      <c r="C99" t="s">
        <v>50</v>
      </c>
      <c r="D99" s="2">
        <v>21394</v>
      </c>
      <c r="E99" s="2">
        <v>45788</v>
      </c>
      <c r="F99" s="2">
        <v>45800</v>
      </c>
      <c r="G99" t="s">
        <v>62</v>
      </c>
      <c r="H99" t="s">
        <v>78</v>
      </c>
      <c r="J99" t="s">
        <v>26</v>
      </c>
      <c r="K99" t="s">
        <v>55</v>
      </c>
      <c r="L99">
        <v>6630.63</v>
      </c>
      <c r="M99">
        <v>4668.88</v>
      </c>
      <c r="N99" t="s">
        <v>56</v>
      </c>
      <c r="O99">
        <v>12</v>
      </c>
      <c r="P99">
        <v>60</v>
      </c>
      <c r="Q99">
        <v>1</v>
      </c>
      <c r="R99">
        <v>97</v>
      </c>
      <c r="S99">
        <v>250.2</v>
      </c>
      <c r="T99" t="s">
        <v>37</v>
      </c>
      <c r="U99" s="3"/>
      <c r="V99" s="3"/>
      <c r="W99" s="3"/>
    </row>
    <row r="100" spans="1:23">
      <c r="A100" t="s">
        <v>384</v>
      </c>
      <c r="B100" t="s">
        <v>385</v>
      </c>
      <c r="D100" s="2">
        <v>27688</v>
      </c>
      <c r="E100" t="s">
        <v>386</v>
      </c>
      <c r="F100" s="2">
        <v>45072</v>
      </c>
      <c r="G100" t="s">
        <v>31</v>
      </c>
      <c r="I100" t="s">
        <v>45</v>
      </c>
      <c r="K100" t="s">
        <v>120</v>
      </c>
      <c r="L100">
        <v>63008.74</v>
      </c>
      <c r="M100">
        <v>43983.64</v>
      </c>
      <c r="N100" t="s">
        <v>192</v>
      </c>
      <c r="O100">
        <v>10</v>
      </c>
      <c r="P100">
        <v>161</v>
      </c>
      <c r="Q100">
        <v>1</v>
      </c>
      <c r="R100">
        <v>129</v>
      </c>
      <c r="S100">
        <v>196.6</v>
      </c>
      <c r="U100" s="3"/>
      <c r="V100" s="3"/>
      <c r="W100" s="3"/>
    </row>
    <row r="101" spans="1:23">
      <c r="A101" t="s">
        <v>387</v>
      </c>
      <c r="B101" t="s">
        <v>39</v>
      </c>
      <c r="C101" t="s">
        <v>40</v>
      </c>
      <c r="D101" s="2">
        <v>36171</v>
      </c>
      <c r="E101" s="2">
        <v>45806</v>
      </c>
      <c r="F101" s="2">
        <v>45815</v>
      </c>
      <c r="G101" t="s">
        <v>109</v>
      </c>
      <c r="J101" t="s">
        <v>34</v>
      </c>
      <c r="K101" t="s">
        <v>388</v>
      </c>
      <c r="L101">
        <v>115161.45</v>
      </c>
      <c r="M101">
        <v>82528.350000000006</v>
      </c>
      <c r="N101" t="s">
        <v>73</v>
      </c>
      <c r="O101">
        <v>9</v>
      </c>
      <c r="P101">
        <v>224</v>
      </c>
      <c r="Q101">
        <v>3</v>
      </c>
      <c r="R101">
        <v>137</v>
      </c>
      <c r="S101">
        <v>99.9</v>
      </c>
      <c r="T101" t="s">
        <v>37</v>
      </c>
      <c r="U101" s="3"/>
      <c r="V101" s="3"/>
      <c r="W101" s="3"/>
    </row>
    <row r="102" spans="1:23">
      <c r="A102" t="s">
        <v>389</v>
      </c>
      <c r="B102" t="s">
        <v>390</v>
      </c>
      <c r="C102" t="s">
        <v>307</v>
      </c>
      <c r="D102" s="2">
        <v>23536</v>
      </c>
      <c r="E102" s="2">
        <v>45779</v>
      </c>
      <c r="F102" s="2">
        <v>45790</v>
      </c>
      <c r="G102" t="s">
        <v>161</v>
      </c>
      <c r="H102" t="s">
        <v>118</v>
      </c>
      <c r="I102" t="s">
        <v>119</v>
      </c>
      <c r="J102" t="s">
        <v>26</v>
      </c>
      <c r="K102" t="s">
        <v>161</v>
      </c>
      <c r="L102">
        <v>126755.13</v>
      </c>
      <c r="M102">
        <v>95548.44</v>
      </c>
      <c r="O102">
        <v>11</v>
      </c>
      <c r="P102">
        <v>210</v>
      </c>
      <c r="R102">
        <v>95</v>
      </c>
      <c r="S102">
        <v>251.3</v>
      </c>
      <c r="T102" t="s">
        <v>37</v>
      </c>
      <c r="U102" s="3"/>
      <c r="V102" s="3"/>
      <c r="W102" s="3"/>
    </row>
    <row r="103" spans="1:23">
      <c r="A103" t="s">
        <v>391</v>
      </c>
      <c r="B103" t="s">
        <v>392</v>
      </c>
      <c r="C103" t="s">
        <v>206</v>
      </c>
      <c r="D103" s="2">
        <v>36274</v>
      </c>
      <c r="E103" s="2">
        <v>45429</v>
      </c>
      <c r="G103" t="s">
        <v>43</v>
      </c>
      <c r="H103" t="s">
        <v>24</v>
      </c>
      <c r="I103" t="s">
        <v>45</v>
      </c>
      <c r="J103" t="s">
        <v>186</v>
      </c>
      <c r="K103" t="s">
        <v>120</v>
      </c>
      <c r="L103">
        <v>88239.87</v>
      </c>
      <c r="M103">
        <v>72240.72</v>
      </c>
      <c r="N103" t="s">
        <v>56</v>
      </c>
      <c r="O103">
        <v>5</v>
      </c>
      <c r="P103">
        <v>90</v>
      </c>
      <c r="Q103">
        <v>1</v>
      </c>
      <c r="R103">
        <v>187</v>
      </c>
      <c r="S103">
        <v>194.9</v>
      </c>
      <c r="U103" s="3"/>
      <c r="V103" s="3"/>
      <c r="W103" s="3"/>
    </row>
    <row r="104" spans="1:23">
      <c r="A104" t="s">
        <v>393</v>
      </c>
      <c r="B104" t="s">
        <v>394</v>
      </c>
      <c r="C104" t="s">
        <v>50</v>
      </c>
      <c r="D104" s="2">
        <v>29192</v>
      </c>
      <c r="E104" s="2">
        <v>45122</v>
      </c>
      <c r="F104" s="2">
        <v>45139</v>
      </c>
      <c r="H104" t="s">
        <v>134</v>
      </c>
      <c r="I104" t="s">
        <v>33</v>
      </c>
      <c r="K104" t="s">
        <v>72</v>
      </c>
      <c r="L104">
        <v>143035.63</v>
      </c>
      <c r="M104">
        <v>122123.32</v>
      </c>
      <c r="N104" t="s">
        <v>192</v>
      </c>
      <c r="O104">
        <v>17</v>
      </c>
      <c r="P104">
        <v>38</v>
      </c>
      <c r="Q104">
        <v>4</v>
      </c>
      <c r="R104">
        <v>127</v>
      </c>
      <c r="S104">
        <v>119.6</v>
      </c>
      <c r="T104" t="s">
        <v>65</v>
      </c>
      <c r="U104" s="3"/>
      <c r="V104" s="3"/>
      <c r="W104" s="3"/>
    </row>
    <row r="105" spans="1:23">
      <c r="A105" t="s">
        <v>395</v>
      </c>
      <c r="B105" t="s">
        <v>363</v>
      </c>
      <c r="C105" t="s">
        <v>396</v>
      </c>
      <c r="D105" s="2">
        <v>26404</v>
      </c>
      <c r="E105" s="2">
        <v>45558</v>
      </c>
      <c r="F105" t="s">
        <v>397</v>
      </c>
      <c r="G105" t="s">
        <v>161</v>
      </c>
      <c r="H105" t="s">
        <v>52</v>
      </c>
      <c r="I105" t="s">
        <v>53</v>
      </c>
      <c r="J105" t="s">
        <v>71</v>
      </c>
      <c r="K105" t="s">
        <v>55</v>
      </c>
      <c r="L105">
        <v>207030.71</v>
      </c>
      <c r="M105">
        <v>155033.32</v>
      </c>
      <c r="N105" t="s">
        <v>73</v>
      </c>
      <c r="O105">
        <v>15</v>
      </c>
      <c r="P105">
        <v>60</v>
      </c>
      <c r="Q105">
        <v>5</v>
      </c>
      <c r="R105">
        <v>108</v>
      </c>
      <c r="S105">
        <v>87.3</v>
      </c>
      <c r="T105" t="s">
        <v>47</v>
      </c>
      <c r="U105" s="3"/>
      <c r="V105" s="3"/>
      <c r="W105" s="3"/>
    </row>
    <row r="106" spans="1:23">
      <c r="A106" t="s">
        <v>398</v>
      </c>
      <c r="B106" t="s">
        <v>399</v>
      </c>
      <c r="C106" t="s">
        <v>60</v>
      </c>
      <c r="D106" s="2">
        <v>20822</v>
      </c>
      <c r="E106" s="2">
        <v>45382</v>
      </c>
      <c r="F106" t="s">
        <v>400</v>
      </c>
      <c r="G106" t="s">
        <v>43</v>
      </c>
      <c r="H106" t="s">
        <v>63</v>
      </c>
      <c r="I106" t="s">
        <v>33</v>
      </c>
      <c r="K106" t="s">
        <v>401</v>
      </c>
      <c r="L106">
        <v>147564.39000000001</v>
      </c>
      <c r="M106">
        <v>104260.15</v>
      </c>
      <c r="N106" t="s">
        <v>73</v>
      </c>
      <c r="O106">
        <v>5</v>
      </c>
      <c r="P106">
        <v>21</v>
      </c>
      <c r="Q106">
        <v>4</v>
      </c>
      <c r="R106">
        <v>172</v>
      </c>
      <c r="S106">
        <v>154.30000000000001</v>
      </c>
      <c r="T106" t="s">
        <v>47</v>
      </c>
      <c r="U106" s="3"/>
      <c r="V106" s="3"/>
      <c r="W106" s="3"/>
    </row>
    <row r="107" spans="1:23">
      <c r="A107" t="s">
        <v>402</v>
      </c>
      <c r="B107" t="s">
        <v>403</v>
      </c>
      <c r="C107" t="s">
        <v>60</v>
      </c>
      <c r="D107" s="2">
        <v>24607</v>
      </c>
      <c r="E107" s="2">
        <v>45231</v>
      </c>
      <c r="F107" s="2">
        <v>45233</v>
      </c>
      <c r="G107" t="s">
        <v>117</v>
      </c>
      <c r="H107" t="s">
        <v>86</v>
      </c>
      <c r="I107" t="s">
        <v>96</v>
      </c>
      <c r="J107" t="s">
        <v>34</v>
      </c>
      <c r="K107" t="s">
        <v>55</v>
      </c>
      <c r="L107">
        <v>104468.07</v>
      </c>
      <c r="M107">
        <v>79326.61</v>
      </c>
      <c r="N107" t="s">
        <v>91</v>
      </c>
      <c r="O107">
        <v>2</v>
      </c>
      <c r="P107" t="s">
        <v>404</v>
      </c>
      <c r="Q107">
        <v>5</v>
      </c>
      <c r="R107">
        <v>139</v>
      </c>
      <c r="S107">
        <v>96.1</v>
      </c>
      <c r="T107" t="s">
        <v>47</v>
      </c>
      <c r="U107" s="3"/>
      <c r="V107" s="3"/>
      <c r="W107" s="3"/>
    </row>
    <row r="108" spans="1:23">
      <c r="A108" t="s">
        <v>405</v>
      </c>
      <c r="B108" t="s">
        <v>406</v>
      </c>
      <c r="C108" t="s">
        <v>100</v>
      </c>
      <c r="D108" t="s">
        <v>407</v>
      </c>
      <c r="E108" t="s">
        <v>408</v>
      </c>
      <c r="F108" s="2">
        <v>45910</v>
      </c>
      <c r="G108" t="s">
        <v>117</v>
      </c>
      <c r="H108" t="s">
        <v>86</v>
      </c>
      <c r="I108" t="s">
        <v>53</v>
      </c>
      <c r="J108" t="s">
        <v>197</v>
      </c>
      <c r="K108" t="s">
        <v>72</v>
      </c>
      <c r="L108">
        <v>63844.62</v>
      </c>
      <c r="M108">
        <v>49796.13</v>
      </c>
      <c r="N108" t="s">
        <v>409</v>
      </c>
      <c r="O108">
        <v>17</v>
      </c>
      <c r="P108">
        <v>213</v>
      </c>
      <c r="Q108">
        <v>1</v>
      </c>
      <c r="R108">
        <v>187</v>
      </c>
      <c r="S108">
        <v>259.3</v>
      </c>
      <c r="T108" t="s">
        <v>47</v>
      </c>
      <c r="U108" s="3"/>
      <c r="V108" s="3"/>
      <c r="W108" s="3"/>
    </row>
    <row r="109" spans="1:23">
      <c r="A109" t="s">
        <v>410</v>
      </c>
      <c r="B109" t="s">
        <v>392</v>
      </c>
      <c r="D109" s="2">
        <v>21830</v>
      </c>
      <c r="E109" s="2">
        <v>45935</v>
      </c>
      <c r="F109" s="2">
        <v>45953</v>
      </c>
      <c r="G109" t="s">
        <v>411</v>
      </c>
      <c r="H109" t="s">
        <v>24</v>
      </c>
      <c r="I109" t="s">
        <v>33</v>
      </c>
      <c r="J109" t="s">
        <v>179</v>
      </c>
      <c r="K109" t="s">
        <v>72</v>
      </c>
      <c r="M109">
        <v>42411.14</v>
      </c>
      <c r="N109" t="s">
        <v>192</v>
      </c>
      <c r="O109">
        <v>18</v>
      </c>
      <c r="P109">
        <v>127</v>
      </c>
      <c r="Q109">
        <v>1</v>
      </c>
      <c r="R109" t="s">
        <v>412</v>
      </c>
      <c r="S109">
        <v>244.4</v>
      </c>
      <c r="T109" t="s">
        <v>47</v>
      </c>
      <c r="U109" s="3"/>
      <c r="V109" s="3"/>
      <c r="W109" s="3"/>
    </row>
    <row r="110" spans="1:23">
      <c r="A110" t="s">
        <v>413</v>
      </c>
      <c r="B110" t="s">
        <v>414</v>
      </c>
      <c r="C110" t="s">
        <v>50</v>
      </c>
      <c r="D110" s="2">
        <v>35016</v>
      </c>
      <c r="E110" t="s">
        <v>415</v>
      </c>
      <c r="F110" s="2">
        <v>45144</v>
      </c>
      <c r="G110" t="s">
        <v>62</v>
      </c>
      <c r="I110" t="s">
        <v>79</v>
      </c>
      <c r="J110" t="s">
        <v>34</v>
      </c>
      <c r="K110" t="s">
        <v>161</v>
      </c>
      <c r="L110">
        <v>163172.12</v>
      </c>
      <c r="M110">
        <v>148838.24</v>
      </c>
      <c r="N110" t="s">
        <v>192</v>
      </c>
      <c r="O110">
        <v>11</v>
      </c>
      <c r="P110">
        <v>148</v>
      </c>
      <c r="Q110">
        <v>5</v>
      </c>
      <c r="R110">
        <v>118</v>
      </c>
      <c r="S110">
        <v>196.5</v>
      </c>
      <c r="T110" t="s">
        <v>47</v>
      </c>
      <c r="U110" s="3"/>
      <c r="V110" s="3"/>
      <c r="W110" s="3"/>
    </row>
    <row r="111" spans="1:23">
      <c r="A111" t="s">
        <v>416</v>
      </c>
      <c r="B111" t="s">
        <v>417</v>
      </c>
      <c r="C111" t="s">
        <v>50</v>
      </c>
      <c r="D111" s="2">
        <v>39729</v>
      </c>
      <c r="E111" s="2">
        <v>45140</v>
      </c>
      <c r="F111" s="2">
        <v>45156</v>
      </c>
      <c r="G111" t="s">
        <v>31</v>
      </c>
      <c r="H111" t="s">
        <v>52</v>
      </c>
      <c r="I111" t="s">
        <v>45</v>
      </c>
      <c r="J111" t="s">
        <v>46</v>
      </c>
      <c r="K111" t="s">
        <v>120</v>
      </c>
      <c r="L111">
        <v>245638.96</v>
      </c>
      <c r="M111">
        <v>218828.95</v>
      </c>
      <c r="N111" t="s">
        <v>91</v>
      </c>
      <c r="O111">
        <v>16</v>
      </c>
      <c r="P111">
        <v>27</v>
      </c>
      <c r="Q111">
        <v>5</v>
      </c>
      <c r="R111">
        <v>147</v>
      </c>
      <c r="S111">
        <v>72.2</v>
      </c>
      <c r="T111" t="s">
        <v>47</v>
      </c>
      <c r="U111" s="3"/>
      <c r="V111" s="3"/>
      <c r="W111" s="3"/>
    </row>
    <row r="112" spans="1:23">
      <c r="A112" t="s">
        <v>418</v>
      </c>
      <c r="B112" t="s">
        <v>419</v>
      </c>
      <c r="C112" t="s">
        <v>30</v>
      </c>
      <c r="D112" t="s">
        <v>420</v>
      </c>
      <c r="E112" s="2">
        <v>45388</v>
      </c>
      <c r="F112" s="2">
        <v>45394</v>
      </c>
      <c r="G112" t="s">
        <v>70</v>
      </c>
      <c r="I112" t="s">
        <v>25</v>
      </c>
      <c r="J112" t="s">
        <v>71</v>
      </c>
      <c r="K112" t="s">
        <v>120</v>
      </c>
      <c r="L112">
        <v>7469.3</v>
      </c>
      <c r="M112">
        <v>7360.98</v>
      </c>
      <c r="N112" t="s">
        <v>73</v>
      </c>
      <c r="O112">
        <v>6</v>
      </c>
      <c r="P112">
        <v>23</v>
      </c>
      <c r="Q112">
        <v>5</v>
      </c>
      <c r="R112">
        <v>111</v>
      </c>
      <c r="S112">
        <v>238.7</v>
      </c>
      <c r="T112" t="s">
        <v>47</v>
      </c>
      <c r="U112" s="3"/>
      <c r="V112" s="3"/>
      <c r="W112" s="3"/>
    </row>
    <row r="113" spans="1:23">
      <c r="A113" t="s">
        <v>421</v>
      </c>
      <c r="B113" t="s">
        <v>202</v>
      </c>
      <c r="C113" t="s">
        <v>100</v>
      </c>
      <c r="D113" s="2">
        <v>28112</v>
      </c>
      <c r="E113" s="2">
        <v>45470</v>
      </c>
      <c r="F113" s="2">
        <v>45480</v>
      </c>
      <c r="G113" t="s">
        <v>161</v>
      </c>
      <c r="H113" t="s">
        <v>24</v>
      </c>
      <c r="I113" t="s">
        <v>79</v>
      </c>
      <c r="K113" t="s">
        <v>27</v>
      </c>
      <c r="L113">
        <v>138541.5</v>
      </c>
      <c r="M113">
        <v>98194.49</v>
      </c>
      <c r="O113">
        <v>10</v>
      </c>
      <c r="P113">
        <v>97</v>
      </c>
      <c r="Q113">
        <v>1</v>
      </c>
      <c r="R113">
        <v>144</v>
      </c>
      <c r="S113">
        <v>86.6</v>
      </c>
      <c r="U113" s="3"/>
      <c r="V113" s="3"/>
      <c r="W113" s="3"/>
    </row>
    <row r="114" spans="1:23">
      <c r="A114" t="s">
        <v>422</v>
      </c>
      <c r="B114" t="s">
        <v>423</v>
      </c>
      <c r="C114" t="s">
        <v>84</v>
      </c>
      <c r="D114" s="2">
        <v>27100</v>
      </c>
      <c r="E114" s="2">
        <v>45708</v>
      </c>
      <c r="F114" s="2">
        <v>45720</v>
      </c>
      <c r="G114" t="s">
        <v>152</v>
      </c>
      <c r="H114" t="s">
        <v>44</v>
      </c>
      <c r="J114" t="s">
        <v>34</v>
      </c>
      <c r="K114" t="s">
        <v>27</v>
      </c>
      <c r="L114">
        <v>67691.7</v>
      </c>
      <c r="M114">
        <v>58842.63</v>
      </c>
      <c r="N114" t="s">
        <v>192</v>
      </c>
      <c r="O114">
        <v>12</v>
      </c>
      <c r="P114">
        <v>43</v>
      </c>
      <c r="Q114">
        <v>2</v>
      </c>
      <c r="R114">
        <v>100</v>
      </c>
      <c r="S114">
        <v>196.9</v>
      </c>
      <c r="T114" t="s">
        <v>37</v>
      </c>
      <c r="U114" s="3"/>
      <c r="V114" s="3"/>
      <c r="W114" s="3"/>
    </row>
    <row r="115" spans="1:23">
      <c r="A115" t="s">
        <v>424</v>
      </c>
      <c r="B115" t="s">
        <v>221</v>
      </c>
      <c r="C115" t="s">
        <v>133</v>
      </c>
      <c r="D115" t="s">
        <v>425</v>
      </c>
      <c r="E115" s="2">
        <v>45228</v>
      </c>
      <c r="F115" s="2">
        <v>45232</v>
      </c>
      <c r="G115" t="s">
        <v>77</v>
      </c>
      <c r="H115" t="s">
        <v>124</v>
      </c>
      <c r="I115" t="s">
        <v>53</v>
      </c>
      <c r="J115" t="s">
        <v>80</v>
      </c>
      <c r="K115" t="s">
        <v>161</v>
      </c>
      <c r="L115">
        <v>202594.03</v>
      </c>
      <c r="M115">
        <v>144409.59</v>
      </c>
      <c r="N115" t="s">
        <v>192</v>
      </c>
      <c r="O115">
        <v>4</v>
      </c>
      <c r="P115">
        <v>25</v>
      </c>
      <c r="Q115">
        <v>4</v>
      </c>
      <c r="R115">
        <v>115</v>
      </c>
      <c r="S115">
        <v>259.5</v>
      </c>
      <c r="U115" s="3"/>
      <c r="V115" s="3"/>
      <c r="W115" s="3"/>
    </row>
    <row r="116" spans="1:23">
      <c r="A116" t="s">
        <v>426</v>
      </c>
      <c r="B116" t="s">
        <v>427</v>
      </c>
      <c r="D116" s="2">
        <v>32046</v>
      </c>
      <c r="E116" s="2">
        <v>45786</v>
      </c>
      <c r="F116" s="2">
        <v>45790</v>
      </c>
      <c r="G116" t="s">
        <v>62</v>
      </c>
      <c r="H116" t="s">
        <v>118</v>
      </c>
      <c r="I116" t="s">
        <v>33</v>
      </c>
      <c r="J116" t="s">
        <v>26</v>
      </c>
      <c r="L116">
        <v>141764.23000000001</v>
      </c>
      <c r="M116">
        <v>132652.15</v>
      </c>
      <c r="N116" t="s">
        <v>192</v>
      </c>
      <c r="O116">
        <v>4</v>
      </c>
      <c r="P116">
        <v>227</v>
      </c>
      <c r="R116">
        <v>134</v>
      </c>
      <c r="S116">
        <v>236.8</v>
      </c>
      <c r="T116" t="s">
        <v>65</v>
      </c>
      <c r="U116" s="3"/>
      <c r="V116" s="3"/>
      <c r="W116" s="3"/>
    </row>
    <row r="117" spans="1:23">
      <c r="A117" t="s">
        <v>428</v>
      </c>
      <c r="B117" t="s">
        <v>429</v>
      </c>
      <c r="C117" t="s">
        <v>206</v>
      </c>
      <c r="D117" s="2">
        <v>39580</v>
      </c>
      <c r="E117" s="2">
        <v>44968</v>
      </c>
      <c r="F117" s="2">
        <v>44979</v>
      </c>
      <c r="G117" t="s">
        <v>109</v>
      </c>
      <c r="H117" t="s">
        <v>44</v>
      </c>
      <c r="I117" t="s">
        <v>96</v>
      </c>
      <c r="J117" t="s">
        <v>34</v>
      </c>
      <c r="K117" t="s">
        <v>72</v>
      </c>
      <c r="L117">
        <v>214913.11</v>
      </c>
      <c r="M117">
        <v>133255.89000000001</v>
      </c>
      <c r="O117">
        <v>11</v>
      </c>
      <c r="P117">
        <v>227</v>
      </c>
      <c r="Q117">
        <v>4</v>
      </c>
      <c r="R117">
        <v>107</v>
      </c>
      <c r="S117">
        <v>127.1</v>
      </c>
      <c r="U117" s="3"/>
      <c r="V117" s="3"/>
      <c r="W117" s="3"/>
    </row>
    <row r="118" spans="1:23">
      <c r="A118" t="s">
        <v>430</v>
      </c>
      <c r="B118" t="s">
        <v>390</v>
      </c>
      <c r="C118" t="s">
        <v>60</v>
      </c>
      <c r="D118" s="2">
        <v>19867</v>
      </c>
      <c r="E118" t="s">
        <v>431</v>
      </c>
      <c r="F118" s="2">
        <v>45977</v>
      </c>
      <c r="H118" t="s">
        <v>95</v>
      </c>
      <c r="I118" t="s">
        <v>25</v>
      </c>
      <c r="J118" t="s">
        <v>97</v>
      </c>
      <c r="K118" t="s">
        <v>161</v>
      </c>
      <c r="L118">
        <v>50208.95</v>
      </c>
      <c r="M118">
        <v>47753.38</v>
      </c>
      <c r="N118" t="s">
        <v>91</v>
      </c>
      <c r="O118">
        <v>13</v>
      </c>
      <c r="P118">
        <v>68</v>
      </c>
      <c r="Q118">
        <v>1</v>
      </c>
      <c r="R118">
        <v>148</v>
      </c>
      <c r="S118">
        <v>79.599999999999994</v>
      </c>
      <c r="T118" t="s">
        <v>65</v>
      </c>
      <c r="U118" s="3"/>
      <c r="V118" s="3"/>
      <c r="W118" s="3"/>
    </row>
    <row r="119" spans="1:23">
      <c r="A119" t="s">
        <v>432</v>
      </c>
      <c r="B119" t="s">
        <v>433</v>
      </c>
      <c r="C119" t="s">
        <v>84</v>
      </c>
      <c r="D119" t="s">
        <v>434</v>
      </c>
      <c r="E119" s="2">
        <v>45456</v>
      </c>
      <c r="F119" s="2">
        <v>45459</v>
      </c>
      <c r="G119" t="s">
        <v>43</v>
      </c>
      <c r="H119" t="s">
        <v>24</v>
      </c>
      <c r="I119" t="s">
        <v>53</v>
      </c>
      <c r="K119" t="s">
        <v>55</v>
      </c>
      <c r="L119">
        <v>195507.96</v>
      </c>
      <c r="M119">
        <v>187127.19</v>
      </c>
      <c r="N119" t="s">
        <v>192</v>
      </c>
      <c r="O119">
        <v>3</v>
      </c>
      <c r="P119">
        <v>170</v>
      </c>
      <c r="Q119">
        <v>4</v>
      </c>
      <c r="R119">
        <v>176</v>
      </c>
      <c r="S119">
        <v>109.3</v>
      </c>
      <c r="U119" s="3"/>
      <c r="V119" s="3"/>
      <c r="W119" s="3"/>
    </row>
    <row r="120" spans="1:23">
      <c r="A120" t="s">
        <v>435</v>
      </c>
      <c r="B120" t="s">
        <v>436</v>
      </c>
      <c r="C120" t="s">
        <v>22</v>
      </c>
      <c r="D120" s="2">
        <v>28334</v>
      </c>
      <c r="E120" s="2">
        <v>45641</v>
      </c>
      <c r="F120" s="2">
        <v>45656</v>
      </c>
      <c r="G120" t="s">
        <v>77</v>
      </c>
      <c r="H120" t="s">
        <v>44</v>
      </c>
      <c r="I120" t="s">
        <v>79</v>
      </c>
      <c r="K120" t="s">
        <v>161</v>
      </c>
      <c r="L120">
        <v>27822.25</v>
      </c>
      <c r="M120">
        <v>25035.74</v>
      </c>
      <c r="N120" t="s">
        <v>56</v>
      </c>
      <c r="O120">
        <v>15</v>
      </c>
      <c r="P120">
        <v>220</v>
      </c>
      <c r="Q120">
        <v>5</v>
      </c>
      <c r="R120">
        <v>161</v>
      </c>
      <c r="S120">
        <v>193</v>
      </c>
      <c r="T120" t="s">
        <v>37</v>
      </c>
      <c r="U120" s="3"/>
      <c r="V120" s="3"/>
      <c r="W120" s="3"/>
    </row>
    <row r="121" spans="1:23">
      <c r="A121" t="s">
        <v>437</v>
      </c>
      <c r="B121" t="s">
        <v>438</v>
      </c>
      <c r="C121" t="s">
        <v>84</v>
      </c>
      <c r="D121" s="2">
        <v>35887</v>
      </c>
      <c r="E121" s="2">
        <v>45754</v>
      </c>
      <c r="F121" s="2">
        <v>45765</v>
      </c>
      <c r="G121" t="s">
        <v>31</v>
      </c>
      <c r="H121" t="s">
        <v>24</v>
      </c>
      <c r="J121" t="s">
        <v>71</v>
      </c>
      <c r="K121" t="s">
        <v>72</v>
      </c>
      <c r="L121">
        <v>66708</v>
      </c>
      <c r="M121">
        <v>52052.97</v>
      </c>
      <c r="N121" t="s">
        <v>91</v>
      </c>
      <c r="O121" t="s">
        <v>227</v>
      </c>
      <c r="P121">
        <v>193</v>
      </c>
      <c r="Q121">
        <v>1</v>
      </c>
      <c r="R121">
        <v>164</v>
      </c>
      <c r="S121">
        <v>204.5</v>
      </c>
      <c r="T121" t="s">
        <v>37</v>
      </c>
      <c r="U121" s="3"/>
      <c r="V121" s="3"/>
      <c r="W121" s="3"/>
    </row>
    <row r="122" spans="1:23">
      <c r="A122" t="s">
        <v>439</v>
      </c>
      <c r="B122" t="s">
        <v>301</v>
      </c>
      <c r="C122" t="s">
        <v>22</v>
      </c>
      <c r="D122" s="2">
        <v>20672</v>
      </c>
      <c r="E122" t="s">
        <v>440</v>
      </c>
      <c r="F122" s="2">
        <v>45474</v>
      </c>
      <c r="G122" t="s">
        <v>62</v>
      </c>
      <c r="H122" t="s">
        <v>113</v>
      </c>
      <c r="I122" t="s">
        <v>119</v>
      </c>
      <c r="J122" t="s">
        <v>26</v>
      </c>
      <c r="K122" t="s">
        <v>161</v>
      </c>
      <c r="L122">
        <v>57507.74</v>
      </c>
      <c r="M122">
        <v>53094.77</v>
      </c>
      <c r="N122" t="s">
        <v>56</v>
      </c>
      <c r="O122">
        <v>18</v>
      </c>
      <c r="P122">
        <v>83</v>
      </c>
      <c r="Q122">
        <v>4</v>
      </c>
      <c r="R122">
        <v>190</v>
      </c>
      <c r="S122">
        <v>238.5</v>
      </c>
      <c r="T122" t="s">
        <v>65</v>
      </c>
      <c r="U122" s="3"/>
      <c r="V122" s="3"/>
      <c r="W122" s="3"/>
    </row>
    <row r="123" spans="1:23">
      <c r="A123" t="s">
        <v>441</v>
      </c>
      <c r="B123" t="s">
        <v>442</v>
      </c>
      <c r="D123" s="2">
        <v>27787</v>
      </c>
      <c r="E123" s="2">
        <v>45235</v>
      </c>
      <c r="F123" s="2">
        <v>45240</v>
      </c>
      <c r="G123" t="s">
        <v>105</v>
      </c>
      <c r="H123" t="s">
        <v>134</v>
      </c>
      <c r="J123" t="s">
        <v>97</v>
      </c>
      <c r="K123" t="s">
        <v>286</v>
      </c>
      <c r="L123">
        <v>80804.91</v>
      </c>
      <c r="M123">
        <v>51795.22</v>
      </c>
      <c r="N123" t="s">
        <v>73</v>
      </c>
      <c r="O123">
        <v>5</v>
      </c>
      <c r="P123">
        <v>25</v>
      </c>
      <c r="R123">
        <v>132</v>
      </c>
      <c r="S123">
        <v>189.9</v>
      </c>
      <c r="T123" t="s">
        <v>47</v>
      </c>
      <c r="U123" s="3"/>
      <c r="V123" s="3"/>
      <c r="W123" s="3"/>
    </row>
    <row r="124" spans="1:23">
      <c r="A124" t="s">
        <v>443</v>
      </c>
      <c r="B124" t="s">
        <v>444</v>
      </c>
      <c r="C124" t="s">
        <v>30</v>
      </c>
      <c r="D124" s="2">
        <v>29403</v>
      </c>
      <c r="E124" s="2">
        <v>45004</v>
      </c>
      <c r="F124" s="2">
        <v>45022</v>
      </c>
      <c r="G124" t="s">
        <v>105</v>
      </c>
      <c r="H124" t="s">
        <v>207</v>
      </c>
      <c r="I124" t="s">
        <v>119</v>
      </c>
      <c r="J124" t="s">
        <v>64</v>
      </c>
      <c r="K124" t="s">
        <v>110</v>
      </c>
      <c r="L124" t="s">
        <v>445</v>
      </c>
      <c r="M124">
        <v>29604.53</v>
      </c>
      <c r="N124" t="s">
        <v>56</v>
      </c>
      <c r="O124">
        <v>18</v>
      </c>
      <c r="P124">
        <v>192</v>
      </c>
      <c r="Q124">
        <v>4</v>
      </c>
      <c r="R124" t="s">
        <v>446</v>
      </c>
      <c r="S124">
        <v>201.8</v>
      </c>
      <c r="T124" t="s">
        <v>65</v>
      </c>
      <c r="U124" s="3"/>
      <c r="V124" s="3"/>
      <c r="W124" s="3"/>
    </row>
    <row r="125" spans="1:23">
      <c r="A125" t="s">
        <v>447</v>
      </c>
      <c r="B125" t="s">
        <v>448</v>
      </c>
      <c r="C125" t="s">
        <v>60</v>
      </c>
      <c r="D125" s="2">
        <v>26157</v>
      </c>
      <c r="E125" s="2">
        <v>45312</v>
      </c>
      <c r="F125" s="2">
        <v>45318</v>
      </c>
      <c r="G125" t="s">
        <v>70</v>
      </c>
      <c r="H125" t="s">
        <v>134</v>
      </c>
      <c r="I125" t="s">
        <v>25</v>
      </c>
      <c r="J125" t="s">
        <v>80</v>
      </c>
      <c r="K125" t="s">
        <v>449</v>
      </c>
      <c r="L125">
        <v>58019.54</v>
      </c>
      <c r="M125">
        <v>44289.63</v>
      </c>
      <c r="N125" t="s">
        <v>35</v>
      </c>
      <c r="O125">
        <v>6</v>
      </c>
      <c r="P125">
        <v>10</v>
      </c>
      <c r="R125">
        <v>111</v>
      </c>
      <c r="U125" s="3"/>
      <c r="V125" s="3"/>
      <c r="W125" s="3"/>
    </row>
    <row r="126" spans="1:23">
      <c r="A126" t="s">
        <v>450</v>
      </c>
      <c r="B126" t="s">
        <v>451</v>
      </c>
      <c r="C126" t="s">
        <v>30</v>
      </c>
      <c r="D126" s="2">
        <v>21072</v>
      </c>
      <c r="E126" s="2">
        <v>45898</v>
      </c>
      <c r="F126" s="2">
        <v>45903</v>
      </c>
      <c r="G126" t="s">
        <v>141</v>
      </c>
      <c r="H126" t="s">
        <v>113</v>
      </c>
      <c r="I126" t="s">
        <v>25</v>
      </c>
      <c r="J126" t="s">
        <v>71</v>
      </c>
      <c r="K126" t="s">
        <v>161</v>
      </c>
      <c r="L126">
        <v>106665.69</v>
      </c>
      <c r="M126">
        <v>95865.24</v>
      </c>
      <c r="N126" t="s">
        <v>73</v>
      </c>
      <c r="O126">
        <v>5</v>
      </c>
      <c r="P126">
        <v>74</v>
      </c>
      <c r="Q126">
        <v>3</v>
      </c>
      <c r="R126">
        <v>143</v>
      </c>
      <c r="S126">
        <v>227.8</v>
      </c>
      <c r="T126" t="s">
        <v>37</v>
      </c>
      <c r="U126" s="3"/>
      <c r="V126" s="3"/>
      <c r="W126" s="3"/>
    </row>
    <row r="127" spans="1:23">
      <c r="A127" t="s">
        <v>452</v>
      </c>
      <c r="B127" t="s">
        <v>390</v>
      </c>
      <c r="C127" t="s">
        <v>206</v>
      </c>
      <c r="D127" s="2">
        <v>39561</v>
      </c>
      <c r="E127" s="2">
        <v>45911</v>
      </c>
      <c r="F127" s="2">
        <v>45922</v>
      </c>
      <c r="G127" t="s">
        <v>152</v>
      </c>
      <c r="H127" t="s">
        <v>113</v>
      </c>
      <c r="I127" t="s">
        <v>33</v>
      </c>
      <c r="J127" t="s">
        <v>26</v>
      </c>
      <c r="K127" t="s">
        <v>27</v>
      </c>
      <c r="L127">
        <v>209219.96</v>
      </c>
      <c r="M127">
        <v>150846.85999999999</v>
      </c>
      <c r="N127" t="s">
        <v>56</v>
      </c>
      <c r="O127">
        <v>11</v>
      </c>
      <c r="P127" t="s">
        <v>453</v>
      </c>
      <c r="R127">
        <v>99</v>
      </c>
      <c r="S127">
        <v>207.5</v>
      </c>
      <c r="T127" t="s">
        <v>37</v>
      </c>
      <c r="U127" s="3"/>
      <c r="V127" s="3"/>
      <c r="W127" s="3"/>
    </row>
    <row r="128" spans="1:23">
      <c r="A128" t="s">
        <v>454</v>
      </c>
      <c r="B128" t="s">
        <v>455</v>
      </c>
      <c r="C128" t="s">
        <v>40</v>
      </c>
      <c r="D128" s="2">
        <v>20455</v>
      </c>
      <c r="E128" s="2">
        <v>45210</v>
      </c>
      <c r="F128" t="s">
        <v>456</v>
      </c>
      <c r="G128" t="s">
        <v>77</v>
      </c>
      <c r="H128" t="s">
        <v>118</v>
      </c>
      <c r="I128" t="s">
        <v>96</v>
      </c>
      <c r="J128" t="s">
        <v>26</v>
      </c>
      <c r="K128" t="s">
        <v>55</v>
      </c>
      <c r="L128">
        <v>94723.98</v>
      </c>
      <c r="M128">
        <v>71503.42</v>
      </c>
      <c r="O128">
        <v>6</v>
      </c>
      <c r="P128">
        <v>107</v>
      </c>
      <c r="Q128">
        <v>4</v>
      </c>
      <c r="R128">
        <v>148</v>
      </c>
      <c r="S128">
        <v>121.6</v>
      </c>
      <c r="T128" t="s">
        <v>37</v>
      </c>
      <c r="U128" s="3"/>
      <c r="V128" s="3"/>
      <c r="W128" s="3"/>
    </row>
    <row r="129" spans="1:23">
      <c r="A129" t="s">
        <v>457</v>
      </c>
      <c r="B129" t="s">
        <v>458</v>
      </c>
      <c r="C129" t="s">
        <v>459</v>
      </c>
      <c r="D129" s="2">
        <v>22567</v>
      </c>
      <c r="E129" t="s">
        <v>460</v>
      </c>
      <c r="F129" s="2">
        <v>45662</v>
      </c>
      <c r="H129" t="s">
        <v>160</v>
      </c>
      <c r="I129" t="s">
        <v>53</v>
      </c>
      <c r="J129" t="s">
        <v>34</v>
      </c>
      <c r="K129" t="s">
        <v>27</v>
      </c>
      <c r="L129">
        <v>230298.5</v>
      </c>
      <c r="M129">
        <v>222532.42</v>
      </c>
      <c r="N129" t="s">
        <v>35</v>
      </c>
      <c r="O129">
        <v>1</v>
      </c>
      <c r="P129">
        <v>117</v>
      </c>
      <c r="Q129">
        <v>1</v>
      </c>
      <c r="R129">
        <v>98</v>
      </c>
      <c r="S129">
        <v>119.7</v>
      </c>
      <c r="T129" t="s">
        <v>65</v>
      </c>
      <c r="U129" s="3"/>
      <c r="V129" s="3"/>
      <c r="W129" s="3"/>
    </row>
    <row r="130" spans="1:23">
      <c r="A130" t="s">
        <v>461</v>
      </c>
      <c r="B130" t="s">
        <v>274</v>
      </c>
      <c r="C130" t="s">
        <v>84</v>
      </c>
      <c r="D130" s="2">
        <v>39357</v>
      </c>
      <c r="E130" s="2">
        <v>44950</v>
      </c>
      <c r="F130" s="2">
        <v>44956</v>
      </c>
      <c r="G130" t="s">
        <v>411</v>
      </c>
      <c r="J130" t="s">
        <v>97</v>
      </c>
      <c r="K130" t="s">
        <v>55</v>
      </c>
      <c r="L130">
        <v>21029.15</v>
      </c>
      <c r="M130">
        <v>15906.04</v>
      </c>
      <c r="N130" t="s">
        <v>192</v>
      </c>
      <c r="O130">
        <v>6</v>
      </c>
      <c r="P130">
        <v>89</v>
      </c>
      <c r="Q130">
        <v>5</v>
      </c>
      <c r="R130">
        <v>96</v>
      </c>
      <c r="S130">
        <v>166.3</v>
      </c>
      <c r="T130" t="s">
        <v>37</v>
      </c>
      <c r="U130" s="3"/>
      <c r="V130" s="3"/>
      <c r="W130" s="3"/>
    </row>
    <row r="131" spans="1:23">
      <c r="A131" t="s">
        <v>462</v>
      </c>
      <c r="B131" t="s">
        <v>147</v>
      </c>
      <c r="C131" t="s">
        <v>30</v>
      </c>
      <c r="D131" s="2">
        <v>27777</v>
      </c>
      <c r="E131" s="2">
        <v>44927</v>
      </c>
      <c r="F131" s="2">
        <v>44930</v>
      </c>
      <c r="G131" t="s">
        <v>117</v>
      </c>
      <c r="H131" t="s">
        <v>113</v>
      </c>
      <c r="I131" t="s">
        <v>96</v>
      </c>
      <c r="J131" t="s">
        <v>64</v>
      </c>
      <c r="L131">
        <v>141677.31</v>
      </c>
      <c r="N131" t="s">
        <v>73</v>
      </c>
      <c r="O131">
        <v>3</v>
      </c>
      <c r="P131">
        <v>92</v>
      </c>
      <c r="Q131">
        <v>5</v>
      </c>
      <c r="R131">
        <v>96</v>
      </c>
      <c r="S131">
        <v>225.2</v>
      </c>
      <c r="T131" t="s">
        <v>37</v>
      </c>
      <c r="U131" s="3"/>
      <c r="V131" s="3"/>
      <c r="W131" s="3"/>
    </row>
    <row r="132" spans="1:23">
      <c r="A132" t="s">
        <v>463</v>
      </c>
      <c r="B132" t="s">
        <v>464</v>
      </c>
      <c r="C132" t="s">
        <v>50</v>
      </c>
      <c r="D132" t="s">
        <v>465</v>
      </c>
      <c r="E132" t="s">
        <v>466</v>
      </c>
      <c r="F132" s="2">
        <v>45279</v>
      </c>
      <c r="G132" t="s">
        <v>31</v>
      </c>
      <c r="H132" t="s">
        <v>153</v>
      </c>
      <c r="I132" t="s">
        <v>79</v>
      </c>
      <c r="J132" t="s">
        <v>26</v>
      </c>
      <c r="K132" t="s">
        <v>120</v>
      </c>
      <c r="L132">
        <v>65436.6</v>
      </c>
      <c r="M132">
        <v>49487.28</v>
      </c>
      <c r="N132" t="s">
        <v>467</v>
      </c>
      <c r="O132">
        <v>16</v>
      </c>
      <c r="P132" t="s">
        <v>468</v>
      </c>
      <c r="Q132">
        <v>4</v>
      </c>
      <c r="R132">
        <v>117</v>
      </c>
      <c r="S132">
        <v>156.80000000000001</v>
      </c>
      <c r="T132" t="s">
        <v>47</v>
      </c>
      <c r="U132" s="3"/>
      <c r="V132" s="3"/>
      <c r="W132" s="3"/>
    </row>
    <row r="133" spans="1:23">
      <c r="A133" t="s">
        <v>469</v>
      </c>
      <c r="B133" t="s">
        <v>470</v>
      </c>
      <c r="C133" t="s">
        <v>84</v>
      </c>
      <c r="D133" s="2">
        <v>35448</v>
      </c>
      <c r="E133" s="2">
        <v>45813</v>
      </c>
      <c r="F133" s="2">
        <v>45829</v>
      </c>
      <c r="G133" t="s">
        <v>70</v>
      </c>
      <c r="H133" t="s">
        <v>124</v>
      </c>
      <c r="I133" t="s">
        <v>53</v>
      </c>
      <c r="J133" t="s">
        <v>97</v>
      </c>
      <c r="K133" t="s">
        <v>161</v>
      </c>
      <c r="L133">
        <v>28129.61</v>
      </c>
      <c r="M133">
        <v>21044.86</v>
      </c>
      <c r="N133" t="s">
        <v>91</v>
      </c>
      <c r="O133">
        <v>16</v>
      </c>
      <c r="P133">
        <v>230</v>
      </c>
      <c r="Q133">
        <v>5</v>
      </c>
      <c r="R133">
        <v>154</v>
      </c>
      <c r="S133">
        <v>237.5</v>
      </c>
      <c r="T133" t="s">
        <v>348</v>
      </c>
      <c r="U133" s="3"/>
      <c r="V133" s="3"/>
      <c r="W133" s="3"/>
    </row>
    <row r="134" spans="1:23">
      <c r="A134" t="s">
        <v>471</v>
      </c>
      <c r="B134" t="s">
        <v>472</v>
      </c>
      <c r="C134" t="s">
        <v>50</v>
      </c>
      <c r="D134" s="2">
        <v>35051</v>
      </c>
      <c r="E134" s="2">
        <v>45372</v>
      </c>
      <c r="F134" t="s">
        <v>473</v>
      </c>
      <c r="G134" t="s">
        <v>31</v>
      </c>
      <c r="H134" t="s">
        <v>44</v>
      </c>
      <c r="I134" t="s">
        <v>119</v>
      </c>
      <c r="J134" t="s">
        <v>97</v>
      </c>
      <c r="K134" t="s">
        <v>72</v>
      </c>
      <c r="L134">
        <v>245380.54</v>
      </c>
      <c r="M134">
        <v>207020.39</v>
      </c>
      <c r="N134" t="s">
        <v>73</v>
      </c>
      <c r="O134">
        <v>7</v>
      </c>
      <c r="P134">
        <v>50</v>
      </c>
      <c r="R134">
        <v>159</v>
      </c>
      <c r="S134">
        <v>201.9</v>
      </c>
      <c r="T134" t="s">
        <v>65</v>
      </c>
      <c r="U134" s="3"/>
      <c r="V134" s="3"/>
      <c r="W134" s="3"/>
    </row>
    <row r="135" spans="1:23">
      <c r="A135" t="s">
        <v>474</v>
      </c>
      <c r="B135" t="s">
        <v>475</v>
      </c>
      <c r="C135" t="s">
        <v>40</v>
      </c>
      <c r="D135" s="2">
        <v>18814</v>
      </c>
      <c r="E135" s="2">
        <v>45035</v>
      </c>
      <c r="F135" s="2">
        <v>45037</v>
      </c>
      <c r="G135" t="s">
        <v>70</v>
      </c>
      <c r="H135" t="s">
        <v>78</v>
      </c>
      <c r="I135" t="s">
        <v>53</v>
      </c>
      <c r="J135" t="s">
        <v>71</v>
      </c>
      <c r="L135">
        <v>171639.11</v>
      </c>
      <c r="M135">
        <v>163368.6</v>
      </c>
      <c r="N135" t="s">
        <v>73</v>
      </c>
      <c r="O135">
        <v>2</v>
      </c>
      <c r="P135">
        <v>181</v>
      </c>
      <c r="Q135">
        <v>5</v>
      </c>
      <c r="R135">
        <v>116</v>
      </c>
      <c r="S135">
        <v>213.2</v>
      </c>
      <c r="T135" t="s">
        <v>37</v>
      </c>
      <c r="U135" s="3"/>
      <c r="V135" s="3"/>
      <c r="W135" s="3"/>
    </row>
    <row r="136" spans="1:23">
      <c r="A136" t="s">
        <v>476</v>
      </c>
      <c r="B136" t="s">
        <v>436</v>
      </c>
      <c r="C136" t="s">
        <v>156</v>
      </c>
      <c r="D136" s="2">
        <v>40007</v>
      </c>
      <c r="E136" t="s">
        <v>477</v>
      </c>
      <c r="F136" t="s">
        <v>478</v>
      </c>
      <c r="G136" t="s">
        <v>152</v>
      </c>
      <c r="H136" t="s">
        <v>24</v>
      </c>
      <c r="I136" t="s">
        <v>96</v>
      </c>
      <c r="J136" t="s">
        <v>80</v>
      </c>
      <c r="K136" t="s">
        <v>27</v>
      </c>
      <c r="L136">
        <v>156089.01999999999</v>
      </c>
      <c r="M136">
        <v>140721.32</v>
      </c>
      <c r="N136" t="s">
        <v>91</v>
      </c>
      <c r="O136">
        <v>11</v>
      </c>
      <c r="P136">
        <v>238</v>
      </c>
      <c r="Q136">
        <v>5</v>
      </c>
      <c r="R136">
        <v>186</v>
      </c>
      <c r="S136">
        <v>181.8</v>
      </c>
      <c r="U136" s="3"/>
      <c r="V136" s="3"/>
      <c r="W136" s="3"/>
    </row>
    <row r="137" spans="1:23">
      <c r="A137" t="s">
        <v>479</v>
      </c>
      <c r="B137" t="s">
        <v>480</v>
      </c>
      <c r="D137" t="s">
        <v>481</v>
      </c>
      <c r="E137" t="s">
        <v>482</v>
      </c>
      <c r="F137" s="2">
        <v>45618</v>
      </c>
      <c r="G137" t="s">
        <v>62</v>
      </c>
      <c r="H137" t="s">
        <v>24</v>
      </c>
      <c r="I137" t="s">
        <v>53</v>
      </c>
      <c r="J137" t="s">
        <v>46</v>
      </c>
      <c r="K137" t="s">
        <v>120</v>
      </c>
      <c r="L137" t="s">
        <v>483</v>
      </c>
      <c r="M137">
        <v>112968.39</v>
      </c>
      <c r="N137" t="s">
        <v>467</v>
      </c>
      <c r="O137">
        <v>15</v>
      </c>
      <c r="P137">
        <v>174</v>
      </c>
      <c r="Q137">
        <v>5</v>
      </c>
      <c r="R137">
        <v>152</v>
      </c>
      <c r="S137">
        <v>220.1</v>
      </c>
      <c r="T137" t="s">
        <v>37</v>
      </c>
      <c r="U137" s="3"/>
      <c r="V137" s="3"/>
      <c r="W137" s="3"/>
    </row>
    <row r="138" spans="1:23">
      <c r="A138" t="s">
        <v>484</v>
      </c>
      <c r="B138" t="s">
        <v>485</v>
      </c>
      <c r="C138" t="s">
        <v>100</v>
      </c>
      <c r="D138" s="2">
        <v>33766</v>
      </c>
      <c r="E138" s="2">
        <v>45665</v>
      </c>
      <c r="F138" t="s">
        <v>486</v>
      </c>
      <c r="G138" t="s">
        <v>70</v>
      </c>
      <c r="H138" t="s">
        <v>118</v>
      </c>
      <c r="J138" t="s">
        <v>64</v>
      </c>
      <c r="K138" t="s">
        <v>55</v>
      </c>
      <c r="L138">
        <v>206362.88</v>
      </c>
      <c r="M138">
        <v>123249.19</v>
      </c>
      <c r="N138" t="s">
        <v>91</v>
      </c>
      <c r="O138">
        <v>10</v>
      </c>
      <c r="P138">
        <v>176</v>
      </c>
      <c r="Q138">
        <v>5</v>
      </c>
      <c r="R138">
        <v>147</v>
      </c>
      <c r="S138">
        <v>115.7</v>
      </c>
      <c r="U138" s="3"/>
      <c r="V138" s="3"/>
      <c r="W138" s="3"/>
    </row>
    <row r="139" spans="1:23">
      <c r="A139" t="s">
        <v>487</v>
      </c>
      <c r="B139" t="s">
        <v>419</v>
      </c>
      <c r="C139" t="s">
        <v>84</v>
      </c>
      <c r="D139" s="2">
        <v>28704</v>
      </c>
      <c r="E139" s="2">
        <v>45534</v>
      </c>
      <c r="F139" t="s">
        <v>488</v>
      </c>
      <c r="G139" t="s">
        <v>161</v>
      </c>
      <c r="H139" t="s">
        <v>52</v>
      </c>
      <c r="I139" t="s">
        <v>53</v>
      </c>
      <c r="J139" t="s">
        <v>186</v>
      </c>
      <c r="K139" t="s">
        <v>55</v>
      </c>
      <c r="L139">
        <v>134468.44</v>
      </c>
      <c r="M139">
        <v>82253.710000000006</v>
      </c>
      <c r="N139" t="s">
        <v>91</v>
      </c>
      <c r="O139">
        <v>7</v>
      </c>
      <c r="P139">
        <v>176</v>
      </c>
      <c r="Q139">
        <v>4</v>
      </c>
      <c r="R139">
        <v>177</v>
      </c>
      <c r="S139">
        <v>150.6</v>
      </c>
      <c r="T139" t="s">
        <v>37</v>
      </c>
      <c r="U139" s="3"/>
      <c r="V139" s="3"/>
      <c r="W139" s="3"/>
    </row>
    <row r="140" spans="1:23">
      <c r="A140" t="s">
        <v>489</v>
      </c>
      <c r="B140" t="s">
        <v>159</v>
      </c>
      <c r="D140" s="2">
        <v>37355</v>
      </c>
      <c r="E140" t="s">
        <v>490</v>
      </c>
      <c r="F140" s="2">
        <v>45774</v>
      </c>
      <c r="G140" t="s">
        <v>23</v>
      </c>
      <c r="H140" t="s">
        <v>134</v>
      </c>
      <c r="I140" t="s">
        <v>119</v>
      </c>
      <c r="J140" t="s">
        <v>179</v>
      </c>
      <c r="K140" t="s">
        <v>401</v>
      </c>
      <c r="L140">
        <v>98901.71</v>
      </c>
      <c r="M140">
        <v>85100.01</v>
      </c>
      <c r="N140" t="s">
        <v>73</v>
      </c>
      <c r="O140">
        <v>13</v>
      </c>
      <c r="P140">
        <v>169</v>
      </c>
      <c r="Q140">
        <v>2</v>
      </c>
      <c r="R140">
        <v>186</v>
      </c>
      <c r="S140">
        <v>211.7</v>
      </c>
      <c r="T140" t="s">
        <v>37</v>
      </c>
      <c r="U140" s="3"/>
      <c r="V140" s="3"/>
      <c r="W140" s="3"/>
    </row>
    <row r="141" spans="1:23">
      <c r="A141" t="s">
        <v>491</v>
      </c>
      <c r="B141" t="s">
        <v>492</v>
      </c>
      <c r="C141" t="s">
        <v>84</v>
      </c>
      <c r="D141" s="2">
        <v>23460</v>
      </c>
      <c r="E141" t="s">
        <v>493</v>
      </c>
      <c r="F141" s="2">
        <v>45745</v>
      </c>
      <c r="G141" t="s">
        <v>141</v>
      </c>
      <c r="H141" t="s">
        <v>90</v>
      </c>
      <c r="I141" t="s">
        <v>96</v>
      </c>
      <c r="J141" t="s">
        <v>46</v>
      </c>
      <c r="K141" t="s">
        <v>120</v>
      </c>
      <c r="L141">
        <v>239454.43</v>
      </c>
      <c r="M141">
        <v>207381.25</v>
      </c>
      <c r="N141" t="s">
        <v>192</v>
      </c>
      <c r="O141">
        <v>18</v>
      </c>
      <c r="P141">
        <v>147</v>
      </c>
      <c r="Q141">
        <v>3</v>
      </c>
      <c r="R141">
        <v>105</v>
      </c>
      <c r="S141">
        <v>77.900000000000006</v>
      </c>
      <c r="T141" t="s">
        <v>37</v>
      </c>
      <c r="U141" s="3"/>
      <c r="V141" s="3"/>
      <c r="W141" s="3"/>
    </row>
    <row r="142" spans="1:23">
      <c r="A142" t="s">
        <v>494</v>
      </c>
      <c r="B142" t="s">
        <v>495</v>
      </c>
      <c r="C142" t="s">
        <v>40</v>
      </c>
      <c r="D142" t="s">
        <v>496</v>
      </c>
      <c r="E142" t="s">
        <v>497</v>
      </c>
      <c r="F142" t="s">
        <v>498</v>
      </c>
      <c r="G142" t="s">
        <v>89</v>
      </c>
      <c r="H142" t="s">
        <v>255</v>
      </c>
      <c r="I142" t="s">
        <v>96</v>
      </c>
      <c r="J142" t="s">
        <v>26</v>
      </c>
      <c r="K142" t="s">
        <v>120</v>
      </c>
      <c r="L142">
        <v>64545.18</v>
      </c>
      <c r="M142">
        <v>59231.61</v>
      </c>
      <c r="N142" t="s">
        <v>91</v>
      </c>
      <c r="O142">
        <v>18</v>
      </c>
      <c r="P142">
        <v>129</v>
      </c>
      <c r="Q142">
        <v>5</v>
      </c>
      <c r="R142">
        <v>135</v>
      </c>
      <c r="S142">
        <v>94.4</v>
      </c>
      <c r="U142" s="3"/>
      <c r="V142" s="3"/>
      <c r="W142" s="3"/>
    </row>
    <row r="143" spans="1:23">
      <c r="A143" t="s">
        <v>499</v>
      </c>
      <c r="B143" t="s">
        <v>500</v>
      </c>
      <c r="C143" t="s">
        <v>60</v>
      </c>
      <c r="D143" s="2">
        <v>18422</v>
      </c>
      <c r="E143" s="2">
        <v>45380</v>
      </c>
      <c r="F143" s="2">
        <v>45394</v>
      </c>
      <c r="G143" t="s">
        <v>501</v>
      </c>
      <c r="H143" t="s">
        <v>124</v>
      </c>
      <c r="I143" t="s">
        <v>119</v>
      </c>
      <c r="J143" t="s">
        <v>34</v>
      </c>
      <c r="K143" t="s">
        <v>161</v>
      </c>
      <c r="L143">
        <v>117054.97</v>
      </c>
      <c r="M143">
        <v>109145.58</v>
      </c>
      <c r="N143" t="s">
        <v>73</v>
      </c>
      <c r="O143">
        <v>14</v>
      </c>
      <c r="P143">
        <v>129</v>
      </c>
      <c r="R143">
        <v>103</v>
      </c>
      <c r="T143" t="s">
        <v>37</v>
      </c>
      <c r="U143" s="3"/>
      <c r="V143" s="3"/>
      <c r="W143" s="3"/>
    </row>
    <row r="144" spans="1:23">
      <c r="A144" t="s">
        <v>502</v>
      </c>
      <c r="B144" t="s">
        <v>503</v>
      </c>
      <c r="D144" s="2">
        <v>31983</v>
      </c>
      <c r="E144" s="2">
        <v>45362</v>
      </c>
      <c r="F144" s="2">
        <v>45364</v>
      </c>
      <c r="G144" t="s">
        <v>89</v>
      </c>
      <c r="H144" t="s">
        <v>95</v>
      </c>
      <c r="J144" t="s">
        <v>97</v>
      </c>
      <c r="K144" t="s">
        <v>55</v>
      </c>
      <c r="L144" t="s">
        <v>504</v>
      </c>
      <c r="M144">
        <v>90009.91</v>
      </c>
      <c r="N144" t="s">
        <v>73</v>
      </c>
      <c r="O144">
        <v>2</v>
      </c>
      <c r="P144">
        <v>155</v>
      </c>
      <c r="Q144">
        <v>5</v>
      </c>
      <c r="R144">
        <v>107</v>
      </c>
      <c r="S144">
        <v>158.30000000000001</v>
      </c>
      <c r="T144" t="s">
        <v>37</v>
      </c>
      <c r="U144" s="3"/>
      <c r="V144" s="3"/>
      <c r="W144" s="3"/>
    </row>
    <row r="145" spans="1:23">
      <c r="A145" t="s">
        <v>505</v>
      </c>
      <c r="B145" t="s">
        <v>132</v>
      </c>
      <c r="C145" t="s">
        <v>60</v>
      </c>
      <c r="D145" s="2">
        <v>35780</v>
      </c>
      <c r="E145" t="s">
        <v>506</v>
      </c>
      <c r="F145" s="2">
        <v>45663</v>
      </c>
      <c r="G145" t="s">
        <v>77</v>
      </c>
      <c r="H145" t="s">
        <v>86</v>
      </c>
      <c r="I145" t="s">
        <v>33</v>
      </c>
      <c r="J145" t="s">
        <v>71</v>
      </c>
      <c r="K145" t="s">
        <v>55</v>
      </c>
      <c r="L145">
        <v>93935.21</v>
      </c>
      <c r="M145">
        <v>84595.77</v>
      </c>
      <c r="N145" t="s">
        <v>35</v>
      </c>
      <c r="O145" t="s">
        <v>507</v>
      </c>
      <c r="P145">
        <v>137</v>
      </c>
      <c r="Q145">
        <v>5</v>
      </c>
      <c r="R145">
        <v>139</v>
      </c>
      <c r="S145">
        <v>159.19999999999999</v>
      </c>
      <c r="T145" t="s">
        <v>37</v>
      </c>
      <c r="U145" s="3"/>
      <c r="V145" s="3"/>
      <c r="W145" s="3"/>
    </row>
    <row r="146" spans="1:23">
      <c r="A146" t="s">
        <v>508</v>
      </c>
      <c r="B146" t="s">
        <v>253</v>
      </c>
      <c r="D146" s="2">
        <v>33286</v>
      </c>
      <c r="E146" s="2">
        <v>45442</v>
      </c>
      <c r="F146" s="2">
        <v>45455</v>
      </c>
      <c r="G146" t="s">
        <v>94</v>
      </c>
      <c r="H146" t="s">
        <v>95</v>
      </c>
      <c r="I146" t="s">
        <v>79</v>
      </c>
      <c r="J146" t="s">
        <v>46</v>
      </c>
      <c r="K146" t="s">
        <v>27</v>
      </c>
      <c r="L146">
        <v>204766.1</v>
      </c>
      <c r="M146">
        <v>173244.09</v>
      </c>
      <c r="N146" t="s">
        <v>192</v>
      </c>
      <c r="O146">
        <v>13</v>
      </c>
      <c r="P146" t="s">
        <v>509</v>
      </c>
      <c r="Q146">
        <v>1</v>
      </c>
      <c r="R146">
        <v>154</v>
      </c>
      <c r="S146">
        <v>237.6</v>
      </c>
      <c r="T146" t="s">
        <v>37</v>
      </c>
      <c r="U146" s="3"/>
      <c r="V146" s="3"/>
      <c r="W146" s="3"/>
    </row>
    <row r="147" spans="1:23">
      <c r="A147" t="s">
        <v>510</v>
      </c>
      <c r="B147" t="s">
        <v>511</v>
      </c>
      <c r="C147" t="s">
        <v>206</v>
      </c>
      <c r="D147" s="2">
        <v>29330</v>
      </c>
      <c r="E147" s="2">
        <v>45257</v>
      </c>
      <c r="G147" t="s">
        <v>152</v>
      </c>
      <c r="H147" t="s">
        <v>90</v>
      </c>
      <c r="I147" t="s">
        <v>53</v>
      </c>
      <c r="J147" t="s">
        <v>97</v>
      </c>
      <c r="K147" t="s">
        <v>55</v>
      </c>
      <c r="L147">
        <v>158311.26</v>
      </c>
      <c r="M147">
        <v>153124.87</v>
      </c>
      <c r="N147" t="s">
        <v>192</v>
      </c>
      <c r="O147">
        <v>14</v>
      </c>
      <c r="P147">
        <v>42</v>
      </c>
      <c r="Q147">
        <v>1</v>
      </c>
      <c r="R147">
        <v>111</v>
      </c>
      <c r="S147">
        <v>119.1</v>
      </c>
      <c r="T147" t="s">
        <v>47</v>
      </c>
      <c r="U147" s="3"/>
      <c r="V147" s="3"/>
      <c r="W147" s="3"/>
    </row>
    <row r="148" spans="1:23">
      <c r="A148" t="s">
        <v>512</v>
      </c>
      <c r="B148" t="s">
        <v>513</v>
      </c>
      <c r="C148" t="s">
        <v>60</v>
      </c>
      <c r="D148" s="2">
        <v>36826</v>
      </c>
      <c r="E148" s="2">
        <v>45299</v>
      </c>
      <c r="F148" s="2">
        <v>45316</v>
      </c>
      <c r="G148" t="s">
        <v>31</v>
      </c>
      <c r="H148" t="s">
        <v>113</v>
      </c>
      <c r="I148" t="s">
        <v>119</v>
      </c>
      <c r="J148" t="s">
        <v>34</v>
      </c>
      <c r="K148" t="s">
        <v>110</v>
      </c>
      <c r="L148">
        <v>150142.01</v>
      </c>
      <c r="M148">
        <v>115450.82</v>
      </c>
      <c r="N148" t="s">
        <v>409</v>
      </c>
      <c r="O148">
        <v>17</v>
      </c>
      <c r="P148">
        <v>103</v>
      </c>
      <c r="Q148">
        <v>3</v>
      </c>
      <c r="R148">
        <v>103</v>
      </c>
      <c r="S148">
        <v>73.099999999999994</v>
      </c>
      <c r="T148" t="s">
        <v>37</v>
      </c>
      <c r="U148" s="3"/>
      <c r="V148" s="3"/>
      <c r="W148" s="3"/>
    </row>
    <row r="149" spans="1:23">
      <c r="A149" t="s">
        <v>514</v>
      </c>
      <c r="B149" t="s">
        <v>515</v>
      </c>
      <c r="C149" t="s">
        <v>133</v>
      </c>
      <c r="D149" s="2">
        <v>39407</v>
      </c>
      <c r="E149" s="2">
        <v>45810</v>
      </c>
      <c r="F149" s="2">
        <v>45827</v>
      </c>
      <c r="G149" t="s">
        <v>106</v>
      </c>
      <c r="H149" t="s">
        <v>24</v>
      </c>
      <c r="I149" t="s">
        <v>79</v>
      </c>
      <c r="J149" t="s">
        <v>80</v>
      </c>
      <c r="K149" t="s">
        <v>55</v>
      </c>
      <c r="L149">
        <v>234759.35</v>
      </c>
      <c r="M149">
        <v>208941.3</v>
      </c>
      <c r="N149" t="s">
        <v>73</v>
      </c>
      <c r="O149">
        <v>17</v>
      </c>
      <c r="P149">
        <v>102</v>
      </c>
      <c r="Q149">
        <v>5</v>
      </c>
      <c r="R149">
        <v>165</v>
      </c>
      <c r="S149">
        <v>222.9</v>
      </c>
      <c r="T149" t="s">
        <v>106</v>
      </c>
      <c r="U149" s="3"/>
      <c r="V149" s="3"/>
      <c r="W149" s="3"/>
    </row>
    <row r="150" spans="1:23">
      <c r="A150" t="s">
        <v>516</v>
      </c>
      <c r="B150" t="s">
        <v>517</v>
      </c>
      <c r="C150" t="s">
        <v>84</v>
      </c>
      <c r="D150" s="2">
        <v>21064</v>
      </c>
      <c r="E150" s="2">
        <v>45695</v>
      </c>
      <c r="F150" t="s">
        <v>518</v>
      </c>
      <c r="G150" t="s">
        <v>105</v>
      </c>
      <c r="H150" t="s">
        <v>134</v>
      </c>
      <c r="I150" t="s">
        <v>119</v>
      </c>
      <c r="J150" t="s">
        <v>26</v>
      </c>
      <c r="K150" t="s">
        <v>55</v>
      </c>
      <c r="L150">
        <v>40807.699999999997</v>
      </c>
      <c r="M150">
        <v>30371.919999999998</v>
      </c>
      <c r="N150" t="s">
        <v>56</v>
      </c>
      <c r="O150">
        <v>7</v>
      </c>
      <c r="P150">
        <v>71</v>
      </c>
      <c r="R150">
        <v>144</v>
      </c>
      <c r="S150">
        <v>177.3</v>
      </c>
      <c r="T150" t="s">
        <v>37</v>
      </c>
      <c r="U150" s="3"/>
      <c r="V150" s="3"/>
      <c r="W150" s="3"/>
    </row>
    <row r="151" spans="1:23">
      <c r="A151" t="s">
        <v>519</v>
      </c>
      <c r="B151" t="s">
        <v>520</v>
      </c>
      <c r="C151" t="s">
        <v>60</v>
      </c>
      <c r="D151" s="2">
        <v>38295</v>
      </c>
      <c r="E151" s="2">
        <v>45397</v>
      </c>
      <c r="F151" s="2">
        <v>45412</v>
      </c>
      <c r="G151" t="s">
        <v>62</v>
      </c>
      <c r="H151" t="s">
        <v>52</v>
      </c>
      <c r="I151" t="s">
        <v>45</v>
      </c>
      <c r="J151" t="s">
        <v>64</v>
      </c>
      <c r="K151" t="s">
        <v>120</v>
      </c>
      <c r="L151">
        <v>101638.82</v>
      </c>
      <c r="M151">
        <v>95566.52</v>
      </c>
      <c r="N151" t="s">
        <v>35</v>
      </c>
      <c r="O151">
        <v>15</v>
      </c>
      <c r="P151">
        <v>162</v>
      </c>
      <c r="Q151">
        <v>1</v>
      </c>
      <c r="R151">
        <v>110</v>
      </c>
      <c r="S151">
        <v>143.9</v>
      </c>
      <c r="U151" s="3"/>
      <c r="V151" s="3"/>
      <c r="W151" s="3"/>
    </row>
    <row r="152" spans="1:23">
      <c r="A152" t="s">
        <v>521</v>
      </c>
      <c r="B152" t="s">
        <v>522</v>
      </c>
      <c r="C152" t="s">
        <v>84</v>
      </c>
      <c r="D152" s="2">
        <v>25192</v>
      </c>
      <c r="E152" s="2">
        <v>45044</v>
      </c>
      <c r="F152" s="2">
        <v>45050</v>
      </c>
      <c r="G152" t="s">
        <v>77</v>
      </c>
      <c r="H152" t="s">
        <v>24</v>
      </c>
      <c r="J152" t="s">
        <v>64</v>
      </c>
      <c r="K152" t="s">
        <v>72</v>
      </c>
      <c r="L152">
        <v>73286.61</v>
      </c>
      <c r="M152">
        <v>68536.75</v>
      </c>
      <c r="N152" t="s">
        <v>35</v>
      </c>
      <c r="O152">
        <v>6</v>
      </c>
      <c r="P152">
        <v>135</v>
      </c>
      <c r="R152">
        <v>179</v>
      </c>
      <c r="S152">
        <v>114</v>
      </c>
      <c r="T152" t="s">
        <v>47</v>
      </c>
      <c r="U152" s="3"/>
      <c r="V152" s="3"/>
      <c r="W152" s="3"/>
    </row>
    <row r="153" spans="1:23">
      <c r="A153" t="s">
        <v>523</v>
      </c>
      <c r="B153" t="s">
        <v>524</v>
      </c>
      <c r="C153" t="s">
        <v>40</v>
      </c>
      <c r="D153" t="s">
        <v>525</v>
      </c>
      <c r="E153" s="2">
        <v>45639</v>
      </c>
      <c r="F153" s="2">
        <v>45651</v>
      </c>
      <c r="G153" t="s">
        <v>109</v>
      </c>
      <c r="H153" t="s">
        <v>86</v>
      </c>
      <c r="I153" t="s">
        <v>45</v>
      </c>
      <c r="J153" t="s">
        <v>34</v>
      </c>
      <c r="K153" t="s">
        <v>72</v>
      </c>
      <c r="L153">
        <v>232604.18</v>
      </c>
      <c r="M153">
        <v>146832.76</v>
      </c>
      <c r="N153" t="s">
        <v>56</v>
      </c>
      <c r="O153">
        <v>12</v>
      </c>
      <c r="P153">
        <v>49</v>
      </c>
      <c r="Q153">
        <v>4</v>
      </c>
      <c r="R153">
        <v>154</v>
      </c>
      <c r="S153">
        <v>90.2</v>
      </c>
      <c r="T153" t="s">
        <v>37</v>
      </c>
      <c r="U153" s="3"/>
      <c r="V153" s="3"/>
      <c r="W153" s="3"/>
    </row>
    <row r="154" spans="1:23">
      <c r="A154" t="s">
        <v>526</v>
      </c>
      <c r="B154" t="s">
        <v>527</v>
      </c>
      <c r="C154" t="s">
        <v>50</v>
      </c>
      <c r="D154" s="2">
        <v>36394</v>
      </c>
      <c r="E154" t="s">
        <v>528</v>
      </c>
      <c r="F154" t="s">
        <v>529</v>
      </c>
      <c r="G154" t="s">
        <v>109</v>
      </c>
      <c r="H154" t="s">
        <v>52</v>
      </c>
      <c r="I154" t="s">
        <v>79</v>
      </c>
      <c r="J154" t="s">
        <v>80</v>
      </c>
      <c r="K154" t="s">
        <v>27</v>
      </c>
      <c r="L154">
        <v>170035.96</v>
      </c>
      <c r="M154">
        <v>159842.04</v>
      </c>
      <c r="N154" t="s">
        <v>56</v>
      </c>
      <c r="O154">
        <v>1</v>
      </c>
      <c r="P154">
        <v>110</v>
      </c>
      <c r="Q154">
        <v>5</v>
      </c>
      <c r="R154">
        <v>156</v>
      </c>
      <c r="S154">
        <v>171.8</v>
      </c>
      <c r="U154" s="3"/>
      <c r="V154" s="3"/>
      <c r="W154" s="3"/>
    </row>
    <row r="155" spans="1:23">
      <c r="A155" t="s">
        <v>530</v>
      </c>
      <c r="B155" t="s">
        <v>531</v>
      </c>
      <c r="C155" t="s">
        <v>100</v>
      </c>
      <c r="D155" s="2">
        <v>29927</v>
      </c>
      <c r="E155" s="2">
        <v>45407</v>
      </c>
      <c r="F155" t="s">
        <v>532</v>
      </c>
      <c r="G155" t="s">
        <v>94</v>
      </c>
      <c r="H155" t="s">
        <v>86</v>
      </c>
      <c r="I155" t="s">
        <v>45</v>
      </c>
      <c r="J155" t="s">
        <v>80</v>
      </c>
      <c r="K155" t="s">
        <v>286</v>
      </c>
      <c r="L155" t="s">
        <v>533</v>
      </c>
      <c r="M155">
        <v>156448.97</v>
      </c>
      <c r="O155">
        <v>8</v>
      </c>
      <c r="P155">
        <v>32</v>
      </c>
      <c r="Q155">
        <v>2</v>
      </c>
      <c r="R155">
        <v>100</v>
      </c>
      <c r="S155">
        <v>198.4</v>
      </c>
      <c r="U155" s="3"/>
      <c r="V155" s="3"/>
      <c r="W155" s="3"/>
    </row>
    <row r="156" spans="1:23">
      <c r="A156" t="s">
        <v>534</v>
      </c>
      <c r="B156" t="s">
        <v>492</v>
      </c>
      <c r="C156" t="s">
        <v>84</v>
      </c>
      <c r="D156" s="2">
        <v>24661</v>
      </c>
      <c r="E156" s="2">
        <v>45189</v>
      </c>
      <c r="F156" t="s">
        <v>535</v>
      </c>
      <c r="G156" t="s">
        <v>43</v>
      </c>
      <c r="H156" t="s">
        <v>32</v>
      </c>
      <c r="I156" t="s">
        <v>25</v>
      </c>
      <c r="J156" t="s">
        <v>64</v>
      </c>
      <c r="K156" t="s">
        <v>55</v>
      </c>
      <c r="L156">
        <v>88454.02</v>
      </c>
      <c r="M156">
        <v>70131.259999999995</v>
      </c>
      <c r="N156" t="s">
        <v>35</v>
      </c>
      <c r="O156">
        <v>2</v>
      </c>
      <c r="P156">
        <v>122</v>
      </c>
      <c r="Q156">
        <v>2</v>
      </c>
      <c r="R156" t="s">
        <v>536</v>
      </c>
      <c r="S156">
        <v>168.5</v>
      </c>
      <c r="T156" t="s">
        <v>65</v>
      </c>
      <c r="U156" s="3"/>
      <c r="V156" s="3"/>
      <c r="W156" s="3"/>
    </row>
    <row r="157" spans="1:23">
      <c r="A157" t="s">
        <v>537</v>
      </c>
      <c r="B157" t="s">
        <v>168</v>
      </c>
      <c r="C157" t="s">
        <v>60</v>
      </c>
      <c r="D157" s="2">
        <v>29774</v>
      </c>
      <c r="E157" s="2">
        <v>45785</v>
      </c>
      <c r="F157" s="2">
        <v>45797</v>
      </c>
      <c r="G157" t="s">
        <v>43</v>
      </c>
      <c r="H157" t="s">
        <v>538</v>
      </c>
      <c r="J157" t="s">
        <v>97</v>
      </c>
      <c r="K157" t="s">
        <v>449</v>
      </c>
      <c r="M157">
        <v>117330.11</v>
      </c>
      <c r="N157" t="s">
        <v>192</v>
      </c>
      <c r="O157">
        <v>12</v>
      </c>
      <c r="P157">
        <v>213</v>
      </c>
      <c r="Q157">
        <v>2</v>
      </c>
      <c r="R157" t="s">
        <v>539</v>
      </c>
      <c r="S157">
        <v>121.3</v>
      </c>
      <c r="T157" t="s">
        <v>47</v>
      </c>
      <c r="U157" s="3"/>
      <c r="V157" s="3"/>
      <c r="W157" s="3"/>
    </row>
    <row r="158" spans="1:23">
      <c r="A158" t="s">
        <v>540</v>
      </c>
      <c r="B158" t="s">
        <v>541</v>
      </c>
      <c r="C158" t="s">
        <v>50</v>
      </c>
      <c r="D158" s="2">
        <v>36748</v>
      </c>
      <c r="E158" s="2">
        <v>45440</v>
      </c>
      <c r="F158" s="2">
        <v>45458</v>
      </c>
      <c r="G158" t="s">
        <v>152</v>
      </c>
      <c r="I158" t="s">
        <v>33</v>
      </c>
      <c r="J158" t="s">
        <v>97</v>
      </c>
      <c r="K158" t="s">
        <v>72</v>
      </c>
      <c r="L158">
        <v>17359</v>
      </c>
      <c r="M158">
        <v>14632.97</v>
      </c>
      <c r="N158" t="s">
        <v>73</v>
      </c>
      <c r="O158">
        <v>18</v>
      </c>
      <c r="P158">
        <v>166</v>
      </c>
      <c r="Q158">
        <v>2</v>
      </c>
      <c r="R158">
        <v>147</v>
      </c>
      <c r="S158">
        <v>211.5</v>
      </c>
      <c r="T158" t="s">
        <v>65</v>
      </c>
      <c r="U158" s="3"/>
      <c r="V158" s="3"/>
      <c r="W158" s="3"/>
    </row>
    <row r="159" spans="1:23">
      <c r="A159" t="s">
        <v>542</v>
      </c>
      <c r="B159" t="s">
        <v>301</v>
      </c>
      <c r="C159" t="s">
        <v>22</v>
      </c>
      <c r="D159" s="2">
        <v>26472</v>
      </c>
      <c r="E159" s="2">
        <v>45972</v>
      </c>
      <c r="F159" t="s">
        <v>543</v>
      </c>
      <c r="G159" t="s">
        <v>77</v>
      </c>
      <c r="H159" t="s">
        <v>52</v>
      </c>
      <c r="I159" t="s">
        <v>79</v>
      </c>
      <c r="K159" t="s">
        <v>55</v>
      </c>
      <c r="L159">
        <v>73414.59</v>
      </c>
      <c r="M159">
        <v>61589.82</v>
      </c>
      <c r="N159" t="s">
        <v>192</v>
      </c>
      <c r="O159">
        <v>16</v>
      </c>
      <c r="P159">
        <v>227</v>
      </c>
      <c r="Q159">
        <v>3</v>
      </c>
      <c r="R159">
        <v>171</v>
      </c>
      <c r="S159">
        <v>223.5</v>
      </c>
      <c r="T159" t="s">
        <v>127</v>
      </c>
      <c r="U159" s="3"/>
      <c r="V159" s="3"/>
      <c r="W159" s="3"/>
    </row>
    <row r="160" spans="1:23">
      <c r="A160" t="s">
        <v>544</v>
      </c>
      <c r="B160" t="s">
        <v>545</v>
      </c>
      <c r="C160" t="s">
        <v>50</v>
      </c>
      <c r="D160" t="s">
        <v>546</v>
      </c>
      <c r="E160" s="2">
        <v>45849</v>
      </c>
      <c r="F160" s="2">
        <v>45863</v>
      </c>
      <c r="H160" t="s">
        <v>24</v>
      </c>
      <c r="J160" t="s">
        <v>80</v>
      </c>
      <c r="L160">
        <v>166350.57999999999</v>
      </c>
      <c r="M160">
        <v>128701.74</v>
      </c>
      <c r="N160" t="s">
        <v>73</v>
      </c>
      <c r="O160">
        <v>14</v>
      </c>
      <c r="P160">
        <v>25</v>
      </c>
      <c r="Q160">
        <v>4</v>
      </c>
      <c r="R160">
        <v>111</v>
      </c>
      <c r="S160">
        <v>145.4</v>
      </c>
      <c r="T160" t="s">
        <v>81</v>
      </c>
      <c r="U160" s="3"/>
      <c r="V160" s="3"/>
      <c r="W160" s="3"/>
    </row>
    <row r="161" spans="1:23">
      <c r="A161" t="s">
        <v>547</v>
      </c>
      <c r="B161" t="s">
        <v>548</v>
      </c>
      <c r="C161" t="s">
        <v>100</v>
      </c>
      <c r="D161" s="2">
        <v>35565</v>
      </c>
      <c r="E161" s="2">
        <v>45185</v>
      </c>
      <c r="F161" s="2">
        <v>45190</v>
      </c>
      <c r="G161" t="s">
        <v>62</v>
      </c>
      <c r="H161" t="s">
        <v>24</v>
      </c>
      <c r="I161" t="s">
        <v>25</v>
      </c>
      <c r="J161" t="s">
        <v>46</v>
      </c>
      <c r="L161">
        <v>215441.28</v>
      </c>
      <c r="M161">
        <v>206666.86</v>
      </c>
      <c r="N161" t="s">
        <v>192</v>
      </c>
      <c r="O161">
        <v>5</v>
      </c>
      <c r="P161">
        <v>124</v>
      </c>
      <c r="R161">
        <v>124</v>
      </c>
      <c r="S161">
        <v>174.2</v>
      </c>
      <c r="T161" t="s">
        <v>47</v>
      </c>
      <c r="U161" s="3"/>
      <c r="V161" s="3"/>
      <c r="W161" s="3"/>
    </row>
    <row r="162" spans="1:23">
      <c r="A162" t="s">
        <v>549</v>
      </c>
      <c r="B162" t="s">
        <v>550</v>
      </c>
      <c r="C162" t="s">
        <v>50</v>
      </c>
      <c r="D162" s="2">
        <v>27885</v>
      </c>
      <c r="E162" t="s">
        <v>551</v>
      </c>
      <c r="H162" t="s">
        <v>78</v>
      </c>
      <c r="I162" t="s">
        <v>53</v>
      </c>
      <c r="J162" t="s">
        <v>46</v>
      </c>
      <c r="K162" t="s">
        <v>27</v>
      </c>
      <c r="L162">
        <v>73473.66</v>
      </c>
      <c r="M162">
        <v>46453.4</v>
      </c>
      <c r="N162" t="s">
        <v>56</v>
      </c>
      <c r="O162">
        <v>1</v>
      </c>
      <c r="P162">
        <v>130</v>
      </c>
      <c r="R162">
        <v>128</v>
      </c>
      <c r="S162">
        <v>71.7</v>
      </c>
      <c r="T162" t="s">
        <v>37</v>
      </c>
      <c r="U162" s="3"/>
      <c r="V162" s="3"/>
      <c r="W162" s="3"/>
    </row>
    <row r="163" spans="1:23">
      <c r="A163" t="s">
        <v>552</v>
      </c>
      <c r="B163" t="s">
        <v>553</v>
      </c>
      <c r="C163" t="s">
        <v>40</v>
      </c>
      <c r="D163" s="2">
        <v>28437</v>
      </c>
      <c r="E163" s="2">
        <v>45985</v>
      </c>
      <c r="F163" t="s">
        <v>554</v>
      </c>
      <c r="G163" t="s">
        <v>31</v>
      </c>
      <c r="H163" t="s">
        <v>95</v>
      </c>
      <c r="J163" t="s">
        <v>34</v>
      </c>
      <c r="L163">
        <v>49030.15</v>
      </c>
      <c r="M163">
        <v>37004.14</v>
      </c>
      <c r="N163" t="s">
        <v>56</v>
      </c>
      <c r="O163">
        <v>9</v>
      </c>
      <c r="P163">
        <v>79</v>
      </c>
      <c r="Q163">
        <v>2</v>
      </c>
      <c r="R163">
        <v>171</v>
      </c>
      <c r="S163">
        <v>156.5</v>
      </c>
      <c r="T163" t="s">
        <v>37</v>
      </c>
      <c r="U163" s="3"/>
      <c r="V163" s="3"/>
      <c r="W163" s="3"/>
    </row>
    <row r="164" spans="1:23">
      <c r="A164" t="s">
        <v>555</v>
      </c>
      <c r="B164" t="s">
        <v>556</v>
      </c>
      <c r="C164" t="s">
        <v>60</v>
      </c>
      <c r="D164" s="2">
        <v>18482</v>
      </c>
      <c r="E164" s="2">
        <v>45627</v>
      </c>
      <c r="F164" s="2">
        <v>45641</v>
      </c>
      <c r="G164" t="s">
        <v>70</v>
      </c>
      <c r="H164" t="s">
        <v>32</v>
      </c>
      <c r="I164" t="s">
        <v>119</v>
      </c>
      <c r="J164" t="s">
        <v>34</v>
      </c>
      <c r="M164">
        <v>139831.15</v>
      </c>
      <c r="N164" t="s">
        <v>73</v>
      </c>
      <c r="O164">
        <v>14</v>
      </c>
      <c r="P164">
        <v>220</v>
      </c>
      <c r="Q164">
        <v>3</v>
      </c>
      <c r="R164">
        <v>97</v>
      </c>
      <c r="S164">
        <v>120.6</v>
      </c>
      <c r="T164" t="s">
        <v>37</v>
      </c>
      <c r="U164" s="3"/>
      <c r="V164" s="3"/>
      <c r="W164" s="3"/>
    </row>
    <row r="165" spans="1:23">
      <c r="A165" t="s">
        <v>557</v>
      </c>
      <c r="B165" t="s">
        <v>314</v>
      </c>
      <c r="C165" t="s">
        <v>133</v>
      </c>
      <c r="D165" s="2">
        <v>22882</v>
      </c>
      <c r="E165" s="2">
        <v>45119</v>
      </c>
      <c r="F165" s="2">
        <v>45136</v>
      </c>
      <c r="G165" t="s">
        <v>94</v>
      </c>
      <c r="H165" t="s">
        <v>32</v>
      </c>
      <c r="I165" t="s">
        <v>79</v>
      </c>
      <c r="J165" t="s">
        <v>71</v>
      </c>
      <c r="K165" t="s">
        <v>388</v>
      </c>
      <c r="L165">
        <v>234213.27</v>
      </c>
      <c r="M165">
        <v>208156.87</v>
      </c>
      <c r="N165" t="s">
        <v>56</v>
      </c>
      <c r="O165">
        <v>17</v>
      </c>
      <c r="R165" t="s">
        <v>558</v>
      </c>
      <c r="S165">
        <v>93.2</v>
      </c>
      <c r="T165" t="s">
        <v>37</v>
      </c>
      <c r="U165" s="3"/>
      <c r="V165" s="3"/>
      <c r="W165" s="3"/>
    </row>
    <row r="166" spans="1:23">
      <c r="A166" t="s">
        <v>559</v>
      </c>
      <c r="B166" t="s">
        <v>560</v>
      </c>
      <c r="C166" t="s">
        <v>296</v>
      </c>
      <c r="D166" s="2">
        <v>18282</v>
      </c>
      <c r="E166" t="s">
        <v>561</v>
      </c>
      <c r="F166" s="2">
        <v>45905</v>
      </c>
      <c r="G166" t="s">
        <v>161</v>
      </c>
      <c r="H166" t="s">
        <v>86</v>
      </c>
      <c r="I166" t="s">
        <v>53</v>
      </c>
      <c r="J166" t="s">
        <v>34</v>
      </c>
      <c r="K166" t="s">
        <v>110</v>
      </c>
      <c r="L166">
        <v>25121.88</v>
      </c>
      <c r="M166">
        <v>18122.27</v>
      </c>
      <c r="N166" t="s">
        <v>73</v>
      </c>
      <c r="O166">
        <v>5</v>
      </c>
      <c r="P166">
        <v>199</v>
      </c>
      <c r="Q166">
        <v>1</v>
      </c>
      <c r="R166">
        <v>97</v>
      </c>
      <c r="T166" t="s">
        <v>47</v>
      </c>
      <c r="U166" s="3"/>
      <c r="V166" s="3"/>
      <c r="W166" s="3"/>
    </row>
    <row r="167" spans="1:23">
      <c r="A167" t="s">
        <v>562</v>
      </c>
      <c r="B167" t="s">
        <v>563</v>
      </c>
      <c r="C167" t="s">
        <v>133</v>
      </c>
      <c r="D167" s="2">
        <v>29935</v>
      </c>
      <c r="E167" s="2">
        <v>45530</v>
      </c>
      <c r="F167" s="2">
        <v>45548</v>
      </c>
      <c r="G167" t="s">
        <v>94</v>
      </c>
      <c r="H167" t="s">
        <v>118</v>
      </c>
      <c r="I167" t="s">
        <v>53</v>
      </c>
      <c r="J167" t="s">
        <v>64</v>
      </c>
      <c r="K167" t="s">
        <v>161</v>
      </c>
      <c r="L167">
        <v>88547.01</v>
      </c>
      <c r="M167">
        <v>63261.58</v>
      </c>
      <c r="N167" t="s">
        <v>106</v>
      </c>
      <c r="O167">
        <v>18</v>
      </c>
      <c r="P167">
        <v>227</v>
      </c>
      <c r="R167">
        <v>110</v>
      </c>
      <c r="S167">
        <v>83.1</v>
      </c>
      <c r="T167" t="s">
        <v>47</v>
      </c>
      <c r="U167" s="3"/>
      <c r="V167" s="3"/>
      <c r="W167" s="3"/>
    </row>
    <row r="168" spans="1:23">
      <c r="A168" t="s">
        <v>564</v>
      </c>
      <c r="B168" t="s">
        <v>565</v>
      </c>
      <c r="C168" t="s">
        <v>196</v>
      </c>
      <c r="D168" s="2">
        <v>35117</v>
      </c>
      <c r="E168" t="s">
        <v>566</v>
      </c>
      <c r="F168" s="2">
        <v>45727</v>
      </c>
      <c r="G168" t="s">
        <v>77</v>
      </c>
      <c r="H168" t="s">
        <v>78</v>
      </c>
      <c r="I168" t="s">
        <v>53</v>
      </c>
      <c r="K168" t="s">
        <v>110</v>
      </c>
      <c r="L168">
        <v>72574.45</v>
      </c>
      <c r="M168">
        <v>61518.29</v>
      </c>
      <c r="N168" t="s">
        <v>192</v>
      </c>
      <c r="O168">
        <v>7</v>
      </c>
      <c r="P168">
        <v>33</v>
      </c>
      <c r="Q168">
        <v>2</v>
      </c>
      <c r="R168">
        <v>156</v>
      </c>
      <c r="S168">
        <v>195.2</v>
      </c>
      <c r="T168" t="s">
        <v>37</v>
      </c>
      <c r="U168" s="3"/>
      <c r="V168" s="3"/>
      <c r="W168" s="3"/>
    </row>
    <row r="169" spans="1:23">
      <c r="A169" t="s">
        <v>567</v>
      </c>
      <c r="B169" t="s">
        <v>568</v>
      </c>
      <c r="C169" t="s">
        <v>50</v>
      </c>
      <c r="D169" s="2">
        <v>23673</v>
      </c>
      <c r="E169" s="2">
        <v>45072</v>
      </c>
      <c r="F169" t="s">
        <v>569</v>
      </c>
      <c r="G169" t="s">
        <v>94</v>
      </c>
      <c r="H169" t="s">
        <v>113</v>
      </c>
      <c r="J169" t="s">
        <v>26</v>
      </c>
      <c r="K169" t="s">
        <v>55</v>
      </c>
      <c r="L169">
        <v>118344.64</v>
      </c>
      <c r="M169">
        <v>72246.86</v>
      </c>
      <c r="N169" t="s">
        <v>56</v>
      </c>
      <c r="O169">
        <v>1</v>
      </c>
      <c r="P169">
        <v>147</v>
      </c>
      <c r="Q169">
        <v>4</v>
      </c>
      <c r="R169">
        <v>137</v>
      </c>
      <c r="S169">
        <v>220.9</v>
      </c>
      <c r="T169" t="s">
        <v>37</v>
      </c>
      <c r="U169" s="3"/>
      <c r="V169" s="3"/>
      <c r="W169" s="3"/>
    </row>
    <row r="170" spans="1:23">
      <c r="A170" t="s">
        <v>570</v>
      </c>
      <c r="B170" t="s">
        <v>244</v>
      </c>
      <c r="C170" t="s">
        <v>60</v>
      </c>
      <c r="D170" s="2">
        <v>31399</v>
      </c>
      <c r="E170" s="2">
        <v>45777</v>
      </c>
      <c r="F170" s="2">
        <v>45781</v>
      </c>
      <c r="G170" t="s">
        <v>117</v>
      </c>
      <c r="H170" t="s">
        <v>63</v>
      </c>
      <c r="J170" t="s">
        <v>34</v>
      </c>
      <c r="K170" t="s">
        <v>72</v>
      </c>
      <c r="L170">
        <v>220998.94</v>
      </c>
      <c r="M170">
        <v>207239.21</v>
      </c>
      <c r="O170">
        <v>4</v>
      </c>
      <c r="P170">
        <v>145</v>
      </c>
      <c r="Q170">
        <v>4</v>
      </c>
      <c r="R170">
        <v>154</v>
      </c>
      <c r="S170">
        <v>134.1</v>
      </c>
      <c r="T170" t="s">
        <v>47</v>
      </c>
      <c r="U170" s="3"/>
      <c r="V170" s="3"/>
      <c r="W170" s="3"/>
    </row>
    <row r="171" spans="1:23">
      <c r="A171" t="s">
        <v>571</v>
      </c>
      <c r="B171" t="s">
        <v>572</v>
      </c>
      <c r="D171" s="2">
        <v>36427</v>
      </c>
      <c r="E171" t="s">
        <v>573</v>
      </c>
      <c r="F171" t="s">
        <v>574</v>
      </c>
      <c r="G171" t="s">
        <v>411</v>
      </c>
      <c r="H171" t="s">
        <v>134</v>
      </c>
      <c r="I171" t="s">
        <v>25</v>
      </c>
      <c r="J171" t="s">
        <v>179</v>
      </c>
      <c r="K171" t="s">
        <v>72</v>
      </c>
      <c r="L171">
        <v>245781.73</v>
      </c>
      <c r="M171">
        <v>155924.34</v>
      </c>
      <c r="N171" t="s">
        <v>91</v>
      </c>
      <c r="O171">
        <v>12</v>
      </c>
      <c r="P171">
        <v>39</v>
      </c>
      <c r="Q171">
        <v>5</v>
      </c>
      <c r="R171">
        <v>90</v>
      </c>
      <c r="S171">
        <v>127.1</v>
      </c>
      <c r="T171" t="s">
        <v>47</v>
      </c>
      <c r="U171" s="3"/>
      <c r="V171" s="3"/>
      <c r="W171" s="3"/>
    </row>
    <row r="172" spans="1:23">
      <c r="A172" t="s">
        <v>575</v>
      </c>
      <c r="B172" t="s">
        <v>576</v>
      </c>
      <c r="D172" s="2">
        <v>24277</v>
      </c>
      <c r="E172" t="s">
        <v>577</v>
      </c>
      <c r="F172" s="2">
        <v>45446</v>
      </c>
      <c r="G172" t="s">
        <v>109</v>
      </c>
      <c r="H172" t="s">
        <v>52</v>
      </c>
      <c r="I172" t="s">
        <v>79</v>
      </c>
      <c r="J172" t="s">
        <v>106</v>
      </c>
      <c r="K172" t="s">
        <v>161</v>
      </c>
      <c r="L172">
        <v>229675.75</v>
      </c>
      <c r="M172">
        <v>141178.56</v>
      </c>
      <c r="N172" t="s">
        <v>73</v>
      </c>
      <c r="O172">
        <v>8</v>
      </c>
      <c r="P172">
        <v>88</v>
      </c>
      <c r="R172">
        <v>112</v>
      </c>
      <c r="S172">
        <v>162.80000000000001</v>
      </c>
      <c r="T172" t="s">
        <v>106</v>
      </c>
      <c r="U172" s="3"/>
      <c r="V172" s="3"/>
      <c r="W172" s="3"/>
    </row>
    <row r="173" spans="1:23">
      <c r="A173" t="s">
        <v>578</v>
      </c>
      <c r="B173" t="s">
        <v>579</v>
      </c>
      <c r="C173" t="s">
        <v>100</v>
      </c>
      <c r="D173" s="2">
        <v>35762</v>
      </c>
      <c r="E173" s="2">
        <v>44950</v>
      </c>
      <c r="G173" t="s">
        <v>89</v>
      </c>
      <c r="H173" t="s">
        <v>24</v>
      </c>
      <c r="I173" t="s">
        <v>119</v>
      </c>
      <c r="J173" t="s">
        <v>64</v>
      </c>
      <c r="K173" t="s">
        <v>120</v>
      </c>
      <c r="L173">
        <v>142315.94</v>
      </c>
      <c r="M173">
        <v>121071.09</v>
      </c>
      <c r="O173" t="s">
        <v>580</v>
      </c>
      <c r="P173">
        <v>61</v>
      </c>
      <c r="Q173">
        <v>3</v>
      </c>
      <c r="R173">
        <v>96</v>
      </c>
      <c r="S173">
        <v>198</v>
      </c>
      <c r="T173" t="s">
        <v>37</v>
      </c>
      <c r="U173" s="3"/>
      <c r="V173" s="3"/>
      <c r="W173" s="3"/>
    </row>
    <row r="174" spans="1:23">
      <c r="A174" t="s">
        <v>581</v>
      </c>
      <c r="B174" t="s">
        <v>394</v>
      </c>
      <c r="C174" t="s">
        <v>60</v>
      </c>
      <c r="D174" s="2">
        <v>35870</v>
      </c>
      <c r="E174" s="2">
        <v>45332</v>
      </c>
      <c r="F174" s="2">
        <v>45348</v>
      </c>
      <c r="G174" t="s">
        <v>117</v>
      </c>
      <c r="H174" t="s">
        <v>86</v>
      </c>
      <c r="I174" t="s">
        <v>45</v>
      </c>
      <c r="J174" t="s">
        <v>80</v>
      </c>
      <c r="K174" t="s">
        <v>72</v>
      </c>
      <c r="L174">
        <v>20231.89</v>
      </c>
      <c r="M174">
        <v>15319.03</v>
      </c>
      <c r="N174" t="s">
        <v>73</v>
      </c>
      <c r="O174">
        <v>16</v>
      </c>
      <c r="P174" t="s">
        <v>582</v>
      </c>
      <c r="Q174">
        <v>2</v>
      </c>
      <c r="R174">
        <v>104</v>
      </c>
      <c r="S174">
        <v>197.6</v>
      </c>
      <c r="T174" t="s">
        <v>37</v>
      </c>
      <c r="U174" s="3"/>
      <c r="V174" s="3"/>
      <c r="W174" s="3"/>
    </row>
    <row r="175" spans="1:23">
      <c r="A175" t="s">
        <v>583</v>
      </c>
      <c r="B175" t="s">
        <v>584</v>
      </c>
      <c r="C175" t="s">
        <v>100</v>
      </c>
      <c r="D175" s="2">
        <v>22962</v>
      </c>
      <c r="E175" s="2">
        <v>45246</v>
      </c>
      <c r="F175" t="s">
        <v>585</v>
      </c>
      <c r="G175" t="s">
        <v>152</v>
      </c>
      <c r="H175" t="s">
        <v>312</v>
      </c>
      <c r="I175" t="s">
        <v>53</v>
      </c>
      <c r="J175" t="s">
        <v>71</v>
      </c>
      <c r="K175" t="s">
        <v>27</v>
      </c>
      <c r="L175">
        <v>5898.99</v>
      </c>
      <c r="M175">
        <v>4719.7299999999996</v>
      </c>
      <c r="N175" t="s">
        <v>91</v>
      </c>
      <c r="O175">
        <v>3</v>
      </c>
      <c r="P175">
        <v>83</v>
      </c>
      <c r="R175">
        <v>150</v>
      </c>
      <c r="S175">
        <v>74.3</v>
      </c>
      <c r="T175" t="s">
        <v>47</v>
      </c>
      <c r="U175" s="3"/>
      <c r="V175" s="3"/>
      <c r="W175" s="3"/>
    </row>
    <row r="176" spans="1:23">
      <c r="A176" t="s">
        <v>586</v>
      </c>
      <c r="B176" t="s">
        <v>587</v>
      </c>
      <c r="C176" t="s">
        <v>22</v>
      </c>
      <c r="D176" t="s">
        <v>588</v>
      </c>
      <c r="E176" t="s">
        <v>589</v>
      </c>
      <c r="G176" t="s">
        <v>141</v>
      </c>
      <c r="H176" t="s">
        <v>24</v>
      </c>
      <c r="I176" t="s">
        <v>33</v>
      </c>
      <c r="J176" t="s">
        <v>34</v>
      </c>
      <c r="K176" t="s">
        <v>27</v>
      </c>
      <c r="L176">
        <v>165942.26999999999</v>
      </c>
      <c r="M176">
        <v>134791.78</v>
      </c>
      <c r="N176" t="s">
        <v>409</v>
      </c>
      <c r="O176">
        <v>9</v>
      </c>
      <c r="P176">
        <v>173</v>
      </c>
      <c r="Q176">
        <v>5</v>
      </c>
      <c r="R176">
        <v>103</v>
      </c>
      <c r="S176">
        <v>73.599999999999994</v>
      </c>
      <c r="U176" s="3"/>
      <c r="V176" s="3"/>
      <c r="W176" s="3"/>
    </row>
    <row r="177" spans="1:23">
      <c r="A177" t="s">
        <v>590</v>
      </c>
      <c r="B177" t="s">
        <v>591</v>
      </c>
      <c r="C177" t="s">
        <v>133</v>
      </c>
      <c r="D177" s="2">
        <v>19101</v>
      </c>
      <c r="E177" s="2">
        <v>45551</v>
      </c>
      <c r="F177" s="2">
        <v>45562</v>
      </c>
      <c r="G177" t="s">
        <v>31</v>
      </c>
      <c r="H177" t="s">
        <v>124</v>
      </c>
      <c r="I177" t="s">
        <v>25</v>
      </c>
      <c r="K177" t="s">
        <v>55</v>
      </c>
      <c r="L177">
        <v>171867.06</v>
      </c>
      <c r="M177">
        <v>152543.92000000001</v>
      </c>
      <c r="N177" t="s">
        <v>56</v>
      </c>
      <c r="O177">
        <v>11</v>
      </c>
      <c r="P177">
        <v>65</v>
      </c>
      <c r="R177">
        <v>125</v>
      </c>
      <c r="S177">
        <v>224.3</v>
      </c>
      <c r="U177" s="3"/>
      <c r="V177" s="3"/>
      <c r="W177" s="3"/>
    </row>
    <row r="178" spans="1:23">
      <c r="A178" t="s">
        <v>592</v>
      </c>
      <c r="B178" t="s">
        <v>442</v>
      </c>
      <c r="C178" t="s">
        <v>106</v>
      </c>
      <c r="D178" s="2">
        <v>38678</v>
      </c>
      <c r="E178" t="s">
        <v>593</v>
      </c>
      <c r="F178" s="2">
        <v>45406</v>
      </c>
      <c r="G178" t="s">
        <v>62</v>
      </c>
      <c r="H178" t="s">
        <v>134</v>
      </c>
      <c r="I178" t="s">
        <v>96</v>
      </c>
      <c r="K178" t="s">
        <v>161</v>
      </c>
      <c r="L178">
        <v>83997.97</v>
      </c>
      <c r="M178">
        <v>55907.24</v>
      </c>
      <c r="N178" t="s">
        <v>192</v>
      </c>
      <c r="O178">
        <v>14</v>
      </c>
      <c r="P178">
        <v>172</v>
      </c>
      <c r="Q178">
        <v>3</v>
      </c>
      <c r="R178" t="s">
        <v>594</v>
      </c>
      <c r="S178">
        <v>172.9</v>
      </c>
      <c r="T178" t="s">
        <v>47</v>
      </c>
      <c r="U178" s="3"/>
      <c r="V178" s="3"/>
      <c r="W178" s="3"/>
    </row>
    <row r="179" spans="1:23">
      <c r="A179" t="s">
        <v>595</v>
      </c>
      <c r="B179" t="s">
        <v>332</v>
      </c>
      <c r="C179" t="s">
        <v>84</v>
      </c>
      <c r="D179" s="2">
        <v>40516</v>
      </c>
      <c r="E179" t="s">
        <v>596</v>
      </c>
      <c r="F179" s="2">
        <v>45315</v>
      </c>
      <c r="G179" t="s">
        <v>62</v>
      </c>
      <c r="H179" t="s">
        <v>153</v>
      </c>
      <c r="I179" t="s">
        <v>25</v>
      </c>
      <c r="J179" t="s">
        <v>204</v>
      </c>
      <c r="K179" t="s">
        <v>110</v>
      </c>
      <c r="L179">
        <v>220332.65</v>
      </c>
      <c r="M179">
        <v>206879.34</v>
      </c>
      <c r="N179" t="s">
        <v>56</v>
      </c>
      <c r="O179">
        <v>11</v>
      </c>
      <c r="P179">
        <v>82</v>
      </c>
      <c r="R179">
        <v>185</v>
      </c>
      <c r="S179">
        <v>247.4</v>
      </c>
      <c r="U179" s="3"/>
      <c r="V179" s="3"/>
      <c r="W179" s="3"/>
    </row>
    <row r="180" spans="1:23">
      <c r="A180" t="s">
        <v>597</v>
      </c>
      <c r="B180" t="s">
        <v>383</v>
      </c>
      <c r="C180" t="s">
        <v>40</v>
      </c>
      <c r="D180" s="2">
        <v>34551</v>
      </c>
      <c r="E180" t="s">
        <v>598</v>
      </c>
      <c r="F180" t="s">
        <v>599</v>
      </c>
      <c r="G180" t="s">
        <v>105</v>
      </c>
      <c r="H180" t="s">
        <v>124</v>
      </c>
      <c r="I180" t="s">
        <v>79</v>
      </c>
      <c r="J180" t="s">
        <v>34</v>
      </c>
      <c r="K180" t="s">
        <v>27</v>
      </c>
      <c r="L180">
        <v>119777.11</v>
      </c>
      <c r="M180">
        <v>90788.41</v>
      </c>
      <c r="N180" t="s">
        <v>192</v>
      </c>
      <c r="O180">
        <v>16</v>
      </c>
      <c r="P180">
        <v>13</v>
      </c>
      <c r="Q180">
        <v>4</v>
      </c>
      <c r="R180">
        <v>187</v>
      </c>
      <c r="S180">
        <v>254.1</v>
      </c>
      <c r="T180" t="s">
        <v>65</v>
      </c>
      <c r="U180" s="3"/>
      <c r="V180" s="3"/>
      <c r="W180" s="3"/>
    </row>
    <row r="181" spans="1:23">
      <c r="A181" t="s">
        <v>600</v>
      </c>
      <c r="B181" t="s">
        <v>601</v>
      </c>
      <c r="C181" t="s">
        <v>100</v>
      </c>
      <c r="D181" s="2">
        <v>28331</v>
      </c>
      <c r="E181" t="s">
        <v>602</v>
      </c>
      <c r="F181" s="2">
        <v>45025</v>
      </c>
      <c r="G181" t="s">
        <v>23</v>
      </c>
      <c r="H181" t="s">
        <v>118</v>
      </c>
      <c r="I181" t="s">
        <v>25</v>
      </c>
      <c r="J181" t="s">
        <v>64</v>
      </c>
      <c r="K181" t="s">
        <v>55</v>
      </c>
      <c r="L181">
        <v>29555.78</v>
      </c>
      <c r="M181">
        <v>26620.83</v>
      </c>
      <c r="N181" t="s">
        <v>35</v>
      </c>
      <c r="O181">
        <v>13</v>
      </c>
      <c r="P181">
        <v>15</v>
      </c>
      <c r="Q181">
        <v>4</v>
      </c>
      <c r="R181">
        <v>156</v>
      </c>
      <c r="S181">
        <v>172.2</v>
      </c>
      <c r="U181" s="3"/>
      <c r="V181" s="3"/>
      <c r="W181" s="3"/>
    </row>
    <row r="182" spans="1:23">
      <c r="A182" t="s">
        <v>603</v>
      </c>
      <c r="B182" t="s">
        <v>604</v>
      </c>
      <c r="C182" t="s">
        <v>133</v>
      </c>
      <c r="D182" s="2">
        <v>34582</v>
      </c>
      <c r="E182" t="s">
        <v>605</v>
      </c>
      <c r="F182" s="2">
        <v>45891</v>
      </c>
      <c r="G182" t="s">
        <v>89</v>
      </c>
      <c r="H182" t="s">
        <v>52</v>
      </c>
      <c r="I182" t="s">
        <v>53</v>
      </c>
      <c r="K182" t="s">
        <v>27</v>
      </c>
      <c r="L182">
        <v>234616.01</v>
      </c>
      <c r="M182">
        <v>172286.47</v>
      </c>
      <c r="O182">
        <v>15</v>
      </c>
      <c r="P182">
        <v>105</v>
      </c>
      <c r="Q182">
        <v>4</v>
      </c>
      <c r="R182">
        <v>131</v>
      </c>
      <c r="S182">
        <v>155.69999999999999</v>
      </c>
      <c r="T182" t="s">
        <v>47</v>
      </c>
      <c r="U182" s="3"/>
      <c r="V182" s="3"/>
      <c r="W182" s="3"/>
    </row>
    <row r="183" spans="1:23">
      <c r="A183" t="s">
        <v>606</v>
      </c>
      <c r="B183" t="s">
        <v>607</v>
      </c>
      <c r="C183" t="s">
        <v>84</v>
      </c>
      <c r="D183" s="2">
        <v>34904</v>
      </c>
      <c r="E183" t="s">
        <v>608</v>
      </c>
      <c r="F183" t="s">
        <v>609</v>
      </c>
      <c r="G183" t="s">
        <v>43</v>
      </c>
      <c r="H183" t="s">
        <v>24</v>
      </c>
      <c r="I183" t="s">
        <v>53</v>
      </c>
      <c r="J183" t="s">
        <v>204</v>
      </c>
      <c r="K183" t="s">
        <v>161</v>
      </c>
      <c r="L183">
        <v>142459.17000000001</v>
      </c>
      <c r="M183">
        <v>116101.59</v>
      </c>
      <c r="N183" t="s">
        <v>192</v>
      </c>
      <c r="O183">
        <v>6</v>
      </c>
      <c r="P183">
        <v>46</v>
      </c>
      <c r="Q183">
        <v>3</v>
      </c>
      <c r="R183">
        <v>112</v>
      </c>
      <c r="S183">
        <v>216.1</v>
      </c>
      <c r="T183" t="s">
        <v>37</v>
      </c>
      <c r="U183" s="3"/>
      <c r="V183" s="3"/>
      <c r="W183" s="3"/>
    </row>
    <row r="184" spans="1:23">
      <c r="A184" t="s">
        <v>610</v>
      </c>
      <c r="B184" t="s">
        <v>611</v>
      </c>
      <c r="C184" t="s">
        <v>206</v>
      </c>
      <c r="D184" s="2">
        <v>30701</v>
      </c>
      <c r="E184" s="2">
        <v>45937</v>
      </c>
      <c r="F184" s="2">
        <v>45945</v>
      </c>
      <c r="G184" t="s">
        <v>141</v>
      </c>
      <c r="H184" t="s">
        <v>32</v>
      </c>
      <c r="J184" t="s">
        <v>34</v>
      </c>
      <c r="K184" t="s">
        <v>55</v>
      </c>
      <c r="L184">
        <v>111864.15</v>
      </c>
      <c r="M184">
        <v>88599.49</v>
      </c>
      <c r="N184" t="s">
        <v>91</v>
      </c>
      <c r="O184">
        <v>8</v>
      </c>
      <c r="P184">
        <v>67</v>
      </c>
      <c r="R184">
        <v>125</v>
      </c>
      <c r="S184">
        <v>187.8</v>
      </c>
      <c r="T184" t="s">
        <v>57</v>
      </c>
      <c r="U184" s="3"/>
      <c r="V184" s="3"/>
      <c r="W184" s="3"/>
    </row>
    <row r="185" spans="1:23">
      <c r="A185" t="s">
        <v>612</v>
      </c>
      <c r="B185" t="s">
        <v>613</v>
      </c>
      <c r="C185" t="s">
        <v>60</v>
      </c>
      <c r="D185" s="2">
        <v>22230</v>
      </c>
      <c r="E185" s="2">
        <v>45290</v>
      </c>
      <c r="F185" t="s">
        <v>614</v>
      </c>
      <c r="G185" t="s">
        <v>501</v>
      </c>
      <c r="H185" t="s">
        <v>207</v>
      </c>
      <c r="I185" t="s">
        <v>33</v>
      </c>
      <c r="J185" t="s">
        <v>71</v>
      </c>
      <c r="K185" t="s">
        <v>120</v>
      </c>
      <c r="L185">
        <v>82398.41</v>
      </c>
      <c r="M185">
        <v>74057.67</v>
      </c>
      <c r="N185" t="s">
        <v>162</v>
      </c>
      <c r="O185">
        <v>15</v>
      </c>
      <c r="P185">
        <v>199</v>
      </c>
      <c r="Q185">
        <v>4</v>
      </c>
      <c r="R185">
        <v>160</v>
      </c>
      <c r="S185">
        <v>82.3</v>
      </c>
      <c r="T185" t="s">
        <v>348</v>
      </c>
      <c r="U185" s="3"/>
      <c r="V185" s="3"/>
      <c r="W185" s="3"/>
    </row>
    <row r="186" spans="1:23">
      <c r="A186" t="s">
        <v>615</v>
      </c>
      <c r="B186" t="s">
        <v>83</v>
      </c>
      <c r="D186" s="2">
        <v>40157</v>
      </c>
      <c r="E186" s="2">
        <v>45801</v>
      </c>
      <c r="F186" s="2">
        <v>45812</v>
      </c>
      <c r="G186" t="s">
        <v>117</v>
      </c>
      <c r="H186" t="s">
        <v>118</v>
      </c>
      <c r="K186" t="s">
        <v>161</v>
      </c>
      <c r="L186" t="s">
        <v>616</v>
      </c>
      <c r="M186">
        <v>125656.34</v>
      </c>
      <c r="N186" t="s">
        <v>91</v>
      </c>
      <c r="O186">
        <v>11</v>
      </c>
      <c r="P186">
        <v>166</v>
      </c>
      <c r="R186">
        <v>153</v>
      </c>
      <c r="S186">
        <v>223.5</v>
      </c>
      <c r="T186" t="s">
        <v>37</v>
      </c>
      <c r="U186" s="3"/>
      <c r="V186" s="3"/>
      <c r="W186" s="3"/>
    </row>
    <row r="187" spans="1:23">
      <c r="A187" t="s">
        <v>617</v>
      </c>
      <c r="B187" t="s">
        <v>168</v>
      </c>
      <c r="C187" t="s">
        <v>84</v>
      </c>
      <c r="D187" t="s">
        <v>618</v>
      </c>
      <c r="E187" s="2">
        <v>44950</v>
      </c>
      <c r="F187" t="s">
        <v>619</v>
      </c>
      <c r="G187" t="s">
        <v>109</v>
      </c>
      <c r="H187" t="s">
        <v>78</v>
      </c>
      <c r="I187" t="s">
        <v>33</v>
      </c>
      <c r="J187" t="s">
        <v>71</v>
      </c>
      <c r="K187" t="s">
        <v>110</v>
      </c>
      <c r="L187">
        <v>76820.289999999994</v>
      </c>
      <c r="M187">
        <v>55115.44</v>
      </c>
      <c r="N187" t="s">
        <v>35</v>
      </c>
      <c r="O187">
        <v>7</v>
      </c>
      <c r="P187">
        <v>6</v>
      </c>
      <c r="Q187">
        <v>2</v>
      </c>
      <c r="R187">
        <v>177</v>
      </c>
      <c r="S187">
        <v>133.30000000000001</v>
      </c>
      <c r="T187" t="s">
        <v>37</v>
      </c>
      <c r="U187" s="3"/>
      <c r="V187" s="3"/>
      <c r="W187" s="3"/>
    </row>
    <row r="188" spans="1:23">
      <c r="A188" t="s">
        <v>620</v>
      </c>
      <c r="B188" t="s">
        <v>591</v>
      </c>
      <c r="C188" t="s">
        <v>50</v>
      </c>
      <c r="D188" s="2">
        <v>29060</v>
      </c>
      <c r="E188" s="2">
        <v>45041</v>
      </c>
      <c r="F188" s="2">
        <v>45058</v>
      </c>
      <c r="G188" t="s">
        <v>31</v>
      </c>
      <c r="H188" t="s">
        <v>113</v>
      </c>
      <c r="I188" t="s">
        <v>119</v>
      </c>
      <c r="J188" t="s">
        <v>186</v>
      </c>
      <c r="K188" t="s">
        <v>72</v>
      </c>
      <c r="L188">
        <v>135131.66</v>
      </c>
      <c r="M188">
        <v>117999.57</v>
      </c>
      <c r="N188" t="s">
        <v>35</v>
      </c>
      <c r="O188">
        <v>17</v>
      </c>
      <c r="P188">
        <v>89</v>
      </c>
      <c r="Q188">
        <v>5</v>
      </c>
      <c r="R188">
        <v>98</v>
      </c>
      <c r="S188">
        <v>254.2</v>
      </c>
      <c r="T188" t="s">
        <v>65</v>
      </c>
      <c r="U188" s="3"/>
      <c r="V188" s="3"/>
      <c r="W188" s="3"/>
    </row>
    <row r="189" spans="1:23">
      <c r="A189" t="s">
        <v>621</v>
      </c>
      <c r="B189" t="s">
        <v>622</v>
      </c>
      <c r="C189" t="s">
        <v>133</v>
      </c>
      <c r="D189" s="2">
        <v>24656</v>
      </c>
      <c r="E189" s="2">
        <v>45944</v>
      </c>
      <c r="F189" s="2">
        <v>45952</v>
      </c>
      <c r="H189" t="s">
        <v>44</v>
      </c>
      <c r="I189" t="s">
        <v>45</v>
      </c>
      <c r="J189" t="s">
        <v>64</v>
      </c>
      <c r="K189" t="s">
        <v>183</v>
      </c>
      <c r="L189">
        <v>77323.78</v>
      </c>
      <c r="M189">
        <v>62807.38</v>
      </c>
      <c r="O189" t="s">
        <v>236</v>
      </c>
      <c r="P189">
        <v>14</v>
      </c>
      <c r="Q189">
        <v>4</v>
      </c>
      <c r="R189">
        <v>101</v>
      </c>
      <c r="S189">
        <v>154.30000000000001</v>
      </c>
      <c r="T189" t="s">
        <v>37</v>
      </c>
      <c r="U189" s="3"/>
      <c r="V189" s="3"/>
      <c r="W189" s="3"/>
    </row>
    <row r="190" spans="1:23">
      <c r="A190" t="s">
        <v>623</v>
      </c>
      <c r="B190" t="s">
        <v>624</v>
      </c>
      <c r="C190" t="s">
        <v>133</v>
      </c>
      <c r="D190" s="2">
        <v>29059</v>
      </c>
      <c r="E190" s="2">
        <v>45996</v>
      </c>
      <c r="G190" t="s">
        <v>152</v>
      </c>
      <c r="H190" t="s">
        <v>113</v>
      </c>
      <c r="I190" t="s">
        <v>33</v>
      </c>
      <c r="J190" t="s">
        <v>46</v>
      </c>
      <c r="K190" t="s">
        <v>72</v>
      </c>
      <c r="L190">
        <v>118051.79</v>
      </c>
      <c r="M190">
        <v>86287.7</v>
      </c>
      <c r="N190" t="s">
        <v>91</v>
      </c>
      <c r="O190">
        <v>4</v>
      </c>
      <c r="P190">
        <v>201</v>
      </c>
      <c r="Q190">
        <v>5</v>
      </c>
      <c r="R190">
        <v>92</v>
      </c>
      <c r="S190">
        <v>179.7</v>
      </c>
      <c r="T190" t="s">
        <v>65</v>
      </c>
      <c r="U190" s="3"/>
      <c r="V190" s="3"/>
      <c r="W190" s="3"/>
    </row>
    <row r="191" spans="1:23">
      <c r="A191" t="s">
        <v>625</v>
      </c>
      <c r="B191" t="s">
        <v>464</v>
      </c>
      <c r="C191" t="s">
        <v>40</v>
      </c>
      <c r="D191" s="2">
        <v>23266</v>
      </c>
      <c r="E191" t="s">
        <v>626</v>
      </c>
      <c r="F191" t="s">
        <v>627</v>
      </c>
      <c r="G191" t="s">
        <v>31</v>
      </c>
      <c r="H191" t="s">
        <v>78</v>
      </c>
      <c r="I191" t="s">
        <v>96</v>
      </c>
      <c r="L191">
        <v>63094.21</v>
      </c>
      <c r="M191">
        <v>50059.78</v>
      </c>
      <c r="N191" t="s">
        <v>326</v>
      </c>
      <c r="O191">
        <v>9</v>
      </c>
      <c r="P191">
        <v>233</v>
      </c>
      <c r="Q191">
        <v>5</v>
      </c>
      <c r="R191">
        <v>159</v>
      </c>
      <c r="S191">
        <v>154.30000000000001</v>
      </c>
      <c r="T191" t="s">
        <v>47</v>
      </c>
      <c r="U191" s="3"/>
      <c r="V191" s="3"/>
      <c r="W191" s="3"/>
    </row>
    <row r="192" spans="1:23">
      <c r="A192" t="s">
        <v>628</v>
      </c>
      <c r="B192" t="s">
        <v>234</v>
      </c>
      <c r="C192" t="s">
        <v>50</v>
      </c>
      <c r="D192" s="2">
        <v>25381</v>
      </c>
      <c r="E192" s="2">
        <v>45332</v>
      </c>
      <c r="G192" t="s">
        <v>70</v>
      </c>
      <c r="H192" t="s">
        <v>78</v>
      </c>
      <c r="K192" t="s">
        <v>27</v>
      </c>
      <c r="L192">
        <v>35119.33</v>
      </c>
      <c r="M192">
        <v>25089.61</v>
      </c>
      <c r="O192">
        <v>18</v>
      </c>
      <c r="P192">
        <v>121</v>
      </c>
      <c r="Q192">
        <v>5</v>
      </c>
      <c r="R192">
        <v>177</v>
      </c>
      <c r="S192">
        <v>192.4</v>
      </c>
      <c r="T192" t="s">
        <v>37</v>
      </c>
      <c r="U192" s="3"/>
      <c r="V192" s="3"/>
      <c r="W192" s="3"/>
    </row>
    <row r="193" spans="1:23">
      <c r="A193" t="s">
        <v>629</v>
      </c>
      <c r="B193" t="s">
        <v>630</v>
      </c>
      <c r="C193" t="s">
        <v>459</v>
      </c>
      <c r="D193" t="s">
        <v>631</v>
      </c>
      <c r="E193" s="2">
        <v>45158</v>
      </c>
      <c r="F193" t="s">
        <v>632</v>
      </c>
      <c r="H193" t="s">
        <v>90</v>
      </c>
      <c r="I193" t="s">
        <v>96</v>
      </c>
      <c r="J193" t="s">
        <v>46</v>
      </c>
      <c r="K193" t="s">
        <v>106</v>
      </c>
      <c r="L193">
        <v>152098.96</v>
      </c>
      <c r="M193">
        <v>129646.86</v>
      </c>
      <c r="N193" t="s">
        <v>56</v>
      </c>
      <c r="O193">
        <v>12</v>
      </c>
      <c r="P193">
        <v>108</v>
      </c>
      <c r="Q193">
        <v>2</v>
      </c>
      <c r="R193">
        <v>131</v>
      </c>
      <c r="S193">
        <v>175.7</v>
      </c>
      <c r="T193" t="s">
        <v>37</v>
      </c>
      <c r="U193" s="3"/>
      <c r="V193" s="3"/>
      <c r="W193" s="3"/>
    </row>
    <row r="194" spans="1:23">
      <c r="A194" t="s">
        <v>633</v>
      </c>
      <c r="B194" t="s">
        <v>513</v>
      </c>
      <c r="C194" t="s">
        <v>50</v>
      </c>
      <c r="D194" s="2">
        <v>31024</v>
      </c>
      <c r="E194" s="2">
        <v>45281</v>
      </c>
      <c r="F194" s="2">
        <v>45284</v>
      </c>
      <c r="G194" t="s">
        <v>31</v>
      </c>
      <c r="H194" t="s">
        <v>634</v>
      </c>
      <c r="J194" t="s">
        <v>26</v>
      </c>
      <c r="K194" t="s">
        <v>120</v>
      </c>
      <c r="L194">
        <v>149060.38</v>
      </c>
      <c r="M194">
        <v>112947.93</v>
      </c>
      <c r="N194" t="s">
        <v>73</v>
      </c>
      <c r="O194">
        <v>3</v>
      </c>
      <c r="P194">
        <v>29</v>
      </c>
      <c r="R194">
        <v>112</v>
      </c>
      <c r="S194">
        <v>128.5</v>
      </c>
      <c r="T194" t="s">
        <v>37</v>
      </c>
      <c r="U194" s="3"/>
      <c r="V194" s="3"/>
      <c r="W194" s="3"/>
    </row>
    <row r="195" spans="1:23">
      <c r="A195" t="s">
        <v>635</v>
      </c>
      <c r="B195" t="s">
        <v>427</v>
      </c>
      <c r="C195" t="s">
        <v>60</v>
      </c>
      <c r="D195" s="2">
        <v>33678</v>
      </c>
      <c r="E195" s="2">
        <v>46015</v>
      </c>
      <c r="F195" t="s">
        <v>219</v>
      </c>
      <c r="G195" t="s">
        <v>117</v>
      </c>
      <c r="H195" t="s">
        <v>32</v>
      </c>
      <c r="I195" t="s">
        <v>45</v>
      </c>
      <c r="J195" t="s">
        <v>80</v>
      </c>
      <c r="K195" t="s">
        <v>55</v>
      </c>
      <c r="L195">
        <v>171175.41</v>
      </c>
      <c r="M195">
        <v>135214.98000000001</v>
      </c>
      <c r="N195" t="s">
        <v>73</v>
      </c>
      <c r="O195">
        <v>10</v>
      </c>
      <c r="P195">
        <v>208</v>
      </c>
      <c r="Q195">
        <v>5</v>
      </c>
      <c r="R195">
        <v>145</v>
      </c>
      <c r="T195" t="s">
        <v>65</v>
      </c>
      <c r="U195" s="3"/>
      <c r="V195" s="3"/>
      <c r="W195" s="3"/>
    </row>
    <row r="196" spans="1:23">
      <c r="A196" t="s">
        <v>636</v>
      </c>
      <c r="B196" t="s">
        <v>607</v>
      </c>
      <c r="C196" t="s">
        <v>22</v>
      </c>
      <c r="D196" t="s">
        <v>637</v>
      </c>
      <c r="E196" s="2">
        <v>45811</v>
      </c>
      <c r="F196" t="s">
        <v>638</v>
      </c>
      <c r="G196" t="s">
        <v>31</v>
      </c>
      <c r="I196" t="s">
        <v>79</v>
      </c>
      <c r="J196" t="s">
        <v>34</v>
      </c>
      <c r="K196" t="s">
        <v>110</v>
      </c>
      <c r="L196">
        <v>110209.54</v>
      </c>
      <c r="M196">
        <v>99050.41</v>
      </c>
      <c r="N196" t="s">
        <v>192</v>
      </c>
      <c r="O196">
        <v>13</v>
      </c>
      <c r="P196">
        <v>126</v>
      </c>
      <c r="Q196">
        <v>3</v>
      </c>
      <c r="R196">
        <v>114</v>
      </c>
      <c r="S196">
        <v>175.5</v>
      </c>
      <c r="T196" t="s">
        <v>65</v>
      </c>
      <c r="U196" s="3"/>
      <c r="V196" s="3"/>
      <c r="W196" s="3"/>
    </row>
    <row r="197" spans="1:23">
      <c r="A197" t="s">
        <v>639</v>
      </c>
      <c r="B197" t="s">
        <v>640</v>
      </c>
      <c r="C197" t="s">
        <v>60</v>
      </c>
      <c r="D197" t="s">
        <v>641</v>
      </c>
      <c r="E197" s="2">
        <v>45860</v>
      </c>
      <c r="F197" s="2">
        <v>45874</v>
      </c>
      <c r="G197" t="s">
        <v>411</v>
      </c>
      <c r="H197" t="s">
        <v>95</v>
      </c>
      <c r="I197" t="s">
        <v>79</v>
      </c>
      <c r="J197" t="s">
        <v>64</v>
      </c>
      <c r="K197" t="s">
        <v>161</v>
      </c>
      <c r="L197" t="s">
        <v>642</v>
      </c>
      <c r="M197">
        <v>157442.19</v>
      </c>
      <c r="N197" t="s">
        <v>91</v>
      </c>
      <c r="O197">
        <v>14</v>
      </c>
      <c r="P197">
        <v>52</v>
      </c>
      <c r="Q197">
        <v>4</v>
      </c>
      <c r="R197">
        <v>167</v>
      </c>
      <c r="S197">
        <v>71.400000000000006</v>
      </c>
      <c r="T197" t="s">
        <v>37</v>
      </c>
      <c r="U197" s="3"/>
      <c r="V197" s="3"/>
      <c r="W197" s="3"/>
    </row>
    <row r="198" spans="1:23">
      <c r="A198" t="s">
        <v>643</v>
      </c>
      <c r="B198" t="s">
        <v>334</v>
      </c>
      <c r="C198" t="s">
        <v>84</v>
      </c>
      <c r="D198" s="2">
        <v>38122</v>
      </c>
      <c r="E198" t="s">
        <v>644</v>
      </c>
      <c r="F198" s="2">
        <v>45988</v>
      </c>
      <c r="G198" t="s">
        <v>117</v>
      </c>
      <c r="H198" t="s">
        <v>52</v>
      </c>
      <c r="I198" t="s">
        <v>45</v>
      </c>
      <c r="J198" t="s">
        <v>645</v>
      </c>
      <c r="K198" t="s">
        <v>55</v>
      </c>
      <c r="L198">
        <v>158589.06</v>
      </c>
      <c r="M198">
        <v>133199.72</v>
      </c>
      <c r="N198" t="s">
        <v>73</v>
      </c>
      <c r="O198">
        <v>3</v>
      </c>
      <c r="P198">
        <v>24</v>
      </c>
      <c r="R198">
        <v>164</v>
      </c>
      <c r="S198">
        <v>129.4</v>
      </c>
      <c r="T198" t="s">
        <v>37</v>
      </c>
      <c r="U198" s="3"/>
      <c r="V198" s="3"/>
      <c r="W198" s="3"/>
    </row>
    <row r="199" spans="1:23">
      <c r="A199" t="s">
        <v>646</v>
      </c>
      <c r="B199" t="s">
        <v>647</v>
      </c>
      <c r="C199" t="s">
        <v>22</v>
      </c>
      <c r="D199" s="2">
        <v>35347</v>
      </c>
      <c r="E199" s="2">
        <v>45052</v>
      </c>
      <c r="F199" t="s">
        <v>648</v>
      </c>
      <c r="G199" t="s">
        <v>117</v>
      </c>
      <c r="H199" t="s">
        <v>24</v>
      </c>
      <c r="K199" t="s">
        <v>161</v>
      </c>
      <c r="L199" t="s">
        <v>649</v>
      </c>
      <c r="M199">
        <v>6373.09</v>
      </c>
      <c r="N199" t="s">
        <v>56</v>
      </c>
      <c r="O199">
        <v>16</v>
      </c>
      <c r="P199">
        <v>134</v>
      </c>
      <c r="Q199">
        <v>2</v>
      </c>
      <c r="R199" t="s">
        <v>650</v>
      </c>
      <c r="S199">
        <v>122.8</v>
      </c>
      <c r="T199" t="s">
        <v>47</v>
      </c>
      <c r="U199" s="3"/>
      <c r="V199" s="3"/>
      <c r="W199" s="3"/>
    </row>
    <row r="200" spans="1:23">
      <c r="A200" t="s">
        <v>651</v>
      </c>
      <c r="B200" t="s">
        <v>652</v>
      </c>
      <c r="C200" t="s">
        <v>60</v>
      </c>
      <c r="D200" s="2">
        <v>37162</v>
      </c>
      <c r="E200" s="2">
        <v>44994</v>
      </c>
      <c r="F200" t="s">
        <v>653</v>
      </c>
      <c r="G200" t="s">
        <v>62</v>
      </c>
      <c r="H200" t="s">
        <v>118</v>
      </c>
      <c r="I200" t="s">
        <v>53</v>
      </c>
      <c r="J200" t="s">
        <v>34</v>
      </c>
      <c r="K200" t="s">
        <v>55</v>
      </c>
      <c r="L200">
        <v>188808.42</v>
      </c>
      <c r="M200">
        <v>167011.4</v>
      </c>
      <c r="N200" t="s">
        <v>467</v>
      </c>
      <c r="O200">
        <v>11</v>
      </c>
      <c r="P200">
        <v>65</v>
      </c>
      <c r="R200">
        <v>182</v>
      </c>
      <c r="S200">
        <v>191.1</v>
      </c>
      <c r="T200" t="s">
        <v>47</v>
      </c>
      <c r="U200" s="3"/>
      <c r="V200" s="3"/>
      <c r="W200" s="3"/>
    </row>
    <row r="201" spans="1:23">
      <c r="A201" t="s">
        <v>654</v>
      </c>
      <c r="B201" t="s">
        <v>655</v>
      </c>
      <c r="C201" t="s">
        <v>30</v>
      </c>
      <c r="D201" s="2">
        <v>29346</v>
      </c>
      <c r="E201" t="s">
        <v>656</v>
      </c>
      <c r="G201" t="s">
        <v>70</v>
      </c>
      <c r="H201" t="s">
        <v>32</v>
      </c>
      <c r="I201" t="s">
        <v>79</v>
      </c>
      <c r="J201" t="s">
        <v>46</v>
      </c>
      <c r="K201" t="s">
        <v>72</v>
      </c>
      <c r="L201">
        <v>240536.27</v>
      </c>
      <c r="M201">
        <v>201749.08</v>
      </c>
      <c r="N201" t="s">
        <v>56</v>
      </c>
      <c r="O201">
        <v>14</v>
      </c>
      <c r="P201">
        <v>29</v>
      </c>
      <c r="R201">
        <v>171</v>
      </c>
      <c r="S201">
        <v>137.19999999999999</v>
      </c>
      <c r="T201" t="s">
        <v>37</v>
      </c>
      <c r="U201" s="3"/>
      <c r="V201" s="3"/>
      <c r="W201" s="3"/>
    </row>
    <row r="202" spans="1:23">
      <c r="A202" t="s">
        <v>657</v>
      </c>
      <c r="B202" t="s">
        <v>658</v>
      </c>
      <c r="C202" t="s">
        <v>60</v>
      </c>
      <c r="D202" s="2">
        <v>25812</v>
      </c>
      <c r="E202" s="2">
        <v>44944</v>
      </c>
      <c r="G202" t="s">
        <v>161</v>
      </c>
      <c r="H202" t="s">
        <v>95</v>
      </c>
      <c r="I202" t="s">
        <v>33</v>
      </c>
      <c r="J202" t="s">
        <v>34</v>
      </c>
      <c r="K202" t="s">
        <v>120</v>
      </c>
      <c r="L202">
        <v>89500.31</v>
      </c>
      <c r="M202">
        <v>59718.25</v>
      </c>
      <c r="N202" t="s">
        <v>91</v>
      </c>
      <c r="O202">
        <v>3</v>
      </c>
      <c r="P202" t="s">
        <v>659</v>
      </c>
      <c r="Q202">
        <v>1</v>
      </c>
      <c r="R202">
        <v>93</v>
      </c>
      <c r="S202">
        <v>187.7</v>
      </c>
      <c r="T202" t="s">
        <v>37</v>
      </c>
      <c r="U202" s="3"/>
      <c r="V202" s="3"/>
      <c r="W202" s="3"/>
    </row>
    <row r="203" spans="1:23">
      <c r="A203" t="s">
        <v>660</v>
      </c>
      <c r="B203" t="s">
        <v>661</v>
      </c>
      <c r="C203" t="s">
        <v>22</v>
      </c>
      <c r="D203" s="2">
        <v>29162</v>
      </c>
      <c r="E203" t="s">
        <v>662</v>
      </c>
      <c r="F203" s="2">
        <v>45864</v>
      </c>
      <c r="G203" t="s">
        <v>31</v>
      </c>
      <c r="H203" t="s">
        <v>113</v>
      </c>
      <c r="I203" t="s">
        <v>119</v>
      </c>
      <c r="J203" t="s">
        <v>663</v>
      </c>
      <c r="K203" t="s">
        <v>161</v>
      </c>
      <c r="L203">
        <v>42586.59</v>
      </c>
      <c r="M203">
        <v>33353.230000000003</v>
      </c>
      <c r="N203" t="s">
        <v>56</v>
      </c>
      <c r="O203">
        <v>9</v>
      </c>
      <c r="P203">
        <v>20</v>
      </c>
      <c r="Q203">
        <v>4</v>
      </c>
      <c r="R203" t="s">
        <v>664</v>
      </c>
      <c r="S203">
        <v>133.19999999999999</v>
      </c>
      <c r="T203" t="s">
        <v>37</v>
      </c>
      <c r="U203" s="3"/>
      <c r="V203" s="3"/>
      <c r="W203" s="3"/>
    </row>
    <row r="204" spans="1:23">
      <c r="A204" t="s">
        <v>665</v>
      </c>
      <c r="B204" t="s">
        <v>666</v>
      </c>
      <c r="C204" t="s">
        <v>40</v>
      </c>
      <c r="D204" s="2">
        <v>39683</v>
      </c>
      <c r="E204" s="2">
        <v>45457</v>
      </c>
      <c r="G204" t="s">
        <v>161</v>
      </c>
      <c r="H204" t="s">
        <v>118</v>
      </c>
      <c r="I204" t="s">
        <v>96</v>
      </c>
      <c r="J204" t="s">
        <v>34</v>
      </c>
      <c r="K204" t="s">
        <v>72</v>
      </c>
      <c r="L204">
        <v>7144.29</v>
      </c>
      <c r="M204">
        <v>5054.04</v>
      </c>
      <c r="N204" t="s">
        <v>192</v>
      </c>
      <c r="O204">
        <v>4</v>
      </c>
      <c r="P204" t="s">
        <v>380</v>
      </c>
      <c r="Q204">
        <v>1</v>
      </c>
      <c r="R204">
        <v>94</v>
      </c>
      <c r="S204">
        <v>196.3</v>
      </c>
      <c r="T204" t="s">
        <v>65</v>
      </c>
      <c r="U204" s="3"/>
      <c r="V204" s="3"/>
      <c r="W204" s="3"/>
    </row>
    <row r="205" spans="1:23">
      <c r="A205" t="s">
        <v>667</v>
      </c>
      <c r="B205" t="s">
        <v>572</v>
      </c>
      <c r="C205" t="s">
        <v>133</v>
      </c>
      <c r="D205" s="2">
        <v>27390</v>
      </c>
      <c r="E205" s="2">
        <v>45914</v>
      </c>
      <c r="F205" t="s">
        <v>668</v>
      </c>
      <c r="G205" t="s">
        <v>105</v>
      </c>
      <c r="H205" t="s">
        <v>63</v>
      </c>
      <c r="I205" t="s">
        <v>96</v>
      </c>
      <c r="J205" t="s">
        <v>34</v>
      </c>
      <c r="K205" t="s">
        <v>110</v>
      </c>
      <c r="L205">
        <v>16160.68</v>
      </c>
      <c r="M205">
        <v>9989.24</v>
      </c>
      <c r="N205" t="s">
        <v>91</v>
      </c>
      <c r="O205">
        <v>4</v>
      </c>
      <c r="P205">
        <v>141</v>
      </c>
      <c r="Q205">
        <v>5</v>
      </c>
      <c r="R205" t="s">
        <v>669</v>
      </c>
      <c r="S205">
        <v>229.8</v>
      </c>
      <c r="T205" t="s">
        <v>65</v>
      </c>
      <c r="U205" s="3"/>
      <c r="V205" s="3"/>
      <c r="W205" s="3"/>
    </row>
    <row r="206" spans="1:23">
      <c r="A206" t="s">
        <v>670</v>
      </c>
      <c r="B206" t="s">
        <v>247</v>
      </c>
      <c r="C206" t="s">
        <v>100</v>
      </c>
      <c r="D206" s="2">
        <v>21192</v>
      </c>
      <c r="E206" s="2">
        <v>44978</v>
      </c>
      <c r="F206" t="s">
        <v>671</v>
      </c>
      <c r="G206" t="s">
        <v>161</v>
      </c>
      <c r="H206" t="s">
        <v>78</v>
      </c>
      <c r="I206" t="s">
        <v>96</v>
      </c>
      <c r="J206" t="s">
        <v>34</v>
      </c>
      <c r="K206" t="s">
        <v>55</v>
      </c>
      <c r="L206">
        <v>134650.16</v>
      </c>
      <c r="M206">
        <v>126634.92</v>
      </c>
      <c r="N206" t="s">
        <v>35</v>
      </c>
      <c r="O206" t="s">
        <v>236</v>
      </c>
      <c r="P206">
        <v>9</v>
      </c>
      <c r="Q206">
        <v>1</v>
      </c>
      <c r="R206">
        <v>133</v>
      </c>
      <c r="S206">
        <v>80.7</v>
      </c>
      <c r="U206" s="3"/>
      <c r="V206" s="3"/>
      <c r="W206" s="3"/>
    </row>
    <row r="207" spans="1:23">
      <c r="A207" t="s">
        <v>672</v>
      </c>
      <c r="B207" t="s">
        <v>673</v>
      </c>
      <c r="C207" t="s">
        <v>60</v>
      </c>
      <c r="D207" s="2">
        <v>29891</v>
      </c>
      <c r="E207" s="2">
        <v>45892</v>
      </c>
      <c r="F207" s="2">
        <v>45894</v>
      </c>
      <c r="G207" t="s">
        <v>141</v>
      </c>
      <c r="H207" t="s">
        <v>124</v>
      </c>
      <c r="I207" t="s">
        <v>25</v>
      </c>
      <c r="J207" t="s">
        <v>97</v>
      </c>
      <c r="K207" t="s">
        <v>120</v>
      </c>
      <c r="L207">
        <v>159083.71</v>
      </c>
      <c r="M207">
        <v>150528.47</v>
      </c>
      <c r="N207" t="s">
        <v>73</v>
      </c>
      <c r="O207">
        <v>2</v>
      </c>
      <c r="P207" t="s">
        <v>674</v>
      </c>
      <c r="R207">
        <v>168</v>
      </c>
      <c r="S207">
        <v>102.4</v>
      </c>
      <c r="T207" t="s">
        <v>37</v>
      </c>
      <c r="U207" s="3"/>
      <c r="V207" s="3"/>
      <c r="W207" s="3"/>
    </row>
    <row r="208" spans="1:23">
      <c r="A208" t="s">
        <v>675</v>
      </c>
      <c r="B208" t="s">
        <v>676</v>
      </c>
      <c r="D208" s="2">
        <v>30752</v>
      </c>
      <c r="E208" s="2">
        <v>45363</v>
      </c>
      <c r="F208" s="2">
        <v>45365</v>
      </c>
      <c r="G208" t="s">
        <v>105</v>
      </c>
      <c r="H208" t="s">
        <v>52</v>
      </c>
      <c r="I208" t="s">
        <v>33</v>
      </c>
      <c r="J208" t="s">
        <v>71</v>
      </c>
      <c r="K208" t="s">
        <v>110</v>
      </c>
      <c r="M208">
        <v>26702.25</v>
      </c>
      <c r="N208" t="s">
        <v>35</v>
      </c>
      <c r="O208">
        <v>2</v>
      </c>
      <c r="R208" t="s">
        <v>677</v>
      </c>
      <c r="S208">
        <v>153.30000000000001</v>
      </c>
      <c r="T208" t="s">
        <v>37</v>
      </c>
      <c r="U208" s="3"/>
      <c r="V208" s="3"/>
      <c r="W208" s="3"/>
    </row>
    <row r="209" spans="1:23">
      <c r="A209" t="s">
        <v>678</v>
      </c>
      <c r="B209" t="s">
        <v>679</v>
      </c>
      <c r="C209" t="s">
        <v>22</v>
      </c>
      <c r="D209" s="2">
        <v>28120</v>
      </c>
      <c r="E209" s="2">
        <v>45901</v>
      </c>
      <c r="F209" t="s">
        <v>680</v>
      </c>
      <c r="G209" t="s">
        <v>141</v>
      </c>
      <c r="H209" t="s">
        <v>44</v>
      </c>
      <c r="J209" t="s">
        <v>34</v>
      </c>
      <c r="K209" t="s">
        <v>72</v>
      </c>
      <c r="L209">
        <v>61715.31</v>
      </c>
      <c r="M209">
        <v>54504.58</v>
      </c>
      <c r="N209" t="s">
        <v>56</v>
      </c>
      <c r="O209">
        <v>5</v>
      </c>
      <c r="P209">
        <v>14</v>
      </c>
      <c r="Q209">
        <v>3</v>
      </c>
      <c r="R209">
        <v>181</v>
      </c>
      <c r="S209">
        <v>165</v>
      </c>
      <c r="T209" t="s">
        <v>37</v>
      </c>
      <c r="U209" s="3"/>
      <c r="V209" s="3"/>
      <c r="W209" s="3"/>
    </row>
    <row r="210" spans="1:23">
      <c r="A210" t="s">
        <v>681</v>
      </c>
      <c r="B210" t="s">
        <v>545</v>
      </c>
      <c r="C210" t="s">
        <v>100</v>
      </c>
      <c r="D210" s="2">
        <v>24479</v>
      </c>
      <c r="E210" s="2">
        <v>45157</v>
      </c>
      <c r="F210" s="2">
        <v>45162</v>
      </c>
      <c r="G210" t="s">
        <v>77</v>
      </c>
      <c r="H210" t="s">
        <v>32</v>
      </c>
      <c r="I210" t="s">
        <v>53</v>
      </c>
      <c r="J210" t="s">
        <v>97</v>
      </c>
      <c r="K210" t="s">
        <v>55</v>
      </c>
      <c r="L210">
        <v>168360.3</v>
      </c>
      <c r="M210">
        <v>120581.04</v>
      </c>
      <c r="O210">
        <v>5</v>
      </c>
      <c r="P210" t="s">
        <v>682</v>
      </c>
      <c r="Q210">
        <v>5</v>
      </c>
      <c r="R210">
        <v>116</v>
      </c>
      <c r="S210">
        <v>152.6</v>
      </c>
      <c r="T210" t="s">
        <v>65</v>
      </c>
      <c r="U210" s="3"/>
      <c r="V210" s="3"/>
      <c r="W210" s="3"/>
    </row>
    <row r="211" spans="1:23">
      <c r="A211" t="s">
        <v>683</v>
      </c>
      <c r="B211" t="s">
        <v>684</v>
      </c>
      <c r="C211" t="s">
        <v>30</v>
      </c>
      <c r="D211" s="2">
        <v>23002</v>
      </c>
      <c r="E211" t="s">
        <v>685</v>
      </c>
      <c r="F211" t="s">
        <v>686</v>
      </c>
      <c r="G211" t="s">
        <v>105</v>
      </c>
      <c r="H211" t="s">
        <v>86</v>
      </c>
      <c r="I211" t="s">
        <v>33</v>
      </c>
      <c r="J211" t="s">
        <v>80</v>
      </c>
      <c r="K211" t="s">
        <v>183</v>
      </c>
      <c r="L211">
        <v>185092.6</v>
      </c>
      <c r="M211">
        <v>150417.29999999999</v>
      </c>
      <c r="N211" t="s">
        <v>192</v>
      </c>
      <c r="O211">
        <v>8</v>
      </c>
      <c r="P211">
        <v>61</v>
      </c>
      <c r="Q211">
        <v>2</v>
      </c>
      <c r="R211">
        <v>150</v>
      </c>
      <c r="S211">
        <v>181.2</v>
      </c>
      <c r="T211" t="s">
        <v>37</v>
      </c>
      <c r="U211" s="3"/>
      <c r="V211" s="3"/>
      <c r="W211" s="3"/>
    </row>
    <row r="212" spans="1:23">
      <c r="A212" t="s">
        <v>687</v>
      </c>
      <c r="B212" t="s">
        <v>673</v>
      </c>
      <c r="D212" s="2">
        <v>19484</v>
      </c>
      <c r="E212" s="2">
        <v>45154</v>
      </c>
      <c r="F212" s="2">
        <v>45169</v>
      </c>
      <c r="G212" t="s">
        <v>62</v>
      </c>
      <c r="H212" t="s">
        <v>78</v>
      </c>
      <c r="I212" t="s">
        <v>119</v>
      </c>
      <c r="J212" t="s">
        <v>80</v>
      </c>
      <c r="K212" t="s">
        <v>55</v>
      </c>
      <c r="L212">
        <v>221886.22</v>
      </c>
      <c r="M212">
        <v>149181.38</v>
      </c>
      <c r="N212" t="s">
        <v>73</v>
      </c>
      <c r="O212">
        <v>15</v>
      </c>
      <c r="P212">
        <v>208</v>
      </c>
      <c r="Q212">
        <v>3</v>
      </c>
      <c r="R212">
        <v>163</v>
      </c>
      <c r="S212">
        <v>254.3</v>
      </c>
      <c r="T212" t="s">
        <v>47</v>
      </c>
      <c r="U212" s="3"/>
      <c r="V212" s="3"/>
      <c r="W212" s="3"/>
    </row>
    <row r="213" spans="1:23">
      <c r="A213" t="s">
        <v>688</v>
      </c>
      <c r="B213" t="s">
        <v>689</v>
      </c>
      <c r="D213" s="2">
        <v>23655</v>
      </c>
      <c r="E213" t="s">
        <v>690</v>
      </c>
      <c r="F213" t="s">
        <v>691</v>
      </c>
      <c r="G213" t="s">
        <v>152</v>
      </c>
      <c r="H213" t="s">
        <v>32</v>
      </c>
      <c r="I213" t="s">
        <v>25</v>
      </c>
      <c r="J213" t="s">
        <v>34</v>
      </c>
      <c r="K213" t="s">
        <v>55</v>
      </c>
      <c r="L213">
        <v>133952.63</v>
      </c>
      <c r="M213">
        <v>119990.64</v>
      </c>
      <c r="N213" t="s">
        <v>35</v>
      </c>
      <c r="O213">
        <v>14</v>
      </c>
      <c r="P213">
        <v>183</v>
      </c>
      <c r="Q213">
        <v>2</v>
      </c>
      <c r="R213">
        <v>147</v>
      </c>
      <c r="S213">
        <v>164.1</v>
      </c>
      <c r="T213" t="s">
        <v>37</v>
      </c>
      <c r="U213" s="3"/>
      <c r="V213" s="3"/>
      <c r="W213" s="3"/>
    </row>
    <row r="214" spans="1:23">
      <c r="A214" t="s">
        <v>692</v>
      </c>
      <c r="B214" t="s">
        <v>693</v>
      </c>
      <c r="C214" t="s">
        <v>206</v>
      </c>
      <c r="D214" s="2">
        <v>28942</v>
      </c>
      <c r="E214" t="s">
        <v>694</v>
      </c>
      <c r="F214" s="2">
        <v>45763</v>
      </c>
      <c r="G214" t="s">
        <v>105</v>
      </c>
      <c r="H214" t="s">
        <v>113</v>
      </c>
      <c r="J214" t="s">
        <v>179</v>
      </c>
      <c r="K214" t="s">
        <v>27</v>
      </c>
      <c r="L214" t="s">
        <v>695</v>
      </c>
      <c r="M214">
        <v>175687.36</v>
      </c>
      <c r="N214" t="s">
        <v>56</v>
      </c>
      <c r="O214">
        <v>6</v>
      </c>
      <c r="P214">
        <v>181</v>
      </c>
      <c r="Q214">
        <v>5</v>
      </c>
      <c r="R214">
        <v>157</v>
      </c>
      <c r="S214">
        <v>76.2</v>
      </c>
      <c r="T214" t="s">
        <v>37</v>
      </c>
      <c r="U214" s="3"/>
      <c r="V214" s="3"/>
      <c r="W214" s="3"/>
    </row>
    <row r="215" spans="1:23">
      <c r="A215" t="s">
        <v>696</v>
      </c>
      <c r="B215" t="s">
        <v>697</v>
      </c>
      <c r="D215" t="s">
        <v>698</v>
      </c>
      <c r="E215" s="2">
        <v>45285</v>
      </c>
      <c r="F215" s="2">
        <v>45303</v>
      </c>
      <c r="G215" t="s">
        <v>89</v>
      </c>
      <c r="H215" t="s">
        <v>153</v>
      </c>
      <c r="I215" t="s">
        <v>45</v>
      </c>
      <c r="J215" t="s">
        <v>97</v>
      </c>
      <c r="K215" t="s">
        <v>388</v>
      </c>
      <c r="L215">
        <v>245359.78</v>
      </c>
      <c r="M215">
        <v>211473.18</v>
      </c>
      <c r="N215" t="s">
        <v>91</v>
      </c>
      <c r="O215">
        <v>18</v>
      </c>
      <c r="P215">
        <v>171</v>
      </c>
      <c r="R215">
        <v>184</v>
      </c>
      <c r="S215">
        <v>248.4</v>
      </c>
      <c r="T215" t="s">
        <v>37</v>
      </c>
      <c r="U215" s="3"/>
      <c r="V215" s="3"/>
      <c r="W215" s="3"/>
    </row>
    <row r="216" spans="1:23">
      <c r="A216" t="s">
        <v>699</v>
      </c>
      <c r="B216" t="s">
        <v>700</v>
      </c>
      <c r="C216" t="s">
        <v>84</v>
      </c>
      <c r="D216" t="s">
        <v>701</v>
      </c>
      <c r="E216" s="2">
        <v>45852</v>
      </c>
      <c r="F216" s="2">
        <v>45864</v>
      </c>
      <c r="G216" t="s">
        <v>31</v>
      </c>
      <c r="H216" t="s">
        <v>78</v>
      </c>
      <c r="I216" t="s">
        <v>33</v>
      </c>
      <c r="J216" t="s">
        <v>80</v>
      </c>
      <c r="K216" t="s">
        <v>110</v>
      </c>
      <c r="L216" t="s">
        <v>702</v>
      </c>
      <c r="M216">
        <v>154013.65</v>
      </c>
      <c r="N216" t="s">
        <v>73</v>
      </c>
      <c r="O216">
        <v>12</v>
      </c>
      <c r="P216">
        <v>105</v>
      </c>
      <c r="Q216">
        <v>3</v>
      </c>
      <c r="R216">
        <v>126</v>
      </c>
      <c r="S216">
        <v>252.1</v>
      </c>
      <c r="T216" t="s">
        <v>37</v>
      </c>
      <c r="U216" s="3"/>
      <c r="V216" s="3"/>
      <c r="W216" s="3"/>
    </row>
    <row r="217" spans="1:23">
      <c r="A217" t="s">
        <v>703</v>
      </c>
      <c r="B217" t="s">
        <v>378</v>
      </c>
      <c r="C217" t="s">
        <v>50</v>
      </c>
      <c r="D217" s="2">
        <v>27996</v>
      </c>
      <c r="E217" s="2">
        <v>44970</v>
      </c>
      <c r="F217" s="2">
        <v>44980</v>
      </c>
      <c r="G217" t="s">
        <v>152</v>
      </c>
      <c r="I217" t="s">
        <v>45</v>
      </c>
      <c r="J217" t="s">
        <v>186</v>
      </c>
      <c r="L217" t="s">
        <v>704</v>
      </c>
      <c r="M217">
        <v>134495.54</v>
      </c>
      <c r="O217">
        <v>10</v>
      </c>
      <c r="P217">
        <v>172</v>
      </c>
      <c r="Q217">
        <v>5</v>
      </c>
      <c r="R217" t="s">
        <v>582</v>
      </c>
      <c r="S217">
        <v>182.7</v>
      </c>
      <c r="U217" s="3"/>
      <c r="V217" s="3"/>
      <c r="W217" s="3"/>
    </row>
    <row r="218" spans="1:23">
      <c r="A218" t="s">
        <v>705</v>
      </c>
      <c r="B218" t="s">
        <v>706</v>
      </c>
      <c r="C218" t="s">
        <v>206</v>
      </c>
      <c r="D218" s="2">
        <v>22195</v>
      </c>
      <c r="E218" s="2">
        <v>45511</v>
      </c>
      <c r="F218" s="2">
        <v>45517</v>
      </c>
      <c r="G218" t="s">
        <v>106</v>
      </c>
      <c r="H218" t="s">
        <v>153</v>
      </c>
      <c r="I218" t="s">
        <v>53</v>
      </c>
      <c r="J218" t="s">
        <v>97</v>
      </c>
      <c r="K218" t="s">
        <v>55</v>
      </c>
      <c r="L218">
        <v>61381.57</v>
      </c>
      <c r="M218">
        <v>61266.9</v>
      </c>
      <c r="N218" t="s">
        <v>91</v>
      </c>
      <c r="O218">
        <v>6</v>
      </c>
      <c r="P218">
        <v>152</v>
      </c>
      <c r="Q218">
        <v>3</v>
      </c>
      <c r="R218">
        <v>146</v>
      </c>
      <c r="T218" t="s">
        <v>47</v>
      </c>
      <c r="U218" s="3"/>
      <c r="V218" s="3"/>
      <c r="W218" s="3"/>
    </row>
    <row r="219" spans="1:23">
      <c r="A219" t="s">
        <v>707</v>
      </c>
      <c r="B219" t="s">
        <v>378</v>
      </c>
      <c r="C219" t="s">
        <v>50</v>
      </c>
      <c r="D219" t="s">
        <v>708</v>
      </c>
      <c r="E219" t="s">
        <v>709</v>
      </c>
      <c r="F219" s="2">
        <v>45977</v>
      </c>
      <c r="G219" t="s">
        <v>109</v>
      </c>
      <c r="H219" t="s">
        <v>226</v>
      </c>
      <c r="I219" t="s">
        <v>96</v>
      </c>
      <c r="K219" t="s">
        <v>110</v>
      </c>
      <c r="L219">
        <v>167554.71</v>
      </c>
      <c r="M219">
        <v>138518.62</v>
      </c>
      <c r="N219" t="s">
        <v>35</v>
      </c>
      <c r="O219">
        <v>11</v>
      </c>
      <c r="P219">
        <v>118</v>
      </c>
      <c r="Q219">
        <v>5</v>
      </c>
      <c r="R219">
        <v>178</v>
      </c>
      <c r="S219">
        <v>91.3</v>
      </c>
      <c r="T219" t="s">
        <v>37</v>
      </c>
      <c r="U219" s="3"/>
      <c r="V219" s="3"/>
      <c r="W219" s="3"/>
    </row>
    <row r="220" spans="1:23">
      <c r="A220" t="s">
        <v>710</v>
      </c>
      <c r="B220" t="s">
        <v>76</v>
      </c>
      <c r="C220" t="s">
        <v>22</v>
      </c>
      <c r="D220" s="2">
        <v>22649</v>
      </c>
      <c r="E220" s="2">
        <v>45839</v>
      </c>
      <c r="F220" t="s">
        <v>711</v>
      </c>
      <c r="G220" t="s">
        <v>43</v>
      </c>
      <c r="H220" t="s">
        <v>86</v>
      </c>
      <c r="J220" t="s">
        <v>46</v>
      </c>
      <c r="K220" t="s">
        <v>55</v>
      </c>
      <c r="L220" t="s">
        <v>712</v>
      </c>
      <c r="M220">
        <v>134287.04999999999</v>
      </c>
      <c r="N220" t="s">
        <v>73</v>
      </c>
      <c r="O220" t="s">
        <v>713</v>
      </c>
      <c r="P220">
        <v>237</v>
      </c>
      <c r="Q220">
        <v>5</v>
      </c>
      <c r="R220">
        <v>140</v>
      </c>
      <c r="S220">
        <v>98.1</v>
      </c>
      <c r="T220" t="s">
        <v>37</v>
      </c>
      <c r="U220" s="3"/>
      <c r="V220" s="3"/>
      <c r="W220" s="3"/>
    </row>
    <row r="221" spans="1:23">
      <c r="A221" t="s">
        <v>714</v>
      </c>
      <c r="B221" t="s">
        <v>550</v>
      </c>
      <c r="C221" t="s">
        <v>60</v>
      </c>
      <c r="D221" s="2">
        <v>37239</v>
      </c>
      <c r="E221" s="2">
        <v>45775</v>
      </c>
      <c r="F221" s="2">
        <v>45780</v>
      </c>
      <c r="G221" t="s">
        <v>117</v>
      </c>
      <c r="H221" t="s">
        <v>52</v>
      </c>
      <c r="I221" t="s">
        <v>53</v>
      </c>
      <c r="J221" t="s">
        <v>80</v>
      </c>
      <c r="K221" t="s">
        <v>55</v>
      </c>
      <c r="L221" t="s">
        <v>715</v>
      </c>
      <c r="M221">
        <v>69514.97</v>
      </c>
      <c r="N221" t="s">
        <v>56</v>
      </c>
      <c r="O221">
        <v>5</v>
      </c>
      <c r="P221">
        <v>21</v>
      </c>
      <c r="Q221">
        <v>4</v>
      </c>
      <c r="R221">
        <v>101</v>
      </c>
      <c r="S221">
        <v>71.3</v>
      </c>
      <c r="U221" s="3"/>
      <c r="V221" s="3"/>
      <c r="W221" s="3"/>
    </row>
    <row r="222" spans="1:23">
      <c r="A222" t="s">
        <v>716</v>
      </c>
      <c r="B222" t="s">
        <v>139</v>
      </c>
      <c r="D222" s="2">
        <v>25433</v>
      </c>
      <c r="E222" s="2">
        <v>45876</v>
      </c>
      <c r="G222" t="s">
        <v>152</v>
      </c>
      <c r="H222" t="s">
        <v>124</v>
      </c>
      <c r="I222" t="s">
        <v>96</v>
      </c>
      <c r="J222" t="s">
        <v>71</v>
      </c>
      <c r="K222" t="s">
        <v>55</v>
      </c>
      <c r="L222">
        <v>239116.58</v>
      </c>
      <c r="M222">
        <v>171087.43</v>
      </c>
      <c r="N222" t="s">
        <v>91</v>
      </c>
      <c r="O222">
        <v>8</v>
      </c>
      <c r="P222">
        <v>172</v>
      </c>
      <c r="Q222">
        <v>5</v>
      </c>
      <c r="R222">
        <v>143</v>
      </c>
      <c r="S222">
        <v>104.1</v>
      </c>
      <c r="U222" s="3"/>
      <c r="V222" s="3"/>
      <c r="W222" s="3"/>
    </row>
    <row r="223" spans="1:23">
      <c r="A223" t="s">
        <v>717</v>
      </c>
      <c r="B223" t="s">
        <v>700</v>
      </c>
      <c r="C223" t="s">
        <v>40</v>
      </c>
      <c r="D223" s="2">
        <v>26931</v>
      </c>
      <c r="E223" s="2">
        <v>44962</v>
      </c>
      <c r="F223" t="s">
        <v>718</v>
      </c>
      <c r="G223" t="s">
        <v>152</v>
      </c>
      <c r="H223" t="s">
        <v>124</v>
      </c>
      <c r="I223" t="s">
        <v>119</v>
      </c>
      <c r="J223" t="s">
        <v>34</v>
      </c>
      <c r="K223" t="s">
        <v>161</v>
      </c>
      <c r="L223">
        <v>219883.51999999999</v>
      </c>
      <c r="M223">
        <v>177493.42</v>
      </c>
      <c r="N223" t="s">
        <v>35</v>
      </c>
      <c r="O223">
        <v>9</v>
      </c>
      <c r="P223">
        <v>18</v>
      </c>
      <c r="Q223">
        <v>5</v>
      </c>
      <c r="R223">
        <v>136</v>
      </c>
      <c r="S223">
        <v>149.69999999999999</v>
      </c>
      <c r="T223" t="s">
        <v>65</v>
      </c>
      <c r="U223" s="3"/>
      <c r="V223" s="3"/>
      <c r="W223" s="3"/>
    </row>
    <row r="224" spans="1:23">
      <c r="A224" t="s">
        <v>719</v>
      </c>
      <c r="B224" t="s">
        <v>720</v>
      </c>
      <c r="C224" t="s">
        <v>22</v>
      </c>
      <c r="D224" s="2">
        <v>24799</v>
      </c>
      <c r="E224" s="2">
        <v>45669</v>
      </c>
      <c r="F224" s="2">
        <v>45673</v>
      </c>
      <c r="G224" t="s">
        <v>105</v>
      </c>
      <c r="I224" t="s">
        <v>53</v>
      </c>
      <c r="J224" t="s">
        <v>179</v>
      </c>
      <c r="K224" t="s">
        <v>27</v>
      </c>
      <c r="L224">
        <v>36394.99</v>
      </c>
      <c r="M224">
        <v>29549.25</v>
      </c>
      <c r="N224" t="s">
        <v>73</v>
      </c>
      <c r="O224">
        <v>4</v>
      </c>
      <c r="P224">
        <v>129</v>
      </c>
      <c r="Q224">
        <v>4</v>
      </c>
      <c r="R224">
        <v>133</v>
      </c>
      <c r="S224">
        <v>245</v>
      </c>
      <c r="T224" t="s">
        <v>721</v>
      </c>
      <c r="U224" s="3"/>
      <c r="V224" s="3"/>
      <c r="W224" s="3"/>
    </row>
    <row r="225" spans="1:23">
      <c r="A225" t="s">
        <v>722</v>
      </c>
      <c r="B225" t="s">
        <v>613</v>
      </c>
      <c r="C225" t="s">
        <v>206</v>
      </c>
      <c r="D225" s="2">
        <v>39482</v>
      </c>
      <c r="E225" s="2">
        <v>45195</v>
      </c>
      <c r="F225" s="2">
        <v>45196</v>
      </c>
      <c r="G225" t="s">
        <v>109</v>
      </c>
      <c r="H225" t="s">
        <v>160</v>
      </c>
      <c r="I225" t="s">
        <v>119</v>
      </c>
      <c r="J225" t="s">
        <v>54</v>
      </c>
      <c r="K225" t="s">
        <v>27</v>
      </c>
      <c r="L225">
        <v>204717.08</v>
      </c>
      <c r="M225">
        <v>157886.54999999999</v>
      </c>
      <c r="N225" t="s">
        <v>73</v>
      </c>
      <c r="O225" t="s">
        <v>723</v>
      </c>
      <c r="P225">
        <v>92</v>
      </c>
      <c r="Q225">
        <v>3</v>
      </c>
      <c r="R225">
        <v>180</v>
      </c>
      <c r="S225">
        <v>127.9</v>
      </c>
      <c r="U225" s="3"/>
      <c r="V225" s="3"/>
      <c r="W225" s="3"/>
    </row>
    <row r="226" spans="1:23">
      <c r="A226" t="s">
        <v>724</v>
      </c>
      <c r="B226" t="s">
        <v>427</v>
      </c>
      <c r="C226" t="s">
        <v>206</v>
      </c>
      <c r="D226" s="2">
        <v>35978</v>
      </c>
      <c r="E226" s="2">
        <v>45329</v>
      </c>
      <c r="G226" t="s">
        <v>141</v>
      </c>
      <c r="H226" t="s">
        <v>95</v>
      </c>
      <c r="I226" t="s">
        <v>25</v>
      </c>
      <c r="J226" t="s">
        <v>34</v>
      </c>
      <c r="K226" t="s">
        <v>27</v>
      </c>
      <c r="L226">
        <v>31933.25</v>
      </c>
      <c r="M226">
        <v>22767.91</v>
      </c>
      <c r="N226" t="s">
        <v>91</v>
      </c>
      <c r="O226">
        <v>4</v>
      </c>
      <c r="P226">
        <v>82</v>
      </c>
      <c r="Q226">
        <v>1</v>
      </c>
      <c r="R226">
        <v>186</v>
      </c>
      <c r="S226">
        <v>88.3</v>
      </c>
      <c r="T226" t="s">
        <v>81</v>
      </c>
      <c r="U226" s="3"/>
      <c r="V226" s="3"/>
      <c r="W226" s="3"/>
    </row>
    <row r="227" spans="1:23">
      <c r="A227" t="s">
        <v>725</v>
      </c>
      <c r="B227" t="s">
        <v>565</v>
      </c>
      <c r="C227" t="s">
        <v>84</v>
      </c>
      <c r="D227" s="2">
        <v>31447</v>
      </c>
      <c r="E227" s="2">
        <v>44955</v>
      </c>
      <c r="F227" t="s">
        <v>726</v>
      </c>
      <c r="G227" t="s">
        <v>94</v>
      </c>
      <c r="H227" t="s">
        <v>44</v>
      </c>
      <c r="I227" t="s">
        <v>53</v>
      </c>
      <c r="J227" t="s">
        <v>64</v>
      </c>
      <c r="K227" t="s">
        <v>106</v>
      </c>
      <c r="L227">
        <v>3571.41</v>
      </c>
      <c r="M227">
        <v>2214.86</v>
      </c>
      <c r="N227" t="s">
        <v>192</v>
      </c>
      <c r="O227">
        <v>17</v>
      </c>
      <c r="P227">
        <v>59</v>
      </c>
      <c r="R227">
        <v>180</v>
      </c>
      <c r="S227">
        <v>160.19999999999999</v>
      </c>
      <c r="U227" s="3"/>
      <c r="V227" s="3"/>
      <c r="W227" s="3"/>
    </row>
    <row r="228" spans="1:23">
      <c r="A228" t="s">
        <v>727</v>
      </c>
      <c r="B228" t="s">
        <v>728</v>
      </c>
      <c r="C228" t="s">
        <v>84</v>
      </c>
      <c r="D228" s="2">
        <v>21422</v>
      </c>
      <c r="E228" t="s">
        <v>729</v>
      </c>
      <c r="F228" t="s">
        <v>730</v>
      </c>
      <c r="G228" t="s">
        <v>152</v>
      </c>
      <c r="H228" t="s">
        <v>52</v>
      </c>
      <c r="I228" t="s">
        <v>119</v>
      </c>
      <c r="J228" t="s">
        <v>34</v>
      </c>
      <c r="K228" t="s">
        <v>55</v>
      </c>
      <c r="L228">
        <v>31141.35</v>
      </c>
      <c r="M228">
        <v>26067.919999999998</v>
      </c>
      <c r="N228" t="s">
        <v>91</v>
      </c>
      <c r="O228">
        <v>10</v>
      </c>
      <c r="P228">
        <v>193</v>
      </c>
      <c r="Q228">
        <v>5</v>
      </c>
      <c r="R228">
        <v>177</v>
      </c>
      <c r="S228">
        <v>255.5</v>
      </c>
      <c r="T228" t="s">
        <v>37</v>
      </c>
      <c r="U228" s="3"/>
      <c r="V228" s="3"/>
      <c r="W228" s="3"/>
    </row>
    <row r="229" spans="1:23">
      <c r="A229" t="s">
        <v>731</v>
      </c>
      <c r="B229" t="s">
        <v>732</v>
      </c>
      <c r="C229" t="s">
        <v>40</v>
      </c>
      <c r="D229" s="2">
        <v>27623</v>
      </c>
      <c r="E229" s="2">
        <v>45101</v>
      </c>
      <c r="F229" s="2">
        <v>45105</v>
      </c>
      <c r="G229" t="s">
        <v>43</v>
      </c>
      <c r="H229" t="s">
        <v>153</v>
      </c>
      <c r="I229" t="s">
        <v>33</v>
      </c>
      <c r="J229" t="s">
        <v>97</v>
      </c>
      <c r="K229" t="s">
        <v>161</v>
      </c>
      <c r="L229">
        <v>18515.830000000002</v>
      </c>
      <c r="M229">
        <v>14842.09</v>
      </c>
      <c r="O229">
        <v>4</v>
      </c>
      <c r="P229">
        <v>157</v>
      </c>
      <c r="Q229">
        <v>4</v>
      </c>
      <c r="R229">
        <v>105</v>
      </c>
      <c r="S229">
        <v>114.2</v>
      </c>
      <c r="T229" t="s">
        <v>37</v>
      </c>
      <c r="U229" s="3"/>
      <c r="V229" s="3"/>
      <c r="W229" s="3"/>
    </row>
    <row r="230" spans="1:23">
      <c r="A230" t="s">
        <v>733</v>
      </c>
      <c r="B230" t="s">
        <v>734</v>
      </c>
      <c r="C230" t="s">
        <v>22</v>
      </c>
      <c r="D230" t="s">
        <v>735</v>
      </c>
      <c r="E230" s="2">
        <v>45177</v>
      </c>
      <c r="F230" s="2">
        <v>45186</v>
      </c>
      <c r="G230" t="s">
        <v>94</v>
      </c>
      <c r="H230" t="s">
        <v>113</v>
      </c>
      <c r="I230" t="s">
        <v>53</v>
      </c>
      <c r="J230" t="s">
        <v>179</v>
      </c>
      <c r="K230" t="s">
        <v>110</v>
      </c>
      <c r="L230">
        <v>27151.84</v>
      </c>
      <c r="M230">
        <v>25769.64</v>
      </c>
      <c r="N230" t="s">
        <v>73</v>
      </c>
      <c r="O230" t="s">
        <v>343</v>
      </c>
      <c r="P230">
        <v>132</v>
      </c>
      <c r="Q230">
        <v>1</v>
      </c>
      <c r="R230">
        <v>112</v>
      </c>
      <c r="S230">
        <v>142.69999999999999</v>
      </c>
      <c r="U230" s="3"/>
      <c r="V230" s="3"/>
      <c r="W230" s="3"/>
    </row>
    <row r="231" spans="1:23">
      <c r="A231" t="s">
        <v>736</v>
      </c>
      <c r="B231" t="s">
        <v>737</v>
      </c>
      <c r="C231" t="s">
        <v>84</v>
      </c>
      <c r="D231" s="2">
        <v>26194</v>
      </c>
      <c r="E231" t="s">
        <v>738</v>
      </c>
      <c r="F231" s="2">
        <v>44965</v>
      </c>
      <c r="G231" t="s">
        <v>161</v>
      </c>
      <c r="H231" t="s">
        <v>134</v>
      </c>
      <c r="J231" t="s">
        <v>46</v>
      </c>
      <c r="L231">
        <v>213586.39</v>
      </c>
      <c r="M231">
        <v>170015.2</v>
      </c>
      <c r="N231" t="s">
        <v>192</v>
      </c>
      <c r="O231">
        <v>2</v>
      </c>
      <c r="P231">
        <v>13</v>
      </c>
      <c r="Q231">
        <v>3</v>
      </c>
      <c r="R231">
        <v>161</v>
      </c>
      <c r="S231">
        <v>195.3</v>
      </c>
      <c r="T231" t="s">
        <v>65</v>
      </c>
      <c r="U231" s="3"/>
      <c r="V231" s="3"/>
      <c r="W231" s="3"/>
    </row>
    <row r="232" spans="1:23">
      <c r="A232" t="s">
        <v>739</v>
      </c>
      <c r="B232" t="s">
        <v>472</v>
      </c>
      <c r="C232" t="s">
        <v>60</v>
      </c>
      <c r="D232" t="s">
        <v>740</v>
      </c>
      <c r="E232" s="2">
        <v>45466</v>
      </c>
      <c r="F232" t="s">
        <v>741</v>
      </c>
      <c r="G232" t="s">
        <v>43</v>
      </c>
      <c r="H232" t="s">
        <v>118</v>
      </c>
      <c r="I232" t="s">
        <v>119</v>
      </c>
      <c r="J232" t="s">
        <v>71</v>
      </c>
      <c r="K232" t="s">
        <v>72</v>
      </c>
      <c r="L232" t="s">
        <v>742</v>
      </c>
      <c r="M232">
        <v>71767.070000000007</v>
      </c>
      <c r="N232" t="s">
        <v>326</v>
      </c>
      <c r="O232">
        <v>16</v>
      </c>
      <c r="P232">
        <v>37</v>
      </c>
      <c r="Q232">
        <v>5</v>
      </c>
      <c r="R232">
        <v>134</v>
      </c>
      <c r="S232">
        <v>223.8</v>
      </c>
      <c r="T232" t="s">
        <v>37</v>
      </c>
      <c r="U232" s="3"/>
      <c r="V232" s="3"/>
      <c r="W232" s="3"/>
    </row>
    <row r="233" spans="1:23">
      <c r="A233" t="s">
        <v>743</v>
      </c>
      <c r="B233" t="s">
        <v>744</v>
      </c>
      <c r="C233" t="s">
        <v>22</v>
      </c>
      <c r="D233" t="s">
        <v>745</v>
      </c>
      <c r="E233" t="s">
        <v>746</v>
      </c>
      <c r="F233" s="2">
        <v>44985</v>
      </c>
      <c r="G233" t="s">
        <v>77</v>
      </c>
      <c r="H233" t="s">
        <v>113</v>
      </c>
      <c r="I233" t="s">
        <v>79</v>
      </c>
      <c r="K233" t="s">
        <v>55</v>
      </c>
      <c r="L233">
        <v>129903.06</v>
      </c>
      <c r="M233">
        <v>96256.4</v>
      </c>
      <c r="N233" t="s">
        <v>192</v>
      </c>
      <c r="O233">
        <v>18</v>
      </c>
      <c r="P233">
        <v>183</v>
      </c>
      <c r="R233">
        <v>165</v>
      </c>
      <c r="S233">
        <v>74.2</v>
      </c>
      <c r="T233" t="s">
        <v>65</v>
      </c>
      <c r="U233" s="3"/>
      <c r="V233" s="3"/>
      <c r="W233" s="3"/>
    </row>
    <row r="234" spans="1:23">
      <c r="A234" t="s">
        <v>747</v>
      </c>
      <c r="B234" t="s">
        <v>283</v>
      </c>
      <c r="C234" t="s">
        <v>30</v>
      </c>
      <c r="D234" s="2">
        <v>22879</v>
      </c>
      <c r="E234" s="2">
        <v>45081</v>
      </c>
      <c r="F234" s="2">
        <v>45099</v>
      </c>
      <c r="G234" t="s">
        <v>109</v>
      </c>
      <c r="H234" t="s">
        <v>24</v>
      </c>
      <c r="I234" t="s">
        <v>96</v>
      </c>
      <c r="K234" t="s">
        <v>449</v>
      </c>
      <c r="L234">
        <v>102001.77</v>
      </c>
      <c r="M234">
        <v>90513.48</v>
      </c>
      <c r="O234">
        <v>18</v>
      </c>
      <c r="P234">
        <v>28</v>
      </c>
      <c r="Q234">
        <v>2</v>
      </c>
      <c r="R234">
        <v>165</v>
      </c>
      <c r="S234">
        <v>134</v>
      </c>
      <c r="T234" t="s">
        <v>81</v>
      </c>
      <c r="U234" s="3"/>
      <c r="V234" s="3"/>
      <c r="W234" s="3"/>
    </row>
    <row r="235" spans="1:23">
      <c r="A235" t="s">
        <v>748</v>
      </c>
      <c r="B235" t="s">
        <v>515</v>
      </c>
      <c r="C235" t="s">
        <v>206</v>
      </c>
      <c r="D235" s="2">
        <v>33853</v>
      </c>
      <c r="E235" s="2">
        <v>44965</v>
      </c>
      <c r="F235" s="2">
        <v>44982</v>
      </c>
      <c r="G235" t="s">
        <v>117</v>
      </c>
      <c r="H235" t="s">
        <v>32</v>
      </c>
      <c r="I235" t="s">
        <v>45</v>
      </c>
      <c r="J235" t="s">
        <v>34</v>
      </c>
      <c r="K235" t="s">
        <v>72</v>
      </c>
      <c r="L235">
        <v>68814.149999999994</v>
      </c>
      <c r="M235">
        <v>50292.37</v>
      </c>
      <c r="N235" t="s">
        <v>91</v>
      </c>
      <c r="O235">
        <v>17</v>
      </c>
      <c r="P235">
        <v>162</v>
      </c>
      <c r="Q235">
        <v>4</v>
      </c>
      <c r="R235">
        <v>162</v>
      </c>
      <c r="S235">
        <v>208.1</v>
      </c>
      <c r="T235" t="s">
        <v>37</v>
      </c>
      <c r="U235" s="3"/>
      <c r="V235" s="3"/>
      <c r="W235" s="3"/>
    </row>
    <row r="236" spans="1:23">
      <c r="A236" t="s">
        <v>749</v>
      </c>
      <c r="B236" t="s">
        <v>251</v>
      </c>
      <c r="C236" t="s">
        <v>22</v>
      </c>
      <c r="D236" s="2">
        <v>33306</v>
      </c>
      <c r="E236" s="2">
        <v>45410</v>
      </c>
      <c r="F236" t="s">
        <v>750</v>
      </c>
      <c r="G236" t="s">
        <v>62</v>
      </c>
      <c r="H236" t="s">
        <v>86</v>
      </c>
      <c r="J236" t="s">
        <v>80</v>
      </c>
      <c r="K236" t="s">
        <v>110</v>
      </c>
      <c r="L236">
        <v>199768.58</v>
      </c>
      <c r="M236">
        <v>167655.35999999999</v>
      </c>
      <c r="N236" t="s">
        <v>91</v>
      </c>
      <c r="O236">
        <v>13</v>
      </c>
      <c r="P236">
        <v>148</v>
      </c>
      <c r="Q236">
        <v>4</v>
      </c>
      <c r="R236">
        <v>144</v>
      </c>
      <c r="S236">
        <v>192.9</v>
      </c>
      <c r="T236" t="s">
        <v>37</v>
      </c>
      <c r="U236" s="3"/>
      <c r="V236" s="3"/>
      <c r="W236" s="3"/>
    </row>
    <row r="237" spans="1:23">
      <c r="A237" t="s">
        <v>751</v>
      </c>
      <c r="B237" t="s">
        <v>752</v>
      </c>
      <c r="C237" t="s">
        <v>151</v>
      </c>
      <c r="D237" s="2">
        <v>25851</v>
      </c>
      <c r="E237" s="2">
        <v>45057</v>
      </c>
      <c r="F237" t="s">
        <v>753</v>
      </c>
      <c r="G237" t="s">
        <v>754</v>
      </c>
      <c r="H237" t="s">
        <v>113</v>
      </c>
      <c r="I237" t="s">
        <v>33</v>
      </c>
      <c r="J237" t="s">
        <v>34</v>
      </c>
      <c r="L237">
        <v>235932.63</v>
      </c>
      <c r="M237">
        <v>191082.15</v>
      </c>
      <c r="N237" t="s">
        <v>56</v>
      </c>
      <c r="O237">
        <v>14</v>
      </c>
      <c r="P237">
        <v>65</v>
      </c>
      <c r="Q237">
        <v>2</v>
      </c>
      <c r="R237">
        <v>163</v>
      </c>
      <c r="S237">
        <v>209.6</v>
      </c>
      <c r="T237" t="s">
        <v>81</v>
      </c>
      <c r="U237" s="3"/>
      <c r="V237" s="3"/>
      <c r="W237" s="3"/>
    </row>
    <row r="238" spans="1:23">
      <c r="A238" t="s">
        <v>755</v>
      </c>
      <c r="B238" t="s">
        <v>756</v>
      </c>
      <c r="C238" t="s">
        <v>60</v>
      </c>
      <c r="D238" s="2">
        <v>20521</v>
      </c>
      <c r="E238" s="2">
        <v>45489</v>
      </c>
      <c r="F238" t="s">
        <v>757</v>
      </c>
      <c r="G238" t="s">
        <v>106</v>
      </c>
      <c r="I238" t="s">
        <v>25</v>
      </c>
      <c r="J238" t="s">
        <v>34</v>
      </c>
      <c r="K238" t="s">
        <v>110</v>
      </c>
      <c r="L238">
        <v>134533.82</v>
      </c>
      <c r="M238">
        <v>112594.22</v>
      </c>
      <c r="N238" t="s">
        <v>56</v>
      </c>
      <c r="O238">
        <v>15</v>
      </c>
      <c r="P238">
        <v>86</v>
      </c>
      <c r="R238">
        <v>144</v>
      </c>
      <c r="S238">
        <v>160.19999999999999</v>
      </c>
      <c r="T238" t="s">
        <v>47</v>
      </c>
      <c r="U238" s="3"/>
      <c r="V238" s="3"/>
      <c r="W238" s="3"/>
    </row>
    <row r="239" spans="1:23">
      <c r="A239" t="s">
        <v>758</v>
      </c>
      <c r="B239" t="s">
        <v>553</v>
      </c>
      <c r="C239" t="s">
        <v>84</v>
      </c>
      <c r="D239" s="2">
        <v>27170</v>
      </c>
      <c r="E239" s="2">
        <v>45670</v>
      </c>
      <c r="F239" s="2">
        <v>45674</v>
      </c>
      <c r="G239" t="s">
        <v>94</v>
      </c>
      <c r="J239" t="s">
        <v>34</v>
      </c>
      <c r="K239" t="s">
        <v>27</v>
      </c>
      <c r="L239">
        <v>4446.8599999999997</v>
      </c>
      <c r="M239">
        <v>4132.6400000000003</v>
      </c>
      <c r="N239" t="s">
        <v>56</v>
      </c>
      <c r="O239">
        <v>4</v>
      </c>
      <c r="P239">
        <v>239</v>
      </c>
      <c r="Q239">
        <v>5</v>
      </c>
      <c r="R239">
        <v>128</v>
      </c>
      <c r="S239">
        <v>87.1</v>
      </c>
      <c r="T239" t="s">
        <v>47</v>
      </c>
      <c r="U239" s="3"/>
      <c r="V239" s="3"/>
      <c r="W239" s="3"/>
    </row>
    <row r="240" spans="1:23">
      <c r="A240" t="s">
        <v>759</v>
      </c>
      <c r="B240" t="s">
        <v>760</v>
      </c>
      <c r="C240" t="s">
        <v>30</v>
      </c>
      <c r="D240" s="2">
        <v>39987</v>
      </c>
      <c r="E240" s="2">
        <v>45792</v>
      </c>
      <c r="F240" s="2">
        <v>45796</v>
      </c>
      <c r="G240" t="s">
        <v>31</v>
      </c>
      <c r="H240" t="s">
        <v>44</v>
      </c>
      <c r="I240" t="s">
        <v>33</v>
      </c>
      <c r="J240" t="s">
        <v>46</v>
      </c>
      <c r="L240">
        <v>106665.46</v>
      </c>
      <c r="M240">
        <v>85590.94</v>
      </c>
      <c r="N240" t="s">
        <v>192</v>
      </c>
      <c r="O240">
        <v>4</v>
      </c>
      <c r="P240">
        <v>193</v>
      </c>
      <c r="Q240">
        <v>5</v>
      </c>
      <c r="R240">
        <v>148</v>
      </c>
      <c r="S240">
        <v>202.1</v>
      </c>
      <c r="T240" t="s">
        <v>37</v>
      </c>
      <c r="U240" s="3"/>
      <c r="V240" s="3"/>
      <c r="W240" s="3"/>
    </row>
    <row r="241" spans="1:23">
      <c r="A241" t="s">
        <v>761</v>
      </c>
      <c r="B241" t="s">
        <v>762</v>
      </c>
      <c r="D241" t="s">
        <v>763</v>
      </c>
      <c r="E241" s="2">
        <v>45581</v>
      </c>
      <c r="F241" s="2">
        <v>45596</v>
      </c>
      <c r="G241" t="s">
        <v>31</v>
      </c>
      <c r="H241" t="s">
        <v>124</v>
      </c>
      <c r="J241" t="s">
        <v>97</v>
      </c>
      <c r="K241" t="s">
        <v>27</v>
      </c>
      <c r="L241">
        <v>172648.05</v>
      </c>
      <c r="M241">
        <v>162264.75</v>
      </c>
      <c r="N241" t="s">
        <v>192</v>
      </c>
      <c r="O241">
        <v>15</v>
      </c>
      <c r="P241">
        <v>55</v>
      </c>
      <c r="Q241">
        <v>2</v>
      </c>
      <c r="R241">
        <v>143</v>
      </c>
      <c r="S241">
        <v>139.80000000000001</v>
      </c>
      <c r="T241" t="s">
        <v>37</v>
      </c>
      <c r="U241" s="3"/>
      <c r="V241" s="3"/>
      <c r="W241" s="3"/>
    </row>
    <row r="242" spans="1:23">
      <c r="A242" t="s">
        <v>764</v>
      </c>
      <c r="B242" t="s">
        <v>765</v>
      </c>
      <c r="D242" s="2">
        <v>28407</v>
      </c>
      <c r="E242" s="2">
        <v>45232</v>
      </c>
      <c r="F242" s="2">
        <v>45235</v>
      </c>
      <c r="G242" t="s">
        <v>766</v>
      </c>
      <c r="H242" t="s">
        <v>118</v>
      </c>
      <c r="I242" t="s">
        <v>33</v>
      </c>
      <c r="J242" t="s">
        <v>179</v>
      </c>
      <c r="K242" t="s">
        <v>161</v>
      </c>
      <c r="L242">
        <v>180349.4</v>
      </c>
      <c r="M242">
        <v>159682.69</v>
      </c>
      <c r="N242" t="s">
        <v>91</v>
      </c>
      <c r="O242">
        <v>3</v>
      </c>
      <c r="P242">
        <v>121</v>
      </c>
      <c r="R242">
        <v>105</v>
      </c>
      <c r="S242">
        <v>112.7</v>
      </c>
      <c r="T242" t="s">
        <v>47</v>
      </c>
      <c r="U242" s="3"/>
      <c r="V242" s="3"/>
      <c r="W242" s="3"/>
    </row>
    <row r="243" spans="1:23">
      <c r="A243" t="s">
        <v>767</v>
      </c>
      <c r="B243" t="s">
        <v>768</v>
      </c>
      <c r="C243" t="s">
        <v>60</v>
      </c>
      <c r="D243" s="2">
        <v>18757</v>
      </c>
      <c r="E243" s="2">
        <v>45409</v>
      </c>
      <c r="F243" t="s">
        <v>769</v>
      </c>
      <c r="G243" t="s">
        <v>105</v>
      </c>
      <c r="H243" t="s">
        <v>118</v>
      </c>
      <c r="J243" t="s">
        <v>26</v>
      </c>
      <c r="K243" t="s">
        <v>161</v>
      </c>
      <c r="L243">
        <v>5054.26</v>
      </c>
      <c r="M243">
        <v>4859.33</v>
      </c>
      <c r="N243" t="s">
        <v>192</v>
      </c>
      <c r="O243">
        <v>15</v>
      </c>
      <c r="P243">
        <v>182</v>
      </c>
      <c r="Q243">
        <v>4</v>
      </c>
      <c r="R243">
        <v>177</v>
      </c>
      <c r="S243">
        <v>110.3</v>
      </c>
      <c r="T243" t="s">
        <v>37</v>
      </c>
      <c r="U243" s="3"/>
      <c r="V243" s="3"/>
      <c r="W243" s="3"/>
    </row>
    <row r="244" spans="1:23">
      <c r="A244" t="s">
        <v>770</v>
      </c>
      <c r="B244" t="s">
        <v>771</v>
      </c>
      <c r="C244" t="s">
        <v>22</v>
      </c>
      <c r="D244" s="2">
        <v>30237</v>
      </c>
      <c r="E244" s="2">
        <v>45546</v>
      </c>
      <c r="F244" s="2">
        <v>45559</v>
      </c>
      <c r="G244" t="s">
        <v>62</v>
      </c>
      <c r="H244" t="s">
        <v>95</v>
      </c>
      <c r="I244" t="s">
        <v>25</v>
      </c>
      <c r="K244" t="s">
        <v>110</v>
      </c>
      <c r="L244">
        <v>46894.63</v>
      </c>
      <c r="M244">
        <v>39913.15</v>
      </c>
      <c r="N244" t="s">
        <v>192</v>
      </c>
      <c r="O244">
        <v>13</v>
      </c>
      <c r="P244">
        <v>91</v>
      </c>
      <c r="R244">
        <v>106</v>
      </c>
      <c r="S244">
        <v>87</v>
      </c>
      <c r="U244" s="3"/>
      <c r="V244" s="3"/>
      <c r="W244" s="3"/>
    </row>
    <row r="245" spans="1:23">
      <c r="A245" t="s">
        <v>772</v>
      </c>
      <c r="B245" t="s">
        <v>277</v>
      </c>
      <c r="C245" t="s">
        <v>22</v>
      </c>
      <c r="D245" s="2">
        <v>30481</v>
      </c>
      <c r="E245" s="2">
        <v>45264</v>
      </c>
      <c r="F245" s="2">
        <v>45275</v>
      </c>
      <c r="G245" t="s">
        <v>77</v>
      </c>
      <c r="H245" t="s">
        <v>78</v>
      </c>
      <c r="I245" t="s">
        <v>53</v>
      </c>
      <c r="J245" t="s">
        <v>186</v>
      </c>
      <c r="K245" t="s">
        <v>55</v>
      </c>
      <c r="L245">
        <v>213625.83</v>
      </c>
      <c r="M245">
        <v>161788.73000000001</v>
      </c>
      <c r="N245" t="s">
        <v>192</v>
      </c>
      <c r="O245" t="s">
        <v>227</v>
      </c>
      <c r="P245">
        <v>117</v>
      </c>
      <c r="Q245">
        <v>1</v>
      </c>
      <c r="R245">
        <v>114</v>
      </c>
      <c r="S245">
        <v>98.2</v>
      </c>
      <c r="T245" t="s">
        <v>47</v>
      </c>
      <c r="U245" s="3"/>
      <c r="V245" s="3"/>
      <c r="W245" s="3"/>
    </row>
    <row r="246" spans="1:23">
      <c r="A246" t="s">
        <v>773</v>
      </c>
      <c r="B246" t="s">
        <v>611</v>
      </c>
      <c r="C246" t="s">
        <v>40</v>
      </c>
      <c r="D246" s="2">
        <v>38349</v>
      </c>
      <c r="E246" s="2">
        <v>45230</v>
      </c>
      <c r="F246" t="s">
        <v>774</v>
      </c>
      <c r="G246" t="s">
        <v>94</v>
      </c>
      <c r="I246" t="s">
        <v>96</v>
      </c>
      <c r="J246" t="s">
        <v>97</v>
      </c>
      <c r="K246" t="s">
        <v>55</v>
      </c>
      <c r="L246">
        <v>209151.03</v>
      </c>
      <c r="M246">
        <v>151577.63</v>
      </c>
      <c r="N246" t="s">
        <v>192</v>
      </c>
      <c r="O246">
        <v>4</v>
      </c>
      <c r="P246">
        <v>74</v>
      </c>
      <c r="Q246">
        <v>4</v>
      </c>
      <c r="R246">
        <v>164</v>
      </c>
      <c r="S246">
        <v>259.60000000000002</v>
      </c>
      <c r="T246" t="s">
        <v>37</v>
      </c>
      <c r="U246" s="3"/>
      <c r="V246" s="3"/>
      <c r="W246" s="3"/>
    </row>
    <row r="247" spans="1:23">
      <c r="A247" t="s">
        <v>775</v>
      </c>
      <c r="B247" t="s">
        <v>579</v>
      </c>
      <c r="C247" t="s">
        <v>50</v>
      </c>
      <c r="D247" t="s">
        <v>776</v>
      </c>
      <c r="E247" s="2">
        <v>45869</v>
      </c>
      <c r="F247" s="2">
        <v>45885</v>
      </c>
      <c r="G247" t="s">
        <v>109</v>
      </c>
      <c r="H247" t="s">
        <v>118</v>
      </c>
      <c r="I247" t="s">
        <v>25</v>
      </c>
      <c r="J247" t="s">
        <v>46</v>
      </c>
      <c r="K247" t="s">
        <v>27</v>
      </c>
      <c r="L247">
        <v>242518.2</v>
      </c>
      <c r="M247">
        <v>182786.7</v>
      </c>
      <c r="N247" t="s">
        <v>192</v>
      </c>
      <c r="O247">
        <v>16</v>
      </c>
      <c r="P247">
        <v>120</v>
      </c>
      <c r="Q247">
        <v>5</v>
      </c>
      <c r="R247">
        <v>183</v>
      </c>
      <c r="S247">
        <v>260</v>
      </c>
      <c r="T247" t="s">
        <v>37</v>
      </c>
      <c r="U247" s="3"/>
      <c r="V247" s="3"/>
      <c r="W247" s="3"/>
    </row>
    <row r="248" spans="1:23">
      <c r="A248" t="s">
        <v>777</v>
      </c>
      <c r="B248" t="s">
        <v>527</v>
      </c>
      <c r="C248" t="s">
        <v>30</v>
      </c>
      <c r="D248" s="2">
        <v>20117</v>
      </c>
      <c r="E248" t="s">
        <v>778</v>
      </c>
      <c r="F248" s="2">
        <v>45359</v>
      </c>
      <c r="G248" t="s">
        <v>43</v>
      </c>
      <c r="H248" t="s">
        <v>44</v>
      </c>
      <c r="I248" t="s">
        <v>53</v>
      </c>
      <c r="J248" t="s">
        <v>26</v>
      </c>
      <c r="K248" t="s">
        <v>72</v>
      </c>
      <c r="L248">
        <v>76390.3</v>
      </c>
      <c r="M248">
        <v>66820.77</v>
      </c>
      <c r="N248" t="s">
        <v>73</v>
      </c>
      <c r="O248">
        <v>6</v>
      </c>
      <c r="P248">
        <v>240</v>
      </c>
      <c r="Q248">
        <v>5</v>
      </c>
      <c r="R248">
        <v>177</v>
      </c>
      <c r="S248">
        <v>184.7</v>
      </c>
      <c r="T248" t="s">
        <v>65</v>
      </c>
      <c r="U248" s="3"/>
      <c r="V248" s="3"/>
      <c r="W248" s="3"/>
    </row>
    <row r="249" spans="1:23">
      <c r="A249" t="s">
        <v>779</v>
      </c>
      <c r="B249" t="s">
        <v>342</v>
      </c>
      <c r="C249" t="s">
        <v>30</v>
      </c>
      <c r="D249" s="2">
        <v>20106</v>
      </c>
      <c r="E249" s="2">
        <v>45626</v>
      </c>
      <c r="F249" s="2">
        <v>45641</v>
      </c>
      <c r="G249" t="s">
        <v>141</v>
      </c>
      <c r="H249" t="s">
        <v>113</v>
      </c>
      <c r="I249" t="s">
        <v>53</v>
      </c>
      <c r="J249" t="s">
        <v>34</v>
      </c>
      <c r="K249" t="s">
        <v>110</v>
      </c>
      <c r="L249">
        <v>133001.48000000001</v>
      </c>
      <c r="M249">
        <v>96930.53</v>
      </c>
      <c r="N249" t="s">
        <v>56</v>
      </c>
      <c r="O249">
        <v>15</v>
      </c>
      <c r="P249">
        <v>79</v>
      </c>
      <c r="R249">
        <v>145</v>
      </c>
      <c r="S249">
        <v>85</v>
      </c>
      <c r="T249" t="s">
        <v>348</v>
      </c>
      <c r="U249" s="3"/>
      <c r="V249" s="3"/>
      <c r="W249" s="3"/>
    </row>
    <row r="250" spans="1:23">
      <c r="A250" t="s">
        <v>780</v>
      </c>
      <c r="B250" t="s">
        <v>394</v>
      </c>
      <c r="C250" t="s">
        <v>30</v>
      </c>
      <c r="D250" s="2">
        <v>20689</v>
      </c>
      <c r="E250" s="2">
        <v>45445</v>
      </c>
      <c r="F250" s="2">
        <v>45457</v>
      </c>
      <c r="G250" t="s">
        <v>161</v>
      </c>
      <c r="H250" t="s">
        <v>78</v>
      </c>
      <c r="I250" t="s">
        <v>25</v>
      </c>
      <c r="J250" t="s">
        <v>26</v>
      </c>
      <c r="K250" t="s">
        <v>401</v>
      </c>
      <c r="L250">
        <v>185777.75</v>
      </c>
      <c r="M250">
        <v>133048.89000000001</v>
      </c>
      <c r="N250" t="s">
        <v>56</v>
      </c>
      <c r="O250">
        <v>12</v>
      </c>
      <c r="P250">
        <v>51</v>
      </c>
      <c r="Q250">
        <v>4</v>
      </c>
      <c r="R250">
        <v>95</v>
      </c>
      <c r="S250">
        <v>85.8</v>
      </c>
      <c r="U250" s="3"/>
      <c r="V250" s="3"/>
      <c r="W250" s="3"/>
    </row>
    <row r="251" spans="1:23">
      <c r="A251" t="s">
        <v>781</v>
      </c>
      <c r="B251" t="s">
        <v>150</v>
      </c>
      <c r="C251" t="s">
        <v>40</v>
      </c>
      <c r="D251" s="2">
        <v>28369</v>
      </c>
      <c r="E251" t="s">
        <v>782</v>
      </c>
      <c r="F251" s="2">
        <v>44951</v>
      </c>
      <c r="G251" t="s">
        <v>62</v>
      </c>
      <c r="H251" t="s">
        <v>113</v>
      </c>
      <c r="J251" t="s">
        <v>645</v>
      </c>
      <c r="K251" t="s">
        <v>55</v>
      </c>
      <c r="L251" t="s">
        <v>783</v>
      </c>
      <c r="M251">
        <v>146148.87</v>
      </c>
      <c r="N251" t="s">
        <v>73</v>
      </c>
      <c r="O251">
        <v>13</v>
      </c>
      <c r="P251">
        <v>159</v>
      </c>
      <c r="R251">
        <v>128</v>
      </c>
      <c r="T251" t="s">
        <v>37</v>
      </c>
      <c r="U251" s="3"/>
      <c r="V251" s="3"/>
      <c r="W251" s="3"/>
    </row>
    <row r="252" spans="1:23">
      <c r="A252" t="s">
        <v>784</v>
      </c>
      <c r="B252" t="s">
        <v>785</v>
      </c>
      <c r="C252" t="s">
        <v>100</v>
      </c>
      <c r="D252" s="2">
        <v>28457</v>
      </c>
      <c r="E252" t="s">
        <v>786</v>
      </c>
      <c r="F252" s="2">
        <v>45320</v>
      </c>
      <c r="G252" t="s">
        <v>77</v>
      </c>
      <c r="H252" t="s">
        <v>124</v>
      </c>
      <c r="J252" t="s">
        <v>34</v>
      </c>
      <c r="K252" t="s">
        <v>27</v>
      </c>
      <c r="L252" t="s">
        <v>787</v>
      </c>
      <c r="M252">
        <v>7668.39</v>
      </c>
      <c r="N252" t="s">
        <v>91</v>
      </c>
      <c r="O252">
        <v>3</v>
      </c>
      <c r="P252">
        <v>194</v>
      </c>
      <c r="R252">
        <v>152</v>
      </c>
      <c r="S252">
        <v>159.6</v>
      </c>
      <c r="T252" t="s">
        <v>37</v>
      </c>
      <c r="U252" s="3"/>
      <c r="V252" s="3"/>
      <c r="W252" s="3"/>
    </row>
    <row r="253" spans="1:23">
      <c r="A253" t="s">
        <v>788</v>
      </c>
      <c r="B253" t="s">
        <v>132</v>
      </c>
      <c r="C253" t="s">
        <v>84</v>
      </c>
      <c r="D253" t="s">
        <v>789</v>
      </c>
      <c r="E253" s="2">
        <v>45745</v>
      </c>
      <c r="F253" s="2">
        <v>45761</v>
      </c>
      <c r="G253" t="s">
        <v>31</v>
      </c>
      <c r="H253" t="s">
        <v>118</v>
      </c>
      <c r="J253" t="s">
        <v>80</v>
      </c>
      <c r="L253">
        <v>179286.86</v>
      </c>
      <c r="M253">
        <v>113871.42</v>
      </c>
      <c r="N253" t="s">
        <v>192</v>
      </c>
      <c r="O253">
        <v>16</v>
      </c>
      <c r="P253">
        <v>152</v>
      </c>
      <c r="Q253">
        <v>5</v>
      </c>
      <c r="R253">
        <v>160</v>
      </c>
      <c r="S253">
        <v>82.1</v>
      </c>
      <c r="U253" s="3"/>
      <c r="V253" s="3"/>
      <c r="W253" s="3"/>
    </row>
    <row r="254" spans="1:23">
      <c r="A254" t="s">
        <v>790</v>
      </c>
      <c r="B254" t="s">
        <v>791</v>
      </c>
      <c r="D254" s="2">
        <v>39763</v>
      </c>
      <c r="E254" s="2">
        <v>45886</v>
      </c>
      <c r="F254" s="2">
        <v>45891</v>
      </c>
      <c r="G254" t="s">
        <v>31</v>
      </c>
      <c r="H254" t="s">
        <v>153</v>
      </c>
      <c r="I254" t="s">
        <v>79</v>
      </c>
      <c r="J254" t="s">
        <v>34</v>
      </c>
      <c r="L254">
        <v>208687.48</v>
      </c>
      <c r="M254">
        <v>158892.04999999999</v>
      </c>
      <c r="N254" t="s">
        <v>73</v>
      </c>
      <c r="O254">
        <v>5</v>
      </c>
      <c r="P254">
        <v>97</v>
      </c>
      <c r="R254">
        <v>110</v>
      </c>
      <c r="S254">
        <v>188.2</v>
      </c>
      <c r="T254" t="s">
        <v>65</v>
      </c>
      <c r="U254" s="3"/>
      <c r="V254" s="3"/>
      <c r="W254" s="3"/>
    </row>
    <row r="255" spans="1:23">
      <c r="A255" t="s">
        <v>792</v>
      </c>
      <c r="B255" t="s">
        <v>383</v>
      </c>
      <c r="C255" t="s">
        <v>22</v>
      </c>
      <c r="D255" s="2">
        <v>26609</v>
      </c>
      <c r="E255" s="2">
        <v>45284</v>
      </c>
      <c r="G255" t="s">
        <v>114</v>
      </c>
      <c r="H255" t="s">
        <v>63</v>
      </c>
      <c r="I255" t="s">
        <v>79</v>
      </c>
      <c r="J255" t="s">
        <v>197</v>
      </c>
      <c r="K255" t="s">
        <v>110</v>
      </c>
      <c r="L255" t="s">
        <v>793</v>
      </c>
      <c r="M255">
        <v>134933.38</v>
      </c>
      <c r="N255" t="s">
        <v>794</v>
      </c>
      <c r="O255">
        <v>17</v>
      </c>
      <c r="P255">
        <v>129</v>
      </c>
      <c r="Q255">
        <v>5</v>
      </c>
      <c r="R255">
        <v>133</v>
      </c>
      <c r="S255">
        <v>219.1</v>
      </c>
      <c r="T255" t="s">
        <v>37</v>
      </c>
      <c r="U255" s="3"/>
      <c r="V255" s="3"/>
      <c r="W255" s="3"/>
    </row>
    <row r="256" spans="1:23">
      <c r="A256" t="s">
        <v>795</v>
      </c>
      <c r="B256" t="s">
        <v>796</v>
      </c>
      <c r="D256" t="s">
        <v>797</v>
      </c>
      <c r="E256" s="2">
        <v>45012</v>
      </c>
      <c r="F256" s="2">
        <v>45029</v>
      </c>
      <c r="G256" t="s">
        <v>141</v>
      </c>
      <c r="H256" t="s">
        <v>52</v>
      </c>
      <c r="I256" t="s">
        <v>45</v>
      </c>
      <c r="J256" t="s">
        <v>46</v>
      </c>
      <c r="K256" t="s">
        <v>72</v>
      </c>
      <c r="L256">
        <v>41365.56</v>
      </c>
      <c r="M256">
        <v>37743.96</v>
      </c>
      <c r="N256" t="s">
        <v>192</v>
      </c>
      <c r="O256">
        <v>17</v>
      </c>
      <c r="P256">
        <v>200</v>
      </c>
      <c r="R256">
        <v>153</v>
      </c>
      <c r="S256">
        <v>209.2</v>
      </c>
      <c r="T256" t="s">
        <v>37</v>
      </c>
      <c r="U256" s="3"/>
      <c r="V256" s="3"/>
      <c r="W256" s="3"/>
    </row>
    <row r="257" spans="1:23">
      <c r="A257" t="s">
        <v>798</v>
      </c>
      <c r="B257" t="s">
        <v>799</v>
      </c>
      <c r="C257" t="s">
        <v>151</v>
      </c>
      <c r="D257" s="2">
        <v>24646</v>
      </c>
      <c r="E257" s="2">
        <v>45776</v>
      </c>
      <c r="F257" s="2">
        <v>45788</v>
      </c>
      <c r="G257" t="s">
        <v>94</v>
      </c>
      <c r="H257" t="s">
        <v>124</v>
      </c>
      <c r="J257" t="s">
        <v>80</v>
      </c>
      <c r="K257" t="s">
        <v>106</v>
      </c>
      <c r="L257">
        <v>36653.599999999999</v>
      </c>
      <c r="M257">
        <v>28693.23</v>
      </c>
      <c r="N257" t="s">
        <v>326</v>
      </c>
      <c r="O257">
        <v>12</v>
      </c>
      <c r="P257">
        <v>109</v>
      </c>
      <c r="R257">
        <v>156</v>
      </c>
      <c r="S257">
        <v>221</v>
      </c>
      <c r="T257" t="s">
        <v>65</v>
      </c>
      <c r="U257" s="3"/>
      <c r="V257" s="3"/>
      <c r="W257" s="3"/>
    </row>
    <row r="258" spans="1:23">
      <c r="A258" t="s">
        <v>800</v>
      </c>
      <c r="B258" t="s">
        <v>801</v>
      </c>
      <c r="C258" t="s">
        <v>60</v>
      </c>
      <c r="D258" s="2">
        <v>39357</v>
      </c>
      <c r="E258" t="s">
        <v>802</v>
      </c>
      <c r="F258" t="s">
        <v>803</v>
      </c>
      <c r="G258" t="s">
        <v>141</v>
      </c>
      <c r="H258" t="s">
        <v>160</v>
      </c>
      <c r="I258" t="s">
        <v>96</v>
      </c>
      <c r="J258" t="s">
        <v>46</v>
      </c>
      <c r="L258" t="s">
        <v>804</v>
      </c>
      <c r="M258">
        <v>215725.83</v>
      </c>
      <c r="N258" t="s">
        <v>192</v>
      </c>
      <c r="O258">
        <v>10</v>
      </c>
      <c r="P258">
        <v>235</v>
      </c>
      <c r="R258">
        <v>168</v>
      </c>
      <c r="S258">
        <v>244.9</v>
      </c>
      <c r="U258" s="3"/>
      <c r="V258" s="3"/>
      <c r="W258" s="3"/>
    </row>
    <row r="259" spans="1:23">
      <c r="A259" t="s">
        <v>805</v>
      </c>
      <c r="B259" t="s">
        <v>806</v>
      </c>
      <c r="C259" t="s">
        <v>133</v>
      </c>
      <c r="D259" s="2">
        <v>30846</v>
      </c>
      <c r="E259" s="2">
        <v>45185</v>
      </c>
      <c r="F259" s="2">
        <v>45202</v>
      </c>
      <c r="G259" t="s">
        <v>190</v>
      </c>
      <c r="H259" t="s">
        <v>86</v>
      </c>
      <c r="I259" t="s">
        <v>33</v>
      </c>
      <c r="J259" t="s">
        <v>186</v>
      </c>
      <c r="K259" t="s">
        <v>27</v>
      </c>
      <c r="L259">
        <v>139067</v>
      </c>
      <c r="M259">
        <v>100405.18</v>
      </c>
      <c r="N259" t="s">
        <v>56</v>
      </c>
      <c r="O259">
        <v>17</v>
      </c>
      <c r="P259">
        <v>167</v>
      </c>
      <c r="Q259">
        <v>3</v>
      </c>
      <c r="R259">
        <v>92</v>
      </c>
      <c r="S259">
        <v>75.3</v>
      </c>
      <c r="T259" t="s">
        <v>37</v>
      </c>
      <c r="U259" s="3"/>
      <c r="V259" s="3"/>
      <c r="W259" s="3"/>
    </row>
    <row r="260" spans="1:23">
      <c r="A260" t="s">
        <v>807</v>
      </c>
      <c r="B260" t="s">
        <v>511</v>
      </c>
      <c r="C260" t="s">
        <v>22</v>
      </c>
      <c r="D260" s="2">
        <v>31747</v>
      </c>
      <c r="E260" s="2">
        <v>45855</v>
      </c>
      <c r="F260" s="2">
        <v>45866</v>
      </c>
      <c r="G260" t="s">
        <v>70</v>
      </c>
      <c r="H260" t="s">
        <v>153</v>
      </c>
      <c r="I260" t="s">
        <v>45</v>
      </c>
      <c r="J260" t="s">
        <v>46</v>
      </c>
      <c r="K260" t="s">
        <v>120</v>
      </c>
      <c r="L260">
        <v>76552.399999999994</v>
      </c>
      <c r="M260">
        <v>60868.44</v>
      </c>
      <c r="N260" t="s">
        <v>91</v>
      </c>
      <c r="O260">
        <v>11</v>
      </c>
      <c r="P260">
        <v>188</v>
      </c>
      <c r="Q260">
        <v>3</v>
      </c>
      <c r="R260">
        <v>181</v>
      </c>
      <c r="S260">
        <v>141.80000000000001</v>
      </c>
      <c r="T260" t="s">
        <v>106</v>
      </c>
      <c r="U260" s="3"/>
      <c r="V260" s="3"/>
      <c r="W260" s="3"/>
    </row>
    <row r="261" spans="1:23">
      <c r="A261" t="s">
        <v>808</v>
      </c>
      <c r="B261" t="s">
        <v>378</v>
      </c>
      <c r="C261" t="s">
        <v>100</v>
      </c>
      <c r="D261" s="2">
        <v>28533</v>
      </c>
      <c r="E261" s="2">
        <v>46004</v>
      </c>
      <c r="F261" s="2">
        <v>46017</v>
      </c>
      <c r="G261" t="s">
        <v>89</v>
      </c>
      <c r="H261" t="s">
        <v>78</v>
      </c>
      <c r="I261" t="s">
        <v>79</v>
      </c>
      <c r="J261" t="s">
        <v>71</v>
      </c>
      <c r="K261" t="s">
        <v>110</v>
      </c>
      <c r="L261">
        <v>147115.18</v>
      </c>
      <c r="M261">
        <v>103417.95</v>
      </c>
      <c r="N261" t="s">
        <v>192</v>
      </c>
      <c r="O261">
        <v>13</v>
      </c>
      <c r="P261">
        <v>117</v>
      </c>
      <c r="R261">
        <v>183</v>
      </c>
      <c r="T261" t="s">
        <v>47</v>
      </c>
      <c r="U261" s="3"/>
      <c r="V261" s="3"/>
      <c r="W261" s="3"/>
    </row>
    <row r="262" spans="1:23">
      <c r="A262" t="s">
        <v>809</v>
      </c>
      <c r="B262" t="s">
        <v>810</v>
      </c>
      <c r="C262" t="s">
        <v>40</v>
      </c>
      <c r="D262" s="2">
        <v>32328</v>
      </c>
      <c r="E262" s="2">
        <v>45174</v>
      </c>
      <c r="F262" s="2">
        <v>45186</v>
      </c>
      <c r="G262" t="s">
        <v>152</v>
      </c>
      <c r="H262" t="s">
        <v>95</v>
      </c>
      <c r="I262" t="s">
        <v>53</v>
      </c>
      <c r="J262" t="s">
        <v>26</v>
      </c>
      <c r="K262" t="s">
        <v>55</v>
      </c>
      <c r="L262">
        <v>94438.17</v>
      </c>
      <c r="N262" t="s">
        <v>192</v>
      </c>
      <c r="O262">
        <v>12</v>
      </c>
      <c r="P262">
        <v>129</v>
      </c>
      <c r="Q262">
        <v>1</v>
      </c>
      <c r="R262">
        <v>108</v>
      </c>
      <c r="S262">
        <v>97</v>
      </c>
      <c r="T262" t="s">
        <v>37</v>
      </c>
      <c r="U262" s="3"/>
      <c r="V262" s="3"/>
      <c r="W262" s="3"/>
    </row>
    <row r="263" spans="1:23">
      <c r="A263" t="s">
        <v>811</v>
      </c>
      <c r="B263" t="s">
        <v>433</v>
      </c>
      <c r="C263" t="s">
        <v>22</v>
      </c>
      <c r="D263" t="s">
        <v>812</v>
      </c>
      <c r="E263" t="s">
        <v>813</v>
      </c>
      <c r="F263" s="2">
        <v>45715</v>
      </c>
      <c r="H263" t="s">
        <v>634</v>
      </c>
      <c r="I263" t="s">
        <v>53</v>
      </c>
      <c r="J263" t="s">
        <v>54</v>
      </c>
      <c r="K263" t="s">
        <v>449</v>
      </c>
      <c r="L263">
        <v>127429.06</v>
      </c>
      <c r="M263">
        <v>112402.43</v>
      </c>
      <c r="N263" t="s">
        <v>73</v>
      </c>
      <c r="O263">
        <v>16</v>
      </c>
      <c r="P263" t="s">
        <v>814</v>
      </c>
      <c r="R263">
        <v>109</v>
      </c>
      <c r="S263">
        <v>234.6</v>
      </c>
      <c r="T263" t="s">
        <v>65</v>
      </c>
      <c r="U263" s="3"/>
      <c r="V263" s="3"/>
      <c r="W263" s="3"/>
    </row>
    <row r="264" spans="1:23">
      <c r="A264" t="s">
        <v>815</v>
      </c>
      <c r="B264" t="s">
        <v>517</v>
      </c>
      <c r="C264" t="s">
        <v>816</v>
      </c>
      <c r="D264" s="2">
        <v>31355</v>
      </c>
      <c r="E264" s="2">
        <v>45101</v>
      </c>
      <c r="F264" s="2">
        <v>45108</v>
      </c>
      <c r="G264" t="s">
        <v>89</v>
      </c>
      <c r="H264" t="s">
        <v>118</v>
      </c>
      <c r="I264" t="s">
        <v>25</v>
      </c>
      <c r="J264" t="s">
        <v>106</v>
      </c>
      <c r="K264" t="s">
        <v>161</v>
      </c>
      <c r="L264">
        <v>131634.06</v>
      </c>
      <c r="M264">
        <v>106393.5</v>
      </c>
      <c r="N264" t="s">
        <v>35</v>
      </c>
      <c r="O264">
        <v>7</v>
      </c>
      <c r="P264">
        <v>9</v>
      </c>
      <c r="Q264">
        <v>2</v>
      </c>
      <c r="R264">
        <v>174</v>
      </c>
      <c r="S264">
        <v>247.9</v>
      </c>
      <c r="T264" t="s">
        <v>47</v>
      </c>
      <c r="U264" s="3"/>
      <c r="V264" s="3"/>
      <c r="W264" s="3"/>
    </row>
    <row r="265" spans="1:23">
      <c r="A265" t="s">
        <v>817</v>
      </c>
      <c r="B265" t="s">
        <v>383</v>
      </c>
      <c r="C265" t="s">
        <v>30</v>
      </c>
      <c r="D265" s="2">
        <v>22463</v>
      </c>
      <c r="E265" s="2">
        <v>46008</v>
      </c>
      <c r="F265" t="s">
        <v>818</v>
      </c>
      <c r="G265" t="s">
        <v>161</v>
      </c>
      <c r="H265" t="s">
        <v>255</v>
      </c>
      <c r="I265" t="s">
        <v>33</v>
      </c>
      <c r="K265" t="s">
        <v>55</v>
      </c>
      <c r="L265">
        <v>44118.61</v>
      </c>
      <c r="M265">
        <v>33300.76</v>
      </c>
      <c r="N265" t="s">
        <v>162</v>
      </c>
      <c r="O265">
        <v>11</v>
      </c>
      <c r="P265">
        <v>201</v>
      </c>
      <c r="Q265">
        <v>2</v>
      </c>
      <c r="R265">
        <v>109</v>
      </c>
      <c r="S265">
        <v>128.30000000000001</v>
      </c>
      <c r="T265" t="s">
        <v>37</v>
      </c>
      <c r="U265" s="3"/>
      <c r="V265" s="3"/>
      <c r="W265" s="3"/>
    </row>
    <row r="266" spans="1:23">
      <c r="A266" t="s">
        <v>819</v>
      </c>
      <c r="B266" t="s">
        <v>21</v>
      </c>
      <c r="C266" t="s">
        <v>100</v>
      </c>
      <c r="D266" s="2">
        <v>24034</v>
      </c>
      <c r="E266" s="2">
        <v>45411</v>
      </c>
      <c r="F266" s="2">
        <v>45427</v>
      </c>
      <c r="G266" t="s">
        <v>89</v>
      </c>
      <c r="H266" t="s">
        <v>134</v>
      </c>
      <c r="I266" t="s">
        <v>33</v>
      </c>
      <c r="J266" t="s">
        <v>71</v>
      </c>
      <c r="K266" t="s">
        <v>114</v>
      </c>
      <c r="L266">
        <v>17506.41</v>
      </c>
      <c r="M266">
        <v>14401.46</v>
      </c>
      <c r="N266" t="s">
        <v>35</v>
      </c>
      <c r="O266">
        <v>16</v>
      </c>
      <c r="P266">
        <v>21</v>
      </c>
      <c r="R266">
        <v>93</v>
      </c>
      <c r="S266">
        <v>147.4</v>
      </c>
      <c r="T266" t="s">
        <v>47</v>
      </c>
      <c r="U266" s="3"/>
      <c r="V266" s="3"/>
      <c r="W266" s="3"/>
    </row>
    <row r="267" spans="1:23">
      <c r="A267" t="s">
        <v>820</v>
      </c>
      <c r="B267" t="s">
        <v>76</v>
      </c>
      <c r="C267" t="s">
        <v>60</v>
      </c>
      <c r="D267" s="2">
        <v>26913</v>
      </c>
      <c r="E267" s="2">
        <v>45429</v>
      </c>
      <c r="F267" t="s">
        <v>821</v>
      </c>
      <c r="G267" t="s">
        <v>89</v>
      </c>
      <c r="H267" t="s">
        <v>32</v>
      </c>
      <c r="I267" t="s">
        <v>25</v>
      </c>
      <c r="J267" t="s">
        <v>179</v>
      </c>
      <c r="K267" t="s">
        <v>161</v>
      </c>
      <c r="L267">
        <v>203629.32</v>
      </c>
      <c r="M267">
        <v>144189.38</v>
      </c>
      <c r="N267" t="s">
        <v>794</v>
      </c>
      <c r="O267">
        <v>18</v>
      </c>
      <c r="P267">
        <v>47</v>
      </c>
      <c r="Q267">
        <v>1</v>
      </c>
      <c r="R267">
        <v>97</v>
      </c>
      <c r="S267">
        <v>247.4</v>
      </c>
      <c r="T267" t="s">
        <v>37</v>
      </c>
      <c r="U267" s="3"/>
      <c r="V267" s="3"/>
      <c r="W267" s="3"/>
    </row>
    <row r="268" spans="1:23">
      <c r="A268" t="s">
        <v>822</v>
      </c>
      <c r="B268" t="s">
        <v>806</v>
      </c>
      <c r="C268" t="s">
        <v>30</v>
      </c>
      <c r="D268" t="s">
        <v>823</v>
      </c>
      <c r="E268" s="2">
        <v>45213</v>
      </c>
      <c r="F268" s="2">
        <v>45231</v>
      </c>
      <c r="G268" t="s">
        <v>23</v>
      </c>
      <c r="H268" t="s">
        <v>86</v>
      </c>
      <c r="I268" t="s">
        <v>119</v>
      </c>
      <c r="J268" t="s">
        <v>46</v>
      </c>
      <c r="K268" t="s">
        <v>286</v>
      </c>
      <c r="N268" t="s">
        <v>73</v>
      </c>
      <c r="O268">
        <v>18</v>
      </c>
      <c r="P268">
        <v>67</v>
      </c>
      <c r="Q268">
        <v>5</v>
      </c>
      <c r="R268">
        <v>133</v>
      </c>
      <c r="S268">
        <v>110</v>
      </c>
      <c r="T268" t="s">
        <v>37</v>
      </c>
      <c r="U268" s="3"/>
      <c r="V268" s="3"/>
      <c r="W268" s="3"/>
    </row>
    <row r="269" spans="1:23">
      <c r="A269" t="s">
        <v>824</v>
      </c>
      <c r="B269" t="s">
        <v>825</v>
      </c>
      <c r="C269" t="s">
        <v>30</v>
      </c>
      <c r="D269" s="2">
        <v>30738</v>
      </c>
      <c r="E269" s="2">
        <v>45085</v>
      </c>
      <c r="J269" t="s">
        <v>26</v>
      </c>
      <c r="K269" t="s">
        <v>120</v>
      </c>
      <c r="M269">
        <v>80953.990000000005</v>
      </c>
      <c r="N269" t="s">
        <v>35</v>
      </c>
      <c r="O269">
        <v>18</v>
      </c>
      <c r="P269">
        <v>96</v>
      </c>
      <c r="Q269">
        <v>4</v>
      </c>
      <c r="R269">
        <v>112</v>
      </c>
      <c r="S269">
        <v>229.4</v>
      </c>
      <c r="U269" s="3"/>
      <c r="V269" s="3"/>
      <c r="W269" s="3"/>
    </row>
    <row r="270" spans="1:23">
      <c r="A270" t="s">
        <v>826</v>
      </c>
      <c r="B270" t="s">
        <v>666</v>
      </c>
      <c r="C270" t="s">
        <v>22</v>
      </c>
      <c r="D270" t="s">
        <v>827</v>
      </c>
      <c r="E270" s="2">
        <v>45406</v>
      </c>
      <c r="F270" s="2">
        <v>45422</v>
      </c>
      <c r="G270" t="s">
        <v>152</v>
      </c>
      <c r="H270" t="s">
        <v>44</v>
      </c>
      <c r="K270" t="s">
        <v>110</v>
      </c>
      <c r="L270">
        <v>54248.86</v>
      </c>
      <c r="M270">
        <v>53992.75</v>
      </c>
      <c r="O270">
        <v>16</v>
      </c>
      <c r="P270">
        <v>168</v>
      </c>
      <c r="Q270">
        <v>4</v>
      </c>
      <c r="R270">
        <v>104</v>
      </c>
      <c r="S270">
        <v>235.3</v>
      </c>
      <c r="T270" t="s">
        <v>37</v>
      </c>
      <c r="U270" s="3"/>
      <c r="V270" s="3"/>
      <c r="W270" s="3"/>
    </row>
    <row r="271" spans="1:23">
      <c r="A271" t="s">
        <v>828</v>
      </c>
      <c r="B271" t="s">
        <v>829</v>
      </c>
      <c r="C271" t="s">
        <v>100</v>
      </c>
      <c r="D271" t="s">
        <v>830</v>
      </c>
      <c r="E271" s="2">
        <v>45488</v>
      </c>
      <c r="F271" s="2">
        <v>45495</v>
      </c>
      <c r="G271" t="s">
        <v>152</v>
      </c>
      <c r="H271" t="s">
        <v>153</v>
      </c>
      <c r="I271" t="s">
        <v>96</v>
      </c>
      <c r="J271" t="s">
        <v>64</v>
      </c>
      <c r="K271" t="s">
        <v>120</v>
      </c>
      <c r="L271" t="s">
        <v>831</v>
      </c>
      <c r="M271">
        <v>216948.6</v>
      </c>
      <c r="N271" t="s">
        <v>794</v>
      </c>
      <c r="O271">
        <v>7</v>
      </c>
      <c r="P271">
        <v>169</v>
      </c>
      <c r="Q271">
        <v>1</v>
      </c>
      <c r="R271">
        <v>131</v>
      </c>
      <c r="S271">
        <v>152.19999999999999</v>
      </c>
      <c r="T271" t="s">
        <v>37</v>
      </c>
      <c r="U271" s="3"/>
      <c r="V271" s="3"/>
      <c r="W271" s="3"/>
    </row>
    <row r="272" spans="1:23">
      <c r="A272" t="s">
        <v>832</v>
      </c>
      <c r="B272" t="s">
        <v>833</v>
      </c>
      <c r="C272" t="s">
        <v>100</v>
      </c>
      <c r="D272" s="2">
        <v>25983</v>
      </c>
      <c r="E272" s="2">
        <v>44978</v>
      </c>
      <c r="F272" s="2">
        <v>44986</v>
      </c>
      <c r="G272" t="s">
        <v>43</v>
      </c>
      <c r="H272" t="s">
        <v>52</v>
      </c>
      <c r="I272" t="s">
        <v>45</v>
      </c>
      <c r="J272" t="s">
        <v>80</v>
      </c>
      <c r="K272" t="s">
        <v>161</v>
      </c>
      <c r="L272">
        <v>43209.19</v>
      </c>
      <c r="M272">
        <v>31061.07</v>
      </c>
      <c r="N272" t="s">
        <v>73</v>
      </c>
      <c r="O272">
        <v>8</v>
      </c>
      <c r="P272">
        <v>165</v>
      </c>
      <c r="Q272">
        <v>2</v>
      </c>
      <c r="R272">
        <v>93</v>
      </c>
      <c r="S272">
        <v>161.19999999999999</v>
      </c>
      <c r="T272" t="s">
        <v>37</v>
      </c>
      <c r="U272" s="3"/>
      <c r="V272" s="3"/>
      <c r="W272" s="3"/>
    </row>
    <row r="273" spans="1:23">
      <c r="A273" t="s">
        <v>834</v>
      </c>
      <c r="B273" t="s">
        <v>545</v>
      </c>
      <c r="C273" t="s">
        <v>40</v>
      </c>
      <c r="D273" s="2">
        <v>33104</v>
      </c>
      <c r="E273" s="2">
        <v>45182</v>
      </c>
      <c r="F273" t="s">
        <v>835</v>
      </c>
      <c r="G273" t="s">
        <v>152</v>
      </c>
      <c r="H273" t="s">
        <v>134</v>
      </c>
      <c r="I273" t="s">
        <v>119</v>
      </c>
      <c r="J273" t="s">
        <v>26</v>
      </c>
      <c r="K273" t="s">
        <v>120</v>
      </c>
      <c r="L273">
        <v>196204.94</v>
      </c>
      <c r="M273">
        <v>191443.98</v>
      </c>
      <c r="N273" t="s">
        <v>73</v>
      </c>
      <c r="O273">
        <v>3</v>
      </c>
      <c r="P273">
        <v>118</v>
      </c>
      <c r="Q273">
        <v>1</v>
      </c>
      <c r="R273">
        <v>128</v>
      </c>
      <c r="S273">
        <v>186</v>
      </c>
      <c r="T273" t="s">
        <v>37</v>
      </c>
      <c r="U273" s="3"/>
      <c r="V273" s="3"/>
      <c r="W273" s="3"/>
    </row>
    <row r="274" spans="1:23">
      <c r="A274" t="s">
        <v>836</v>
      </c>
      <c r="B274" t="s">
        <v>218</v>
      </c>
      <c r="C274" t="s">
        <v>30</v>
      </c>
      <c r="D274" t="s">
        <v>837</v>
      </c>
      <c r="E274" t="s">
        <v>838</v>
      </c>
      <c r="F274" s="2">
        <v>45145</v>
      </c>
      <c r="G274" t="s">
        <v>141</v>
      </c>
      <c r="H274" t="s">
        <v>78</v>
      </c>
      <c r="I274" t="s">
        <v>25</v>
      </c>
      <c r="J274" t="s">
        <v>34</v>
      </c>
      <c r="K274" t="s">
        <v>110</v>
      </c>
      <c r="L274">
        <v>130510.19</v>
      </c>
      <c r="M274">
        <v>89004.03</v>
      </c>
      <c r="N274" t="s">
        <v>91</v>
      </c>
      <c r="O274">
        <v>11</v>
      </c>
      <c r="P274" t="s">
        <v>839</v>
      </c>
      <c r="Q274">
        <v>1</v>
      </c>
      <c r="R274">
        <v>166</v>
      </c>
      <c r="S274">
        <v>205.5</v>
      </c>
      <c r="T274" t="s">
        <v>37</v>
      </c>
      <c r="U274" s="3"/>
      <c r="V274" s="3"/>
      <c r="W274" s="3"/>
    </row>
    <row r="275" spans="1:23">
      <c r="A275" t="s">
        <v>840</v>
      </c>
      <c r="B275" t="s">
        <v>841</v>
      </c>
      <c r="C275" t="s">
        <v>50</v>
      </c>
      <c r="D275" s="2">
        <v>25494</v>
      </c>
      <c r="E275" s="2">
        <v>45225</v>
      </c>
      <c r="F275" s="2">
        <v>45230</v>
      </c>
      <c r="G275" t="s">
        <v>117</v>
      </c>
      <c r="H275" t="s">
        <v>63</v>
      </c>
      <c r="I275" t="s">
        <v>96</v>
      </c>
      <c r="J275" t="s">
        <v>46</v>
      </c>
      <c r="K275" t="s">
        <v>55</v>
      </c>
      <c r="L275">
        <v>242642.09</v>
      </c>
      <c r="M275">
        <v>191284.17</v>
      </c>
      <c r="N275" t="s">
        <v>35</v>
      </c>
      <c r="O275">
        <v>5</v>
      </c>
      <c r="P275">
        <v>178</v>
      </c>
      <c r="Q275">
        <v>3</v>
      </c>
      <c r="R275">
        <v>97</v>
      </c>
      <c r="S275">
        <v>115.1</v>
      </c>
      <c r="T275" t="s">
        <v>37</v>
      </c>
      <c r="U275" s="3"/>
      <c r="V275" s="3"/>
      <c r="W275" s="3"/>
    </row>
    <row r="276" spans="1:23">
      <c r="A276" t="s">
        <v>842</v>
      </c>
      <c r="B276" t="s">
        <v>843</v>
      </c>
      <c r="D276" s="2">
        <v>31583</v>
      </c>
      <c r="E276" s="2">
        <v>45540</v>
      </c>
      <c r="F276" s="2">
        <v>45554</v>
      </c>
      <c r="G276" t="s">
        <v>161</v>
      </c>
      <c r="H276" t="s">
        <v>32</v>
      </c>
      <c r="I276" t="s">
        <v>25</v>
      </c>
      <c r="J276" t="s">
        <v>34</v>
      </c>
      <c r="K276" t="s">
        <v>72</v>
      </c>
      <c r="O276">
        <v>14</v>
      </c>
      <c r="P276">
        <v>182</v>
      </c>
      <c r="Q276">
        <v>4</v>
      </c>
      <c r="R276">
        <v>149</v>
      </c>
      <c r="S276">
        <v>188.5</v>
      </c>
      <c r="T276" t="s">
        <v>47</v>
      </c>
      <c r="U276" s="3"/>
      <c r="V276" s="3"/>
      <c r="W276" s="3"/>
    </row>
    <row r="277" spans="1:23">
      <c r="A277" t="s">
        <v>844</v>
      </c>
      <c r="B277" t="s">
        <v>845</v>
      </c>
      <c r="D277" s="2">
        <v>39601</v>
      </c>
      <c r="E277" t="s">
        <v>846</v>
      </c>
      <c r="F277" t="s">
        <v>847</v>
      </c>
      <c r="G277" t="s">
        <v>62</v>
      </c>
      <c r="H277" t="s">
        <v>312</v>
      </c>
      <c r="I277" t="s">
        <v>96</v>
      </c>
      <c r="J277" t="s">
        <v>97</v>
      </c>
      <c r="K277" t="s">
        <v>110</v>
      </c>
      <c r="L277">
        <v>86604.83</v>
      </c>
      <c r="M277">
        <v>60312.5</v>
      </c>
      <c r="N277" t="s">
        <v>326</v>
      </c>
      <c r="O277">
        <v>7</v>
      </c>
      <c r="P277">
        <v>55</v>
      </c>
      <c r="Q277">
        <v>1</v>
      </c>
      <c r="R277">
        <v>112</v>
      </c>
      <c r="S277">
        <v>230.1</v>
      </c>
      <c r="T277" t="s">
        <v>37</v>
      </c>
      <c r="U277" s="3"/>
      <c r="V277" s="3"/>
      <c r="W277" s="3"/>
    </row>
    <row r="278" spans="1:23">
      <c r="A278" t="s">
        <v>848</v>
      </c>
      <c r="B278" t="s">
        <v>604</v>
      </c>
      <c r="C278" t="s">
        <v>30</v>
      </c>
      <c r="D278" s="2">
        <v>39054</v>
      </c>
      <c r="E278" s="2">
        <v>45169</v>
      </c>
      <c r="F278" s="2">
        <v>45174</v>
      </c>
      <c r="G278" t="s">
        <v>62</v>
      </c>
      <c r="H278" t="s">
        <v>78</v>
      </c>
      <c r="I278" t="s">
        <v>45</v>
      </c>
      <c r="J278" t="s">
        <v>361</v>
      </c>
      <c r="K278" t="s">
        <v>161</v>
      </c>
      <c r="L278">
        <v>134307.29</v>
      </c>
      <c r="M278">
        <v>92730.47</v>
      </c>
      <c r="N278" t="s">
        <v>91</v>
      </c>
      <c r="O278">
        <v>5</v>
      </c>
      <c r="P278">
        <v>158</v>
      </c>
      <c r="Q278">
        <v>4</v>
      </c>
      <c r="R278">
        <v>171</v>
      </c>
      <c r="S278">
        <v>116.5</v>
      </c>
      <c r="T278" t="s">
        <v>37</v>
      </c>
      <c r="U278" s="3"/>
      <c r="V278" s="3"/>
      <c r="W278" s="3"/>
    </row>
    <row r="279" spans="1:23">
      <c r="A279" t="s">
        <v>849</v>
      </c>
      <c r="B279" t="s">
        <v>850</v>
      </c>
      <c r="C279" t="s">
        <v>206</v>
      </c>
      <c r="D279" s="2">
        <v>36850</v>
      </c>
      <c r="E279" s="2">
        <v>45059</v>
      </c>
      <c r="F279" s="2">
        <v>45065</v>
      </c>
      <c r="G279" t="s">
        <v>70</v>
      </c>
      <c r="H279" t="s">
        <v>113</v>
      </c>
      <c r="I279" t="s">
        <v>119</v>
      </c>
      <c r="J279" t="s">
        <v>34</v>
      </c>
      <c r="K279" t="s">
        <v>161</v>
      </c>
      <c r="L279">
        <v>130925.86</v>
      </c>
      <c r="M279">
        <v>104288.59</v>
      </c>
      <c r="O279">
        <v>6</v>
      </c>
      <c r="P279">
        <v>100</v>
      </c>
      <c r="R279">
        <v>178</v>
      </c>
      <c r="S279">
        <v>161.80000000000001</v>
      </c>
      <c r="T279" t="s">
        <v>37</v>
      </c>
      <c r="U279" s="3"/>
      <c r="V279" s="3"/>
      <c r="W279" s="3"/>
    </row>
    <row r="280" spans="1:23">
      <c r="A280" t="s">
        <v>851</v>
      </c>
      <c r="B280" t="s">
        <v>852</v>
      </c>
      <c r="C280" t="s">
        <v>30</v>
      </c>
      <c r="D280" s="2">
        <v>31498</v>
      </c>
      <c r="E280" t="s">
        <v>853</v>
      </c>
      <c r="F280" s="2">
        <v>45702</v>
      </c>
      <c r="G280" t="s">
        <v>62</v>
      </c>
      <c r="H280" t="s">
        <v>278</v>
      </c>
      <c r="I280" t="s">
        <v>33</v>
      </c>
      <c r="J280" t="s">
        <v>71</v>
      </c>
      <c r="M280">
        <v>86530.08</v>
      </c>
      <c r="O280">
        <v>9</v>
      </c>
      <c r="P280">
        <v>15</v>
      </c>
      <c r="R280">
        <v>155</v>
      </c>
      <c r="S280">
        <v>188</v>
      </c>
      <c r="T280" t="s">
        <v>37</v>
      </c>
      <c r="U280" s="3"/>
      <c r="V280" s="3"/>
      <c r="W280" s="3"/>
    </row>
    <row r="281" spans="1:23">
      <c r="A281" t="s">
        <v>854</v>
      </c>
      <c r="B281" t="s">
        <v>139</v>
      </c>
      <c r="C281" t="s">
        <v>84</v>
      </c>
      <c r="D281" s="2">
        <v>30215</v>
      </c>
      <c r="E281" t="s">
        <v>855</v>
      </c>
      <c r="F281" s="2">
        <v>45096</v>
      </c>
      <c r="G281" t="s">
        <v>161</v>
      </c>
      <c r="H281" t="s">
        <v>52</v>
      </c>
      <c r="I281" t="s">
        <v>33</v>
      </c>
      <c r="J281" t="s">
        <v>46</v>
      </c>
      <c r="K281" t="s">
        <v>27</v>
      </c>
      <c r="L281">
        <v>11974.64</v>
      </c>
      <c r="M281">
        <v>9581.24</v>
      </c>
      <c r="N281" t="s">
        <v>56</v>
      </c>
      <c r="O281">
        <v>9</v>
      </c>
      <c r="Q281">
        <v>5</v>
      </c>
      <c r="R281">
        <v>122</v>
      </c>
      <c r="S281">
        <v>127.5</v>
      </c>
      <c r="U281" s="3"/>
      <c r="V281" s="3"/>
      <c r="W281" s="3"/>
    </row>
    <row r="282" spans="1:23">
      <c r="A282" t="s">
        <v>856</v>
      </c>
      <c r="B282" t="s">
        <v>857</v>
      </c>
      <c r="D282" s="2">
        <v>36100</v>
      </c>
      <c r="E282" s="2">
        <v>45893</v>
      </c>
      <c r="F282" t="s">
        <v>858</v>
      </c>
      <c r="G282" t="s">
        <v>62</v>
      </c>
      <c r="I282" t="s">
        <v>79</v>
      </c>
      <c r="J282" t="s">
        <v>80</v>
      </c>
      <c r="K282" t="s">
        <v>72</v>
      </c>
      <c r="L282">
        <v>58664.26</v>
      </c>
      <c r="M282">
        <v>38044.839999999997</v>
      </c>
      <c r="O282">
        <v>17</v>
      </c>
      <c r="P282">
        <v>64</v>
      </c>
      <c r="R282">
        <v>165</v>
      </c>
      <c r="S282">
        <v>219.3</v>
      </c>
      <c r="T282" t="s">
        <v>37</v>
      </c>
      <c r="U282" s="3"/>
      <c r="V282" s="3"/>
      <c r="W282" s="3"/>
    </row>
    <row r="283" spans="1:23">
      <c r="A283" t="s">
        <v>859</v>
      </c>
      <c r="B283" t="s">
        <v>829</v>
      </c>
      <c r="C283" t="s">
        <v>60</v>
      </c>
      <c r="D283" s="2">
        <v>25538</v>
      </c>
      <c r="E283" s="2">
        <v>45950</v>
      </c>
      <c r="F283" s="2">
        <v>45962</v>
      </c>
      <c r="G283" t="s">
        <v>43</v>
      </c>
      <c r="H283" t="s">
        <v>134</v>
      </c>
      <c r="I283" t="s">
        <v>79</v>
      </c>
      <c r="J283" t="s">
        <v>64</v>
      </c>
      <c r="K283" t="s">
        <v>55</v>
      </c>
      <c r="L283">
        <v>76660.210000000006</v>
      </c>
      <c r="M283">
        <v>48776.959999999999</v>
      </c>
      <c r="N283" t="s">
        <v>192</v>
      </c>
      <c r="O283">
        <v>12</v>
      </c>
      <c r="P283">
        <v>206</v>
      </c>
      <c r="Q283">
        <v>1</v>
      </c>
      <c r="R283">
        <v>107</v>
      </c>
      <c r="S283">
        <v>99.2</v>
      </c>
      <c r="T283" t="s">
        <v>65</v>
      </c>
      <c r="U283" s="3"/>
      <c r="V283" s="3"/>
      <c r="W283" s="3"/>
    </row>
    <row r="284" spans="1:23">
      <c r="A284" t="s">
        <v>860</v>
      </c>
      <c r="B284" t="s">
        <v>676</v>
      </c>
      <c r="C284" t="s">
        <v>84</v>
      </c>
      <c r="D284" s="2">
        <v>22308</v>
      </c>
      <c r="E284" t="s">
        <v>861</v>
      </c>
      <c r="F284" t="s">
        <v>862</v>
      </c>
      <c r="G284" t="s">
        <v>161</v>
      </c>
      <c r="H284" t="s">
        <v>134</v>
      </c>
      <c r="I284" t="s">
        <v>96</v>
      </c>
      <c r="J284" t="s">
        <v>80</v>
      </c>
      <c r="K284" t="s">
        <v>55</v>
      </c>
      <c r="L284">
        <v>60177.26</v>
      </c>
      <c r="M284">
        <v>43852.43</v>
      </c>
      <c r="N284" t="s">
        <v>73</v>
      </c>
      <c r="O284">
        <v>1</v>
      </c>
      <c r="P284">
        <v>121</v>
      </c>
      <c r="Q284">
        <v>1</v>
      </c>
      <c r="R284">
        <v>137</v>
      </c>
      <c r="S284">
        <v>168.5</v>
      </c>
      <c r="T284" t="s">
        <v>47</v>
      </c>
      <c r="U284" s="3"/>
      <c r="V284" s="3"/>
      <c r="W284" s="3"/>
    </row>
    <row r="285" spans="1:23">
      <c r="A285" t="s">
        <v>863</v>
      </c>
      <c r="B285" t="s">
        <v>864</v>
      </c>
      <c r="C285" t="s">
        <v>206</v>
      </c>
      <c r="D285" t="s">
        <v>865</v>
      </c>
      <c r="E285" s="2">
        <v>45562</v>
      </c>
      <c r="F285" s="2">
        <v>45569</v>
      </c>
      <c r="G285" t="s">
        <v>141</v>
      </c>
      <c r="H285" t="s">
        <v>32</v>
      </c>
      <c r="I285" t="s">
        <v>96</v>
      </c>
      <c r="J285" t="s">
        <v>361</v>
      </c>
      <c r="L285">
        <v>4342.22</v>
      </c>
      <c r="M285">
        <v>3620.19</v>
      </c>
      <c r="N285" t="s">
        <v>73</v>
      </c>
      <c r="O285">
        <v>7</v>
      </c>
      <c r="P285">
        <v>216</v>
      </c>
      <c r="Q285">
        <v>4</v>
      </c>
      <c r="R285">
        <v>167</v>
      </c>
      <c r="S285">
        <v>223.4</v>
      </c>
      <c r="T285" t="s">
        <v>37</v>
      </c>
      <c r="U285" s="3"/>
      <c r="V285" s="3"/>
      <c r="W285" s="3"/>
    </row>
    <row r="286" spans="1:23">
      <c r="A286" t="s">
        <v>866</v>
      </c>
      <c r="B286" t="s">
        <v>867</v>
      </c>
      <c r="C286" t="s">
        <v>60</v>
      </c>
      <c r="D286" s="2">
        <v>27856</v>
      </c>
      <c r="E286" s="2">
        <v>45811</v>
      </c>
      <c r="F286" s="2">
        <v>45826</v>
      </c>
      <c r="G286" t="s">
        <v>141</v>
      </c>
      <c r="H286" t="s">
        <v>124</v>
      </c>
      <c r="I286" t="s">
        <v>33</v>
      </c>
      <c r="J286" t="s">
        <v>34</v>
      </c>
      <c r="K286" t="s">
        <v>120</v>
      </c>
      <c r="L286">
        <v>175414.58</v>
      </c>
      <c r="M286">
        <v>135404.01999999999</v>
      </c>
      <c r="N286" t="s">
        <v>56</v>
      </c>
      <c r="O286">
        <v>15</v>
      </c>
      <c r="P286">
        <v>227</v>
      </c>
      <c r="Q286">
        <v>3</v>
      </c>
      <c r="R286">
        <v>125</v>
      </c>
      <c r="S286">
        <v>237.7</v>
      </c>
      <c r="T286" t="s">
        <v>37</v>
      </c>
      <c r="U286" s="3"/>
      <c r="V286" s="3"/>
      <c r="W286" s="3"/>
    </row>
    <row r="287" spans="1:23">
      <c r="A287" t="s">
        <v>868</v>
      </c>
      <c r="B287" t="s">
        <v>689</v>
      </c>
      <c r="C287" t="s">
        <v>206</v>
      </c>
      <c r="D287" t="s">
        <v>869</v>
      </c>
      <c r="E287" s="2">
        <v>45963</v>
      </c>
      <c r="F287" s="2">
        <v>45965</v>
      </c>
      <c r="G287" t="s">
        <v>161</v>
      </c>
      <c r="H287" t="s">
        <v>113</v>
      </c>
      <c r="J287" t="s">
        <v>34</v>
      </c>
      <c r="K287" t="s">
        <v>72</v>
      </c>
      <c r="L287">
        <v>87555.28</v>
      </c>
      <c r="M287">
        <v>79578.59</v>
      </c>
      <c r="N287" t="s">
        <v>192</v>
      </c>
      <c r="O287">
        <v>2</v>
      </c>
      <c r="P287">
        <v>106</v>
      </c>
      <c r="Q287">
        <v>1</v>
      </c>
      <c r="R287">
        <v>91</v>
      </c>
      <c r="S287">
        <v>117.6</v>
      </c>
      <c r="U287" s="3"/>
      <c r="V287" s="3"/>
      <c r="W287" s="3"/>
    </row>
    <row r="288" spans="1:23">
      <c r="A288" t="s">
        <v>870</v>
      </c>
      <c r="B288" t="s">
        <v>871</v>
      </c>
      <c r="C288" t="s">
        <v>133</v>
      </c>
      <c r="D288" t="s">
        <v>872</v>
      </c>
      <c r="E288" s="2">
        <v>45529</v>
      </c>
      <c r="F288" t="s">
        <v>873</v>
      </c>
      <c r="G288" t="s">
        <v>43</v>
      </c>
      <c r="H288" t="s">
        <v>124</v>
      </c>
      <c r="I288" t="s">
        <v>33</v>
      </c>
      <c r="J288" t="s">
        <v>179</v>
      </c>
      <c r="L288">
        <v>170152.33</v>
      </c>
      <c r="M288">
        <v>141600.32999999999</v>
      </c>
      <c r="N288" t="s">
        <v>91</v>
      </c>
      <c r="O288">
        <v>4</v>
      </c>
      <c r="P288">
        <v>50</v>
      </c>
      <c r="Q288">
        <v>4</v>
      </c>
      <c r="R288">
        <v>181</v>
      </c>
      <c r="S288">
        <v>76.5</v>
      </c>
      <c r="T288" t="s">
        <v>106</v>
      </c>
      <c r="U288" s="3"/>
      <c r="V288" s="3"/>
      <c r="W288" s="3"/>
    </row>
    <row r="289" spans="1:23">
      <c r="A289" t="s">
        <v>874</v>
      </c>
      <c r="B289" t="s">
        <v>875</v>
      </c>
      <c r="C289" t="s">
        <v>30</v>
      </c>
      <c r="D289" s="2">
        <v>36258</v>
      </c>
      <c r="E289" s="2">
        <v>45694</v>
      </c>
      <c r="F289" s="2">
        <v>45702</v>
      </c>
      <c r="G289" t="s">
        <v>152</v>
      </c>
      <c r="H289" t="s">
        <v>134</v>
      </c>
      <c r="I289" t="s">
        <v>25</v>
      </c>
      <c r="J289" t="s">
        <v>179</v>
      </c>
      <c r="K289" t="s">
        <v>110</v>
      </c>
      <c r="L289">
        <v>85936.37</v>
      </c>
      <c r="M289">
        <v>77685.440000000002</v>
      </c>
      <c r="N289" t="s">
        <v>162</v>
      </c>
      <c r="O289">
        <v>8</v>
      </c>
      <c r="P289">
        <v>21</v>
      </c>
      <c r="Q289">
        <v>4</v>
      </c>
      <c r="R289">
        <v>102</v>
      </c>
      <c r="S289">
        <v>221.4</v>
      </c>
      <c r="U289" s="3"/>
      <c r="V289" s="3"/>
      <c r="W289" s="3"/>
    </row>
    <row r="290" spans="1:23">
      <c r="A290" t="s">
        <v>876</v>
      </c>
      <c r="B290" t="s">
        <v>877</v>
      </c>
      <c r="C290" t="s">
        <v>40</v>
      </c>
      <c r="D290" s="2">
        <v>26456</v>
      </c>
      <c r="E290" s="2">
        <v>44957</v>
      </c>
      <c r="F290" s="2">
        <v>44970</v>
      </c>
      <c r="G290" t="s">
        <v>152</v>
      </c>
      <c r="H290" t="s">
        <v>134</v>
      </c>
      <c r="I290" t="s">
        <v>45</v>
      </c>
      <c r="J290" t="s">
        <v>34</v>
      </c>
      <c r="K290" t="s">
        <v>161</v>
      </c>
      <c r="L290">
        <v>56973.81</v>
      </c>
      <c r="M290">
        <v>45741.23</v>
      </c>
      <c r="N290" t="s">
        <v>192</v>
      </c>
      <c r="O290">
        <v>13</v>
      </c>
      <c r="P290">
        <v>171</v>
      </c>
      <c r="Q290">
        <v>5</v>
      </c>
      <c r="R290">
        <v>95</v>
      </c>
      <c r="S290">
        <v>82.8</v>
      </c>
      <c r="T290" t="s">
        <v>47</v>
      </c>
      <c r="U290" s="3"/>
      <c r="V290" s="3"/>
      <c r="W290" s="3"/>
    </row>
    <row r="291" spans="1:23">
      <c r="A291" t="s">
        <v>878</v>
      </c>
      <c r="B291" t="s">
        <v>879</v>
      </c>
      <c r="D291" t="s">
        <v>880</v>
      </c>
      <c r="E291" s="2">
        <v>45607</v>
      </c>
      <c r="F291" s="2">
        <v>45613</v>
      </c>
      <c r="G291" t="s">
        <v>31</v>
      </c>
      <c r="H291" t="s">
        <v>63</v>
      </c>
      <c r="J291" t="s">
        <v>26</v>
      </c>
      <c r="K291" t="s">
        <v>27</v>
      </c>
      <c r="L291" t="s">
        <v>881</v>
      </c>
      <c r="M291">
        <v>74867.05</v>
      </c>
      <c r="N291" t="s">
        <v>35</v>
      </c>
      <c r="O291">
        <v>6</v>
      </c>
      <c r="P291">
        <v>119</v>
      </c>
      <c r="Q291">
        <v>4</v>
      </c>
      <c r="R291">
        <v>155</v>
      </c>
      <c r="S291">
        <v>191.7</v>
      </c>
      <c r="T291" t="s">
        <v>47</v>
      </c>
      <c r="U291" s="3"/>
      <c r="V291" s="3"/>
      <c r="W291" s="3"/>
    </row>
    <row r="292" spans="1:23">
      <c r="A292" t="s">
        <v>882</v>
      </c>
      <c r="B292" t="s">
        <v>883</v>
      </c>
      <c r="C292" t="s">
        <v>30</v>
      </c>
      <c r="D292" s="2">
        <v>23317</v>
      </c>
      <c r="E292" t="s">
        <v>884</v>
      </c>
      <c r="F292" s="2">
        <v>45429</v>
      </c>
      <c r="G292" t="s">
        <v>501</v>
      </c>
      <c r="H292" t="s">
        <v>124</v>
      </c>
      <c r="I292" t="s">
        <v>96</v>
      </c>
      <c r="J292" t="s">
        <v>46</v>
      </c>
      <c r="K292" t="s">
        <v>72</v>
      </c>
      <c r="L292">
        <v>161791.51</v>
      </c>
      <c r="M292">
        <v>138535.9</v>
      </c>
      <c r="N292" t="s">
        <v>73</v>
      </c>
      <c r="O292">
        <v>15</v>
      </c>
      <c r="P292">
        <v>111</v>
      </c>
      <c r="Q292">
        <v>5</v>
      </c>
      <c r="R292" t="s">
        <v>885</v>
      </c>
      <c r="S292">
        <v>74.5</v>
      </c>
      <c r="U292" s="3"/>
      <c r="V292" s="3"/>
      <c r="W292" s="3"/>
    </row>
    <row r="293" spans="1:23">
      <c r="A293" t="s">
        <v>886</v>
      </c>
      <c r="B293" t="s">
        <v>887</v>
      </c>
      <c r="C293" t="s">
        <v>206</v>
      </c>
      <c r="D293" t="s">
        <v>888</v>
      </c>
      <c r="E293" s="2">
        <v>45933</v>
      </c>
      <c r="F293" s="2">
        <v>45936</v>
      </c>
      <c r="G293" t="s">
        <v>152</v>
      </c>
      <c r="H293" t="s">
        <v>113</v>
      </c>
      <c r="I293" t="s">
        <v>53</v>
      </c>
      <c r="J293" t="s">
        <v>80</v>
      </c>
      <c r="K293" t="s">
        <v>161</v>
      </c>
      <c r="L293">
        <v>33576.35</v>
      </c>
      <c r="M293">
        <v>29472.959999999999</v>
      </c>
      <c r="O293">
        <v>3</v>
      </c>
      <c r="P293">
        <v>217</v>
      </c>
      <c r="Q293">
        <v>4</v>
      </c>
      <c r="R293">
        <v>120</v>
      </c>
      <c r="S293">
        <v>166.4</v>
      </c>
      <c r="T293" t="s">
        <v>37</v>
      </c>
      <c r="U293" s="3"/>
      <c r="V293" s="3"/>
      <c r="W293" s="3"/>
    </row>
    <row r="294" spans="1:23">
      <c r="A294" t="s">
        <v>889</v>
      </c>
      <c r="B294" t="s">
        <v>171</v>
      </c>
      <c r="C294" t="s">
        <v>50</v>
      </c>
      <c r="D294" s="2">
        <v>27581</v>
      </c>
      <c r="E294" s="2">
        <v>45891</v>
      </c>
      <c r="F294" s="2">
        <v>45906</v>
      </c>
      <c r="G294" t="s">
        <v>117</v>
      </c>
      <c r="H294" t="s">
        <v>160</v>
      </c>
      <c r="I294" t="s">
        <v>79</v>
      </c>
      <c r="J294" t="s">
        <v>97</v>
      </c>
      <c r="K294" t="s">
        <v>110</v>
      </c>
      <c r="L294">
        <v>205351.94</v>
      </c>
      <c r="M294">
        <v>137718.49</v>
      </c>
      <c r="N294" t="s">
        <v>162</v>
      </c>
      <c r="O294">
        <v>15</v>
      </c>
      <c r="P294">
        <v>102</v>
      </c>
      <c r="Q294">
        <v>4</v>
      </c>
      <c r="R294">
        <v>100</v>
      </c>
      <c r="S294">
        <v>214.2</v>
      </c>
      <c r="T294" t="s">
        <v>65</v>
      </c>
      <c r="U294" s="3"/>
      <c r="V294" s="3"/>
      <c r="W294" s="3"/>
    </row>
    <row r="295" spans="1:23">
      <c r="A295" t="s">
        <v>890</v>
      </c>
      <c r="B295" t="s">
        <v>891</v>
      </c>
      <c r="C295" t="s">
        <v>133</v>
      </c>
      <c r="D295" s="2">
        <v>38619</v>
      </c>
      <c r="E295" s="2">
        <v>45693</v>
      </c>
      <c r="F295" s="2">
        <v>45709</v>
      </c>
      <c r="G295" t="s">
        <v>43</v>
      </c>
      <c r="H295" t="s">
        <v>134</v>
      </c>
      <c r="I295" t="s">
        <v>119</v>
      </c>
      <c r="J295" t="s">
        <v>34</v>
      </c>
      <c r="K295" t="s">
        <v>110</v>
      </c>
      <c r="L295">
        <v>123663.9</v>
      </c>
      <c r="M295">
        <v>104720.83</v>
      </c>
      <c r="N295" t="s">
        <v>192</v>
      </c>
      <c r="O295">
        <v>16</v>
      </c>
      <c r="P295">
        <v>23</v>
      </c>
      <c r="Q295">
        <v>4</v>
      </c>
      <c r="R295">
        <v>94</v>
      </c>
      <c r="S295">
        <v>258.60000000000002</v>
      </c>
      <c r="T295" t="s">
        <v>37</v>
      </c>
      <c r="U295" s="3"/>
      <c r="V295" s="3"/>
      <c r="W295" s="3"/>
    </row>
    <row r="296" spans="1:23">
      <c r="A296" t="s">
        <v>892</v>
      </c>
      <c r="B296" t="s">
        <v>129</v>
      </c>
      <c r="C296" t="s">
        <v>30</v>
      </c>
      <c r="D296" t="s">
        <v>893</v>
      </c>
      <c r="E296" s="2">
        <v>45905</v>
      </c>
      <c r="F296" s="2">
        <v>45907</v>
      </c>
      <c r="G296" t="s">
        <v>105</v>
      </c>
      <c r="H296" t="s">
        <v>113</v>
      </c>
      <c r="I296" t="s">
        <v>25</v>
      </c>
      <c r="J296" t="s">
        <v>97</v>
      </c>
      <c r="K296" t="s">
        <v>55</v>
      </c>
      <c r="L296">
        <v>67179.350000000006</v>
      </c>
      <c r="M296">
        <v>62753.279999999999</v>
      </c>
      <c r="N296" t="s">
        <v>192</v>
      </c>
      <c r="O296">
        <v>2</v>
      </c>
      <c r="P296">
        <v>42</v>
      </c>
      <c r="Q296">
        <v>5</v>
      </c>
      <c r="R296">
        <v>121</v>
      </c>
      <c r="S296">
        <v>184.4</v>
      </c>
      <c r="U296" s="3"/>
      <c r="V296" s="3"/>
      <c r="W296" s="3"/>
    </row>
    <row r="297" spans="1:23">
      <c r="A297" t="s">
        <v>894</v>
      </c>
      <c r="B297" t="s">
        <v>895</v>
      </c>
      <c r="D297" s="2">
        <v>24451</v>
      </c>
      <c r="E297" s="2">
        <v>45952</v>
      </c>
      <c r="F297" s="2">
        <v>45970</v>
      </c>
      <c r="G297" t="s">
        <v>43</v>
      </c>
      <c r="H297" t="s">
        <v>118</v>
      </c>
      <c r="I297" t="s">
        <v>96</v>
      </c>
      <c r="J297" t="s">
        <v>34</v>
      </c>
      <c r="K297" t="s">
        <v>161</v>
      </c>
      <c r="L297">
        <v>188734.41</v>
      </c>
      <c r="M297">
        <v>154139.69</v>
      </c>
      <c r="N297" t="s">
        <v>192</v>
      </c>
      <c r="O297">
        <v>18</v>
      </c>
      <c r="P297" t="s">
        <v>896</v>
      </c>
      <c r="Q297">
        <v>5</v>
      </c>
      <c r="R297">
        <v>108</v>
      </c>
      <c r="S297">
        <v>121.1</v>
      </c>
      <c r="T297" t="s">
        <v>47</v>
      </c>
      <c r="U297" s="3"/>
      <c r="V297" s="3"/>
      <c r="W297" s="3"/>
    </row>
    <row r="298" spans="1:23">
      <c r="A298" t="s">
        <v>897</v>
      </c>
      <c r="B298" t="s">
        <v>898</v>
      </c>
      <c r="C298" t="s">
        <v>60</v>
      </c>
      <c r="D298" s="2">
        <v>34765</v>
      </c>
      <c r="E298" s="2">
        <v>45923</v>
      </c>
      <c r="F298" t="s">
        <v>899</v>
      </c>
      <c r="G298" t="s">
        <v>161</v>
      </c>
      <c r="H298" t="s">
        <v>32</v>
      </c>
      <c r="I298" t="s">
        <v>45</v>
      </c>
      <c r="J298" t="s">
        <v>97</v>
      </c>
      <c r="K298" t="s">
        <v>120</v>
      </c>
      <c r="L298">
        <v>52232.86</v>
      </c>
      <c r="M298">
        <v>33512.39</v>
      </c>
      <c r="O298">
        <v>6</v>
      </c>
      <c r="P298">
        <v>199</v>
      </c>
      <c r="Q298">
        <v>4</v>
      </c>
      <c r="R298">
        <v>123</v>
      </c>
      <c r="S298">
        <v>256.8</v>
      </c>
      <c r="T298" t="s">
        <v>37</v>
      </c>
      <c r="U298" s="3"/>
      <c r="V298" s="3"/>
      <c r="W298" s="3"/>
    </row>
    <row r="299" spans="1:23">
      <c r="A299" t="s">
        <v>900</v>
      </c>
      <c r="B299" t="s">
        <v>21</v>
      </c>
      <c r="C299" t="s">
        <v>133</v>
      </c>
      <c r="D299" s="2">
        <v>24494</v>
      </c>
      <c r="E299" s="2">
        <v>45012</v>
      </c>
      <c r="F299" t="s">
        <v>901</v>
      </c>
      <c r="G299" t="s">
        <v>902</v>
      </c>
      <c r="H299" t="s">
        <v>24</v>
      </c>
      <c r="I299" t="s">
        <v>79</v>
      </c>
      <c r="K299" t="s">
        <v>72</v>
      </c>
      <c r="L299">
        <v>131218.35</v>
      </c>
      <c r="M299">
        <v>128546.55</v>
      </c>
      <c r="N299" t="s">
        <v>73</v>
      </c>
      <c r="O299" t="s">
        <v>903</v>
      </c>
      <c r="P299" t="s">
        <v>904</v>
      </c>
      <c r="Q299">
        <v>5</v>
      </c>
      <c r="R299">
        <v>167</v>
      </c>
      <c r="S299">
        <v>151.6</v>
      </c>
      <c r="T299" t="s">
        <v>65</v>
      </c>
      <c r="U299" s="3"/>
      <c r="V299" s="3"/>
      <c r="W299" s="3"/>
    </row>
    <row r="300" spans="1:23">
      <c r="A300" t="s">
        <v>905</v>
      </c>
      <c r="B300" t="s">
        <v>249</v>
      </c>
      <c r="C300" t="s">
        <v>60</v>
      </c>
      <c r="D300" s="2">
        <v>18905</v>
      </c>
      <c r="E300" s="2">
        <v>46013</v>
      </c>
      <c r="F300" t="s">
        <v>906</v>
      </c>
      <c r="G300" t="s">
        <v>70</v>
      </c>
      <c r="I300" t="s">
        <v>45</v>
      </c>
      <c r="J300" t="s">
        <v>46</v>
      </c>
      <c r="K300" t="s">
        <v>55</v>
      </c>
      <c r="L300" t="s">
        <v>907</v>
      </c>
      <c r="M300">
        <v>87250.37</v>
      </c>
      <c r="N300" t="s">
        <v>73</v>
      </c>
      <c r="O300">
        <v>9</v>
      </c>
      <c r="P300">
        <v>126</v>
      </c>
      <c r="R300">
        <v>142</v>
      </c>
      <c r="S300">
        <v>195.4</v>
      </c>
      <c r="T300" t="s">
        <v>37</v>
      </c>
      <c r="U300" s="3"/>
      <c r="V300" s="3"/>
      <c r="W300" s="3"/>
    </row>
    <row r="301" spans="1:23">
      <c r="A301" t="s">
        <v>908</v>
      </c>
      <c r="B301" t="s">
        <v>909</v>
      </c>
      <c r="C301" t="s">
        <v>206</v>
      </c>
      <c r="D301" s="2">
        <v>33942</v>
      </c>
      <c r="E301" s="2">
        <v>45715</v>
      </c>
      <c r="F301" s="2">
        <v>45725</v>
      </c>
      <c r="G301" t="s">
        <v>31</v>
      </c>
      <c r="H301" t="s">
        <v>90</v>
      </c>
      <c r="I301" t="s">
        <v>25</v>
      </c>
      <c r="J301" t="s">
        <v>54</v>
      </c>
      <c r="L301">
        <v>125736.45</v>
      </c>
      <c r="M301">
        <v>99382.65</v>
      </c>
      <c r="N301" t="s">
        <v>73</v>
      </c>
      <c r="O301">
        <v>10</v>
      </c>
      <c r="P301">
        <v>177</v>
      </c>
      <c r="R301">
        <v>149</v>
      </c>
      <c r="S301">
        <v>101.9</v>
      </c>
      <c r="T301" t="s">
        <v>37</v>
      </c>
      <c r="U301" s="3"/>
      <c r="V301" s="3"/>
      <c r="W301" s="3"/>
    </row>
    <row r="302" spans="1:23">
      <c r="A302" t="s">
        <v>910</v>
      </c>
      <c r="B302" t="s">
        <v>911</v>
      </c>
      <c r="C302" t="s">
        <v>30</v>
      </c>
      <c r="D302" s="2">
        <v>36288</v>
      </c>
      <c r="E302" s="2">
        <v>45454</v>
      </c>
      <c r="F302" s="2">
        <v>45470</v>
      </c>
      <c r="G302" t="s">
        <v>141</v>
      </c>
      <c r="H302" t="s">
        <v>52</v>
      </c>
      <c r="I302" t="s">
        <v>53</v>
      </c>
      <c r="J302" t="s">
        <v>186</v>
      </c>
      <c r="K302" t="s">
        <v>72</v>
      </c>
      <c r="L302">
        <v>159303.18</v>
      </c>
      <c r="M302">
        <v>110042.8</v>
      </c>
      <c r="N302" t="s">
        <v>73</v>
      </c>
      <c r="O302">
        <v>16</v>
      </c>
      <c r="P302">
        <v>182</v>
      </c>
      <c r="Q302">
        <v>5</v>
      </c>
      <c r="R302">
        <v>118</v>
      </c>
      <c r="S302">
        <v>247</v>
      </c>
      <c r="T302" t="s">
        <v>37</v>
      </c>
      <c r="U302" s="3"/>
      <c r="V302" s="3"/>
      <c r="W302" s="3"/>
    </row>
    <row r="303" spans="1:23">
      <c r="A303" t="s">
        <v>912</v>
      </c>
      <c r="B303" t="s">
        <v>238</v>
      </c>
      <c r="C303" t="s">
        <v>40</v>
      </c>
      <c r="D303" s="2">
        <v>20862</v>
      </c>
      <c r="E303" t="s">
        <v>913</v>
      </c>
      <c r="F303" s="2">
        <v>45316</v>
      </c>
      <c r="G303" t="s">
        <v>62</v>
      </c>
      <c r="I303" t="s">
        <v>119</v>
      </c>
      <c r="J303" t="s">
        <v>34</v>
      </c>
      <c r="K303" t="s">
        <v>72</v>
      </c>
      <c r="L303">
        <v>145286.92000000001</v>
      </c>
      <c r="M303">
        <v>115247.35</v>
      </c>
      <c r="N303" t="s">
        <v>73</v>
      </c>
      <c r="O303">
        <v>4</v>
      </c>
      <c r="R303">
        <v>114</v>
      </c>
      <c r="S303">
        <v>231</v>
      </c>
      <c r="T303" t="s">
        <v>37</v>
      </c>
      <c r="U303" s="3"/>
      <c r="V303" s="3"/>
      <c r="W303" s="3"/>
    </row>
    <row r="304" spans="1:23">
      <c r="A304" t="s">
        <v>914</v>
      </c>
      <c r="B304" t="s">
        <v>139</v>
      </c>
      <c r="C304" t="s">
        <v>296</v>
      </c>
      <c r="D304" s="2">
        <v>29905</v>
      </c>
      <c r="E304" s="2">
        <v>45228</v>
      </c>
      <c r="F304" s="2">
        <v>45238</v>
      </c>
      <c r="G304" t="s">
        <v>141</v>
      </c>
      <c r="I304" t="s">
        <v>25</v>
      </c>
      <c r="L304" t="s">
        <v>915</v>
      </c>
      <c r="M304">
        <v>73347.75</v>
      </c>
      <c r="N304" t="s">
        <v>91</v>
      </c>
      <c r="O304">
        <v>10</v>
      </c>
      <c r="P304">
        <v>36</v>
      </c>
      <c r="Q304">
        <v>5</v>
      </c>
      <c r="R304">
        <v>180</v>
      </c>
      <c r="S304">
        <v>179.1</v>
      </c>
      <c r="U304" s="3"/>
      <c r="V304" s="3"/>
      <c r="W304" s="3"/>
    </row>
    <row r="305" spans="1:23">
      <c r="A305" t="s">
        <v>916</v>
      </c>
      <c r="B305" t="s">
        <v>917</v>
      </c>
      <c r="C305" t="s">
        <v>60</v>
      </c>
      <c r="D305" s="2">
        <v>38223</v>
      </c>
      <c r="E305" s="2">
        <v>45729</v>
      </c>
      <c r="F305" s="2">
        <v>45739</v>
      </c>
      <c r="G305" t="s">
        <v>141</v>
      </c>
      <c r="I305" t="s">
        <v>53</v>
      </c>
      <c r="J305" t="s">
        <v>179</v>
      </c>
      <c r="K305" t="s">
        <v>114</v>
      </c>
      <c r="L305">
        <v>138115.87</v>
      </c>
      <c r="M305">
        <v>114184.7</v>
      </c>
      <c r="N305" t="s">
        <v>56</v>
      </c>
      <c r="O305">
        <v>10</v>
      </c>
      <c r="P305">
        <v>126</v>
      </c>
      <c r="Q305">
        <v>5</v>
      </c>
      <c r="R305">
        <v>186</v>
      </c>
      <c r="S305">
        <v>144.4</v>
      </c>
      <c r="T305" t="s">
        <v>37</v>
      </c>
      <c r="U305" s="3"/>
      <c r="V305" s="3"/>
      <c r="W305" s="3"/>
    </row>
    <row r="306" spans="1:23">
      <c r="A306" t="s">
        <v>918</v>
      </c>
      <c r="B306" t="s">
        <v>93</v>
      </c>
      <c r="C306" t="s">
        <v>60</v>
      </c>
      <c r="D306" t="s">
        <v>919</v>
      </c>
      <c r="E306" s="2">
        <v>45915</v>
      </c>
      <c r="F306" t="s">
        <v>920</v>
      </c>
      <c r="G306" t="s">
        <v>94</v>
      </c>
      <c r="H306" t="s">
        <v>86</v>
      </c>
      <c r="I306" t="s">
        <v>45</v>
      </c>
      <c r="J306" t="s">
        <v>179</v>
      </c>
      <c r="K306" t="s">
        <v>55</v>
      </c>
      <c r="L306">
        <v>92150.88</v>
      </c>
      <c r="M306">
        <v>60591.59</v>
      </c>
      <c r="N306" t="s">
        <v>162</v>
      </c>
      <c r="O306">
        <v>10</v>
      </c>
      <c r="P306">
        <v>206</v>
      </c>
      <c r="Q306">
        <v>3</v>
      </c>
      <c r="R306">
        <v>138</v>
      </c>
      <c r="S306">
        <v>250.6</v>
      </c>
      <c r="T306" t="s">
        <v>37</v>
      </c>
      <c r="U306" s="3"/>
      <c r="V306" s="3"/>
      <c r="W306" s="3"/>
    </row>
    <row r="307" spans="1:23">
      <c r="A307" t="s">
        <v>921</v>
      </c>
      <c r="B307" t="s">
        <v>922</v>
      </c>
      <c r="C307" t="s">
        <v>133</v>
      </c>
      <c r="D307" t="s">
        <v>923</v>
      </c>
      <c r="E307" s="2">
        <v>45927</v>
      </c>
      <c r="F307" s="2">
        <v>45937</v>
      </c>
      <c r="G307" t="s">
        <v>62</v>
      </c>
      <c r="I307" t="s">
        <v>79</v>
      </c>
      <c r="J307" t="s">
        <v>26</v>
      </c>
      <c r="K307" t="s">
        <v>120</v>
      </c>
      <c r="L307">
        <v>194988.38</v>
      </c>
      <c r="M307">
        <v>135016.92000000001</v>
      </c>
      <c r="N307" t="s">
        <v>73</v>
      </c>
      <c r="O307">
        <v>10</v>
      </c>
      <c r="P307">
        <v>166</v>
      </c>
      <c r="R307">
        <v>137</v>
      </c>
      <c r="S307">
        <v>72.2</v>
      </c>
      <c r="T307" t="s">
        <v>37</v>
      </c>
      <c r="U307" s="3"/>
      <c r="V307" s="3"/>
      <c r="W307" s="3"/>
    </row>
    <row r="308" spans="1:23">
      <c r="A308" t="s">
        <v>924</v>
      </c>
      <c r="B308" t="s">
        <v>270</v>
      </c>
      <c r="C308" t="s">
        <v>206</v>
      </c>
      <c r="D308" s="2">
        <v>33586</v>
      </c>
      <c r="E308" s="2">
        <v>45538</v>
      </c>
      <c r="F308" s="2">
        <v>45543</v>
      </c>
      <c r="G308" t="s">
        <v>161</v>
      </c>
      <c r="H308" t="s">
        <v>153</v>
      </c>
      <c r="I308" t="s">
        <v>53</v>
      </c>
      <c r="J308" t="s">
        <v>34</v>
      </c>
      <c r="K308" t="s">
        <v>120</v>
      </c>
      <c r="L308">
        <v>203684.81</v>
      </c>
      <c r="M308">
        <v>166642.48000000001</v>
      </c>
      <c r="N308" t="s">
        <v>73</v>
      </c>
      <c r="O308">
        <v>5</v>
      </c>
      <c r="R308">
        <v>190</v>
      </c>
      <c r="S308">
        <v>224.3</v>
      </c>
      <c r="T308" t="s">
        <v>37</v>
      </c>
      <c r="U308" s="3"/>
      <c r="V308" s="3"/>
      <c r="W308" s="3"/>
    </row>
    <row r="309" spans="1:23">
      <c r="A309" t="s">
        <v>925</v>
      </c>
      <c r="B309" t="s">
        <v>926</v>
      </c>
      <c r="D309" t="s">
        <v>927</v>
      </c>
      <c r="E309" s="2">
        <v>45106</v>
      </c>
      <c r="F309" t="s">
        <v>928</v>
      </c>
      <c r="G309" t="s">
        <v>70</v>
      </c>
      <c r="H309" t="s">
        <v>24</v>
      </c>
      <c r="I309" t="s">
        <v>33</v>
      </c>
      <c r="J309" t="s">
        <v>26</v>
      </c>
      <c r="K309" t="s">
        <v>161</v>
      </c>
      <c r="L309">
        <v>127771.71</v>
      </c>
      <c r="M309">
        <v>126479.02</v>
      </c>
      <c r="N309" t="s">
        <v>35</v>
      </c>
      <c r="O309">
        <v>18</v>
      </c>
      <c r="P309">
        <v>48</v>
      </c>
      <c r="Q309">
        <v>4</v>
      </c>
      <c r="R309">
        <v>174</v>
      </c>
      <c r="S309">
        <v>70</v>
      </c>
      <c r="T309" t="s">
        <v>65</v>
      </c>
      <c r="U309" s="3"/>
      <c r="V309" s="3"/>
      <c r="W309" s="3"/>
    </row>
    <row r="310" spans="1:23">
      <c r="A310" t="s">
        <v>929</v>
      </c>
      <c r="B310" t="s">
        <v>676</v>
      </c>
      <c r="C310" t="s">
        <v>133</v>
      </c>
      <c r="D310" s="2">
        <v>23749</v>
      </c>
      <c r="E310" t="s">
        <v>930</v>
      </c>
      <c r="F310" s="2">
        <v>45227</v>
      </c>
      <c r="G310" t="s">
        <v>94</v>
      </c>
      <c r="H310" t="s">
        <v>124</v>
      </c>
      <c r="I310" t="s">
        <v>45</v>
      </c>
      <c r="K310" t="s">
        <v>55</v>
      </c>
      <c r="L310">
        <v>91368.63</v>
      </c>
      <c r="M310">
        <v>83943.22</v>
      </c>
      <c r="N310" t="s">
        <v>192</v>
      </c>
      <c r="O310">
        <v>10</v>
      </c>
      <c r="P310">
        <v>113</v>
      </c>
      <c r="Q310">
        <v>2</v>
      </c>
      <c r="R310">
        <v>160</v>
      </c>
      <c r="S310">
        <v>118.4</v>
      </c>
      <c r="T310" t="s">
        <v>37</v>
      </c>
      <c r="U310" s="3"/>
      <c r="V310" s="3"/>
      <c r="W310" s="3"/>
    </row>
    <row r="311" spans="1:23">
      <c r="A311" t="s">
        <v>931</v>
      </c>
      <c r="B311" t="s">
        <v>932</v>
      </c>
      <c r="C311" t="s">
        <v>50</v>
      </c>
      <c r="D311" s="2">
        <v>31737</v>
      </c>
      <c r="E311" s="2">
        <v>45974</v>
      </c>
      <c r="F311" s="2">
        <v>45980</v>
      </c>
      <c r="G311" t="s">
        <v>62</v>
      </c>
      <c r="H311" t="s">
        <v>63</v>
      </c>
      <c r="I311" t="s">
        <v>79</v>
      </c>
      <c r="J311" t="s">
        <v>34</v>
      </c>
      <c r="K311" t="s">
        <v>120</v>
      </c>
      <c r="L311" t="s">
        <v>933</v>
      </c>
      <c r="M311">
        <v>6210.58</v>
      </c>
      <c r="N311" t="s">
        <v>192</v>
      </c>
      <c r="O311" t="s">
        <v>934</v>
      </c>
      <c r="P311">
        <v>74</v>
      </c>
      <c r="Q311">
        <v>2</v>
      </c>
      <c r="R311">
        <v>158</v>
      </c>
      <c r="S311">
        <v>90.9</v>
      </c>
      <c r="T311" t="s">
        <v>37</v>
      </c>
      <c r="U311" s="3"/>
      <c r="V311" s="3"/>
      <c r="W311" s="3"/>
    </row>
    <row r="312" spans="1:23">
      <c r="A312" t="s">
        <v>935</v>
      </c>
      <c r="B312" t="s">
        <v>936</v>
      </c>
      <c r="C312" t="s">
        <v>40</v>
      </c>
      <c r="D312" s="2">
        <v>36562</v>
      </c>
      <c r="E312" s="2">
        <v>46005</v>
      </c>
      <c r="F312" s="2">
        <v>46015</v>
      </c>
      <c r="G312" t="s">
        <v>70</v>
      </c>
      <c r="H312" t="s">
        <v>32</v>
      </c>
      <c r="I312" t="s">
        <v>33</v>
      </c>
      <c r="J312" t="s">
        <v>64</v>
      </c>
      <c r="K312" t="s">
        <v>72</v>
      </c>
      <c r="L312">
        <v>88852.800000000003</v>
      </c>
      <c r="M312">
        <v>76738.39</v>
      </c>
      <c r="N312" t="s">
        <v>162</v>
      </c>
      <c r="O312">
        <v>10</v>
      </c>
      <c r="P312">
        <v>146</v>
      </c>
      <c r="Q312">
        <v>5</v>
      </c>
      <c r="R312">
        <v>167</v>
      </c>
      <c r="S312">
        <v>88.8</v>
      </c>
      <c r="T312" t="s">
        <v>37</v>
      </c>
      <c r="U312" s="3"/>
      <c r="V312" s="3"/>
      <c r="W312" s="3"/>
    </row>
    <row r="313" spans="1:23">
      <c r="A313" t="s">
        <v>937</v>
      </c>
      <c r="B313" t="s">
        <v>563</v>
      </c>
      <c r="C313" t="s">
        <v>133</v>
      </c>
      <c r="D313" t="s">
        <v>938</v>
      </c>
      <c r="E313" s="2">
        <v>45245</v>
      </c>
      <c r="F313" s="2">
        <v>45250</v>
      </c>
      <c r="G313" t="s">
        <v>117</v>
      </c>
      <c r="H313" t="s">
        <v>153</v>
      </c>
      <c r="I313" t="s">
        <v>96</v>
      </c>
      <c r="J313" t="s">
        <v>179</v>
      </c>
      <c r="K313" t="s">
        <v>110</v>
      </c>
      <c r="L313">
        <v>229814.31</v>
      </c>
      <c r="M313">
        <v>193847.79</v>
      </c>
      <c r="O313">
        <v>5</v>
      </c>
      <c r="P313">
        <v>186</v>
      </c>
      <c r="Q313">
        <v>4</v>
      </c>
      <c r="R313">
        <v>176</v>
      </c>
      <c r="S313">
        <v>185.7</v>
      </c>
      <c r="U313" s="3"/>
      <c r="V313" s="3"/>
      <c r="W313" s="3"/>
    </row>
    <row r="314" spans="1:23">
      <c r="A314" t="s">
        <v>939</v>
      </c>
      <c r="B314" t="s">
        <v>940</v>
      </c>
      <c r="C314" t="s">
        <v>30</v>
      </c>
      <c r="D314" t="s">
        <v>941</v>
      </c>
      <c r="E314" s="2">
        <v>45111</v>
      </c>
      <c r="G314" t="s">
        <v>94</v>
      </c>
      <c r="H314" t="s">
        <v>52</v>
      </c>
      <c r="I314" t="s">
        <v>53</v>
      </c>
      <c r="L314">
        <v>16709.349999999999</v>
      </c>
      <c r="N314" t="s">
        <v>192</v>
      </c>
      <c r="O314">
        <v>3</v>
      </c>
      <c r="P314">
        <v>131</v>
      </c>
      <c r="Q314">
        <v>1</v>
      </c>
      <c r="S314">
        <v>198.6</v>
      </c>
      <c r="U314" s="3"/>
      <c r="V314" s="3"/>
      <c r="W314" s="3"/>
    </row>
    <row r="315" spans="1:23">
      <c r="A315" t="s">
        <v>942</v>
      </c>
      <c r="B315" t="s">
        <v>455</v>
      </c>
      <c r="C315" t="s">
        <v>84</v>
      </c>
      <c r="D315" s="2">
        <v>35589</v>
      </c>
      <c r="E315" t="s">
        <v>943</v>
      </c>
      <c r="F315" t="s">
        <v>944</v>
      </c>
      <c r="G315" t="s">
        <v>62</v>
      </c>
      <c r="H315" t="s">
        <v>113</v>
      </c>
      <c r="I315" t="s">
        <v>45</v>
      </c>
      <c r="J315" t="s">
        <v>97</v>
      </c>
      <c r="K315" t="s">
        <v>401</v>
      </c>
      <c r="L315">
        <v>21092.79</v>
      </c>
      <c r="M315">
        <v>18015.46</v>
      </c>
      <c r="N315" t="s">
        <v>73</v>
      </c>
      <c r="O315">
        <v>2</v>
      </c>
      <c r="P315">
        <v>18</v>
      </c>
      <c r="Q315">
        <v>4</v>
      </c>
      <c r="R315">
        <v>153</v>
      </c>
      <c r="S315">
        <v>142</v>
      </c>
      <c r="T315" t="s">
        <v>65</v>
      </c>
      <c r="U315" s="3"/>
      <c r="V315" s="3"/>
      <c r="W315" s="3"/>
    </row>
    <row r="316" spans="1:23">
      <c r="A316" t="s">
        <v>945</v>
      </c>
      <c r="B316" t="s">
        <v>49</v>
      </c>
      <c r="C316" t="s">
        <v>100</v>
      </c>
      <c r="D316" t="s">
        <v>946</v>
      </c>
      <c r="E316" t="s">
        <v>947</v>
      </c>
      <c r="F316" s="2">
        <v>45984</v>
      </c>
      <c r="G316" t="s">
        <v>117</v>
      </c>
      <c r="J316" t="s">
        <v>179</v>
      </c>
      <c r="K316" t="s">
        <v>55</v>
      </c>
      <c r="L316">
        <v>90546.66</v>
      </c>
      <c r="M316">
        <v>68298.94</v>
      </c>
      <c r="N316" t="s">
        <v>192</v>
      </c>
      <c r="O316">
        <v>2</v>
      </c>
      <c r="P316">
        <v>81</v>
      </c>
      <c r="Q316">
        <v>5</v>
      </c>
      <c r="R316">
        <v>103</v>
      </c>
      <c r="S316">
        <v>71</v>
      </c>
      <c r="U316" s="3"/>
      <c r="V316" s="3"/>
      <c r="W316" s="3"/>
    </row>
    <row r="317" spans="1:23">
      <c r="A317" t="s">
        <v>948</v>
      </c>
      <c r="B317" t="s">
        <v>495</v>
      </c>
      <c r="C317" t="s">
        <v>206</v>
      </c>
      <c r="D317" t="s">
        <v>949</v>
      </c>
      <c r="E317" s="2">
        <v>45673</v>
      </c>
      <c r="F317" s="2">
        <v>45687</v>
      </c>
      <c r="G317" t="s">
        <v>89</v>
      </c>
      <c r="H317" t="s">
        <v>78</v>
      </c>
      <c r="I317" t="s">
        <v>96</v>
      </c>
      <c r="J317" t="s">
        <v>26</v>
      </c>
      <c r="K317" t="s">
        <v>27</v>
      </c>
      <c r="L317">
        <v>247368.89</v>
      </c>
      <c r="M317">
        <v>200130.38</v>
      </c>
      <c r="N317" t="s">
        <v>73</v>
      </c>
      <c r="O317">
        <v>14</v>
      </c>
      <c r="P317">
        <v>46</v>
      </c>
      <c r="Q317">
        <v>3</v>
      </c>
      <c r="R317">
        <v>135</v>
      </c>
      <c r="S317">
        <v>211.9</v>
      </c>
      <c r="T317" t="s">
        <v>37</v>
      </c>
      <c r="U317" s="3"/>
      <c r="V317" s="3"/>
      <c r="W317" s="3"/>
    </row>
    <row r="318" spans="1:23">
      <c r="A318" t="s">
        <v>950</v>
      </c>
      <c r="B318" t="s">
        <v>423</v>
      </c>
      <c r="C318" t="s">
        <v>30</v>
      </c>
      <c r="D318" s="2">
        <v>29845</v>
      </c>
      <c r="E318" s="2">
        <v>45187</v>
      </c>
      <c r="F318" s="2">
        <v>45198</v>
      </c>
      <c r="G318" t="s">
        <v>70</v>
      </c>
      <c r="H318" t="s">
        <v>134</v>
      </c>
      <c r="I318" t="s">
        <v>79</v>
      </c>
      <c r="J318" t="s">
        <v>97</v>
      </c>
      <c r="K318" t="s">
        <v>55</v>
      </c>
      <c r="L318">
        <v>29658.86</v>
      </c>
      <c r="M318">
        <v>27814.49</v>
      </c>
      <c r="N318" t="s">
        <v>91</v>
      </c>
      <c r="O318" t="s">
        <v>227</v>
      </c>
      <c r="P318">
        <v>37</v>
      </c>
      <c r="Q318">
        <v>3</v>
      </c>
      <c r="R318">
        <v>134</v>
      </c>
      <c r="S318">
        <v>165</v>
      </c>
      <c r="U318" s="3"/>
      <c r="V318" s="3"/>
      <c r="W318" s="3"/>
    </row>
    <row r="319" spans="1:23">
      <c r="A319" t="s">
        <v>951</v>
      </c>
      <c r="B319" t="s">
        <v>334</v>
      </c>
      <c r="C319" t="s">
        <v>84</v>
      </c>
      <c r="D319" s="2">
        <v>22380</v>
      </c>
      <c r="E319" s="2">
        <v>45162</v>
      </c>
      <c r="F319" t="s">
        <v>952</v>
      </c>
      <c r="G319" t="s">
        <v>94</v>
      </c>
      <c r="H319" t="s">
        <v>113</v>
      </c>
      <c r="I319" t="s">
        <v>79</v>
      </c>
      <c r="J319" t="s">
        <v>80</v>
      </c>
      <c r="K319" t="s">
        <v>27</v>
      </c>
      <c r="L319" t="s">
        <v>953</v>
      </c>
      <c r="N319" t="s">
        <v>192</v>
      </c>
      <c r="O319">
        <v>9</v>
      </c>
      <c r="P319">
        <v>133</v>
      </c>
      <c r="Q319">
        <v>3</v>
      </c>
      <c r="R319">
        <v>114</v>
      </c>
      <c r="S319">
        <v>258.60000000000002</v>
      </c>
      <c r="T319" t="s">
        <v>37</v>
      </c>
      <c r="U319" s="3"/>
      <c r="V319" s="3"/>
      <c r="W319" s="3"/>
    </row>
    <row r="320" spans="1:23">
      <c r="A320" t="s">
        <v>954</v>
      </c>
      <c r="B320" t="s">
        <v>737</v>
      </c>
      <c r="D320" t="s">
        <v>955</v>
      </c>
      <c r="E320" s="2">
        <v>45908</v>
      </c>
      <c r="F320" s="2">
        <v>45910</v>
      </c>
      <c r="G320" t="s">
        <v>754</v>
      </c>
      <c r="H320" t="s">
        <v>24</v>
      </c>
      <c r="I320" t="s">
        <v>96</v>
      </c>
      <c r="J320" t="s">
        <v>26</v>
      </c>
      <c r="K320" t="s">
        <v>55</v>
      </c>
      <c r="L320">
        <v>69138.41</v>
      </c>
      <c r="M320">
        <v>67956.12</v>
      </c>
      <c r="N320" t="s">
        <v>192</v>
      </c>
      <c r="O320">
        <v>2</v>
      </c>
      <c r="P320">
        <v>187</v>
      </c>
      <c r="Q320">
        <v>4</v>
      </c>
      <c r="R320">
        <v>121</v>
      </c>
      <c r="S320">
        <v>130.80000000000001</v>
      </c>
      <c r="T320" t="s">
        <v>37</v>
      </c>
      <c r="U320" s="3"/>
      <c r="V320" s="3"/>
      <c r="W320" s="3"/>
    </row>
    <row r="321" spans="1:23">
      <c r="A321" t="s">
        <v>956</v>
      </c>
      <c r="B321" t="s">
        <v>292</v>
      </c>
      <c r="C321" t="s">
        <v>40</v>
      </c>
      <c r="D321" s="2">
        <v>20760</v>
      </c>
      <c r="E321" s="2">
        <v>45193</v>
      </c>
      <c r="F321" s="2">
        <v>45204</v>
      </c>
      <c r="G321" t="s">
        <v>70</v>
      </c>
      <c r="H321" t="s">
        <v>63</v>
      </c>
      <c r="I321" t="s">
        <v>119</v>
      </c>
      <c r="J321" t="s">
        <v>80</v>
      </c>
      <c r="K321" t="s">
        <v>55</v>
      </c>
      <c r="L321">
        <v>163436.46</v>
      </c>
      <c r="M321">
        <v>143055.63</v>
      </c>
      <c r="N321" t="s">
        <v>73</v>
      </c>
      <c r="O321">
        <v>11</v>
      </c>
      <c r="P321">
        <v>27</v>
      </c>
      <c r="Q321">
        <v>2</v>
      </c>
      <c r="R321">
        <v>106</v>
      </c>
      <c r="S321">
        <v>189.6</v>
      </c>
      <c r="T321" t="s">
        <v>37</v>
      </c>
      <c r="U321" s="3"/>
      <c r="V321" s="3"/>
      <c r="W321" s="3"/>
    </row>
    <row r="322" spans="1:23">
      <c r="A322" t="s">
        <v>957</v>
      </c>
      <c r="B322" t="s">
        <v>958</v>
      </c>
      <c r="C322" t="s">
        <v>100</v>
      </c>
      <c r="D322" t="s">
        <v>959</v>
      </c>
      <c r="E322" s="2">
        <v>45016</v>
      </c>
      <c r="F322" t="s">
        <v>960</v>
      </c>
      <c r="G322" t="s">
        <v>89</v>
      </c>
      <c r="H322" t="s">
        <v>153</v>
      </c>
      <c r="I322" t="s">
        <v>96</v>
      </c>
      <c r="J322" t="s">
        <v>64</v>
      </c>
      <c r="K322" t="s">
        <v>110</v>
      </c>
      <c r="L322">
        <v>243843.72</v>
      </c>
      <c r="M322">
        <v>203498.48</v>
      </c>
      <c r="N322" t="s">
        <v>35</v>
      </c>
      <c r="O322">
        <v>5</v>
      </c>
      <c r="P322">
        <v>188</v>
      </c>
      <c r="Q322">
        <v>2</v>
      </c>
      <c r="R322">
        <v>145</v>
      </c>
      <c r="S322">
        <v>82.9</v>
      </c>
      <c r="T322" t="s">
        <v>37</v>
      </c>
      <c r="U322" s="3"/>
      <c r="V322" s="3"/>
      <c r="W322" s="3"/>
    </row>
    <row r="323" spans="1:23">
      <c r="A323" t="s">
        <v>961</v>
      </c>
      <c r="B323" t="s">
        <v>472</v>
      </c>
      <c r="C323" t="s">
        <v>84</v>
      </c>
      <c r="D323" s="2">
        <v>19798</v>
      </c>
      <c r="E323" s="2">
        <v>45970</v>
      </c>
      <c r="F323" t="s">
        <v>962</v>
      </c>
      <c r="G323" t="s">
        <v>43</v>
      </c>
      <c r="H323" t="s">
        <v>134</v>
      </c>
      <c r="I323" t="s">
        <v>96</v>
      </c>
      <c r="J323" t="s">
        <v>361</v>
      </c>
      <c r="K323" t="s">
        <v>161</v>
      </c>
      <c r="L323" t="s">
        <v>963</v>
      </c>
      <c r="M323">
        <v>41884.5</v>
      </c>
      <c r="N323" t="s">
        <v>56</v>
      </c>
      <c r="O323">
        <v>13</v>
      </c>
      <c r="P323">
        <v>156</v>
      </c>
      <c r="Q323">
        <v>1</v>
      </c>
      <c r="R323">
        <v>155</v>
      </c>
      <c r="S323">
        <v>156.5</v>
      </c>
      <c r="U323" s="3"/>
      <c r="V323" s="3"/>
      <c r="W323" s="3"/>
    </row>
    <row r="324" spans="1:23">
      <c r="A324" t="s">
        <v>964</v>
      </c>
      <c r="B324" t="s">
        <v>965</v>
      </c>
      <c r="C324" t="s">
        <v>60</v>
      </c>
      <c r="D324" s="2">
        <v>24493</v>
      </c>
      <c r="E324" s="2">
        <v>45436</v>
      </c>
      <c r="F324" s="2">
        <v>45443</v>
      </c>
      <c r="G324" t="s">
        <v>152</v>
      </c>
      <c r="H324" t="s">
        <v>113</v>
      </c>
      <c r="I324" t="s">
        <v>119</v>
      </c>
      <c r="K324" t="s">
        <v>72</v>
      </c>
      <c r="L324">
        <v>243124.11</v>
      </c>
      <c r="M324">
        <v>176258.62</v>
      </c>
      <c r="N324" t="s">
        <v>56</v>
      </c>
      <c r="O324">
        <v>7</v>
      </c>
      <c r="P324">
        <v>185</v>
      </c>
      <c r="R324">
        <v>123</v>
      </c>
      <c r="T324" t="s">
        <v>37</v>
      </c>
      <c r="U324" s="3"/>
      <c r="V324" s="3"/>
      <c r="W324" s="3"/>
    </row>
    <row r="325" spans="1:23">
      <c r="A325" t="s">
        <v>966</v>
      </c>
      <c r="B325" t="s">
        <v>967</v>
      </c>
      <c r="C325" t="s">
        <v>30</v>
      </c>
      <c r="D325" s="2">
        <v>40491</v>
      </c>
      <c r="E325" t="s">
        <v>968</v>
      </c>
      <c r="F325" s="2">
        <v>45364</v>
      </c>
      <c r="G325" t="s">
        <v>109</v>
      </c>
      <c r="H325" t="s">
        <v>86</v>
      </c>
      <c r="I325" t="s">
        <v>79</v>
      </c>
      <c r="J325" t="s">
        <v>97</v>
      </c>
      <c r="K325" t="s">
        <v>110</v>
      </c>
      <c r="L325">
        <v>112898.84</v>
      </c>
      <c r="M325">
        <v>88084.01</v>
      </c>
      <c r="O325">
        <v>15</v>
      </c>
      <c r="P325">
        <v>99</v>
      </c>
      <c r="Q325">
        <v>3</v>
      </c>
      <c r="R325">
        <v>151</v>
      </c>
      <c r="S325">
        <v>87.8</v>
      </c>
      <c r="T325" t="s">
        <v>721</v>
      </c>
      <c r="U325" s="3"/>
      <c r="V325" s="3"/>
      <c r="W325" s="3"/>
    </row>
    <row r="326" spans="1:23">
      <c r="A326" t="s">
        <v>969</v>
      </c>
      <c r="B326" t="s">
        <v>970</v>
      </c>
      <c r="C326" t="s">
        <v>40</v>
      </c>
      <c r="D326" s="2">
        <v>21595</v>
      </c>
      <c r="E326" s="2">
        <v>45429</v>
      </c>
      <c r="F326" s="2">
        <v>45444</v>
      </c>
      <c r="G326" t="s">
        <v>43</v>
      </c>
      <c r="H326" t="s">
        <v>52</v>
      </c>
      <c r="I326" t="s">
        <v>53</v>
      </c>
      <c r="J326" t="s">
        <v>179</v>
      </c>
      <c r="K326" t="s">
        <v>27</v>
      </c>
      <c r="L326">
        <v>151815.15</v>
      </c>
      <c r="N326" t="s">
        <v>192</v>
      </c>
      <c r="O326">
        <v>15</v>
      </c>
      <c r="P326">
        <v>33</v>
      </c>
      <c r="Q326">
        <v>1</v>
      </c>
      <c r="R326">
        <v>187</v>
      </c>
      <c r="S326">
        <v>227.8</v>
      </c>
      <c r="T326" t="s">
        <v>37</v>
      </c>
      <c r="U326" s="3"/>
      <c r="V326" s="3"/>
      <c r="W326" s="3"/>
    </row>
    <row r="327" spans="1:23">
      <c r="A327" t="s">
        <v>971</v>
      </c>
      <c r="B327" t="s">
        <v>972</v>
      </c>
      <c r="D327" s="2">
        <v>29509</v>
      </c>
      <c r="E327" s="2">
        <v>45261</v>
      </c>
      <c r="F327" s="2">
        <v>45271</v>
      </c>
      <c r="G327" t="s">
        <v>62</v>
      </c>
      <c r="H327" t="s">
        <v>86</v>
      </c>
      <c r="I327" t="s">
        <v>25</v>
      </c>
      <c r="J327" t="s">
        <v>64</v>
      </c>
      <c r="K327" t="s">
        <v>110</v>
      </c>
      <c r="L327">
        <v>173780.2</v>
      </c>
      <c r="M327">
        <v>127488.85</v>
      </c>
      <c r="N327" t="s">
        <v>192</v>
      </c>
      <c r="O327">
        <v>10</v>
      </c>
      <c r="P327">
        <v>10</v>
      </c>
      <c r="Q327">
        <v>1</v>
      </c>
      <c r="R327">
        <v>103</v>
      </c>
      <c r="S327">
        <v>173.5</v>
      </c>
      <c r="T327" t="s">
        <v>37</v>
      </c>
      <c r="U327" s="3"/>
      <c r="V327" s="3"/>
      <c r="W327" s="3"/>
    </row>
    <row r="328" spans="1:23">
      <c r="A328" t="s">
        <v>973</v>
      </c>
      <c r="B328" t="s">
        <v>511</v>
      </c>
      <c r="C328" t="s">
        <v>60</v>
      </c>
      <c r="D328" s="2">
        <v>20914</v>
      </c>
      <c r="E328" s="2">
        <v>45504</v>
      </c>
      <c r="G328" t="s">
        <v>105</v>
      </c>
      <c r="H328" t="s">
        <v>52</v>
      </c>
      <c r="I328" t="s">
        <v>119</v>
      </c>
      <c r="J328" t="s">
        <v>26</v>
      </c>
      <c r="K328" t="s">
        <v>110</v>
      </c>
      <c r="L328">
        <v>224157.66</v>
      </c>
      <c r="M328">
        <v>150364.47</v>
      </c>
      <c r="N328" t="s">
        <v>409</v>
      </c>
      <c r="O328">
        <v>12</v>
      </c>
      <c r="P328">
        <v>114</v>
      </c>
      <c r="R328">
        <v>132</v>
      </c>
      <c r="S328">
        <v>183.9</v>
      </c>
      <c r="U328" s="3"/>
      <c r="V328" s="3"/>
      <c r="W328" s="3"/>
    </row>
    <row r="329" spans="1:23">
      <c r="A329" t="s">
        <v>974</v>
      </c>
      <c r="B329" t="s">
        <v>850</v>
      </c>
      <c r="C329" t="s">
        <v>133</v>
      </c>
      <c r="D329" s="2">
        <v>38436</v>
      </c>
      <c r="E329" t="s">
        <v>975</v>
      </c>
      <c r="F329" s="2">
        <v>45238</v>
      </c>
      <c r="G329" t="s">
        <v>77</v>
      </c>
      <c r="H329" t="s">
        <v>153</v>
      </c>
      <c r="J329" t="s">
        <v>26</v>
      </c>
      <c r="K329" t="s">
        <v>55</v>
      </c>
      <c r="L329">
        <v>30508.1</v>
      </c>
      <c r="M329">
        <v>28631.3</v>
      </c>
      <c r="N329" t="s">
        <v>192</v>
      </c>
      <c r="O329">
        <v>11</v>
      </c>
      <c r="P329">
        <v>76</v>
      </c>
      <c r="Q329">
        <v>3</v>
      </c>
      <c r="R329">
        <v>101</v>
      </c>
      <c r="S329">
        <v>131.4</v>
      </c>
      <c r="T329" t="s">
        <v>47</v>
      </c>
      <c r="U329" s="3"/>
      <c r="V329" s="3"/>
      <c r="W329" s="3"/>
    </row>
    <row r="330" spans="1:23">
      <c r="A330" t="s">
        <v>976</v>
      </c>
      <c r="B330" t="s">
        <v>857</v>
      </c>
      <c r="C330" t="s">
        <v>84</v>
      </c>
      <c r="D330" s="2">
        <v>29847</v>
      </c>
      <c r="E330" t="s">
        <v>977</v>
      </c>
      <c r="F330" s="2">
        <v>45953</v>
      </c>
      <c r="G330" t="s">
        <v>94</v>
      </c>
      <c r="H330" t="s">
        <v>134</v>
      </c>
      <c r="K330" t="s">
        <v>388</v>
      </c>
      <c r="L330">
        <v>179442.96</v>
      </c>
      <c r="M330">
        <v>141046.95000000001</v>
      </c>
      <c r="N330" t="s">
        <v>35</v>
      </c>
      <c r="O330">
        <v>18</v>
      </c>
      <c r="P330">
        <v>182</v>
      </c>
      <c r="Q330">
        <v>4</v>
      </c>
      <c r="R330">
        <v>179</v>
      </c>
      <c r="S330">
        <v>86.6</v>
      </c>
      <c r="T330" t="s">
        <v>65</v>
      </c>
      <c r="U330" s="3"/>
      <c r="V330" s="3"/>
      <c r="W330" s="3"/>
    </row>
    <row r="331" spans="1:23">
      <c r="A331" t="s">
        <v>978</v>
      </c>
      <c r="B331" t="s">
        <v>563</v>
      </c>
      <c r="C331" t="s">
        <v>206</v>
      </c>
      <c r="D331" s="2">
        <v>21807</v>
      </c>
      <c r="E331" t="s">
        <v>750</v>
      </c>
      <c r="F331" s="2">
        <v>45430</v>
      </c>
      <c r="G331" t="s">
        <v>152</v>
      </c>
      <c r="H331" t="s">
        <v>153</v>
      </c>
      <c r="I331" t="s">
        <v>53</v>
      </c>
      <c r="J331" t="s">
        <v>26</v>
      </c>
      <c r="K331" t="s">
        <v>191</v>
      </c>
      <c r="L331">
        <v>240607.87</v>
      </c>
      <c r="M331">
        <v>151940.15</v>
      </c>
      <c r="N331" t="s">
        <v>35</v>
      </c>
      <c r="O331">
        <v>7</v>
      </c>
      <c r="P331">
        <v>192</v>
      </c>
      <c r="Q331">
        <v>1</v>
      </c>
      <c r="R331">
        <v>179</v>
      </c>
      <c r="S331">
        <v>253.3</v>
      </c>
      <c r="T331" t="s">
        <v>65</v>
      </c>
      <c r="U331" s="3"/>
      <c r="V331" s="3"/>
      <c r="W331" s="3"/>
    </row>
    <row r="332" spans="1:23">
      <c r="A332" t="s">
        <v>979</v>
      </c>
      <c r="B332" t="s">
        <v>980</v>
      </c>
      <c r="C332" t="s">
        <v>60</v>
      </c>
      <c r="D332" s="2">
        <v>29560</v>
      </c>
      <c r="E332" s="2">
        <v>46007</v>
      </c>
      <c r="F332" t="s">
        <v>981</v>
      </c>
      <c r="G332" t="s">
        <v>31</v>
      </c>
      <c r="H332" t="s">
        <v>63</v>
      </c>
      <c r="J332" t="s">
        <v>166</v>
      </c>
      <c r="K332" t="s">
        <v>55</v>
      </c>
      <c r="L332">
        <v>73475.34</v>
      </c>
      <c r="M332">
        <v>52755.31</v>
      </c>
      <c r="N332" t="s">
        <v>192</v>
      </c>
      <c r="O332">
        <v>10</v>
      </c>
      <c r="P332">
        <v>169</v>
      </c>
      <c r="Q332">
        <v>1</v>
      </c>
      <c r="R332">
        <v>167</v>
      </c>
      <c r="S332">
        <v>212.7</v>
      </c>
      <c r="T332" t="s">
        <v>37</v>
      </c>
      <c r="U332" s="3"/>
      <c r="V332" s="3"/>
      <c r="W332" s="3"/>
    </row>
    <row r="333" spans="1:23">
      <c r="A333" t="s">
        <v>982</v>
      </c>
      <c r="B333" t="s">
        <v>661</v>
      </c>
      <c r="C333" t="s">
        <v>40</v>
      </c>
      <c r="D333" s="2">
        <v>30502</v>
      </c>
      <c r="E333" t="s">
        <v>983</v>
      </c>
      <c r="F333" s="2">
        <v>45373</v>
      </c>
      <c r="G333" t="s">
        <v>984</v>
      </c>
      <c r="H333" t="s">
        <v>134</v>
      </c>
      <c r="I333" t="s">
        <v>53</v>
      </c>
      <c r="J333" t="s">
        <v>64</v>
      </c>
      <c r="K333" t="s">
        <v>110</v>
      </c>
      <c r="L333">
        <v>152258.14000000001</v>
      </c>
      <c r="M333">
        <v>143879.01999999999</v>
      </c>
      <c r="N333" t="s">
        <v>192</v>
      </c>
      <c r="O333" t="s">
        <v>580</v>
      </c>
      <c r="P333">
        <v>124</v>
      </c>
      <c r="R333">
        <v>130</v>
      </c>
      <c r="S333">
        <v>194</v>
      </c>
      <c r="T333" t="s">
        <v>37</v>
      </c>
      <c r="U333" s="3"/>
      <c r="V333" s="3"/>
      <c r="W333" s="3"/>
    </row>
    <row r="334" spans="1:23">
      <c r="A334" t="s">
        <v>985</v>
      </c>
      <c r="B334" t="s">
        <v>986</v>
      </c>
      <c r="C334" t="s">
        <v>40</v>
      </c>
      <c r="D334" s="2">
        <v>19834</v>
      </c>
      <c r="E334" s="2">
        <v>44949</v>
      </c>
      <c r="F334" s="2">
        <v>44959</v>
      </c>
      <c r="G334" t="s">
        <v>94</v>
      </c>
      <c r="H334" t="s">
        <v>113</v>
      </c>
      <c r="I334" t="s">
        <v>25</v>
      </c>
      <c r="J334" t="s">
        <v>80</v>
      </c>
      <c r="K334" t="s">
        <v>55</v>
      </c>
      <c r="L334">
        <v>69119.08</v>
      </c>
      <c r="M334">
        <v>54085.34</v>
      </c>
      <c r="N334" t="s">
        <v>56</v>
      </c>
      <c r="O334">
        <v>10</v>
      </c>
      <c r="P334">
        <v>149</v>
      </c>
      <c r="R334">
        <v>95</v>
      </c>
      <c r="S334">
        <v>79.099999999999994</v>
      </c>
      <c r="T334" t="s">
        <v>37</v>
      </c>
      <c r="U334" s="3"/>
      <c r="V334" s="3"/>
      <c r="W334" s="3"/>
    </row>
    <row r="335" spans="1:23">
      <c r="A335" t="s">
        <v>987</v>
      </c>
      <c r="B335" t="s">
        <v>689</v>
      </c>
      <c r="C335" t="s">
        <v>84</v>
      </c>
      <c r="D335" s="2">
        <v>20724</v>
      </c>
      <c r="E335" s="2">
        <v>45234</v>
      </c>
      <c r="F335" s="2">
        <v>45235</v>
      </c>
      <c r="G335" t="s">
        <v>43</v>
      </c>
      <c r="H335" t="s">
        <v>32</v>
      </c>
      <c r="I335" t="s">
        <v>25</v>
      </c>
      <c r="J335" t="s">
        <v>71</v>
      </c>
      <c r="K335" t="s">
        <v>110</v>
      </c>
      <c r="L335">
        <v>42402.69</v>
      </c>
      <c r="M335">
        <v>30237.02</v>
      </c>
      <c r="N335" t="s">
        <v>192</v>
      </c>
      <c r="O335">
        <v>1</v>
      </c>
      <c r="P335">
        <v>231</v>
      </c>
      <c r="Q335">
        <v>2</v>
      </c>
      <c r="R335">
        <v>181</v>
      </c>
      <c r="S335">
        <v>114</v>
      </c>
      <c r="T335" t="s">
        <v>47</v>
      </c>
      <c r="U335" s="3"/>
      <c r="V335" s="3"/>
      <c r="W335" s="3"/>
    </row>
    <row r="336" spans="1:23">
      <c r="A336" t="s">
        <v>988</v>
      </c>
      <c r="B336" t="s">
        <v>867</v>
      </c>
      <c r="C336" t="s">
        <v>30</v>
      </c>
      <c r="D336" s="2">
        <v>19353</v>
      </c>
      <c r="E336" t="s">
        <v>989</v>
      </c>
      <c r="F336" s="2">
        <v>45728</v>
      </c>
      <c r="G336" t="s">
        <v>117</v>
      </c>
      <c r="H336" t="s">
        <v>118</v>
      </c>
      <c r="I336" t="s">
        <v>33</v>
      </c>
      <c r="J336" t="s">
        <v>97</v>
      </c>
      <c r="L336">
        <v>142807.96</v>
      </c>
      <c r="M336">
        <v>98931.75</v>
      </c>
      <c r="N336" t="s">
        <v>990</v>
      </c>
      <c r="O336">
        <v>8</v>
      </c>
      <c r="P336">
        <v>8</v>
      </c>
      <c r="Q336">
        <v>3</v>
      </c>
      <c r="R336">
        <v>188</v>
      </c>
      <c r="S336">
        <v>235.4</v>
      </c>
      <c r="T336" t="s">
        <v>37</v>
      </c>
      <c r="U336" s="3"/>
      <c r="V336" s="3"/>
      <c r="W336" s="3"/>
    </row>
    <row r="337" spans="1:23">
      <c r="A337" t="s">
        <v>991</v>
      </c>
      <c r="B337" t="s">
        <v>992</v>
      </c>
      <c r="C337" t="s">
        <v>22</v>
      </c>
      <c r="D337" s="2">
        <v>36028</v>
      </c>
      <c r="E337" s="2">
        <v>45214</v>
      </c>
      <c r="F337" s="2">
        <v>45218</v>
      </c>
      <c r="G337" t="s">
        <v>77</v>
      </c>
      <c r="H337" t="s">
        <v>24</v>
      </c>
      <c r="I337" t="s">
        <v>119</v>
      </c>
      <c r="J337" t="s">
        <v>71</v>
      </c>
      <c r="K337" t="s">
        <v>72</v>
      </c>
      <c r="L337">
        <v>101732.46</v>
      </c>
      <c r="M337">
        <v>89283.24</v>
      </c>
      <c r="N337" t="s">
        <v>467</v>
      </c>
      <c r="O337">
        <v>4</v>
      </c>
      <c r="P337">
        <v>38</v>
      </c>
      <c r="R337">
        <v>136</v>
      </c>
      <c r="S337">
        <v>167.4</v>
      </c>
      <c r="T337" t="s">
        <v>37</v>
      </c>
      <c r="U337" s="3"/>
      <c r="V337" s="3"/>
      <c r="W337" s="3"/>
    </row>
    <row r="338" spans="1:23">
      <c r="A338" t="s">
        <v>993</v>
      </c>
      <c r="B338" t="s">
        <v>88</v>
      </c>
      <c r="C338" t="s">
        <v>60</v>
      </c>
      <c r="D338" t="s">
        <v>994</v>
      </c>
      <c r="E338" t="s">
        <v>995</v>
      </c>
      <c r="F338" s="2">
        <v>45702</v>
      </c>
      <c r="H338" t="s">
        <v>52</v>
      </c>
      <c r="I338" t="s">
        <v>45</v>
      </c>
      <c r="J338" t="s">
        <v>34</v>
      </c>
      <c r="K338" t="s">
        <v>120</v>
      </c>
      <c r="L338">
        <v>218854.32</v>
      </c>
      <c r="M338">
        <v>135436.53</v>
      </c>
      <c r="N338" t="s">
        <v>73</v>
      </c>
      <c r="O338">
        <v>6</v>
      </c>
      <c r="P338">
        <v>124</v>
      </c>
      <c r="R338">
        <v>172</v>
      </c>
      <c r="S338">
        <v>171.7</v>
      </c>
      <c r="T338" t="s">
        <v>37</v>
      </c>
      <c r="U338" s="3"/>
      <c r="V338" s="3"/>
      <c r="W338" s="3"/>
    </row>
    <row r="339" spans="1:23">
      <c r="A339" t="s">
        <v>996</v>
      </c>
      <c r="B339" t="s">
        <v>932</v>
      </c>
      <c r="C339" t="s">
        <v>206</v>
      </c>
      <c r="D339" t="s">
        <v>997</v>
      </c>
      <c r="E339" s="2">
        <v>45005</v>
      </c>
      <c r="F339" s="2">
        <v>45023</v>
      </c>
      <c r="G339" t="s">
        <v>77</v>
      </c>
      <c r="H339" t="s">
        <v>124</v>
      </c>
      <c r="I339" t="s">
        <v>45</v>
      </c>
      <c r="J339" t="s">
        <v>46</v>
      </c>
      <c r="K339" t="s">
        <v>27</v>
      </c>
      <c r="L339">
        <v>143131.13</v>
      </c>
      <c r="M339">
        <v>120092.1</v>
      </c>
      <c r="N339" t="s">
        <v>35</v>
      </c>
      <c r="O339">
        <v>18</v>
      </c>
      <c r="P339">
        <v>20</v>
      </c>
      <c r="Q339">
        <v>5</v>
      </c>
      <c r="R339">
        <v>145</v>
      </c>
      <c r="S339">
        <v>255.9</v>
      </c>
      <c r="T339" t="s">
        <v>47</v>
      </c>
      <c r="U339" s="3"/>
      <c r="V339" s="3"/>
      <c r="W339" s="3"/>
    </row>
    <row r="340" spans="1:23">
      <c r="A340" t="s">
        <v>998</v>
      </c>
      <c r="B340" t="s">
        <v>999</v>
      </c>
      <c r="C340" t="s">
        <v>30</v>
      </c>
      <c r="D340" s="2">
        <v>30428</v>
      </c>
      <c r="E340" s="2">
        <v>45458</v>
      </c>
      <c r="F340" s="2">
        <v>45464</v>
      </c>
      <c r="G340" t="s">
        <v>161</v>
      </c>
      <c r="H340" t="s">
        <v>134</v>
      </c>
      <c r="I340" t="s">
        <v>119</v>
      </c>
      <c r="J340" t="s">
        <v>71</v>
      </c>
      <c r="K340" t="s">
        <v>72</v>
      </c>
      <c r="L340">
        <v>43221.99</v>
      </c>
      <c r="M340">
        <v>42469.17</v>
      </c>
      <c r="N340" t="s">
        <v>192</v>
      </c>
      <c r="O340">
        <v>6</v>
      </c>
      <c r="P340">
        <v>128</v>
      </c>
      <c r="R340">
        <v>158</v>
      </c>
      <c r="S340">
        <v>200.9</v>
      </c>
      <c r="T340" t="s">
        <v>47</v>
      </c>
      <c r="U340" s="3"/>
      <c r="V340" s="3"/>
      <c r="W340" s="3"/>
    </row>
    <row r="341" spans="1:23">
      <c r="A341" t="s">
        <v>1000</v>
      </c>
      <c r="B341" t="s">
        <v>1001</v>
      </c>
      <c r="C341" t="s">
        <v>60</v>
      </c>
      <c r="D341" s="2">
        <v>39299</v>
      </c>
      <c r="E341" s="2">
        <v>45949</v>
      </c>
      <c r="F341" s="2">
        <v>45960</v>
      </c>
      <c r="G341" t="s">
        <v>754</v>
      </c>
      <c r="H341" t="s">
        <v>134</v>
      </c>
      <c r="I341" t="s">
        <v>96</v>
      </c>
      <c r="J341" t="s">
        <v>64</v>
      </c>
      <c r="K341" t="s">
        <v>55</v>
      </c>
      <c r="L341">
        <v>181265.79</v>
      </c>
      <c r="M341">
        <v>169274.56</v>
      </c>
      <c r="N341" t="s">
        <v>73</v>
      </c>
      <c r="O341">
        <v>11</v>
      </c>
      <c r="P341">
        <v>224</v>
      </c>
      <c r="Q341">
        <v>3</v>
      </c>
      <c r="R341">
        <v>171</v>
      </c>
      <c r="S341">
        <v>155.4</v>
      </c>
      <c r="T341" t="s">
        <v>37</v>
      </c>
      <c r="U341" s="3"/>
      <c r="V341" s="3"/>
      <c r="W341" s="3"/>
    </row>
    <row r="342" spans="1:23">
      <c r="A342" t="s">
        <v>1002</v>
      </c>
      <c r="B342" t="s">
        <v>693</v>
      </c>
      <c r="C342" t="s">
        <v>50</v>
      </c>
      <c r="D342" s="2">
        <v>37408</v>
      </c>
      <c r="E342" s="2">
        <v>45545</v>
      </c>
      <c r="F342" t="s">
        <v>1003</v>
      </c>
      <c r="H342" t="s">
        <v>52</v>
      </c>
      <c r="J342" t="s">
        <v>34</v>
      </c>
      <c r="K342" t="s">
        <v>110</v>
      </c>
      <c r="L342">
        <v>104978.3</v>
      </c>
      <c r="M342">
        <v>84577.17</v>
      </c>
      <c r="N342" t="s">
        <v>73</v>
      </c>
      <c r="O342">
        <v>10</v>
      </c>
      <c r="P342">
        <v>143</v>
      </c>
      <c r="Q342">
        <v>4</v>
      </c>
      <c r="R342">
        <v>156</v>
      </c>
      <c r="S342">
        <v>255.1</v>
      </c>
      <c r="T342" t="s">
        <v>65</v>
      </c>
      <c r="U342" s="3"/>
      <c r="V342" s="3"/>
      <c r="W342" s="3"/>
    </row>
    <row r="343" spans="1:23">
      <c r="A343" t="s">
        <v>1004</v>
      </c>
      <c r="B343" t="s">
        <v>604</v>
      </c>
      <c r="C343" t="s">
        <v>40</v>
      </c>
      <c r="D343" s="2">
        <v>20123</v>
      </c>
      <c r="E343" s="2">
        <v>44960</v>
      </c>
      <c r="F343" s="2">
        <v>44974</v>
      </c>
      <c r="G343" t="s">
        <v>370</v>
      </c>
      <c r="H343" t="s">
        <v>278</v>
      </c>
      <c r="I343" t="s">
        <v>33</v>
      </c>
      <c r="J343" t="s">
        <v>34</v>
      </c>
      <c r="K343" t="s">
        <v>120</v>
      </c>
      <c r="L343" t="s">
        <v>1005</v>
      </c>
      <c r="M343">
        <v>114413.56</v>
      </c>
      <c r="N343" t="s">
        <v>192</v>
      </c>
      <c r="O343">
        <v>14</v>
      </c>
      <c r="P343">
        <v>223</v>
      </c>
      <c r="Q343">
        <v>4</v>
      </c>
      <c r="R343">
        <v>117</v>
      </c>
      <c r="S343">
        <v>112.3</v>
      </c>
      <c r="T343" t="s">
        <v>37</v>
      </c>
      <c r="U343" s="3"/>
      <c r="V343" s="3"/>
      <c r="W343" s="3"/>
    </row>
    <row r="344" spans="1:23">
      <c r="A344" t="s">
        <v>1006</v>
      </c>
      <c r="B344" t="s">
        <v>383</v>
      </c>
      <c r="C344" t="s">
        <v>100</v>
      </c>
      <c r="D344" s="2">
        <v>30080</v>
      </c>
      <c r="E344" t="s">
        <v>1007</v>
      </c>
      <c r="F344" s="2">
        <v>45478</v>
      </c>
      <c r="G344" t="s">
        <v>70</v>
      </c>
      <c r="H344" t="s">
        <v>134</v>
      </c>
      <c r="I344" t="s">
        <v>45</v>
      </c>
      <c r="J344" t="s">
        <v>179</v>
      </c>
      <c r="K344" t="s">
        <v>72</v>
      </c>
      <c r="L344">
        <v>225296.35</v>
      </c>
      <c r="M344">
        <v>151920.09</v>
      </c>
      <c r="N344" t="s">
        <v>73</v>
      </c>
      <c r="O344">
        <v>10</v>
      </c>
      <c r="P344">
        <v>11</v>
      </c>
      <c r="Q344">
        <v>3</v>
      </c>
      <c r="R344">
        <v>137</v>
      </c>
      <c r="S344">
        <v>229.7</v>
      </c>
      <c r="T344" t="s">
        <v>37</v>
      </c>
      <c r="U344" s="3"/>
      <c r="V344" s="3"/>
      <c r="W344" s="3"/>
    </row>
    <row r="345" spans="1:23">
      <c r="A345" t="s">
        <v>1008</v>
      </c>
      <c r="B345" t="s">
        <v>980</v>
      </c>
      <c r="C345" t="s">
        <v>30</v>
      </c>
      <c r="D345" s="2">
        <v>35137</v>
      </c>
      <c r="E345" s="2">
        <v>45578</v>
      </c>
      <c r="F345" s="2">
        <v>45595</v>
      </c>
      <c r="G345" t="s">
        <v>94</v>
      </c>
      <c r="H345" t="s">
        <v>52</v>
      </c>
      <c r="I345" t="s">
        <v>53</v>
      </c>
      <c r="J345" t="s">
        <v>64</v>
      </c>
      <c r="K345" t="s">
        <v>191</v>
      </c>
      <c r="L345">
        <v>31797.25</v>
      </c>
      <c r="M345">
        <v>26765.52</v>
      </c>
      <c r="N345" t="s">
        <v>91</v>
      </c>
      <c r="O345" t="s">
        <v>102</v>
      </c>
      <c r="P345">
        <v>220</v>
      </c>
      <c r="Q345">
        <v>5</v>
      </c>
      <c r="R345">
        <v>160</v>
      </c>
      <c r="S345">
        <v>100.2</v>
      </c>
      <c r="T345" t="s">
        <v>65</v>
      </c>
      <c r="U345" s="3"/>
      <c r="V345" s="3"/>
      <c r="W345" s="3"/>
    </row>
    <row r="346" spans="1:23">
      <c r="A346" t="s">
        <v>1009</v>
      </c>
      <c r="B346" t="s">
        <v>378</v>
      </c>
      <c r="C346" t="s">
        <v>50</v>
      </c>
      <c r="D346" s="2">
        <v>22392</v>
      </c>
      <c r="E346" s="2">
        <v>45381</v>
      </c>
      <c r="F346" t="s">
        <v>1010</v>
      </c>
      <c r="H346" t="s">
        <v>86</v>
      </c>
      <c r="I346" t="s">
        <v>79</v>
      </c>
      <c r="J346" t="s">
        <v>71</v>
      </c>
      <c r="L346">
        <v>165666.28</v>
      </c>
      <c r="M346">
        <v>120089.67</v>
      </c>
      <c r="N346" t="s">
        <v>73</v>
      </c>
      <c r="O346">
        <v>10</v>
      </c>
      <c r="P346">
        <v>41</v>
      </c>
      <c r="Q346">
        <v>1</v>
      </c>
      <c r="R346">
        <v>171</v>
      </c>
      <c r="S346">
        <v>257.10000000000002</v>
      </c>
      <c r="T346" t="s">
        <v>37</v>
      </c>
      <c r="U346" s="3"/>
      <c r="V346" s="3"/>
      <c r="W346" s="3"/>
    </row>
    <row r="347" spans="1:23">
      <c r="A347" t="s">
        <v>1011</v>
      </c>
      <c r="B347" t="s">
        <v>511</v>
      </c>
      <c r="C347" t="s">
        <v>133</v>
      </c>
      <c r="D347" s="2">
        <v>27806</v>
      </c>
      <c r="E347" s="2">
        <v>45083</v>
      </c>
      <c r="F347" s="2">
        <v>45090</v>
      </c>
      <c r="G347" t="s">
        <v>43</v>
      </c>
      <c r="H347" t="s">
        <v>1012</v>
      </c>
      <c r="J347" t="s">
        <v>97</v>
      </c>
      <c r="K347" t="s">
        <v>55</v>
      </c>
      <c r="L347">
        <v>47002.09</v>
      </c>
      <c r="O347">
        <v>7</v>
      </c>
      <c r="P347">
        <v>173</v>
      </c>
      <c r="Q347">
        <v>1</v>
      </c>
      <c r="R347">
        <v>105</v>
      </c>
      <c r="S347">
        <v>255.4</v>
      </c>
      <c r="T347" t="s">
        <v>65</v>
      </c>
      <c r="U347" s="3"/>
      <c r="V347" s="3"/>
      <c r="W347" s="3"/>
    </row>
    <row r="348" spans="1:23">
      <c r="A348" t="s">
        <v>1013</v>
      </c>
      <c r="B348" t="s">
        <v>328</v>
      </c>
      <c r="C348" t="s">
        <v>100</v>
      </c>
      <c r="D348" s="2">
        <v>18784</v>
      </c>
      <c r="E348" t="s">
        <v>1014</v>
      </c>
      <c r="F348" t="s">
        <v>1015</v>
      </c>
      <c r="G348" t="s">
        <v>62</v>
      </c>
      <c r="H348" t="s">
        <v>44</v>
      </c>
      <c r="I348" t="s">
        <v>96</v>
      </c>
      <c r="J348" t="s">
        <v>34</v>
      </c>
      <c r="K348" t="s">
        <v>55</v>
      </c>
      <c r="L348">
        <v>51811.29</v>
      </c>
      <c r="M348">
        <v>41685.599999999999</v>
      </c>
      <c r="N348" t="s">
        <v>192</v>
      </c>
      <c r="O348">
        <v>3</v>
      </c>
      <c r="P348">
        <v>146</v>
      </c>
      <c r="Q348">
        <v>5</v>
      </c>
      <c r="R348">
        <v>149</v>
      </c>
      <c r="S348">
        <v>211.6</v>
      </c>
      <c r="T348" t="s">
        <v>37</v>
      </c>
      <c r="U348" s="3"/>
      <c r="V348" s="3"/>
      <c r="W348" s="3"/>
    </row>
    <row r="349" spans="1:23">
      <c r="A349" t="s">
        <v>1016</v>
      </c>
      <c r="B349" t="s">
        <v>1017</v>
      </c>
      <c r="C349" t="s">
        <v>100</v>
      </c>
      <c r="D349" s="2">
        <v>35291</v>
      </c>
      <c r="E349" s="2">
        <v>45840</v>
      </c>
      <c r="F349" t="s">
        <v>1018</v>
      </c>
      <c r="G349" t="s">
        <v>109</v>
      </c>
      <c r="I349" t="s">
        <v>119</v>
      </c>
      <c r="K349" t="s">
        <v>183</v>
      </c>
      <c r="L349">
        <v>29120.880000000001</v>
      </c>
      <c r="M349">
        <v>22928.45</v>
      </c>
      <c r="O349">
        <v>14</v>
      </c>
      <c r="P349">
        <v>150</v>
      </c>
      <c r="Q349">
        <v>5</v>
      </c>
      <c r="R349">
        <v>137</v>
      </c>
      <c r="S349">
        <v>240.6</v>
      </c>
      <c r="T349" t="s">
        <v>37</v>
      </c>
      <c r="U349" s="3"/>
      <c r="V349" s="3"/>
      <c r="W349" s="3"/>
    </row>
    <row r="350" spans="1:23">
      <c r="A350" t="s">
        <v>1019</v>
      </c>
      <c r="B350" t="s">
        <v>368</v>
      </c>
      <c r="C350" t="s">
        <v>50</v>
      </c>
      <c r="D350" t="s">
        <v>1020</v>
      </c>
      <c r="E350" s="2">
        <v>45429</v>
      </c>
      <c r="F350" s="2">
        <v>45432</v>
      </c>
      <c r="G350" t="s">
        <v>105</v>
      </c>
      <c r="H350" t="s">
        <v>63</v>
      </c>
      <c r="I350" t="s">
        <v>53</v>
      </c>
      <c r="J350" t="s">
        <v>46</v>
      </c>
      <c r="K350" t="s">
        <v>120</v>
      </c>
      <c r="L350">
        <v>32770.14</v>
      </c>
      <c r="M350">
        <v>29705.73</v>
      </c>
      <c r="N350" t="s">
        <v>91</v>
      </c>
      <c r="O350">
        <v>3</v>
      </c>
      <c r="P350" t="s">
        <v>1021</v>
      </c>
      <c r="Q350">
        <v>5</v>
      </c>
      <c r="R350">
        <v>117</v>
      </c>
      <c r="S350">
        <v>158.4</v>
      </c>
      <c r="T350" t="s">
        <v>65</v>
      </c>
      <c r="U350" s="3"/>
      <c r="V350" s="3"/>
      <c r="W350" s="3"/>
    </row>
    <row r="351" spans="1:23">
      <c r="A351" t="s">
        <v>1022</v>
      </c>
      <c r="B351" t="s">
        <v>342</v>
      </c>
      <c r="C351" t="s">
        <v>307</v>
      </c>
      <c r="D351" s="2">
        <v>25726</v>
      </c>
      <c r="E351" s="2">
        <v>45330</v>
      </c>
      <c r="F351" s="2">
        <v>45332</v>
      </c>
      <c r="G351" t="s">
        <v>77</v>
      </c>
      <c r="H351" t="s">
        <v>24</v>
      </c>
      <c r="I351" t="s">
        <v>96</v>
      </c>
      <c r="J351" t="s">
        <v>34</v>
      </c>
      <c r="K351" t="s">
        <v>55</v>
      </c>
      <c r="L351">
        <v>32016.61</v>
      </c>
      <c r="M351">
        <v>22852.65</v>
      </c>
      <c r="N351" t="s">
        <v>35</v>
      </c>
      <c r="O351">
        <v>2</v>
      </c>
      <c r="P351">
        <v>88</v>
      </c>
      <c r="Q351">
        <v>4</v>
      </c>
      <c r="R351">
        <v>120</v>
      </c>
      <c r="S351">
        <v>179.5</v>
      </c>
      <c r="T351" t="s">
        <v>65</v>
      </c>
      <c r="U351" s="3"/>
      <c r="V351" s="3"/>
      <c r="W351" s="3"/>
    </row>
    <row r="352" spans="1:23">
      <c r="A352" t="s">
        <v>1023</v>
      </c>
      <c r="B352" t="s">
        <v>579</v>
      </c>
      <c r="D352" s="2">
        <v>35194</v>
      </c>
      <c r="E352" t="s">
        <v>1024</v>
      </c>
      <c r="F352" s="2">
        <v>45588</v>
      </c>
      <c r="G352" t="s">
        <v>89</v>
      </c>
      <c r="H352" t="s">
        <v>78</v>
      </c>
      <c r="I352" t="s">
        <v>119</v>
      </c>
      <c r="K352" t="s">
        <v>120</v>
      </c>
      <c r="L352">
        <v>154049.35999999999</v>
      </c>
      <c r="M352">
        <v>115545.72</v>
      </c>
      <c r="N352" t="s">
        <v>73</v>
      </c>
      <c r="O352">
        <v>12</v>
      </c>
      <c r="P352">
        <v>121</v>
      </c>
      <c r="R352">
        <v>172</v>
      </c>
      <c r="S352">
        <v>253.8</v>
      </c>
      <c r="T352" t="s">
        <v>37</v>
      </c>
      <c r="U352" s="3"/>
      <c r="V352" s="3"/>
      <c r="W352" s="3"/>
    </row>
    <row r="353" spans="1:23">
      <c r="A353" t="s">
        <v>1025</v>
      </c>
      <c r="B353" t="s">
        <v>1026</v>
      </c>
      <c r="C353" t="s">
        <v>84</v>
      </c>
      <c r="D353" t="s">
        <v>1027</v>
      </c>
      <c r="E353" s="2">
        <v>45034</v>
      </c>
      <c r="F353" s="2">
        <v>45043</v>
      </c>
      <c r="G353" t="s">
        <v>152</v>
      </c>
      <c r="H353" t="s">
        <v>52</v>
      </c>
      <c r="I353" t="s">
        <v>25</v>
      </c>
      <c r="J353" t="s">
        <v>71</v>
      </c>
      <c r="K353" t="s">
        <v>120</v>
      </c>
      <c r="L353" t="s">
        <v>1028</v>
      </c>
      <c r="M353">
        <v>19100.02</v>
      </c>
      <c r="O353">
        <v>9</v>
      </c>
      <c r="P353" t="s">
        <v>1029</v>
      </c>
      <c r="Q353">
        <v>4</v>
      </c>
      <c r="R353">
        <v>124</v>
      </c>
      <c r="S353">
        <v>202.7</v>
      </c>
      <c r="T353" t="s">
        <v>47</v>
      </c>
      <c r="U353" s="3"/>
      <c r="V353" s="3"/>
      <c r="W353" s="3"/>
    </row>
    <row r="354" spans="1:23">
      <c r="A354" t="s">
        <v>1030</v>
      </c>
      <c r="B354" t="s">
        <v>1031</v>
      </c>
      <c r="D354" t="s">
        <v>1032</v>
      </c>
      <c r="E354" s="2">
        <v>45915</v>
      </c>
      <c r="F354" t="s">
        <v>1033</v>
      </c>
      <c r="G354" t="s">
        <v>70</v>
      </c>
      <c r="H354" t="s">
        <v>44</v>
      </c>
      <c r="I354" t="s">
        <v>33</v>
      </c>
      <c r="J354" t="s">
        <v>46</v>
      </c>
      <c r="K354" t="s">
        <v>27</v>
      </c>
      <c r="L354">
        <v>140732.51999999999</v>
      </c>
      <c r="M354">
        <v>126355.88</v>
      </c>
      <c r="N354" t="s">
        <v>35</v>
      </c>
      <c r="O354">
        <v>8</v>
      </c>
      <c r="P354">
        <v>193</v>
      </c>
      <c r="Q354">
        <v>4</v>
      </c>
      <c r="R354">
        <v>178</v>
      </c>
      <c r="S354">
        <v>84.8</v>
      </c>
      <c r="T354" t="s">
        <v>37</v>
      </c>
      <c r="U354" s="3"/>
      <c r="V354" s="3"/>
      <c r="W354" s="3"/>
    </row>
    <row r="355" spans="1:23">
      <c r="A355" t="s">
        <v>1034</v>
      </c>
      <c r="B355" t="s">
        <v>436</v>
      </c>
      <c r="C355" t="s">
        <v>206</v>
      </c>
      <c r="D355" s="2">
        <v>33325</v>
      </c>
      <c r="E355" s="2">
        <v>45960</v>
      </c>
      <c r="F355" s="2">
        <v>45964</v>
      </c>
      <c r="G355" t="s">
        <v>94</v>
      </c>
      <c r="H355" t="s">
        <v>63</v>
      </c>
      <c r="I355" t="s">
        <v>79</v>
      </c>
      <c r="J355" t="s">
        <v>34</v>
      </c>
      <c r="K355" t="s">
        <v>120</v>
      </c>
      <c r="L355">
        <v>217295.05</v>
      </c>
      <c r="M355">
        <v>148807.04000000001</v>
      </c>
      <c r="N355" t="s">
        <v>56</v>
      </c>
      <c r="O355">
        <v>4</v>
      </c>
      <c r="Q355">
        <v>4</v>
      </c>
      <c r="R355">
        <v>98</v>
      </c>
      <c r="S355">
        <v>122.8</v>
      </c>
      <c r="T355" t="s">
        <v>47</v>
      </c>
      <c r="U355" s="3"/>
      <c r="V355" s="3"/>
      <c r="W355" s="3"/>
    </row>
    <row r="356" spans="1:23">
      <c r="A356" t="s">
        <v>1035</v>
      </c>
      <c r="B356" t="s">
        <v>423</v>
      </c>
      <c r="C356" t="s">
        <v>84</v>
      </c>
      <c r="D356" s="2">
        <v>20254</v>
      </c>
      <c r="E356" s="2">
        <v>45361</v>
      </c>
      <c r="F356" s="2">
        <v>45366</v>
      </c>
      <c r="G356" t="s">
        <v>43</v>
      </c>
      <c r="H356" t="s">
        <v>95</v>
      </c>
      <c r="I356" t="s">
        <v>119</v>
      </c>
      <c r="J356" t="s">
        <v>179</v>
      </c>
      <c r="K356" t="s">
        <v>27</v>
      </c>
      <c r="L356">
        <v>111731.8</v>
      </c>
      <c r="M356">
        <v>81490.899999999994</v>
      </c>
      <c r="N356" t="s">
        <v>56</v>
      </c>
      <c r="O356" t="s">
        <v>1036</v>
      </c>
      <c r="P356">
        <v>171</v>
      </c>
      <c r="Q356">
        <v>4</v>
      </c>
      <c r="R356">
        <v>183</v>
      </c>
      <c r="S356">
        <v>246.3</v>
      </c>
      <c r="T356" t="s">
        <v>47</v>
      </c>
      <c r="U356" s="3"/>
      <c r="V356" s="3"/>
      <c r="W356" s="3"/>
    </row>
    <row r="357" spans="1:23">
      <c r="A357" t="s">
        <v>1037</v>
      </c>
      <c r="B357" t="s">
        <v>917</v>
      </c>
      <c r="C357" t="s">
        <v>133</v>
      </c>
      <c r="D357" s="2">
        <v>31540</v>
      </c>
      <c r="E357" s="2">
        <v>45061</v>
      </c>
      <c r="F357" s="2">
        <v>45079</v>
      </c>
      <c r="G357" t="s">
        <v>94</v>
      </c>
      <c r="H357" t="s">
        <v>634</v>
      </c>
      <c r="I357" t="s">
        <v>79</v>
      </c>
      <c r="K357" t="s">
        <v>161</v>
      </c>
      <c r="L357">
        <v>99739.14</v>
      </c>
      <c r="M357">
        <v>91777.69</v>
      </c>
      <c r="N357" t="s">
        <v>73</v>
      </c>
      <c r="O357">
        <v>18</v>
      </c>
      <c r="P357">
        <v>230</v>
      </c>
      <c r="Q357">
        <v>5</v>
      </c>
      <c r="R357">
        <v>153</v>
      </c>
      <c r="S357">
        <v>109.1</v>
      </c>
      <c r="T357" t="s">
        <v>47</v>
      </c>
      <c r="U357" s="3"/>
      <c r="V357" s="3"/>
      <c r="W357" s="3"/>
    </row>
    <row r="358" spans="1:23">
      <c r="A358" t="s">
        <v>1038</v>
      </c>
      <c r="B358" t="s">
        <v>898</v>
      </c>
      <c r="C358" t="s">
        <v>40</v>
      </c>
      <c r="D358" s="2">
        <v>21986</v>
      </c>
      <c r="E358" s="2">
        <v>45859</v>
      </c>
      <c r="F358" t="s">
        <v>1039</v>
      </c>
      <c r="G358" t="s">
        <v>141</v>
      </c>
      <c r="I358" t="s">
        <v>79</v>
      </c>
      <c r="J358" t="s">
        <v>46</v>
      </c>
      <c r="L358">
        <v>7654.64</v>
      </c>
      <c r="M358">
        <v>7381.96</v>
      </c>
      <c r="N358" t="s">
        <v>326</v>
      </c>
      <c r="O358">
        <v>5</v>
      </c>
      <c r="P358">
        <v>48</v>
      </c>
      <c r="Q358">
        <v>1</v>
      </c>
      <c r="R358">
        <v>166</v>
      </c>
      <c r="S358">
        <v>136.9</v>
      </c>
      <c r="T358" t="s">
        <v>37</v>
      </c>
      <c r="U358" s="3"/>
      <c r="V358" s="3"/>
      <c r="W358" s="3"/>
    </row>
    <row r="359" spans="1:23">
      <c r="A359" t="s">
        <v>1040</v>
      </c>
      <c r="B359" t="s">
        <v>29</v>
      </c>
      <c r="C359" t="s">
        <v>816</v>
      </c>
      <c r="D359" t="s">
        <v>1041</v>
      </c>
      <c r="E359" t="s">
        <v>1042</v>
      </c>
      <c r="F359" s="2">
        <v>45869</v>
      </c>
      <c r="G359" t="s">
        <v>89</v>
      </c>
      <c r="H359" t="s">
        <v>44</v>
      </c>
      <c r="J359" t="s">
        <v>71</v>
      </c>
      <c r="K359" t="s">
        <v>120</v>
      </c>
      <c r="L359">
        <v>92661.61</v>
      </c>
      <c r="M359">
        <v>87873.31</v>
      </c>
      <c r="O359">
        <v>16</v>
      </c>
      <c r="P359">
        <v>82</v>
      </c>
      <c r="Q359">
        <v>5</v>
      </c>
      <c r="R359">
        <v>156</v>
      </c>
      <c r="S359">
        <v>217.2</v>
      </c>
      <c r="T359" t="s">
        <v>37</v>
      </c>
      <c r="U359" s="3"/>
      <c r="V359" s="3"/>
      <c r="W359" s="3"/>
    </row>
    <row r="360" spans="1:23">
      <c r="A360" t="s">
        <v>1043</v>
      </c>
      <c r="B360" t="s">
        <v>1044</v>
      </c>
      <c r="C360" t="s">
        <v>30</v>
      </c>
      <c r="D360" s="2">
        <v>26778</v>
      </c>
      <c r="E360" s="2">
        <v>45109</v>
      </c>
      <c r="F360" s="2">
        <v>45116</v>
      </c>
      <c r="G360" t="s">
        <v>43</v>
      </c>
      <c r="H360" t="s">
        <v>113</v>
      </c>
      <c r="I360" t="s">
        <v>33</v>
      </c>
      <c r="J360" t="s">
        <v>71</v>
      </c>
      <c r="K360" t="s">
        <v>72</v>
      </c>
      <c r="L360" t="s">
        <v>1045</v>
      </c>
      <c r="M360">
        <v>161171.20000000001</v>
      </c>
      <c r="N360" t="s">
        <v>73</v>
      </c>
      <c r="O360">
        <v>7</v>
      </c>
      <c r="P360">
        <v>238</v>
      </c>
      <c r="R360" t="s">
        <v>1046</v>
      </c>
      <c r="S360">
        <v>103.2</v>
      </c>
      <c r="U360" s="3"/>
      <c r="V360" s="3"/>
      <c r="W360" s="3"/>
    </row>
    <row r="361" spans="1:23">
      <c r="A361" t="s">
        <v>1047</v>
      </c>
      <c r="B361" t="s">
        <v>234</v>
      </c>
      <c r="C361" t="s">
        <v>50</v>
      </c>
      <c r="D361" s="2">
        <v>24869</v>
      </c>
      <c r="E361" s="2">
        <v>45948</v>
      </c>
      <c r="F361" s="2">
        <v>45953</v>
      </c>
      <c r="G361" t="s">
        <v>62</v>
      </c>
      <c r="I361" t="s">
        <v>96</v>
      </c>
      <c r="K361" t="s">
        <v>161</v>
      </c>
      <c r="L361">
        <v>140639.85999999999</v>
      </c>
      <c r="M361">
        <v>111259.3</v>
      </c>
      <c r="N361" t="s">
        <v>1048</v>
      </c>
      <c r="O361">
        <v>5</v>
      </c>
      <c r="P361">
        <v>78</v>
      </c>
      <c r="Q361">
        <v>2</v>
      </c>
      <c r="R361">
        <v>127</v>
      </c>
      <c r="S361">
        <v>73</v>
      </c>
      <c r="T361" t="s">
        <v>37</v>
      </c>
      <c r="U361" s="3"/>
      <c r="V361" s="3"/>
      <c r="W361" s="3"/>
    </row>
    <row r="362" spans="1:23">
      <c r="A362" t="s">
        <v>1049</v>
      </c>
      <c r="B362" t="s">
        <v>1050</v>
      </c>
      <c r="C362" t="s">
        <v>84</v>
      </c>
      <c r="D362" t="s">
        <v>1051</v>
      </c>
      <c r="E362" t="s">
        <v>1052</v>
      </c>
      <c r="F362" s="2">
        <v>45486</v>
      </c>
      <c r="G362" t="s">
        <v>94</v>
      </c>
      <c r="H362" t="s">
        <v>134</v>
      </c>
      <c r="I362" t="s">
        <v>33</v>
      </c>
      <c r="J362" t="s">
        <v>71</v>
      </c>
      <c r="K362" t="s">
        <v>114</v>
      </c>
      <c r="L362">
        <v>56667.3</v>
      </c>
      <c r="M362">
        <v>52750.82</v>
      </c>
      <c r="N362" t="s">
        <v>56</v>
      </c>
      <c r="O362">
        <v>5</v>
      </c>
      <c r="P362">
        <v>68</v>
      </c>
      <c r="Q362">
        <v>4</v>
      </c>
      <c r="R362">
        <v>144</v>
      </c>
      <c r="S362">
        <v>145.80000000000001</v>
      </c>
      <c r="T362" t="s">
        <v>37</v>
      </c>
      <c r="U362" s="3"/>
      <c r="V362" s="3"/>
      <c r="W362" s="3"/>
    </row>
    <row r="363" spans="1:23">
      <c r="A363" t="s">
        <v>1053</v>
      </c>
      <c r="B363" t="s">
        <v>1054</v>
      </c>
      <c r="C363" t="s">
        <v>22</v>
      </c>
      <c r="D363" s="2">
        <v>20228</v>
      </c>
      <c r="E363" s="2">
        <v>45871</v>
      </c>
      <c r="F363" s="2">
        <v>45889</v>
      </c>
      <c r="G363" t="s">
        <v>70</v>
      </c>
      <c r="H363" t="s">
        <v>106</v>
      </c>
      <c r="I363" t="s">
        <v>79</v>
      </c>
      <c r="K363" t="s">
        <v>55</v>
      </c>
      <c r="L363">
        <v>36805.94</v>
      </c>
      <c r="M363">
        <v>31757.200000000001</v>
      </c>
      <c r="N363" t="s">
        <v>192</v>
      </c>
      <c r="O363">
        <v>18</v>
      </c>
      <c r="P363">
        <v>133</v>
      </c>
      <c r="Q363">
        <v>5</v>
      </c>
      <c r="R363">
        <v>149</v>
      </c>
      <c r="S363">
        <v>137.30000000000001</v>
      </c>
      <c r="T363" t="s">
        <v>37</v>
      </c>
      <c r="U363" s="3"/>
      <c r="V363" s="3"/>
      <c r="W363" s="3"/>
    </row>
    <row r="364" spans="1:23">
      <c r="A364" t="s">
        <v>1055</v>
      </c>
      <c r="B364" t="s">
        <v>576</v>
      </c>
      <c r="D364" s="2">
        <v>30965</v>
      </c>
      <c r="E364" t="s">
        <v>1056</v>
      </c>
      <c r="F364" s="2">
        <v>45049</v>
      </c>
      <c r="G364" t="s">
        <v>141</v>
      </c>
      <c r="H364" t="s">
        <v>24</v>
      </c>
      <c r="J364" t="s">
        <v>64</v>
      </c>
      <c r="K364" t="s">
        <v>72</v>
      </c>
      <c r="L364">
        <v>116404.64</v>
      </c>
      <c r="M364">
        <v>84439.66</v>
      </c>
      <c r="O364">
        <v>13</v>
      </c>
      <c r="P364">
        <v>74</v>
      </c>
      <c r="Q364">
        <v>2</v>
      </c>
      <c r="R364">
        <v>132</v>
      </c>
      <c r="S364">
        <v>182.9</v>
      </c>
      <c r="T364" t="s">
        <v>65</v>
      </c>
      <c r="U364" s="3"/>
      <c r="V364" s="3"/>
      <c r="W364" s="3"/>
    </row>
    <row r="365" spans="1:23">
      <c r="A365" t="s">
        <v>1057</v>
      </c>
      <c r="B365" t="s">
        <v>624</v>
      </c>
      <c r="C365" t="s">
        <v>60</v>
      </c>
      <c r="D365" s="2">
        <v>25517</v>
      </c>
      <c r="E365" t="s">
        <v>1058</v>
      </c>
      <c r="F365" t="s">
        <v>1059</v>
      </c>
      <c r="G365" t="s">
        <v>94</v>
      </c>
      <c r="H365" t="s">
        <v>255</v>
      </c>
      <c r="I365" t="s">
        <v>33</v>
      </c>
      <c r="J365" t="s">
        <v>179</v>
      </c>
      <c r="K365" t="s">
        <v>55</v>
      </c>
      <c r="L365">
        <v>40372.97</v>
      </c>
      <c r="M365">
        <v>34557.11</v>
      </c>
      <c r="O365">
        <v>16</v>
      </c>
      <c r="P365">
        <v>68</v>
      </c>
      <c r="Q365">
        <v>4</v>
      </c>
      <c r="R365">
        <v>103</v>
      </c>
      <c r="S365">
        <v>160</v>
      </c>
      <c r="T365" t="s">
        <v>57</v>
      </c>
      <c r="U365" s="3"/>
      <c r="V365" s="3"/>
      <c r="W365" s="3"/>
    </row>
    <row r="366" spans="1:23">
      <c r="A366" t="s">
        <v>1060</v>
      </c>
      <c r="B366" t="s">
        <v>1061</v>
      </c>
      <c r="C366" t="s">
        <v>30</v>
      </c>
      <c r="D366" s="2">
        <v>21855</v>
      </c>
      <c r="E366" t="s">
        <v>614</v>
      </c>
      <c r="F366" s="2">
        <v>45310</v>
      </c>
      <c r="G366" t="s">
        <v>754</v>
      </c>
      <c r="H366" t="s">
        <v>86</v>
      </c>
      <c r="I366" t="s">
        <v>53</v>
      </c>
      <c r="J366" t="s">
        <v>64</v>
      </c>
      <c r="K366" t="s">
        <v>401</v>
      </c>
      <c r="L366">
        <v>186062.02</v>
      </c>
      <c r="M366">
        <v>127284.06</v>
      </c>
      <c r="O366">
        <v>5</v>
      </c>
      <c r="Q366">
        <v>5</v>
      </c>
      <c r="R366">
        <v>127</v>
      </c>
      <c r="S366">
        <v>196.8</v>
      </c>
      <c r="T366" t="s">
        <v>37</v>
      </c>
      <c r="U366" s="3"/>
      <c r="V366" s="3"/>
      <c r="W366" s="3"/>
    </row>
    <row r="367" spans="1:23">
      <c r="A367" t="s">
        <v>1062</v>
      </c>
      <c r="B367" t="s">
        <v>517</v>
      </c>
      <c r="C367" t="s">
        <v>816</v>
      </c>
      <c r="D367" s="2">
        <v>19319</v>
      </c>
      <c r="E367" s="2">
        <v>45837</v>
      </c>
      <c r="F367" s="2">
        <v>45839</v>
      </c>
      <c r="G367" t="s">
        <v>105</v>
      </c>
      <c r="H367" t="s">
        <v>124</v>
      </c>
      <c r="J367" t="s">
        <v>34</v>
      </c>
      <c r="K367" t="s">
        <v>120</v>
      </c>
      <c r="L367" t="s">
        <v>1063</v>
      </c>
      <c r="M367">
        <v>57347.27</v>
      </c>
      <c r="N367" t="s">
        <v>192</v>
      </c>
      <c r="O367">
        <v>2</v>
      </c>
      <c r="P367">
        <v>224</v>
      </c>
      <c r="R367">
        <v>116</v>
      </c>
      <c r="S367">
        <v>136.30000000000001</v>
      </c>
      <c r="U367" s="3"/>
      <c r="V367" s="3"/>
      <c r="W367" s="3"/>
    </row>
    <row r="368" spans="1:23">
      <c r="A368" t="s">
        <v>1064</v>
      </c>
      <c r="B368" t="s">
        <v>1065</v>
      </c>
      <c r="C368" t="s">
        <v>206</v>
      </c>
      <c r="D368" s="2">
        <v>27261</v>
      </c>
      <c r="E368" s="2">
        <v>45296</v>
      </c>
      <c r="F368" s="2">
        <v>45313</v>
      </c>
      <c r="G368" t="s">
        <v>89</v>
      </c>
      <c r="H368" t="s">
        <v>44</v>
      </c>
      <c r="I368" t="s">
        <v>53</v>
      </c>
      <c r="J368" t="s">
        <v>46</v>
      </c>
      <c r="K368" t="s">
        <v>27</v>
      </c>
      <c r="L368">
        <v>148240.89000000001</v>
      </c>
      <c r="M368">
        <v>107324.29</v>
      </c>
      <c r="N368" t="s">
        <v>192</v>
      </c>
      <c r="O368">
        <v>17</v>
      </c>
      <c r="P368" t="s">
        <v>36</v>
      </c>
      <c r="Q368">
        <v>4</v>
      </c>
      <c r="R368" t="s">
        <v>682</v>
      </c>
      <c r="S368">
        <v>78.5</v>
      </c>
      <c r="U368" s="3"/>
      <c r="V368" s="3"/>
      <c r="W368" s="3"/>
    </row>
    <row r="369" spans="1:23">
      <c r="A369" t="s">
        <v>1066</v>
      </c>
      <c r="B369" t="s">
        <v>531</v>
      </c>
      <c r="C369" t="s">
        <v>30</v>
      </c>
      <c r="D369" s="2">
        <v>35979</v>
      </c>
      <c r="E369" s="2">
        <v>45053</v>
      </c>
      <c r="F369" s="2">
        <v>45062</v>
      </c>
      <c r="G369" t="s">
        <v>106</v>
      </c>
      <c r="H369" t="s">
        <v>153</v>
      </c>
      <c r="I369" t="s">
        <v>33</v>
      </c>
      <c r="J369" t="s">
        <v>34</v>
      </c>
      <c r="K369" t="s">
        <v>110</v>
      </c>
      <c r="L369">
        <v>191429.61</v>
      </c>
      <c r="M369">
        <v>153229.72</v>
      </c>
      <c r="N369" t="s">
        <v>192</v>
      </c>
      <c r="O369">
        <v>9</v>
      </c>
      <c r="P369">
        <v>12</v>
      </c>
      <c r="Q369">
        <v>3</v>
      </c>
      <c r="R369">
        <v>131</v>
      </c>
      <c r="S369">
        <v>90.5</v>
      </c>
      <c r="T369" t="s">
        <v>37</v>
      </c>
      <c r="U369" s="3"/>
      <c r="V369" s="3"/>
      <c r="W369" s="3"/>
    </row>
    <row r="370" spans="1:23">
      <c r="A370" t="s">
        <v>1067</v>
      </c>
      <c r="B370" t="s">
        <v>1068</v>
      </c>
      <c r="D370" s="2">
        <v>18954</v>
      </c>
      <c r="E370" s="2">
        <v>45124</v>
      </c>
      <c r="G370" t="s">
        <v>62</v>
      </c>
      <c r="H370" t="s">
        <v>207</v>
      </c>
      <c r="I370" t="s">
        <v>119</v>
      </c>
      <c r="J370" t="s">
        <v>34</v>
      </c>
      <c r="K370" t="s">
        <v>72</v>
      </c>
      <c r="L370">
        <v>143153.01999999999</v>
      </c>
      <c r="M370">
        <v>114839.27</v>
      </c>
      <c r="O370">
        <v>7</v>
      </c>
      <c r="P370">
        <v>179</v>
      </c>
      <c r="R370">
        <v>153</v>
      </c>
      <c r="S370">
        <v>106.1</v>
      </c>
      <c r="T370" t="s">
        <v>47</v>
      </c>
      <c r="U370" s="3"/>
      <c r="V370" s="3"/>
      <c r="W370" s="3"/>
    </row>
    <row r="371" spans="1:23">
      <c r="A371" t="s">
        <v>1069</v>
      </c>
      <c r="B371" t="s">
        <v>737</v>
      </c>
      <c r="C371" t="s">
        <v>40</v>
      </c>
      <c r="D371" s="2">
        <v>21040</v>
      </c>
      <c r="E371" s="2">
        <v>45032</v>
      </c>
      <c r="F371" s="2">
        <v>45050</v>
      </c>
      <c r="G371" t="s">
        <v>94</v>
      </c>
      <c r="I371" t="s">
        <v>96</v>
      </c>
      <c r="J371" t="s">
        <v>71</v>
      </c>
      <c r="K371" t="s">
        <v>161</v>
      </c>
      <c r="L371" t="s">
        <v>1070</v>
      </c>
      <c r="M371">
        <v>71412.240000000005</v>
      </c>
      <c r="N371" t="s">
        <v>91</v>
      </c>
      <c r="O371">
        <v>18</v>
      </c>
      <c r="P371">
        <v>228</v>
      </c>
      <c r="Q371">
        <v>3</v>
      </c>
      <c r="R371">
        <v>126</v>
      </c>
      <c r="T371" t="s">
        <v>37</v>
      </c>
      <c r="U371" s="3"/>
      <c r="V371" s="3"/>
      <c r="W371" s="3"/>
    </row>
    <row r="372" spans="1:23">
      <c r="A372" t="s">
        <v>1071</v>
      </c>
      <c r="B372" t="s">
        <v>495</v>
      </c>
      <c r="C372" t="s">
        <v>50</v>
      </c>
      <c r="D372" s="2">
        <v>38722</v>
      </c>
      <c r="E372" t="s">
        <v>1072</v>
      </c>
      <c r="F372" s="2">
        <v>45363</v>
      </c>
      <c r="G372" t="s">
        <v>105</v>
      </c>
      <c r="H372" t="s">
        <v>78</v>
      </c>
      <c r="I372" t="s">
        <v>25</v>
      </c>
      <c r="J372" t="s">
        <v>80</v>
      </c>
      <c r="L372">
        <v>124654.89</v>
      </c>
      <c r="M372">
        <v>108969.25</v>
      </c>
      <c r="N372" t="s">
        <v>73</v>
      </c>
      <c r="O372">
        <v>18</v>
      </c>
      <c r="P372">
        <v>184</v>
      </c>
      <c r="Q372">
        <v>1</v>
      </c>
      <c r="R372">
        <v>134</v>
      </c>
      <c r="S372">
        <v>256.39999999999998</v>
      </c>
      <c r="T372" t="s">
        <v>37</v>
      </c>
      <c r="U372" s="3"/>
      <c r="V372" s="3"/>
      <c r="W372" s="3"/>
    </row>
    <row r="373" spans="1:23">
      <c r="A373" t="s">
        <v>1073</v>
      </c>
      <c r="B373" t="s">
        <v>429</v>
      </c>
      <c r="C373" t="s">
        <v>133</v>
      </c>
      <c r="D373" s="2">
        <v>18736</v>
      </c>
      <c r="E373" t="s">
        <v>1074</v>
      </c>
      <c r="F373" s="2">
        <v>45704</v>
      </c>
      <c r="G373" t="s">
        <v>152</v>
      </c>
      <c r="H373" t="s">
        <v>134</v>
      </c>
      <c r="I373" t="s">
        <v>79</v>
      </c>
      <c r="J373" t="s">
        <v>97</v>
      </c>
      <c r="K373" t="s">
        <v>27</v>
      </c>
      <c r="M373">
        <v>89437.78</v>
      </c>
      <c r="N373" t="s">
        <v>73</v>
      </c>
      <c r="O373">
        <v>1</v>
      </c>
      <c r="P373" t="s">
        <v>1075</v>
      </c>
      <c r="R373">
        <v>105</v>
      </c>
      <c r="S373">
        <v>240.5</v>
      </c>
      <c r="T373" t="s">
        <v>65</v>
      </c>
      <c r="U373" s="3"/>
      <c r="V373" s="3"/>
      <c r="W373" s="3"/>
    </row>
    <row r="374" spans="1:23">
      <c r="A374" t="s">
        <v>1076</v>
      </c>
      <c r="B374" t="s">
        <v>321</v>
      </c>
      <c r="C374" t="s">
        <v>133</v>
      </c>
      <c r="D374" s="2">
        <v>38694</v>
      </c>
      <c r="E374" t="s">
        <v>1077</v>
      </c>
      <c r="G374" t="s">
        <v>77</v>
      </c>
      <c r="H374" t="s">
        <v>124</v>
      </c>
      <c r="I374" t="s">
        <v>96</v>
      </c>
      <c r="J374" t="s">
        <v>179</v>
      </c>
      <c r="K374" t="s">
        <v>120</v>
      </c>
      <c r="L374">
        <v>80246.16</v>
      </c>
      <c r="M374">
        <v>64751.14</v>
      </c>
      <c r="N374" t="s">
        <v>73</v>
      </c>
      <c r="O374">
        <v>3</v>
      </c>
      <c r="P374">
        <v>67</v>
      </c>
      <c r="Q374">
        <v>5</v>
      </c>
      <c r="R374">
        <v>106</v>
      </c>
      <c r="S374">
        <v>185.2</v>
      </c>
      <c r="T374" t="s">
        <v>37</v>
      </c>
      <c r="U374" s="3"/>
      <c r="V374" s="3"/>
      <c r="W374" s="3"/>
    </row>
    <row r="375" spans="1:23">
      <c r="A375" t="s">
        <v>1078</v>
      </c>
      <c r="B375" t="s">
        <v>1079</v>
      </c>
      <c r="C375" t="s">
        <v>84</v>
      </c>
      <c r="D375" s="2">
        <v>25150</v>
      </c>
      <c r="E375" t="s">
        <v>1080</v>
      </c>
      <c r="F375" t="s">
        <v>1081</v>
      </c>
      <c r="G375" t="s">
        <v>89</v>
      </c>
      <c r="H375" t="s">
        <v>95</v>
      </c>
      <c r="I375" t="s">
        <v>33</v>
      </c>
      <c r="J375" t="s">
        <v>179</v>
      </c>
      <c r="K375" t="s">
        <v>161</v>
      </c>
      <c r="L375">
        <v>88292.27</v>
      </c>
      <c r="M375">
        <v>76467.11</v>
      </c>
      <c r="N375" t="s">
        <v>91</v>
      </c>
      <c r="O375">
        <v>9</v>
      </c>
      <c r="P375">
        <v>164</v>
      </c>
      <c r="R375">
        <v>125</v>
      </c>
      <c r="S375">
        <v>84.9</v>
      </c>
      <c r="T375" t="s">
        <v>47</v>
      </c>
      <c r="U375" s="3"/>
      <c r="V375" s="3"/>
      <c r="W375" s="3"/>
    </row>
    <row r="376" spans="1:23">
      <c r="A376" t="s">
        <v>1082</v>
      </c>
      <c r="B376" t="s">
        <v>21</v>
      </c>
      <c r="C376" t="s">
        <v>206</v>
      </c>
      <c r="D376" t="s">
        <v>1083</v>
      </c>
      <c r="E376" t="s">
        <v>1084</v>
      </c>
      <c r="F376" s="2">
        <v>45509</v>
      </c>
      <c r="G376" t="s">
        <v>161</v>
      </c>
      <c r="H376" t="s">
        <v>24</v>
      </c>
      <c r="I376" t="s">
        <v>96</v>
      </c>
      <c r="K376" t="s">
        <v>55</v>
      </c>
      <c r="L376">
        <v>97524.22</v>
      </c>
      <c r="M376">
        <v>93509.33</v>
      </c>
      <c r="N376" t="s">
        <v>192</v>
      </c>
      <c r="O376">
        <v>13</v>
      </c>
      <c r="P376">
        <v>103</v>
      </c>
      <c r="R376">
        <v>95</v>
      </c>
      <c r="S376">
        <v>112.6</v>
      </c>
      <c r="T376" t="s">
        <v>37</v>
      </c>
      <c r="U376" s="3"/>
      <c r="V376" s="3"/>
      <c r="W376" s="3"/>
    </row>
    <row r="377" spans="1:23">
      <c r="A377" t="s">
        <v>1085</v>
      </c>
      <c r="B377" t="s">
        <v>173</v>
      </c>
      <c r="C377" t="s">
        <v>106</v>
      </c>
      <c r="D377" t="s">
        <v>1086</v>
      </c>
      <c r="E377" s="2">
        <v>45815</v>
      </c>
      <c r="F377" s="2">
        <v>45829</v>
      </c>
      <c r="G377" t="s">
        <v>31</v>
      </c>
      <c r="H377" t="s">
        <v>78</v>
      </c>
      <c r="I377" t="s">
        <v>25</v>
      </c>
      <c r="J377" t="s">
        <v>26</v>
      </c>
      <c r="K377" t="s">
        <v>110</v>
      </c>
      <c r="L377">
        <v>139440.31</v>
      </c>
      <c r="M377">
        <v>116123.18</v>
      </c>
      <c r="N377" t="s">
        <v>56</v>
      </c>
      <c r="O377">
        <v>14</v>
      </c>
      <c r="P377">
        <v>78</v>
      </c>
      <c r="R377">
        <v>149</v>
      </c>
      <c r="S377">
        <v>150.5</v>
      </c>
      <c r="U377" s="3"/>
      <c r="V377" s="3"/>
      <c r="W377" s="3"/>
    </row>
    <row r="378" spans="1:23">
      <c r="A378" t="s">
        <v>1087</v>
      </c>
      <c r="B378" t="s">
        <v>1088</v>
      </c>
      <c r="D378" t="s">
        <v>1089</v>
      </c>
      <c r="E378" t="s">
        <v>1090</v>
      </c>
      <c r="F378" s="2">
        <v>45500</v>
      </c>
      <c r="G378" t="s">
        <v>190</v>
      </c>
      <c r="H378" t="s">
        <v>78</v>
      </c>
      <c r="I378" t="s">
        <v>25</v>
      </c>
      <c r="J378" t="s">
        <v>26</v>
      </c>
      <c r="L378">
        <v>78456.55</v>
      </c>
      <c r="M378">
        <v>53103.5</v>
      </c>
      <c r="N378" t="s">
        <v>35</v>
      </c>
      <c r="O378">
        <v>12</v>
      </c>
      <c r="P378">
        <v>72</v>
      </c>
      <c r="Q378">
        <v>3</v>
      </c>
      <c r="R378">
        <v>146</v>
      </c>
      <c r="S378">
        <v>157.9</v>
      </c>
      <c r="T378" t="s">
        <v>37</v>
      </c>
      <c r="U378" s="3"/>
      <c r="V378" s="3"/>
      <c r="W378" s="3"/>
    </row>
    <row r="379" spans="1:23">
      <c r="A379" t="s">
        <v>1091</v>
      </c>
      <c r="B379" t="s">
        <v>83</v>
      </c>
      <c r="C379" t="s">
        <v>60</v>
      </c>
      <c r="D379" s="2">
        <v>24236</v>
      </c>
      <c r="E379" s="2">
        <v>45940</v>
      </c>
      <c r="F379" s="2">
        <v>45945</v>
      </c>
      <c r="G379" t="s">
        <v>62</v>
      </c>
      <c r="I379" t="s">
        <v>25</v>
      </c>
      <c r="J379" t="s">
        <v>80</v>
      </c>
      <c r="K379" t="s">
        <v>55</v>
      </c>
      <c r="L379">
        <v>30825.52</v>
      </c>
      <c r="M379">
        <v>23281.8</v>
      </c>
      <c r="N379" t="s">
        <v>91</v>
      </c>
      <c r="O379">
        <v>5</v>
      </c>
      <c r="P379">
        <v>134</v>
      </c>
      <c r="R379">
        <v>164</v>
      </c>
      <c r="S379">
        <v>130.30000000000001</v>
      </c>
      <c r="T379" t="s">
        <v>37</v>
      </c>
      <c r="U379" s="3"/>
      <c r="V379" s="3"/>
      <c r="W379" s="3"/>
    </row>
    <row r="380" spans="1:23">
      <c r="A380" t="s">
        <v>1092</v>
      </c>
      <c r="B380" t="s">
        <v>29</v>
      </c>
      <c r="C380" t="s">
        <v>84</v>
      </c>
      <c r="D380" s="2">
        <v>28538</v>
      </c>
      <c r="E380" s="2">
        <v>45085</v>
      </c>
      <c r="F380" s="2">
        <v>45093</v>
      </c>
      <c r="G380" t="s">
        <v>117</v>
      </c>
      <c r="H380" t="s">
        <v>63</v>
      </c>
      <c r="I380" t="s">
        <v>79</v>
      </c>
      <c r="L380">
        <v>161367.04000000001</v>
      </c>
      <c r="M380">
        <v>119883.42</v>
      </c>
      <c r="N380" t="s">
        <v>73</v>
      </c>
      <c r="O380">
        <v>8</v>
      </c>
      <c r="P380">
        <v>88</v>
      </c>
      <c r="Q380">
        <v>5</v>
      </c>
      <c r="R380">
        <v>132</v>
      </c>
      <c r="S380">
        <v>255.3</v>
      </c>
      <c r="U380" s="3"/>
      <c r="V380" s="3"/>
      <c r="W380" s="3"/>
    </row>
    <row r="381" spans="1:23">
      <c r="A381" t="s">
        <v>1093</v>
      </c>
      <c r="B381" t="s">
        <v>1094</v>
      </c>
      <c r="C381" t="s">
        <v>84</v>
      </c>
      <c r="D381" s="2">
        <v>36822</v>
      </c>
      <c r="E381" t="s">
        <v>1095</v>
      </c>
      <c r="F381" s="2">
        <v>45638</v>
      </c>
      <c r="G381" t="s">
        <v>117</v>
      </c>
      <c r="H381" t="s">
        <v>24</v>
      </c>
      <c r="I381" t="s">
        <v>53</v>
      </c>
      <c r="J381" t="s">
        <v>34</v>
      </c>
      <c r="K381" t="s">
        <v>120</v>
      </c>
      <c r="L381">
        <v>191246.43</v>
      </c>
      <c r="M381">
        <v>117617.22</v>
      </c>
      <c r="N381" t="s">
        <v>192</v>
      </c>
      <c r="O381">
        <v>7</v>
      </c>
      <c r="P381">
        <v>24</v>
      </c>
      <c r="Q381">
        <v>4</v>
      </c>
      <c r="R381">
        <v>162</v>
      </c>
      <c r="S381">
        <v>165.7</v>
      </c>
      <c r="T381" t="s">
        <v>37</v>
      </c>
      <c r="U381" s="3"/>
      <c r="V381" s="3"/>
      <c r="W381" s="3"/>
    </row>
    <row r="382" spans="1:23">
      <c r="A382" t="s">
        <v>1096</v>
      </c>
      <c r="B382" t="s">
        <v>1097</v>
      </c>
      <c r="C382" t="s">
        <v>296</v>
      </c>
      <c r="D382" s="2">
        <v>37050</v>
      </c>
      <c r="E382" s="2">
        <v>45860</v>
      </c>
      <c r="F382" s="2">
        <v>45871</v>
      </c>
      <c r="G382" t="s">
        <v>161</v>
      </c>
      <c r="H382" t="s">
        <v>153</v>
      </c>
      <c r="I382" t="s">
        <v>45</v>
      </c>
      <c r="J382" t="s">
        <v>34</v>
      </c>
      <c r="K382" t="s">
        <v>27</v>
      </c>
      <c r="L382">
        <v>183867.59</v>
      </c>
      <c r="M382">
        <v>141235.34</v>
      </c>
      <c r="O382">
        <v>11</v>
      </c>
      <c r="P382">
        <v>95</v>
      </c>
      <c r="R382">
        <v>154</v>
      </c>
      <c r="S382">
        <v>84.5</v>
      </c>
      <c r="T382" t="s">
        <v>65</v>
      </c>
      <c r="U382" s="3"/>
      <c r="V382" s="3"/>
      <c r="W382" s="3"/>
    </row>
    <row r="383" spans="1:23">
      <c r="A383" t="s">
        <v>1098</v>
      </c>
      <c r="B383" t="s">
        <v>1099</v>
      </c>
      <c r="C383" t="s">
        <v>816</v>
      </c>
      <c r="D383" s="2">
        <v>36657</v>
      </c>
      <c r="E383" s="2">
        <v>45569</v>
      </c>
      <c r="F383" s="2">
        <v>45573</v>
      </c>
      <c r="G383" t="s">
        <v>43</v>
      </c>
      <c r="H383" t="s">
        <v>95</v>
      </c>
      <c r="I383" t="s">
        <v>53</v>
      </c>
      <c r="L383">
        <v>124814.56</v>
      </c>
      <c r="M383">
        <v>121065.35</v>
      </c>
      <c r="N383" t="s">
        <v>56</v>
      </c>
      <c r="O383">
        <v>4</v>
      </c>
      <c r="P383">
        <v>229</v>
      </c>
      <c r="R383">
        <v>91</v>
      </c>
      <c r="S383">
        <v>101.7</v>
      </c>
      <c r="T383" t="s">
        <v>37</v>
      </c>
      <c r="U383" s="3"/>
      <c r="V383" s="3"/>
      <c r="W383" s="3"/>
    </row>
    <row r="384" spans="1:23">
      <c r="A384" t="s">
        <v>1100</v>
      </c>
      <c r="B384" t="s">
        <v>1101</v>
      </c>
      <c r="C384" t="s">
        <v>60</v>
      </c>
      <c r="D384" t="s">
        <v>1102</v>
      </c>
      <c r="E384" s="2">
        <v>45421</v>
      </c>
      <c r="F384" s="2">
        <v>45431</v>
      </c>
      <c r="H384" t="s">
        <v>63</v>
      </c>
      <c r="I384" t="s">
        <v>33</v>
      </c>
      <c r="J384" t="s">
        <v>179</v>
      </c>
      <c r="L384">
        <v>20753.75</v>
      </c>
      <c r="M384">
        <v>20441.939999999999</v>
      </c>
      <c r="N384" t="s">
        <v>56</v>
      </c>
      <c r="O384">
        <v>10</v>
      </c>
      <c r="P384">
        <v>238</v>
      </c>
      <c r="Q384">
        <v>4</v>
      </c>
      <c r="R384">
        <v>170</v>
      </c>
      <c r="T384" t="s">
        <v>37</v>
      </c>
      <c r="U384" s="3"/>
      <c r="V384" s="3"/>
      <c r="W384" s="3"/>
    </row>
    <row r="385" spans="1:23">
      <c r="A385" t="s">
        <v>1103</v>
      </c>
      <c r="B385" t="s">
        <v>1104</v>
      </c>
      <c r="C385" t="s">
        <v>50</v>
      </c>
      <c r="D385" s="2">
        <v>28566</v>
      </c>
      <c r="E385" s="2">
        <v>45499</v>
      </c>
      <c r="F385" s="2">
        <v>45503</v>
      </c>
      <c r="G385" t="s">
        <v>77</v>
      </c>
      <c r="H385" t="s">
        <v>63</v>
      </c>
      <c r="I385" t="s">
        <v>25</v>
      </c>
      <c r="J385" t="s">
        <v>106</v>
      </c>
      <c r="K385" t="s">
        <v>183</v>
      </c>
      <c r="L385">
        <v>130625.22</v>
      </c>
      <c r="M385">
        <v>102743.74</v>
      </c>
      <c r="N385" t="s">
        <v>192</v>
      </c>
      <c r="O385">
        <v>4</v>
      </c>
      <c r="P385">
        <v>221</v>
      </c>
      <c r="Q385">
        <v>4</v>
      </c>
      <c r="R385">
        <v>126</v>
      </c>
      <c r="S385">
        <v>131.30000000000001</v>
      </c>
      <c r="T385" t="s">
        <v>65</v>
      </c>
      <c r="U385" s="3"/>
      <c r="V385" s="3"/>
      <c r="W385" s="3"/>
    </row>
    <row r="386" spans="1:23">
      <c r="A386" t="s">
        <v>1105</v>
      </c>
      <c r="B386" t="s">
        <v>1106</v>
      </c>
      <c r="D386" s="2">
        <v>24699</v>
      </c>
      <c r="E386" s="2">
        <v>45385</v>
      </c>
      <c r="F386" s="2">
        <v>45391</v>
      </c>
      <c r="G386" t="s">
        <v>109</v>
      </c>
      <c r="H386" t="s">
        <v>118</v>
      </c>
      <c r="I386" t="s">
        <v>33</v>
      </c>
      <c r="K386" t="s">
        <v>27</v>
      </c>
      <c r="L386">
        <v>167442.32</v>
      </c>
      <c r="M386">
        <v>122030.76</v>
      </c>
      <c r="N386" t="s">
        <v>35</v>
      </c>
      <c r="O386">
        <v>6</v>
      </c>
      <c r="P386">
        <v>146</v>
      </c>
      <c r="R386">
        <v>186</v>
      </c>
      <c r="S386">
        <v>102.1</v>
      </c>
      <c r="T386" t="s">
        <v>37</v>
      </c>
      <c r="U386" s="3"/>
      <c r="V386" s="3"/>
      <c r="W386" s="3"/>
    </row>
    <row r="387" spans="1:23">
      <c r="A387" t="s">
        <v>1107</v>
      </c>
      <c r="B387" t="s">
        <v>1108</v>
      </c>
      <c r="C387" t="s">
        <v>40</v>
      </c>
      <c r="D387" s="2">
        <v>35061</v>
      </c>
      <c r="E387" s="2">
        <v>45172</v>
      </c>
      <c r="F387" s="2">
        <v>45187</v>
      </c>
      <c r="G387" t="s">
        <v>77</v>
      </c>
      <c r="H387" t="s">
        <v>44</v>
      </c>
      <c r="I387" t="s">
        <v>33</v>
      </c>
      <c r="J387" t="s">
        <v>97</v>
      </c>
      <c r="K387" t="s">
        <v>72</v>
      </c>
      <c r="L387">
        <v>248286.62</v>
      </c>
      <c r="M387">
        <v>190068.99</v>
      </c>
      <c r="N387" t="s">
        <v>73</v>
      </c>
      <c r="O387">
        <v>15</v>
      </c>
      <c r="P387">
        <v>95</v>
      </c>
      <c r="Q387">
        <v>2</v>
      </c>
      <c r="R387">
        <v>185</v>
      </c>
      <c r="S387">
        <v>220.7</v>
      </c>
      <c r="U387" s="3"/>
      <c r="V387" s="3"/>
      <c r="W387" s="3"/>
    </row>
    <row r="388" spans="1:23">
      <c r="A388" t="s">
        <v>1109</v>
      </c>
      <c r="B388" t="s">
        <v>328</v>
      </c>
      <c r="D388" t="s">
        <v>1110</v>
      </c>
      <c r="E388" s="2">
        <v>44999</v>
      </c>
      <c r="F388" s="2">
        <v>45000</v>
      </c>
      <c r="G388" t="s">
        <v>117</v>
      </c>
      <c r="H388" t="s">
        <v>134</v>
      </c>
      <c r="I388" t="s">
        <v>45</v>
      </c>
      <c r="J388" t="s">
        <v>80</v>
      </c>
      <c r="K388" t="s">
        <v>27</v>
      </c>
      <c r="L388">
        <v>68158.3</v>
      </c>
      <c r="M388">
        <v>57617.77</v>
      </c>
      <c r="N388" t="s">
        <v>73</v>
      </c>
      <c r="O388">
        <v>1</v>
      </c>
      <c r="P388">
        <v>52</v>
      </c>
      <c r="R388">
        <v>126</v>
      </c>
      <c r="S388">
        <v>95</v>
      </c>
      <c r="U388" s="3"/>
      <c r="V388" s="3"/>
      <c r="W388" s="3"/>
    </row>
    <row r="389" spans="1:23">
      <c r="A389" t="s">
        <v>1111</v>
      </c>
      <c r="B389" t="s">
        <v>697</v>
      </c>
      <c r="C389" t="s">
        <v>396</v>
      </c>
      <c r="D389" s="2">
        <v>33673</v>
      </c>
      <c r="E389" s="2">
        <v>45401</v>
      </c>
      <c r="F389" s="2">
        <v>45411</v>
      </c>
      <c r="G389" t="s">
        <v>77</v>
      </c>
      <c r="H389" t="s">
        <v>78</v>
      </c>
      <c r="I389" t="s">
        <v>79</v>
      </c>
      <c r="K389" t="s">
        <v>72</v>
      </c>
      <c r="L389">
        <v>90889.15</v>
      </c>
      <c r="M389">
        <v>68093.600000000006</v>
      </c>
      <c r="N389" t="s">
        <v>106</v>
      </c>
      <c r="O389">
        <v>10</v>
      </c>
      <c r="P389">
        <v>61</v>
      </c>
      <c r="Q389">
        <v>2</v>
      </c>
      <c r="R389">
        <v>186</v>
      </c>
      <c r="S389">
        <v>215.1</v>
      </c>
      <c r="T389" t="s">
        <v>348</v>
      </c>
      <c r="U389" s="3"/>
      <c r="V389" s="3"/>
      <c r="W389" s="3"/>
    </row>
    <row r="390" spans="1:23">
      <c r="A390" t="s">
        <v>1112</v>
      </c>
      <c r="B390" t="s">
        <v>433</v>
      </c>
      <c r="C390" t="s">
        <v>307</v>
      </c>
      <c r="D390" s="2">
        <v>34060</v>
      </c>
      <c r="E390" s="2">
        <v>45522</v>
      </c>
      <c r="F390" s="2">
        <v>45531</v>
      </c>
      <c r="H390" t="s">
        <v>78</v>
      </c>
      <c r="I390" t="s">
        <v>79</v>
      </c>
      <c r="J390" t="s">
        <v>179</v>
      </c>
      <c r="K390" t="s">
        <v>161</v>
      </c>
      <c r="L390">
        <v>141658.68</v>
      </c>
      <c r="M390">
        <v>110278.67</v>
      </c>
      <c r="N390" t="s">
        <v>192</v>
      </c>
      <c r="O390">
        <v>9</v>
      </c>
      <c r="P390">
        <v>86</v>
      </c>
      <c r="Q390">
        <v>4</v>
      </c>
      <c r="R390">
        <v>140</v>
      </c>
      <c r="S390">
        <v>223.7</v>
      </c>
      <c r="T390" t="s">
        <v>37</v>
      </c>
      <c r="U390" s="3"/>
      <c r="V390" s="3"/>
      <c r="W390" s="3"/>
    </row>
    <row r="391" spans="1:23">
      <c r="A391" t="s">
        <v>1113</v>
      </c>
      <c r="B391" t="s">
        <v>295</v>
      </c>
      <c r="C391" t="s">
        <v>40</v>
      </c>
      <c r="D391" t="s">
        <v>1114</v>
      </c>
      <c r="E391" s="2">
        <v>45602</v>
      </c>
      <c r="F391" s="2">
        <v>45607</v>
      </c>
      <c r="G391" t="s">
        <v>152</v>
      </c>
      <c r="H391" t="s">
        <v>153</v>
      </c>
      <c r="I391" t="s">
        <v>25</v>
      </c>
      <c r="J391" t="s">
        <v>34</v>
      </c>
      <c r="K391" t="s">
        <v>72</v>
      </c>
      <c r="L391">
        <v>24837.55</v>
      </c>
      <c r="M391">
        <v>16889.25</v>
      </c>
      <c r="N391" t="s">
        <v>91</v>
      </c>
      <c r="O391">
        <v>5</v>
      </c>
      <c r="P391" t="s">
        <v>1115</v>
      </c>
      <c r="R391">
        <v>98</v>
      </c>
      <c r="S391">
        <v>194.4</v>
      </c>
      <c r="T391" t="s">
        <v>37</v>
      </c>
      <c r="U391" s="3"/>
      <c r="V391" s="3"/>
      <c r="W391" s="3"/>
    </row>
    <row r="392" spans="1:23">
      <c r="A392" t="s">
        <v>1116</v>
      </c>
      <c r="B392" t="s">
        <v>541</v>
      </c>
      <c r="C392" t="s">
        <v>100</v>
      </c>
      <c r="D392" t="s">
        <v>1117</v>
      </c>
      <c r="E392" s="2">
        <v>44968</v>
      </c>
      <c r="F392" s="2">
        <v>44985</v>
      </c>
      <c r="G392" t="s">
        <v>43</v>
      </c>
      <c r="H392" t="s">
        <v>78</v>
      </c>
      <c r="J392" t="s">
        <v>179</v>
      </c>
      <c r="K392" t="s">
        <v>55</v>
      </c>
      <c r="L392">
        <v>41344.01</v>
      </c>
      <c r="M392">
        <v>29241.51</v>
      </c>
      <c r="N392" t="s">
        <v>192</v>
      </c>
      <c r="O392">
        <v>17</v>
      </c>
      <c r="P392">
        <v>166</v>
      </c>
      <c r="Q392">
        <v>4</v>
      </c>
      <c r="S392">
        <v>121.8</v>
      </c>
      <c r="T392" t="s">
        <v>37</v>
      </c>
      <c r="U392" s="3"/>
      <c r="V392" s="3"/>
      <c r="W392" s="3"/>
    </row>
    <row r="393" spans="1:23">
      <c r="A393" t="s">
        <v>1118</v>
      </c>
      <c r="B393" t="s">
        <v>1119</v>
      </c>
      <c r="C393" t="s">
        <v>60</v>
      </c>
      <c r="D393" s="2">
        <v>20808</v>
      </c>
      <c r="E393" s="2">
        <v>45728</v>
      </c>
      <c r="F393" s="2">
        <v>45735</v>
      </c>
      <c r="H393" t="s">
        <v>44</v>
      </c>
      <c r="I393" t="s">
        <v>119</v>
      </c>
      <c r="J393" t="s">
        <v>34</v>
      </c>
      <c r="K393" t="s">
        <v>55</v>
      </c>
      <c r="L393" t="s">
        <v>1120</v>
      </c>
      <c r="M393">
        <v>102236.89</v>
      </c>
      <c r="O393">
        <v>7</v>
      </c>
      <c r="P393">
        <v>122</v>
      </c>
      <c r="Q393">
        <v>4</v>
      </c>
      <c r="S393">
        <v>120.2</v>
      </c>
      <c r="U393" s="3"/>
      <c r="V393" s="3"/>
      <c r="W393" s="3"/>
    </row>
    <row r="394" spans="1:23">
      <c r="A394" t="s">
        <v>1121</v>
      </c>
      <c r="B394" t="s">
        <v>700</v>
      </c>
      <c r="C394" t="s">
        <v>30</v>
      </c>
      <c r="D394" s="2">
        <v>40354</v>
      </c>
      <c r="E394" s="2">
        <v>45148</v>
      </c>
      <c r="F394" s="2">
        <v>45163</v>
      </c>
      <c r="G394" t="s">
        <v>152</v>
      </c>
      <c r="H394" t="s">
        <v>134</v>
      </c>
      <c r="I394" t="s">
        <v>45</v>
      </c>
      <c r="J394" t="s">
        <v>34</v>
      </c>
      <c r="K394" t="s">
        <v>110</v>
      </c>
      <c r="L394">
        <v>94030.85</v>
      </c>
      <c r="M394">
        <v>62005.45</v>
      </c>
      <c r="N394" t="s">
        <v>73</v>
      </c>
      <c r="O394">
        <v>15</v>
      </c>
      <c r="P394">
        <v>84</v>
      </c>
      <c r="Q394">
        <v>5</v>
      </c>
      <c r="R394">
        <v>108</v>
      </c>
      <c r="S394">
        <v>223.8</v>
      </c>
      <c r="T394" t="s">
        <v>37</v>
      </c>
      <c r="U394" s="3"/>
      <c r="V394" s="3"/>
      <c r="W394" s="3"/>
    </row>
    <row r="395" spans="1:23">
      <c r="A395" t="s">
        <v>1122</v>
      </c>
      <c r="B395" t="s">
        <v>321</v>
      </c>
      <c r="C395" t="s">
        <v>459</v>
      </c>
      <c r="D395" t="s">
        <v>1123</v>
      </c>
      <c r="E395" s="2">
        <v>45618</v>
      </c>
      <c r="G395" t="s">
        <v>31</v>
      </c>
      <c r="H395" t="s">
        <v>118</v>
      </c>
      <c r="I395" t="s">
        <v>79</v>
      </c>
      <c r="J395" t="s">
        <v>179</v>
      </c>
      <c r="K395" t="s">
        <v>72</v>
      </c>
      <c r="L395">
        <v>68865.86</v>
      </c>
      <c r="M395">
        <v>63805</v>
      </c>
      <c r="N395" t="s">
        <v>91</v>
      </c>
      <c r="O395">
        <v>5</v>
      </c>
      <c r="P395">
        <v>208</v>
      </c>
      <c r="R395">
        <v>159</v>
      </c>
      <c r="S395">
        <v>165</v>
      </c>
      <c r="U395" s="3"/>
      <c r="V395" s="3"/>
      <c r="W395" s="3"/>
    </row>
    <row r="396" spans="1:23">
      <c r="A396" t="s">
        <v>1124</v>
      </c>
      <c r="B396" t="s">
        <v>1125</v>
      </c>
      <c r="C396" t="s">
        <v>396</v>
      </c>
      <c r="D396" t="s">
        <v>1126</v>
      </c>
      <c r="E396" t="s">
        <v>1127</v>
      </c>
      <c r="F396" s="2">
        <v>45346</v>
      </c>
      <c r="G396" t="s">
        <v>161</v>
      </c>
      <c r="H396" t="s">
        <v>24</v>
      </c>
      <c r="I396" t="s">
        <v>79</v>
      </c>
      <c r="J396" t="s">
        <v>34</v>
      </c>
      <c r="K396" t="s">
        <v>55</v>
      </c>
      <c r="L396">
        <v>44753.72</v>
      </c>
      <c r="M396">
        <v>34081.85</v>
      </c>
      <c r="N396" t="s">
        <v>73</v>
      </c>
      <c r="O396">
        <v>15</v>
      </c>
      <c r="P396">
        <v>196</v>
      </c>
      <c r="R396">
        <v>143</v>
      </c>
      <c r="S396">
        <v>145.9</v>
      </c>
      <c r="T396" t="s">
        <v>65</v>
      </c>
      <c r="U396" s="3"/>
      <c r="V396" s="3"/>
      <c r="W396" s="3"/>
    </row>
    <row r="397" spans="1:23">
      <c r="A397" t="s">
        <v>1128</v>
      </c>
      <c r="B397" t="s">
        <v>295</v>
      </c>
      <c r="D397" t="s">
        <v>1129</v>
      </c>
      <c r="E397" s="2">
        <v>45990</v>
      </c>
      <c r="F397" s="2">
        <v>45999</v>
      </c>
      <c r="G397" t="s">
        <v>94</v>
      </c>
      <c r="H397" t="s">
        <v>63</v>
      </c>
      <c r="I397" t="s">
        <v>53</v>
      </c>
      <c r="J397" t="s">
        <v>97</v>
      </c>
      <c r="K397" t="s">
        <v>27</v>
      </c>
      <c r="L397">
        <v>132283.67000000001</v>
      </c>
      <c r="M397">
        <v>88338.91</v>
      </c>
      <c r="N397" t="s">
        <v>56</v>
      </c>
      <c r="O397">
        <v>9</v>
      </c>
      <c r="P397">
        <v>111</v>
      </c>
      <c r="Q397">
        <v>3</v>
      </c>
      <c r="R397">
        <v>109</v>
      </c>
      <c r="S397">
        <v>159.4</v>
      </c>
      <c r="T397" t="s">
        <v>37</v>
      </c>
      <c r="U397" s="3"/>
      <c r="V397" s="3"/>
      <c r="W397" s="3"/>
    </row>
    <row r="398" spans="1:23">
      <c r="A398" t="s">
        <v>1130</v>
      </c>
      <c r="B398" t="s">
        <v>1131</v>
      </c>
      <c r="C398" t="s">
        <v>133</v>
      </c>
      <c r="D398" s="2">
        <v>39912</v>
      </c>
      <c r="E398" s="2">
        <v>45509</v>
      </c>
      <c r="F398" s="2">
        <v>45523</v>
      </c>
      <c r="G398" t="s">
        <v>109</v>
      </c>
      <c r="H398" t="s">
        <v>63</v>
      </c>
      <c r="I398" t="s">
        <v>79</v>
      </c>
      <c r="J398" t="s">
        <v>71</v>
      </c>
      <c r="K398" t="s">
        <v>161</v>
      </c>
      <c r="L398">
        <v>141375.29</v>
      </c>
      <c r="M398">
        <v>107888.96000000001</v>
      </c>
      <c r="N398" t="s">
        <v>192</v>
      </c>
      <c r="O398">
        <v>14</v>
      </c>
      <c r="P398">
        <v>24</v>
      </c>
      <c r="Q398">
        <v>3</v>
      </c>
      <c r="R398">
        <v>103</v>
      </c>
      <c r="S398">
        <v>208.8</v>
      </c>
      <c r="T398" t="s">
        <v>65</v>
      </c>
      <c r="U398" s="3"/>
      <c r="V398" s="3"/>
      <c r="W398" s="3"/>
    </row>
    <row r="399" spans="1:23">
      <c r="A399" t="s">
        <v>1132</v>
      </c>
      <c r="B399" t="s">
        <v>666</v>
      </c>
      <c r="C399" t="s">
        <v>206</v>
      </c>
      <c r="D399" t="s">
        <v>1133</v>
      </c>
      <c r="E399" s="2">
        <v>45401</v>
      </c>
      <c r="F399" s="2">
        <v>45408</v>
      </c>
      <c r="G399" t="s">
        <v>902</v>
      </c>
      <c r="H399" t="s">
        <v>118</v>
      </c>
      <c r="I399" t="s">
        <v>53</v>
      </c>
      <c r="J399" t="s">
        <v>97</v>
      </c>
      <c r="L399">
        <v>43292.55</v>
      </c>
      <c r="M399">
        <v>34504.22</v>
      </c>
      <c r="N399" t="s">
        <v>192</v>
      </c>
      <c r="O399">
        <v>7</v>
      </c>
      <c r="P399">
        <v>234</v>
      </c>
      <c r="Q399">
        <v>1</v>
      </c>
      <c r="R399">
        <v>107</v>
      </c>
      <c r="S399">
        <v>167.2</v>
      </c>
      <c r="T399" t="s">
        <v>37</v>
      </c>
      <c r="U399" s="3"/>
      <c r="V399" s="3"/>
      <c r="W399" s="3"/>
    </row>
    <row r="400" spans="1:23">
      <c r="A400" t="s">
        <v>1134</v>
      </c>
      <c r="B400" t="s">
        <v>1135</v>
      </c>
      <c r="D400" t="s">
        <v>1136</v>
      </c>
      <c r="E400" s="2">
        <v>45495</v>
      </c>
      <c r="F400" s="2">
        <v>45500</v>
      </c>
      <c r="G400" t="s">
        <v>89</v>
      </c>
      <c r="H400" t="s">
        <v>32</v>
      </c>
      <c r="J400" t="s">
        <v>71</v>
      </c>
      <c r="K400" t="s">
        <v>72</v>
      </c>
      <c r="L400">
        <v>172128.48</v>
      </c>
      <c r="M400">
        <v>150257.10999999999</v>
      </c>
      <c r="N400" t="s">
        <v>106</v>
      </c>
      <c r="O400">
        <v>5</v>
      </c>
      <c r="P400">
        <v>171</v>
      </c>
      <c r="Q400">
        <v>5</v>
      </c>
      <c r="S400">
        <v>74.8</v>
      </c>
      <c r="T400" t="s">
        <v>65</v>
      </c>
      <c r="U400" s="3"/>
      <c r="V400" s="3"/>
      <c r="W400" s="3"/>
    </row>
    <row r="401" spans="1:23">
      <c r="A401" t="s">
        <v>1137</v>
      </c>
      <c r="B401" t="s">
        <v>108</v>
      </c>
      <c r="C401" t="s">
        <v>84</v>
      </c>
      <c r="D401" s="2">
        <v>22665</v>
      </c>
      <c r="E401" t="s">
        <v>1138</v>
      </c>
      <c r="F401" s="2">
        <v>45573</v>
      </c>
      <c r="G401" t="s">
        <v>105</v>
      </c>
      <c r="H401" t="s">
        <v>44</v>
      </c>
      <c r="I401" t="s">
        <v>25</v>
      </c>
      <c r="K401" t="s">
        <v>161</v>
      </c>
      <c r="L401">
        <v>70074.39</v>
      </c>
      <c r="M401">
        <v>46607.360000000001</v>
      </c>
      <c r="N401" t="s">
        <v>56</v>
      </c>
      <c r="O401">
        <v>11</v>
      </c>
      <c r="P401">
        <v>127</v>
      </c>
      <c r="Q401">
        <v>4</v>
      </c>
      <c r="R401">
        <v>95</v>
      </c>
      <c r="S401">
        <v>259.2</v>
      </c>
      <c r="T401" t="s">
        <v>106</v>
      </c>
      <c r="U401" s="3"/>
      <c r="V401" s="3"/>
      <c r="W401" s="3"/>
    </row>
    <row r="402" spans="1:23">
      <c r="A402" t="s">
        <v>1139</v>
      </c>
      <c r="B402" t="s">
        <v>1140</v>
      </c>
      <c r="C402" t="s">
        <v>40</v>
      </c>
      <c r="D402" t="s">
        <v>1141</v>
      </c>
      <c r="E402" s="2">
        <v>45240</v>
      </c>
      <c r="F402" t="s">
        <v>1142</v>
      </c>
      <c r="G402" t="s">
        <v>62</v>
      </c>
      <c r="H402" t="s">
        <v>52</v>
      </c>
      <c r="I402" t="s">
        <v>79</v>
      </c>
      <c r="J402" t="s">
        <v>26</v>
      </c>
      <c r="K402" t="s">
        <v>72</v>
      </c>
      <c r="L402" t="s">
        <v>1143</v>
      </c>
      <c r="M402">
        <v>12707.86</v>
      </c>
      <c r="N402" t="s">
        <v>35</v>
      </c>
      <c r="O402">
        <v>6</v>
      </c>
      <c r="P402">
        <v>85</v>
      </c>
      <c r="Q402">
        <v>2</v>
      </c>
      <c r="R402">
        <v>159</v>
      </c>
      <c r="S402">
        <v>122.7</v>
      </c>
      <c r="T402" t="s">
        <v>47</v>
      </c>
      <c r="U402" s="3"/>
      <c r="V402" s="3"/>
      <c r="W402" s="3"/>
    </row>
    <row r="403" spans="1:23">
      <c r="A403" t="s">
        <v>1144</v>
      </c>
      <c r="B403" t="s">
        <v>857</v>
      </c>
      <c r="C403" t="s">
        <v>133</v>
      </c>
      <c r="D403" s="2">
        <v>19841</v>
      </c>
      <c r="E403" s="2">
        <v>45954</v>
      </c>
      <c r="F403" s="2">
        <v>45959</v>
      </c>
      <c r="G403" t="s">
        <v>161</v>
      </c>
      <c r="H403" t="s">
        <v>124</v>
      </c>
      <c r="J403" t="s">
        <v>179</v>
      </c>
      <c r="K403" t="s">
        <v>114</v>
      </c>
      <c r="L403">
        <v>70692.55</v>
      </c>
      <c r="M403">
        <v>64090.93</v>
      </c>
      <c r="N403" t="s">
        <v>56</v>
      </c>
      <c r="O403">
        <v>5</v>
      </c>
      <c r="P403">
        <v>109</v>
      </c>
      <c r="Q403">
        <v>3</v>
      </c>
      <c r="R403">
        <v>171</v>
      </c>
      <c r="S403">
        <v>211.9</v>
      </c>
      <c r="T403" t="s">
        <v>37</v>
      </c>
      <c r="U403" s="3"/>
      <c r="V403" s="3"/>
      <c r="W403" s="3"/>
    </row>
    <row r="404" spans="1:23">
      <c r="A404" t="s">
        <v>1145</v>
      </c>
      <c r="B404" t="s">
        <v>1146</v>
      </c>
      <c r="C404" t="s">
        <v>50</v>
      </c>
      <c r="D404" s="2">
        <v>32082</v>
      </c>
      <c r="E404" s="2">
        <v>45273</v>
      </c>
      <c r="F404" s="2">
        <v>45274</v>
      </c>
      <c r="G404" t="s">
        <v>105</v>
      </c>
      <c r="H404" t="s">
        <v>32</v>
      </c>
      <c r="I404" t="s">
        <v>33</v>
      </c>
      <c r="J404" t="s">
        <v>80</v>
      </c>
      <c r="K404" t="s">
        <v>55</v>
      </c>
      <c r="L404">
        <v>78676.12</v>
      </c>
      <c r="M404">
        <v>59698.73</v>
      </c>
      <c r="N404" t="s">
        <v>56</v>
      </c>
      <c r="O404" t="s">
        <v>723</v>
      </c>
      <c r="P404">
        <v>235</v>
      </c>
      <c r="Q404">
        <v>4</v>
      </c>
      <c r="R404">
        <v>185</v>
      </c>
      <c r="S404">
        <v>213.6</v>
      </c>
      <c r="T404" t="s">
        <v>47</v>
      </c>
      <c r="U404" s="3"/>
      <c r="V404" s="3"/>
      <c r="W404" s="3"/>
    </row>
    <row r="405" spans="1:23">
      <c r="A405" t="s">
        <v>1147</v>
      </c>
      <c r="B405" t="s">
        <v>39</v>
      </c>
      <c r="C405" t="s">
        <v>459</v>
      </c>
      <c r="D405" s="2">
        <v>24154</v>
      </c>
      <c r="E405" s="2">
        <v>45654</v>
      </c>
      <c r="F405" s="2">
        <v>45666</v>
      </c>
      <c r="G405" t="s">
        <v>141</v>
      </c>
      <c r="H405" t="s">
        <v>95</v>
      </c>
      <c r="J405" t="s">
        <v>97</v>
      </c>
      <c r="K405" t="s">
        <v>27</v>
      </c>
      <c r="L405">
        <v>11590.95</v>
      </c>
      <c r="M405">
        <v>8509.31</v>
      </c>
      <c r="N405" t="s">
        <v>56</v>
      </c>
      <c r="O405">
        <v>12</v>
      </c>
      <c r="P405">
        <v>142</v>
      </c>
      <c r="Q405">
        <v>4</v>
      </c>
      <c r="R405">
        <v>179</v>
      </c>
      <c r="S405">
        <v>152.4</v>
      </c>
      <c r="U405" s="3"/>
      <c r="V405" s="3"/>
      <c r="W405" s="3"/>
    </row>
    <row r="406" spans="1:23">
      <c r="A406" t="s">
        <v>1148</v>
      </c>
      <c r="B406" t="s">
        <v>324</v>
      </c>
      <c r="C406" t="s">
        <v>1149</v>
      </c>
      <c r="D406" t="s">
        <v>1150</v>
      </c>
      <c r="E406" s="2">
        <v>45588</v>
      </c>
      <c r="F406" t="s">
        <v>1151</v>
      </c>
      <c r="G406" t="s">
        <v>141</v>
      </c>
      <c r="H406" t="s">
        <v>118</v>
      </c>
      <c r="I406" t="s">
        <v>25</v>
      </c>
      <c r="J406" t="s">
        <v>46</v>
      </c>
      <c r="K406" t="s">
        <v>120</v>
      </c>
      <c r="L406">
        <v>176068.85</v>
      </c>
      <c r="M406">
        <v>120873.99</v>
      </c>
      <c r="N406" t="s">
        <v>73</v>
      </c>
      <c r="O406">
        <v>12</v>
      </c>
      <c r="P406">
        <v>235</v>
      </c>
      <c r="Q406">
        <v>1</v>
      </c>
      <c r="R406">
        <v>110</v>
      </c>
      <c r="S406">
        <v>150.1</v>
      </c>
      <c r="T406" t="s">
        <v>65</v>
      </c>
      <c r="U406" s="3"/>
      <c r="V406" s="3"/>
      <c r="W406" s="3"/>
    </row>
    <row r="407" spans="1:23">
      <c r="A407" t="s">
        <v>1152</v>
      </c>
      <c r="B407" t="s">
        <v>1153</v>
      </c>
      <c r="C407" t="s">
        <v>100</v>
      </c>
      <c r="D407" t="s">
        <v>1154</v>
      </c>
      <c r="E407" s="2">
        <v>45618</v>
      </c>
      <c r="F407" t="s">
        <v>1155</v>
      </c>
      <c r="G407" t="s">
        <v>109</v>
      </c>
      <c r="H407" t="s">
        <v>24</v>
      </c>
      <c r="I407" t="s">
        <v>45</v>
      </c>
      <c r="J407" t="s">
        <v>64</v>
      </c>
      <c r="K407" t="s">
        <v>161</v>
      </c>
      <c r="L407">
        <v>29194.19</v>
      </c>
      <c r="M407">
        <v>25854.69</v>
      </c>
      <c r="N407" t="s">
        <v>192</v>
      </c>
      <c r="O407">
        <v>16</v>
      </c>
      <c r="P407">
        <v>152</v>
      </c>
      <c r="Q407">
        <v>4</v>
      </c>
      <c r="R407">
        <v>165</v>
      </c>
      <c r="S407">
        <v>75.400000000000006</v>
      </c>
      <c r="T407" t="s">
        <v>37</v>
      </c>
      <c r="U407" s="3"/>
      <c r="V407" s="3"/>
      <c r="W407" s="3"/>
    </row>
    <row r="408" spans="1:23">
      <c r="A408" t="s">
        <v>1156</v>
      </c>
      <c r="B408" t="s">
        <v>940</v>
      </c>
      <c r="D408" t="s">
        <v>1157</v>
      </c>
      <c r="E408" s="2">
        <v>45737</v>
      </c>
      <c r="F408" s="2">
        <v>45743</v>
      </c>
      <c r="G408" t="s">
        <v>141</v>
      </c>
      <c r="H408" t="s">
        <v>124</v>
      </c>
      <c r="I408" t="s">
        <v>45</v>
      </c>
      <c r="J408" t="s">
        <v>97</v>
      </c>
      <c r="K408" t="s">
        <v>72</v>
      </c>
      <c r="L408">
        <v>77067.38</v>
      </c>
      <c r="M408">
        <v>58215.01</v>
      </c>
      <c r="N408" t="s">
        <v>192</v>
      </c>
      <c r="O408">
        <v>6</v>
      </c>
      <c r="P408">
        <v>224</v>
      </c>
      <c r="Q408">
        <v>4</v>
      </c>
      <c r="R408">
        <v>145</v>
      </c>
      <c r="S408">
        <v>87.1</v>
      </c>
      <c r="T408" t="s">
        <v>47</v>
      </c>
      <c r="U408" s="3"/>
      <c r="V408" s="3"/>
      <c r="W408" s="3"/>
    </row>
    <row r="409" spans="1:23">
      <c r="A409" t="s">
        <v>1158</v>
      </c>
      <c r="B409" t="s">
        <v>527</v>
      </c>
      <c r="C409" t="s">
        <v>40</v>
      </c>
      <c r="D409" t="s">
        <v>1159</v>
      </c>
      <c r="E409" s="2">
        <v>45200</v>
      </c>
      <c r="F409" t="s">
        <v>1160</v>
      </c>
      <c r="G409" t="s">
        <v>109</v>
      </c>
      <c r="I409" t="s">
        <v>79</v>
      </c>
      <c r="K409" t="s">
        <v>401</v>
      </c>
      <c r="L409">
        <v>99977.96</v>
      </c>
      <c r="M409">
        <v>80388.289999999994</v>
      </c>
      <c r="N409" t="s">
        <v>91</v>
      </c>
      <c r="O409">
        <v>13</v>
      </c>
      <c r="P409" t="s">
        <v>1161</v>
      </c>
      <c r="Q409">
        <v>1</v>
      </c>
      <c r="R409">
        <v>118</v>
      </c>
      <c r="S409">
        <v>238.3</v>
      </c>
      <c r="T409" t="s">
        <v>47</v>
      </c>
      <c r="U409" s="3"/>
      <c r="V409" s="3"/>
      <c r="W409" s="3"/>
    </row>
    <row r="410" spans="1:23">
      <c r="A410" t="s">
        <v>1162</v>
      </c>
      <c r="B410" t="s">
        <v>864</v>
      </c>
      <c r="C410" t="s">
        <v>151</v>
      </c>
      <c r="D410" s="2">
        <v>26135</v>
      </c>
      <c r="E410" s="2">
        <v>45295</v>
      </c>
      <c r="F410" s="2">
        <v>45309</v>
      </c>
      <c r="G410" t="s">
        <v>109</v>
      </c>
      <c r="H410" t="s">
        <v>134</v>
      </c>
      <c r="J410" t="s">
        <v>179</v>
      </c>
      <c r="K410" t="s">
        <v>120</v>
      </c>
      <c r="L410">
        <v>67102.33</v>
      </c>
      <c r="M410">
        <v>48056.18</v>
      </c>
      <c r="N410" t="s">
        <v>467</v>
      </c>
      <c r="O410">
        <v>14</v>
      </c>
      <c r="P410">
        <v>106</v>
      </c>
      <c r="R410">
        <v>103</v>
      </c>
      <c r="T410" t="s">
        <v>37</v>
      </c>
      <c r="U410" s="3"/>
      <c r="V410" s="3"/>
      <c r="W410" s="3"/>
    </row>
    <row r="411" spans="1:23">
      <c r="A411" t="s">
        <v>1163</v>
      </c>
      <c r="B411" t="s">
        <v>857</v>
      </c>
      <c r="D411" t="s">
        <v>1164</v>
      </c>
      <c r="E411" t="s">
        <v>1165</v>
      </c>
      <c r="F411" s="2">
        <v>45179</v>
      </c>
      <c r="G411" t="s">
        <v>70</v>
      </c>
      <c r="H411" t="s">
        <v>32</v>
      </c>
      <c r="I411" t="s">
        <v>119</v>
      </c>
      <c r="J411" t="s">
        <v>64</v>
      </c>
      <c r="K411" t="s">
        <v>110</v>
      </c>
      <c r="L411">
        <v>243013.14</v>
      </c>
      <c r="M411">
        <v>227374.86</v>
      </c>
      <c r="N411" t="s">
        <v>73</v>
      </c>
      <c r="O411">
        <v>15</v>
      </c>
      <c r="P411">
        <v>113</v>
      </c>
      <c r="R411">
        <v>187</v>
      </c>
      <c r="S411">
        <v>142.9</v>
      </c>
      <c r="U411" s="3"/>
      <c r="V411" s="3"/>
      <c r="W411" s="3"/>
    </row>
    <row r="412" spans="1:23">
      <c r="A412" t="s">
        <v>1166</v>
      </c>
      <c r="B412" t="s">
        <v>1167</v>
      </c>
      <c r="C412" t="s">
        <v>206</v>
      </c>
      <c r="D412" t="s">
        <v>1168</v>
      </c>
      <c r="E412" s="2">
        <v>45683</v>
      </c>
      <c r="F412" s="2">
        <v>45692</v>
      </c>
      <c r="G412" t="s">
        <v>754</v>
      </c>
      <c r="H412" t="s">
        <v>44</v>
      </c>
      <c r="I412" t="s">
        <v>25</v>
      </c>
      <c r="J412" t="s">
        <v>64</v>
      </c>
      <c r="K412" t="s">
        <v>72</v>
      </c>
      <c r="L412">
        <v>68640.789999999994</v>
      </c>
      <c r="M412">
        <v>55397.62</v>
      </c>
      <c r="N412" t="s">
        <v>990</v>
      </c>
      <c r="O412">
        <v>9</v>
      </c>
      <c r="P412">
        <v>9</v>
      </c>
      <c r="R412">
        <v>131</v>
      </c>
      <c r="S412">
        <v>126.6</v>
      </c>
      <c r="T412" t="s">
        <v>37</v>
      </c>
      <c r="U412" s="3"/>
      <c r="V412" s="3"/>
      <c r="W412" s="3"/>
    </row>
    <row r="413" spans="1:23">
      <c r="A413" t="s">
        <v>1169</v>
      </c>
      <c r="B413" t="s">
        <v>697</v>
      </c>
      <c r="D413" s="2">
        <v>24103</v>
      </c>
      <c r="E413" s="2">
        <v>45999</v>
      </c>
      <c r="G413" t="s">
        <v>105</v>
      </c>
      <c r="I413" t="s">
        <v>25</v>
      </c>
      <c r="J413" t="s">
        <v>97</v>
      </c>
      <c r="K413" t="s">
        <v>72</v>
      </c>
      <c r="L413">
        <v>153314.99</v>
      </c>
      <c r="M413">
        <v>116157.98</v>
      </c>
      <c r="N413" t="s">
        <v>73</v>
      </c>
      <c r="O413" t="s">
        <v>1170</v>
      </c>
      <c r="P413">
        <v>230</v>
      </c>
      <c r="Q413">
        <v>2</v>
      </c>
      <c r="R413">
        <v>138</v>
      </c>
      <c r="S413">
        <v>167.4</v>
      </c>
      <c r="U413" s="3"/>
      <c r="V413" s="3"/>
      <c r="W413" s="3"/>
    </row>
    <row r="414" spans="1:23">
      <c r="A414" t="s">
        <v>1171</v>
      </c>
      <c r="B414" t="s">
        <v>363</v>
      </c>
      <c r="C414" t="s">
        <v>100</v>
      </c>
      <c r="D414" t="s">
        <v>1172</v>
      </c>
      <c r="E414" s="2">
        <v>45979</v>
      </c>
      <c r="F414" t="s">
        <v>1173</v>
      </c>
      <c r="G414" t="s">
        <v>94</v>
      </c>
      <c r="H414" t="s">
        <v>153</v>
      </c>
      <c r="I414" t="s">
        <v>25</v>
      </c>
      <c r="J414" t="s">
        <v>46</v>
      </c>
      <c r="K414" t="s">
        <v>55</v>
      </c>
      <c r="L414">
        <v>144400.66</v>
      </c>
      <c r="N414" t="s">
        <v>794</v>
      </c>
      <c r="O414">
        <v>18</v>
      </c>
      <c r="P414">
        <v>116</v>
      </c>
      <c r="Q414">
        <v>5</v>
      </c>
      <c r="R414">
        <v>185</v>
      </c>
      <c r="S414">
        <v>200.9</v>
      </c>
      <c r="T414" t="s">
        <v>47</v>
      </c>
      <c r="U414" s="3"/>
      <c r="V414" s="3"/>
      <c r="W414" s="3"/>
    </row>
    <row r="415" spans="1:23">
      <c r="A415" t="s">
        <v>1174</v>
      </c>
      <c r="B415" t="s">
        <v>1175</v>
      </c>
      <c r="C415" t="s">
        <v>50</v>
      </c>
      <c r="D415" s="2">
        <v>20553</v>
      </c>
      <c r="E415" s="2">
        <v>44964</v>
      </c>
      <c r="F415" t="s">
        <v>1176</v>
      </c>
      <c r="G415" t="s">
        <v>117</v>
      </c>
      <c r="H415" t="s">
        <v>44</v>
      </c>
      <c r="K415" t="s">
        <v>72</v>
      </c>
      <c r="L415">
        <v>106639.28</v>
      </c>
      <c r="M415">
        <v>76648.37</v>
      </c>
      <c r="N415" t="s">
        <v>73</v>
      </c>
      <c r="O415">
        <v>11</v>
      </c>
      <c r="P415">
        <v>104</v>
      </c>
      <c r="R415">
        <v>161</v>
      </c>
      <c r="S415">
        <v>72.400000000000006</v>
      </c>
      <c r="T415" t="s">
        <v>65</v>
      </c>
      <c r="U415" s="3"/>
      <c r="V415" s="3"/>
      <c r="W415" s="3"/>
    </row>
    <row r="416" spans="1:23">
      <c r="A416" t="s">
        <v>1177</v>
      </c>
      <c r="B416" t="s">
        <v>967</v>
      </c>
      <c r="C416" t="s">
        <v>206</v>
      </c>
      <c r="D416" t="s">
        <v>1178</v>
      </c>
      <c r="E416" s="2">
        <v>45352</v>
      </c>
      <c r="F416" s="2">
        <v>45369</v>
      </c>
      <c r="G416" t="s">
        <v>109</v>
      </c>
      <c r="H416" t="s">
        <v>78</v>
      </c>
      <c r="I416" t="s">
        <v>119</v>
      </c>
      <c r="J416" t="s">
        <v>34</v>
      </c>
      <c r="K416" t="s">
        <v>55</v>
      </c>
      <c r="L416">
        <v>169439.09</v>
      </c>
      <c r="M416">
        <v>126532.05</v>
      </c>
      <c r="N416" t="s">
        <v>409</v>
      </c>
      <c r="O416" t="s">
        <v>102</v>
      </c>
      <c r="P416">
        <v>154</v>
      </c>
      <c r="Q416">
        <v>3</v>
      </c>
      <c r="R416">
        <v>169</v>
      </c>
      <c r="S416">
        <v>136.80000000000001</v>
      </c>
      <c r="T416" t="s">
        <v>37</v>
      </c>
      <c r="U416" s="3"/>
      <c r="V416" s="3"/>
      <c r="W416" s="3"/>
    </row>
    <row r="417" spans="1:23">
      <c r="A417" t="s">
        <v>1179</v>
      </c>
      <c r="B417" t="s">
        <v>922</v>
      </c>
      <c r="C417" t="s">
        <v>100</v>
      </c>
      <c r="D417" s="2">
        <v>21103</v>
      </c>
      <c r="E417" t="s">
        <v>1180</v>
      </c>
      <c r="F417" s="2">
        <v>45298</v>
      </c>
      <c r="G417" t="s">
        <v>31</v>
      </c>
      <c r="H417" t="s">
        <v>134</v>
      </c>
      <c r="I417" t="s">
        <v>79</v>
      </c>
      <c r="J417" t="s">
        <v>46</v>
      </c>
      <c r="K417" t="s">
        <v>55</v>
      </c>
      <c r="L417">
        <v>188442.03</v>
      </c>
      <c r="M417">
        <v>173673.98</v>
      </c>
      <c r="N417" t="s">
        <v>73</v>
      </c>
      <c r="O417">
        <v>6</v>
      </c>
      <c r="P417">
        <v>76</v>
      </c>
      <c r="Q417">
        <v>5</v>
      </c>
      <c r="S417">
        <v>139</v>
      </c>
      <c r="T417" t="s">
        <v>81</v>
      </c>
      <c r="U417" s="3"/>
      <c r="V417" s="3"/>
      <c r="W417" s="3"/>
    </row>
    <row r="418" spans="1:23">
      <c r="A418" t="s">
        <v>1181</v>
      </c>
      <c r="B418" t="s">
        <v>1182</v>
      </c>
      <c r="C418" t="s">
        <v>206</v>
      </c>
      <c r="D418" s="2">
        <v>33319</v>
      </c>
      <c r="E418" s="2">
        <v>45128</v>
      </c>
      <c r="F418" s="2">
        <v>45141</v>
      </c>
      <c r="G418" t="s">
        <v>43</v>
      </c>
      <c r="H418" t="s">
        <v>134</v>
      </c>
      <c r="I418" t="s">
        <v>79</v>
      </c>
      <c r="J418" t="s">
        <v>80</v>
      </c>
      <c r="K418" t="s">
        <v>55</v>
      </c>
      <c r="L418">
        <v>160013.18</v>
      </c>
      <c r="M418">
        <v>110494.22</v>
      </c>
      <c r="N418" t="s">
        <v>192</v>
      </c>
      <c r="O418" t="s">
        <v>580</v>
      </c>
      <c r="P418">
        <v>161</v>
      </c>
      <c r="R418">
        <v>100</v>
      </c>
      <c r="S418">
        <v>183.9</v>
      </c>
      <c r="U418" s="3"/>
      <c r="V418" s="3"/>
      <c r="W418" s="3"/>
    </row>
    <row r="419" spans="1:23">
      <c r="A419" t="s">
        <v>1183</v>
      </c>
      <c r="B419" t="s">
        <v>464</v>
      </c>
      <c r="C419" t="s">
        <v>100</v>
      </c>
      <c r="D419" s="2">
        <v>38061</v>
      </c>
      <c r="E419" s="2">
        <v>45682</v>
      </c>
      <c r="F419" t="s">
        <v>1184</v>
      </c>
      <c r="G419" t="s">
        <v>31</v>
      </c>
      <c r="H419" t="s">
        <v>86</v>
      </c>
      <c r="I419" t="s">
        <v>119</v>
      </c>
      <c r="J419" t="s">
        <v>97</v>
      </c>
      <c r="K419" t="s">
        <v>110</v>
      </c>
      <c r="L419">
        <v>75013.02</v>
      </c>
      <c r="M419">
        <v>57167.59</v>
      </c>
      <c r="N419" t="s">
        <v>91</v>
      </c>
      <c r="O419">
        <v>8</v>
      </c>
      <c r="P419">
        <v>123</v>
      </c>
      <c r="R419">
        <v>121</v>
      </c>
      <c r="S419">
        <v>199.9</v>
      </c>
      <c r="T419" t="s">
        <v>37</v>
      </c>
      <c r="U419" s="3"/>
      <c r="V419" s="3"/>
      <c r="W419" s="3"/>
    </row>
    <row r="420" spans="1:23">
      <c r="A420" t="s">
        <v>1185</v>
      </c>
      <c r="B420" t="s">
        <v>1186</v>
      </c>
      <c r="C420" t="s">
        <v>133</v>
      </c>
      <c r="D420" s="2">
        <v>34287</v>
      </c>
      <c r="E420" s="2">
        <v>45991</v>
      </c>
      <c r="F420" s="2">
        <v>46007</v>
      </c>
      <c r="G420" t="s">
        <v>161</v>
      </c>
      <c r="H420" t="s">
        <v>78</v>
      </c>
      <c r="I420" t="s">
        <v>79</v>
      </c>
      <c r="J420" t="s">
        <v>71</v>
      </c>
      <c r="K420" t="s">
        <v>161</v>
      </c>
      <c r="L420">
        <v>221130.87</v>
      </c>
      <c r="M420">
        <v>146535.72</v>
      </c>
      <c r="N420" t="s">
        <v>35</v>
      </c>
      <c r="O420">
        <v>16</v>
      </c>
      <c r="P420">
        <v>203</v>
      </c>
      <c r="R420">
        <v>181</v>
      </c>
      <c r="S420">
        <v>74.5</v>
      </c>
      <c r="T420" t="s">
        <v>37</v>
      </c>
      <c r="U420" s="3"/>
      <c r="V420" s="3"/>
      <c r="W420" s="3"/>
    </row>
    <row r="421" spans="1:23">
      <c r="A421" t="s">
        <v>1187</v>
      </c>
      <c r="B421" t="s">
        <v>368</v>
      </c>
      <c r="C421" t="s">
        <v>816</v>
      </c>
      <c r="D421" t="s">
        <v>1188</v>
      </c>
      <c r="E421" t="s">
        <v>1189</v>
      </c>
      <c r="F421" s="2">
        <v>45161</v>
      </c>
      <c r="G421" t="s">
        <v>141</v>
      </c>
      <c r="H421" t="s">
        <v>63</v>
      </c>
      <c r="I421" t="s">
        <v>53</v>
      </c>
      <c r="J421" t="s">
        <v>80</v>
      </c>
      <c r="K421" t="s">
        <v>161</v>
      </c>
      <c r="L421">
        <v>199399.39</v>
      </c>
      <c r="M421">
        <v>155402.38</v>
      </c>
      <c r="N421" t="s">
        <v>91</v>
      </c>
      <c r="O421">
        <v>6</v>
      </c>
      <c r="P421">
        <v>89</v>
      </c>
      <c r="Q421">
        <v>2</v>
      </c>
      <c r="R421">
        <v>148</v>
      </c>
      <c r="S421">
        <v>240.8</v>
      </c>
      <c r="T421" t="s">
        <v>37</v>
      </c>
      <c r="U421" s="3"/>
      <c r="V421" s="3"/>
      <c r="W421" s="3"/>
    </row>
    <row r="422" spans="1:23">
      <c r="A422" t="s">
        <v>1190</v>
      </c>
      <c r="B422" t="s">
        <v>304</v>
      </c>
      <c r="D422" s="2">
        <v>31586</v>
      </c>
      <c r="E422" s="2">
        <v>45523</v>
      </c>
      <c r="F422" s="2">
        <v>45533</v>
      </c>
      <c r="G422" t="s">
        <v>62</v>
      </c>
      <c r="H422" t="s">
        <v>118</v>
      </c>
      <c r="I422" t="s">
        <v>96</v>
      </c>
      <c r="J422" t="s">
        <v>645</v>
      </c>
      <c r="K422" t="s">
        <v>27</v>
      </c>
      <c r="L422">
        <v>178987.01</v>
      </c>
      <c r="M422">
        <v>119956.07</v>
      </c>
      <c r="N422" t="s">
        <v>56</v>
      </c>
      <c r="O422">
        <v>10</v>
      </c>
      <c r="P422">
        <v>195</v>
      </c>
      <c r="Q422">
        <v>3</v>
      </c>
      <c r="R422" t="s">
        <v>1191</v>
      </c>
      <c r="S422">
        <v>185.4</v>
      </c>
      <c r="T422" t="s">
        <v>37</v>
      </c>
      <c r="U422" s="3"/>
      <c r="V422" s="3"/>
      <c r="W422" s="3"/>
    </row>
    <row r="423" spans="1:23">
      <c r="A423" t="s">
        <v>1192</v>
      </c>
      <c r="B423" t="s">
        <v>604</v>
      </c>
      <c r="C423" t="s">
        <v>60</v>
      </c>
      <c r="D423" s="2">
        <v>26608</v>
      </c>
      <c r="E423" s="2">
        <v>45953</v>
      </c>
      <c r="F423" s="2">
        <v>45964</v>
      </c>
      <c r="G423" t="s">
        <v>43</v>
      </c>
      <c r="J423" t="s">
        <v>97</v>
      </c>
      <c r="K423" t="s">
        <v>27</v>
      </c>
      <c r="L423">
        <v>218018.61</v>
      </c>
      <c r="M423">
        <v>155880.12</v>
      </c>
      <c r="N423" t="s">
        <v>73</v>
      </c>
      <c r="O423" t="s">
        <v>227</v>
      </c>
      <c r="P423">
        <v>234</v>
      </c>
      <c r="Q423">
        <v>4</v>
      </c>
      <c r="R423" t="s">
        <v>1193</v>
      </c>
      <c r="S423">
        <v>197.1</v>
      </c>
      <c r="T423" t="s">
        <v>37</v>
      </c>
      <c r="U423" s="3"/>
      <c r="V423" s="3"/>
      <c r="W423" s="3"/>
    </row>
    <row r="424" spans="1:23">
      <c r="A424" t="s">
        <v>1194</v>
      </c>
      <c r="B424" t="s">
        <v>503</v>
      </c>
      <c r="C424" t="s">
        <v>84</v>
      </c>
      <c r="D424" s="2">
        <v>39196</v>
      </c>
      <c r="E424" s="2">
        <v>45341</v>
      </c>
      <c r="F424" t="s">
        <v>1195</v>
      </c>
      <c r="G424" t="s">
        <v>43</v>
      </c>
      <c r="H424" t="s">
        <v>113</v>
      </c>
      <c r="I424" t="s">
        <v>33</v>
      </c>
      <c r="J424" t="s">
        <v>46</v>
      </c>
      <c r="K424" t="s">
        <v>27</v>
      </c>
      <c r="L424">
        <v>128085.58</v>
      </c>
      <c r="M424">
        <v>110920.24</v>
      </c>
      <c r="O424">
        <v>12</v>
      </c>
      <c r="P424">
        <v>141</v>
      </c>
      <c r="R424">
        <v>100</v>
      </c>
      <c r="S424">
        <v>254.4</v>
      </c>
      <c r="T424" t="s">
        <v>37</v>
      </c>
      <c r="U424" s="3"/>
      <c r="V424" s="3"/>
      <c r="W424" s="3"/>
    </row>
    <row r="425" spans="1:23">
      <c r="A425" t="s">
        <v>1196</v>
      </c>
      <c r="B425" t="s">
        <v>59</v>
      </c>
      <c r="C425" t="s">
        <v>22</v>
      </c>
      <c r="D425" t="s">
        <v>1197</v>
      </c>
      <c r="E425" s="2">
        <v>45057</v>
      </c>
      <c r="F425" t="s">
        <v>1198</v>
      </c>
      <c r="G425" t="s">
        <v>152</v>
      </c>
      <c r="H425" t="s">
        <v>86</v>
      </c>
      <c r="I425" t="s">
        <v>45</v>
      </c>
      <c r="J425" t="s">
        <v>80</v>
      </c>
      <c r="K425" t="s">
        <v>27</v>
      </c>
      <c r="L425">
        <v>147455.15</v>
      </c>
      <c r="M425">
        <v>111898.73</v>
      </c>
      <c r="N425" t="s">
        <v>73</v>
      </c>
      <c r="O425">
        <v>5</v>
      </c>
      <c r="P425">
        <v>30</v>
      </c>
      <c r="R425">
        <v>190</v>
      </c>
      <c r="T425" t="s">
        <v>106</v>
      </c>
      <c r="U425" s="3"/>
      <c r="V425" s="3"/>
      <c r="W425" s="3"/>
    </row>
    <row r="426" spans="1:23">
      <c r="A426" t="s">
        <v>1199</v>
      </c>
      <c r="B426" t="s">
        <v>1200</v>
      </c>
      <c r="C426" t="s">
        <v>206</v>
      </c>
      <c r="D426" s="2">
        <v>36471</v>
      </c>
      <c r="E426" s="2">
        <v>45861</v>
      </c>
      <c r="F426" s="2">
        <v>45862</v>
      </c>
      <c r="G426" t="s">
        <v>43</v>
      </c>
      <c r="H426" t="s">
        <v>118</v>
      </c>
      <c r="I426" t="s">
        <v>96</v>
      </c>
      <c r="J426" t="s">
        <v>34</v>
      </c>
      <c r="K426" t="s">
        <v>72</v>
      </c>
      <c r="L426">
        <v>158704.23000000001</v>
      </c>
      <c r="M426">
        <v>135245.82</v>
      </c>
      <c r="N426" t="s">
        <v>91</v>
      </c>
      <c r="O426">
        <v>1</v>
      </c>
      <c r="P426">
        <v>136</v>
      </c>
      <c r="Q426">
        <v>5</v>
      </c>
      <c r="R426">
        <v>172</v>
      </c>
      <c r="S426">
        <v>126.9</v>
      </c>
      <c r="T426" t="s">
        <v>57</v>
      </c>
      <c r="U426" s="3"/>
      <c r="V426" s="3"/>
      <c r="W426" s="3"/>
    </row>
    <row r="427" spans="1:23">
      <c r="A427" t="s">
        <v>1201</v>
      </c>
      <c r="B427" t="s">
        <v>760</v>
      </c>
      <c r="C427" t="s">
        <v>60</v>
      </c>
      <c r="D427" t="s">
        <v>1202</v>
      </c>
      <c r="E427" s="2">
        <v>45811</v>
      </c>
      <c r="F427" t="s">
        <v>1203</v>
      </c>
      <c r="H427" t="s">
        <v>32</v>
      </c>
      <c r="I427" t="s">
        <v>119</v>
      </c>
      <c r="J427" t="s">
        <v>186</v>
      </c>
      <c r="L427">
        <v>206083.03</v>
      </c>
      <c r="M427">
        <v>192406.85</v>
      </c>
      <c r="N427" t="s">
        <v>73</v>
      </c>
      <c r="O427">
        <v>10</v>
      </c>
      <c r="P427">
        <v>200</v>
      </c>
      <c r="Q427">
        <v>4</v>
      </c>
      <c r="R427">
        <v>117</v>
      </c>
      <c r="S427">
        <v>128.4</v>
      </c>
      <c r="T427" t="s">
        <v>65</v>
      </c>
      <c r="U427" s="3"/>
      <c r="V427" s="3"/>
      <c r="W427" s="3"/>
    </row>
    <row r="428" spans="1:23">
      <c r="A428" t="s">
        <v>1204</v>
      </c>
      <c r="B428" t="s">
        <v>666</v>
      </c>
      <c r="D428" s="2">
        <v>25827</v>
      </c>
      <c r="E428" s="2">
        <v>45780</v>
      </c>
      <c r="F428" s="2">
        <v>45789</v>
      </c>
      <c r="G428" t="s">
        <v>109</v>
      </c>
      <c r="H428" t="s">
        <v>32</v>
      </c>
      <c r="I428" t="s">
        <v>96</v>
      </c>
      <c r="J428" t="s">
        <v>46</v>
      </c>
      <c r="K428" t="s">
        <v>55</v>
      </c>
      <c r="L428">
        <v>38384.17</v>
      </c>
      <c r="M428">
        <v>35237.160000000003</v>
      </c>
      <c r="N428" t="s">
        <v>192</v>
      </c>
      <c r="O428">
        <v>9</v>
      </c>
      <c r="P428">
        <v>217</v>
      </c>
      <c r="Q428">
        <v>5</v>
      </c>
      <c r="R428">
        <v>147</v>
      </c>
      <c r="S428">
        <v>128.5</v>
      </c>
      <c r="T428" t="s">
        <v>37</v>
      </c>
      <c r="U428" s="3"/>
      <c r="V428" s="3"/>
      <c r="W428" s="3"/>
    </row>
    <row r="429" spans="1:23">
      <c r="A429" t="s">
        <v>1205</v>
      </c>
      <c r="B429" t="s">
        <v>1206</v>
      </c>
      <c r="C429" t="s">
        <v>22</v>
      </c>
      <c r="D429" s="2">
        <v>24990</v>
      </c>
      <c r="E429" s="2">
        <v>45586</v>
      </c>
      <c r="F429" s="2">
        <v>45600</v>
      </c>
      <c r="G429" t="s">
        <v>105</v>
      </c>
      <c r="H429" t="s">
        <v>95</v>
      </c>
      <c r="I429" t="s">
        <v>45</v>
      </c>
      <c r="J429" t="s">
        <v>80</v>
      </c>
      <c r="L429">
        <v>155345.07</v>
      </c>
      <c r="M429">
        <v>141220.32</v>
      </c>
      <c r="O429">
        <v>14</v>
      </c>
      <c r="P429">
        <v>32</v>
      </c>
      <c r="Q429">
        <v>2</v>
      </c>
      <c r="R429">
        <v>121</v>
      </c>
      <c r="S429">
        <v>100.5</v>
      </c>
      <c r="T429" t="s">
        <v>106</v>
      </c>
      <c r="U429" s="3"/>
      <c r="V429" s="3"/>
      <c r="W429" s="3"/>
    </row>
    <row r="430" spans="1:23">
      <c r="A430" t="s">
        <v>1207</v>
      </c>
      <c r="B430" t="s">
        <v>1167</v>
      </c>
      <c r="C430" t="s">
        <v>133</v>
      </c>
      <c r="D430" s="2">
        <v>33033</v>
      </c>
      <c r="E430" s="2">
        <v>45683</v>
      </c>
      <c r="F430" t="s">
        <v>1208</v>
      </c>
      <c r="G430" t="s">
        <v>161</v>
      </c>
      <c r="H430" t="s">
        <v>32</v>
      </c>
      <c r="I430" t="s">
        <v>53</v>
      </c>
      <c r="J430" t="s">
        <v>26</v>
      </c>
      <c r="L430">
        <v>82825.02</v>
      </c>
      <c r="M430">
        <v>58020.02</v>
      </c>
      <c r="N430" t="s">
        <v>73</v>
      </c>
      <c r="O430">
        <v>15</v>
      </c>
      <c r="Q430">
        <v>3</v>
      </c>
      <c r="R430">
        <v>165</v>
      </c>
      <c r="S430">
        <v>126.8</v>
      </c>
      <c r="T430" t="s">
        <v>47</v>
      </c>
      <c r="U430" s="3"/>
      <c r="V430" s="3"/>
      <c r="W430" s="3"/>
    </row>
    <row r="431" spans="1:23">
      <c r="A431" t="s">
        <v>1209</v>
      </c>
      <c r="B431" t="s">
        <v>843</v>
      </c>
      <c r="C431" t="s">
        <v>50</v>
      </c>
      <c r="D431" s="2">
        <v>39318</v>
      </c>
      <c r="E431" s="2">
        <v>45366</v>
      </c>
      <c r="F431" t="s">
        <v>1210</v>
      </c>
      <c r="G431" t="s">
        <v>94</v>
      </c>
      <c r="H431" t="s">
        <v>32</v>
      </c>
      <c r="I431" t="s">
        <v>119</v>
      </c>
      <c r="J431" t="s">
        <v>46</v>
      </c>
      <c r="K431" t="s">
        <v>55</v>
      </c>
      <c r="L431">
        <v>51748.83</v>
      </c>
      <c r="M431">
        <v>34208.65</v>
      </c>
      <c r="N431" t="s">
        <v>192</v>
      </c>
      <c r="O431">
        <v>6</v>
      </c>
      <c r="P431">
        <v>159</v>
      </c>
      <c r="Q431">
        <v>1</v>
      </c>
      <c r="R431">
        <v>107</v>
      </c>
      <c r="S431">
        <v>92.6</v>
      </c>
      <c r="T431" t="s">
        <v>37</v>
      </c>
      <c r="U431" s="3"/>
      <c r="V431" s="3"/>
      <c r="W431" s="3"/>
    </row>
    <row r="432" spans="1:23">
      <c r="A432" t="s">
        <v>1211</v>
      </c>
      <c r="B432" t="s">
        <v>1182</v>
      </c>
      <c r="C432" t="s">
        <v>84</v>
      </c>
      <c r="D432" t="s">
        <v>1212</v>
      </c>
      <c r="E432" s="2">
        <v>45610</v>
      </c>
      <c r="F432" s="2">
        <v>45613</v>
      </c>
      <c r="G432" t="s">
        <v>117</v>
      </c>
      <c r="H432" t="s">
        <v>52</v>
      </c>
      <c r="I432" t="s">
        <v>33</v>
      </c>
      <c r="J432" t="s">
        <v>64</v>
      </c>
      <c r="K432" t="s">
        <v>55</v>
      </c>
      <c r="L432">
        <v>41660.42</v>
      </c>
      <c r="M432">
        <v>35765.5</v>
      </c>
      <c r="N432" t="s">
        <v>73</v>
      </c>
      <c r="O432">
        <v>3</v>
      </c>
      <c r="P432">
        <v>27</v>
      </c>
      <c r="R432">
        <v>168</v>
      </c>
      <c r="S432">
        <v>193.5</v>
      </c>
      <c r="T432" t="s">
        <v>47</v>
      </c>
      <c r="U432" s="3"/>
      <c r="V432" s="3"/>
      <c r="W432" s="3"/>
    </row>
    <row r="433" spans="1:23">
      <c r="A433" t="s">
        <v>1213</v>
      </c>
      <c r="B433" t="s">
        <v>852</v>
      </c>
      <c r="C433" t="s">
        <v>133</v>
      </c>
      <c r="D433" s="2">
        <v>27677</v>
      </c>
      <c r="E433" s="2">
        <v>44940</v>
      </c>
      <c r="G433" t="s">
        <v>984</v>
      </c>
      <c r="H433" t="s">
        <v>63</v>
      </c>
      <c r="I433" t="s">
        <v>79</v>
      </c>
      <c r="J433" t="s">
        <v>97</v>
      </c>
      <c r="K433" t="s">
        <v>72</v>
      </c>
      <c r="L433">
        <v>66566.11</v>
      </c>
      <c r="M433">
        <v>58266.18</v>
      </c>
      <c r="N433" t="s">
        <v>91</v>
      </c>
      <c r="O433">
        <v>13</v>
      </c>
      <c r="P433">
        <v>201</v>
      </c>
      <c r="Q433">
        <v>5</v>
      </c>
      <c r="R433">
        <v>158</v>
      </c>
      <c r="S433">
        <v>157</v>
      </c>
      <c r="U433" s="3"/>
      <c r="V433" s="3"/>
      <c r="W433" s="3"/>
    </row>
    <row r="434" spans="1:23">
      <c r="A434" t="s">
        <v>1214</v>
      </c>
      <c r="B434" t="s">
        <v>321</v>
      </c>
      <c r="C434" t="s">
        <v>60</v>
      </c>
      <c r="D434" t="s">
        <v>1215</v>
      </c>
      <c r="E434" s="2">
        <v>45597</v>
      </c>
      <c r="F434" s="2">
        <v>45608</v>
      </c>
      <c r="G434" t="s">
        <v>141</v>
      </c>
      <c r="H434" t="s">
        <v>86</v>
      </c>
      <c r="I434" t="s">
        <v>45</v>
      </c>
      <c r="J434" t="s">
        <v>71</v>
      </c>
      <c r="K434" t="s">
        <v>120</v>
      </c>
      <c r="L434">
        <v>42914.01</v>
      </c>
      <c r="M434">
        <v>33039.22</v>
      </c>
      <c r="O434">
        <v>11</v>
      </c>
      <c r="P434">
        <v>240</v>
      </c>
      <c r="Q434">
        <v>4</v>
      </c>
      <c r="R434">
        <v>188</v>
      </c>
      <c r="S434">
        <v>137.5</v>
      </c>
      <c r="T434" t="s">
        <v>47</v>
      </c>
      <c r="U434" s="3"/>
      <c r="V434" s="3"/>
      <c r="W434" s="3"/>
    </row>
    <row r="435" spans="1:23">
      <c r="A435" t="s">
        <v>1216</v>
      </c>
      <c r="B435" t="s">
        <v>522</v>
      </c>
      <c r="D435" t="s">
        <v>1217</v>
      </c>
      <c r="E435" t="s">
        <v>1218</v>
      </c>
      <c r="F435" t="s">
        <v>1219</v>
      </c>
      <c r="G435" t="s">
        <v>94</v>
      </c>
      <c r="H435" t="s">
        <v>52</v>
      </c>
      <c r="L435">
        <v>91201.61</v>
      </c>
      <c r="M435">
        <v>75199.23</v>
      </c>
      <c r="N435" t="s">
        <v>73</v>
      </c>
      <c r="O435">
        <v>4</v>
      </c>
      <c r="P435">
        <v>58</v>
      </c>
      <c r="Q435">
        <v>2</v>
      </c>
      <c r="R435">
        <v>154</v>
      </c>
      <c r="S435">
        <v>138.4</v>
      </c>
      <c r="T435" t="s">
        <v>65</v>
      </c>
      <c r="U435" s="3"/>
      <c r="V435" s="3"/>
      <c r="W435" s="3"/>
    </row>
    <row r="436" spans="1:23">
      <c r="A436" t="s">
        <v>1220</v>
      </c>
      <c r="B436" t="s">
        <v>548</v>
      </c>
      <c r="C436" t="s">
        <v>40</v>
      </c>
      <c r="D436" s="2">
        <v>33568</v>
      </c>
      <c r="E436" s="2">
        <v>45725</v>
      </c>
      <c r="G436" t="s">
        <v>109</v>
      </c>
      <c r="H436" t="s">
        <v>153</v>
      </c>
      <c r="I436" t="s">
        <v>119</v>
      </c>
      <c r="J436" t="s">
        <v>179</v>
      </c>
      <c r="K436" t="s">
        <v>55</v>
      </c>
      <c r="L436">
        <v>37332.120000000003</v>
      </c>
      <c r="M436">
        <v>28118.83</v>
      </c>
      <c r="O436">
        <v>16</v>
      </c>
      <c r="P436">
        <v>7</v>
      </c>
      <c r="Q436">
        <v>3</v>
      </c>
      <c r="R436">
        <v>156</v>
      </c>
      <c r="S436">
        <v>99.6</v>
      </c>
      <c r="U436" s="3"/>
      <c r="V436" s="3"/>
      <c r="W436" s="3"/>
    </row>
    <row r="437" spans="1:23">
      <c r="A437" t="s">
        <v>1221</v>
      </c>
      <c r="B437" t="s">
        <v>334</v>
      </c>
      <c r="C437" t="s">
        <v>1149</v>
      </c>
      <c r="D437" t="s">
        <v>1222</v>
      </c>
      <c r="E437" s="2">
        <v>45259</v>
      </c>
      <c r="F437" s="2">
        <v>45260</v>
      </c>
      <c r="G437" t="s">
        <v>109</v>
      </c>
      <c r="H437" t="s">
        <v>134</v>
      </c>
      <c r="I437" t="s">
        <v>119</v>
      </c>
      <c r="J437" t="s">
        <v>71</v>
      </c>
      <c r="K437" t="s">
        <v>55</v>
      </c>
      <c r="L437">
        <v>156423.60999999999</v>
      </c>
      <c r="M437">
        <v>146253.04999999999</v>
      </c>
      <c r="N437" t="s">
        <v>192</v>
      </c>
      <c r="O437">
        <v>1</v>
      </c>
      <c r="P437">
        <v>89</v>
      </c>
      <c r="Q437">
        <v>1</v>
      </c>
      <c r="R437">
        <v>150</v>
      </c>
      <c r="S437">
        <v>76.5</v>
      </c>
      <c r="T437" t="s">
        <v>47</v>
      </c>
      <c r="U437" s="3"/>
      <c r="V437" s="3"/>
      <c r="W437" s="3"/>
    </row>
    <row r="438" spans="1:23">
      <c r="A438" t="s">
        <v>1223</v>
      </c>
      <c r="B438" t="s">
        <v>760</v>
      </c>
      <c r="C438" t="s">
        <v>30</v>
      </c>
      <c r="D438" s="2">
        <v>38245</v>
      </c>
      <c r="E438" t="s">
        <v>1224</v>
      </c>
      <c r="F438" s="2">
        <v>45203</v>
      </c>
      <c r="G438" t="s">
        <v>77</v>
      </c>
      <c r="H438" t="s">
        <v>44</v>
      </c>
      <c r="I438" t="s">
        <v>53</v>
      </c>
      <c r="J438" t="s">
        <v>46</v>
      </c>
      <c r="K438" t="s">
        <v>110</v>
      </c>
      <c r="L438">
        <v>164952.63</v>
      </c>
      <c r="M438">
        <v>162820.06</v>
      </c>
      <c r="N438" t="s">
        <v>91</v>
      </c>
      <c r="O438">
        <v>1</v>
      </c>
      <c r="P438">
        <v>176</v>
      </c>
      <c r="Q438">
        <v>2</v>
      </c>
      <c r="R438" t="s">
        <v>1225</v>
      </c>
      <c r="S438">
        <v>163.6</v>
      </c>
      <c r="T438" t="s">
        <v>57</v>
      </c>
      <c r="U438" s="3"/>
      <c r="V438" s="3"/>
      <c r="W438" s="3"/>
    </row>
    <row r="439" spans="1:23">
      <c r="A439" t="s">
        <v>1226</v>
      </c>
      <c r="B439" t="s">
        <v>553</v>
      </c>
      <c r="C439" t="s">
        <v>60</v>
      </c>
      <c r="D439" t="s">
        <v>1227</v>
      </c>
      <c r="E439" t="s">
        <v>1151</v>
      </c>
      <c r="F439" t="s">
        <v>1228</v>
      </c>
      <c r="G439" t="s">
        <v>89</v>
      </c>
      <c r="H439" t="s">
        <v>95</v>
      </c>
      <c r="J439" t="s">
        <v>97</v>
      </c>
      <c r="K439" t="s">
        <v>27</v>
      </c>
      <c r="L439">
        <v>83666.14</v>
      </c>
      <c r="M439">
        <v>75162.36</v>
      </c>
      <c r="N439" t="s">
        <v>35</v>
      </c>
      <c r="O439">
        <v>15</v>
      </c>
      <c r="Q439">
        <v>1</v>
      </c>
      <c r="R439">
        <v>185</v>
      </c>
      <c r="S439">
        <v>242.1</v>
      </c>
      <c r="T439" t="s">
        <v>37</v>
      </c>
      <c r="U439" s="3"/>
      <c r="V439" s="3"/>
      <c r="W439" s="3"/>
    </row>
    <row r="440" spans="1:23">
      <c r="A440" t="s">
        <v>1229</v>
      </c>
      <c r="B440" t="s">
        <v>1230</v>
      </c>
      <c r="D440" s="2">
        <v>27613</v>
      </c>
      <c r="E440" s="2">
        <v>45855</v>
      </c>
      <c r="F440" s="2">
        <v>45864</v>
      </c>
      <c r="G440" t="s">
        <v>161</v>
      </c>
      <c r="H440" t="s">
        <v>153</v>
      </c>
      <c r="I440" t="s">
        <v>96</v>
      </c>
      <c r="J440" t="s">
        <v>64</v>
      </c>
      <c r="K440" t="s">
        <v>120</v>
      </c>
      <c r="L440">
        <v>231161.69</v>
      </c>
      <c r="M440">
        <v>230931.85</v>
      </c>
      <c r="O440">
        <v>9</v>
      </c>
      <c r="P440">
        <v>52</v>
      </c>
      <c r="Q440">
        <v>5</v>
      </c>
      <c r="R440">
        <v>133</v>
      </c>
      <c r="S440">
        <v>223.3</v>
      </c>
      <c r="T440" t="s">
        <v>37</v>
      </c>
      <c r="U440" s="3"/>
      <c r="V440" s="3"/>
      <c r="W440" s="3"/>
    </row>
    <row r="441" spans="1:23">
      <c r="A441" t="s">
        <v>1231</v>
      </c>
      <c r="B441" t="s">
        <v>999</v>
      </c>
      <c r="C441" t="s">
        <v>151</v>
      </c>
      <c r="D441" t="s">
        <v>1232</v>
      </c>
      <c r="E441" s="2">
        <v>45532</v>
      </c>
      <c r="F441" t="s">
        <v>1233</v>
      </c>
      <c r="G441" t="s">
        <v>190</v>
      </c>
      <c r="H441" t="s">
        <v>32</v>
      </c>
      <c r="I441" t="s">
        <v>79</v>
      </c>
      <c r="K441" t="s">
        <v>110</v>
      </c>
      <c r="L441">
        <v>246117.15</v>
      </c>
      <c r="M441">
        <v>243628.36</v>
      </c>
      <c r="N441" t="s">
        <v>91</v>
      </c>
      <c r="O441">
        <v>5</v>
      </c>
      <c r="P441">
        <v>134</v>
      </c>
      <c r="Q441">
        <v>3</v>
      </c>
      <c r="R441">
        <v>140</v>
      </c>
      <c r="S441">
        <v>225.8</v>
      </c>
      <c r="T441" t="s">
        <v>37</v>
      </c>
      <c r="U441" s="3"/>
      <c r="V441" s="3"/>
      <c r="W441" s="3"/>
    </row>
    <row r="442" spans="1:23">
      <c r="A442" t="s">
        <v>1234</v>
      </c>
      <c r="B442" t="s">
        <v>810</v>
      </c>
      <c r="C442" t="s">
        <v>84</v>
      </c>
      <c r="D442" s="2">
        <v>23728</v>
      </c>
      <c r="E442" s="2">
        <v>45268</v>
      </c>
      <c r="F442" t="s">
        <v>1235</v>
      </c>
      <c r="G442" t="s">
        <v>141</v>
      </c>
      <c r="H442" t="s">
        <v>124</v>
      </c>
      <c r="I442" t="s">
        <v>45</v>
      </c>
      <c r="J442" t="s">
        <v>97</v>
      </c>
      <c r="K442" t="s">
        <v>55</v>
      </c>
      <c r="L442">
        <v>136353.34</v>
      </c>
      <c r="M442">
        <v>101512.91</v>
      </c>
      <c r="N442" t="s">
        <v>56</v>
      </c>
      <c r="O442">
        <v>12</v>
      </c>
      <c r="Q442">
        <v>5</v>
      </c>
      <c r="R442">
        <v>96</v>
      </c>
      <c r="S442">
        <v>252.2</v>
      </c>
      <c r="T442" t="s">
        <v>37</v>
      </c>
      <c r="U442" s="3"/>
      <c r="V442" s="3"/>
      <c r="W442" s="3"/>
    </row>
    <row r="443" spans="1:23">
      <c r="A443" t="s">
        <v>1236</v>
      </c>
      <c r="B443" t="s">
        <v>548</v>
      </c>
      <c r="D443" s="2">
        <v>32175</v>
      </c>
      <c r="E443" t="s">
        <v>1237</v>
      </c>
      <c r="F443" s="2">
        <v>45772</v>
      </c>
      <c r="H443" t="s">
        <v>124</v>
      </c>
      <c r="I443" t="s">
        <v>45</v>
      </c>
      <c r="J443" t="s">
        <v>34</v>
      </c>
      <c r="K443" t="s">
        <v>161</v>
      </c>
      <c r="L443">
        <v>197112.43</v>
      </c>
      <c r="M443">
        <v>138342.84</v>
      </c>
      <c r="N443" t="s">
        <v>91</v>
      </c>
      <c r="O443">
        <v>5</v>
      </c>
      <c r="P443">
        <v>156</v>
      </c>
      <c r="Q443">
        <v>4</v>
      </c>
      <c r="R443">
        <v>121</v>
      </c>
      <c r="S443">
        <v>228.5</v>
      </c>
      <c r="T443" t="s">
        <v>37</v>
      </c>
      <c r="U443" s="3"/>
      <c r="V443" s="3"/>
      <c r="W443" s="3"/>
    </row>
    <row r="444" spans="1:23">
      <c r="A444" t="s">
        <v>1238</v>
      </c>
      <c r="B444" t="s">
        <v>324</v>
      </c>
      <c r="C444" t="s">
        <v>22</v>
      </c>
      <c r="D444" s="2">
        <v>30372</v>
      </c>
      <c r="E444" t="s">
        <v>1239</v>
      </c>
      <c r="F444" s="2">
        <v>45899</v>
      </c>
      <c r="G444" t="s">
        <v>109</v>
      </c>
      <c r="I444" t="s">
        <v>33</v>
      </c>
      <c r="J444" t="s">
        <v>64</v>
      </c>
      <c r="K444" t="s">
        <v>161</v>
      </c>
      <c r="L444">
        <v>186370.65</v>
      </c>
      <c r="M444">
        <v>132099.10999999999</v>
      </c>
      <c r="N444" t="s">
        <v>192</v>
      </c>
      <c r="O444">
        <v>8</v>
      </c>
      <c r="P444" t="s">
        <v>1240</v>
      </c>
      <c r="Q444">
        <v>5</v>
      </c>
      <c r="R444" t="s">
        <v>1241</v>
      </c>
      <c r="S444">
        <v>250.4</v>
      </c>
      <c r="T444" t="s">
        <v>81</v>
      </c>
      <c r="U444" s="3"/>
      <c r="V444" s="3"/>
      <c r="W444" s="3"/>
    </row>
    <row r="445" spans="1:23">
      <c r="A445" t="s">
        <v>1242</v>
      </c>
      <c r="B445" t="s">
        <v>356</v>
      </c>
      <c r="C445" t="s">
        <v>196</v>
      </c>
      <c r="D445" s="2">
        <v>24062</v>
      </c>
      <c r="E445" s="2">
        <v>45812</v>
      </c>
      <c r="G445" t="s">
        <v>161</v>
      </c>
      <c r="H445" t="s">
        <v>106</v>
      </c>
      <c r="I445" t="s">
        <v>96</v>
      </c>
      <c r="J445" t="s">
        <v>71</v>
      </c>
      <c r="K445" t="s">
        <v>27</v>
      </c>
      <c r="L445" t="s">
        <v>1243</v>
      </c>
      <c r="M445">
        <v>164040.89000000001</v>
      </c>
      <c r="O445">
        <v>14</v>
      </c>
      <c r="P445">
        <v>112</v>
      </c>
      <c r="Q445">
        <v>5</v>
      </c>
      <c r="R445">
        <v>135</v>
      </c>
      <c r="S445">
        <v>85.8</v>
      </c>
      <c r="T445" t="s">
        <v>37</v>
      </c>
      <c r="U445" s="3"/>
      <c r="V445" s="3"/>
      <c r="W445" s="3"/>
    </row>
    <row r="446" spans="1:23">
      <c r="A446" t="s">
        <v>1244</v>
      </c>
      <c r="B446" t="s">
        <v>515</v>
      </c>
      <c r="C446" t="s">
        <v>30</v>
      </c>
      <c r="D446" s="2">
        <v>19271</v>
      </c>
      <c r="E446" t="s">
        <v>1245</v>
      </c>
      <c r="F446" t="s">
        <v>1246</v>
      </c>
      <c r="G446" t="s">
        <v>70</v>
      </c>
      <c r="H446" t="s">
        <v>86</v>
      </c>
      <c r="I446" t="s">
        <v>119</v>
      </c>
      <c r="K446" t="s">
        <v>55</v>
      </c>
      <c r="L446" t="s">
        <v>1247</v>
      </c>
      <c r="M446">
        <v>125696.37</v>
      </c>
      <c r="O446">
        <v>4</v>
      </c>
      <c r="P446" t="s">
        <v>1248</v>
      </c>
      <c r="Q446">
        <v>1</v>
      </c>
      <c r="R446">
        <v>134</v>
      </c>
      <c r="T446" t="s">
        <v>348</v>
      </c>
      <c r="U446" s="3"/>
      <c r="V446" s="3"/>
      <c r="W446" s="3"/>
    </row>
    <row r="447" spans="1:23">
      <c r="A447" t="s">
        <v>1249</v>
      </c>
      <c r="B447" t="s">
        <v>238</v>
      </c>
      <c r="C447" t="s">
        <v>30</v>
      </c>
      <c r="D447" s="2">
        <v>36915</v>
      </c>
      <c r="E447" s="2">
        <v>45862</v>
      </c>
      <c r="F447" s="2">
        <v>45871</v>
      </c>
      <c r="G447" t="s">
        <v>141</v>
      </c>
      <c r="H447" t="s">
        <v>63</v>
      </c>
      <c r="I447" t="s">
        <v>119</v>
      </c>
      <c r="J447" t="s">
        <v>80</v>
      </c>
      <c r="K447" t="s">
        <v>55</v>
      </c>
      <c r="L447">
        <v>70966.539999999994</v>
      </c>
      <c r="M447">
        <v>56585.43</v>
      </c>
      <c r="N447" t="s">
        <v>73</v>
      </c>
      <c r="O447">
        <v>9</v>
      </c>
      <c r="P447">
        <v>183</v>
      </c>
      <c r="Q447">
        <v>5</v>
      </c>
      <c r="R447">
        <v>188</v>
      </c>
      <c r="S447">
        <v>220.8</v>
      </c>
      <c r="T447" t="s">
        <v>47</v>
      </c>
      <c r="U447" s="3"/>
      <c r="V447" s="3"/>
      <c r="W447" s="3"/>
    </row>
    <row r="448" spans="1:23">
      <c r="A448" t="s">
        <v>1250</v>
      </c>
      <c r="B448" t="s">
        <v>843</v>
      </c>
      <c r="C448" t="s">
        <v>22</v>
      </c>
      <c r="D448" t="s">
        <v>1251</v>
      </c>
      <c r="E448" s="2">
        <v>45758</v>
      </c>
      <c r="F448" s="2">
        <v>45769</v>
      </c>
      <c r="G448" t="s">
        <v>141</v>
      </c>
      <c r="H448" t="s">
        <v>124</v>
      </c>
      <c r="I448" t="s">
        <v>79</v>
      </c>
      <c r="J448" t="s">
        <v>361</v>
      </c>
      <c r="K448" t="s">
        <v>55</v>
      </c>
      <c r="L448">
        <v>68008.399999999994</v>
      </c>
      <c r="M448">
        <v>48883.58</v>
      </c>
      <c r="N448" t="s">
        <v>73</v>
      </c>
      <c r="O448">
        <v>11</v>
      </c>
      <c r="P448">
        <v>91</v>
      </c>
      <c r="R448">
        <v>136</v>
      </c>
      <c r="S448">
        <v>213.4</v>
      </c>
      <c r="T448" t="s">
        <v>47</v>
      </c>
      <c r="U448" s="3"/>
      <c r="V448" s="3"/>
      <c r="W448" s="3"/>
    </row>
    <row r="449" spans="1:23">
      <c r="A449" t="s">
        <v>1252</v>
      </c>
      <c r="B449" t="s">
        <v>1068</v>
      </c>
      <c r="C449" t="s">
        <v>40</v>
      </c>
      <c r="D449" s="2">
        <v>34994</v>
      </c>
      <c r="E449" s="2">
        <v>45755</v>
      </c>
      <c r="F449" s="2">
        <v>45764</v>
      </c>
      <c r="G449" t="s">
        <v>105</v>
      </c>
      <c r="H449" t="s">
        <v>95</v>
      </c>
      <c r="I449" t="s">
        <v>119</v>
      </c>
      <c r="J449" t="s">
        <v>34</v>
      </c>
      <c r="K449" t="s">
        <v>27</v>
      </c>
      <c r="L449">
        <v>35425.49</v>
      </c>
      <c r="M449">
        <v>24604.19</v>
      </c>
      <c r="N449" t="s">
        <v>73</v>
      </c>
      <c r="O449">
        <v>9</v>
      </c>
      <c r="P449">
        <v>193</v>
      </c>
      <c r="Q449">
        <v>5</v>
      </c>
      <c r="R449">
        <v>168</v>
      </c>
      <c r="S449">
        <v>178.3</v>
      </c>
      <c r="T449" t="s">
        <v>37</v>
      </c>
      <c r="U449" s="3"/>
      <c r="V449" s="3"/>
      <c r="W449" s="3"/>
    </row>
    <row r="450" spans="1:23">
      <c r="A450" t="s">
        <v>1253</v>
      </c>
      <c r="B450" t="s">
        <v>652</v>
      </c>
      <c r="C450" t="s">
        <v>100</v>
      </c>
      <c r="D450" t="s">
        <v>1254</v>
      </c>
      <c r="E450" s="2">
        <v>45426</v>
      </c>
      <c r="F450" s="2">
        <v>45427</v>
      </c>
      <c r="G450" t="s">
        <v>77</v>
      </c>
      <c r="J450" t="s">
        <v>34</v>
      </c>
      <c r="K450" t="s">
        <v>161</v>
      </c>
      <c r="L450">
        <v>140189.78</v>
      </c>
      <c r="M450">
        <v>95596.05</v>
      </c>
      <c r="N450" t="s">
        <v>192</v>
      </c>
      <c r="O450">
        <v>1</v>
      </c>
      <c r="P450">
        <v>52</v>
      </c>
      <c r="R450">
        <v>164</v>
      </c>
      <c r="S450">
        <v>145.9</v>
      </c>
      <c r="T450" t="s">
        <v>37</v>
      </c>
      <c r="U450" s="3"/>
      <c r="V450" s="3"/>
      <c r="W450" s="3"/>
    </row>
    <row r="451" spans="1:23">
      <c r="A451" t="s">
        <v>1255</v>
      </c>
      <c r="B451" t="s">
        <v>1256</v>
      </c>
      <c r="C451" t="s">
        <v>100</v>
      </c>
      <c r="D451" s="2">
        <v>36788</v>
      </c>
      <c r="E451" s="2">
        <v>45190</v>
      </c>
      <c r="F451" t="s">
        <v>1257</v>
      </c>
      <c r="G451" t="s">
        <v>70</v>
      </c>
      <c r="H451" t="s">
        <v>95</v>
      </c>
      <c r="J451" t="s">
        <v>64</v>
      </c>
      <c r="L451">
        <v>80087.48</v>
      </c>
      <c r="M451">
        <v>55381.5</v>
      </c>
      <c r="N451" t="s">
        <v>35</v>
      </c>
      <c r="O451">
        <v>4</v>
      </c>
      <c r="P451">
        <v>94</v>
      </c>
      <c r="R451">
        <v>118</v>
      </c>
      <c r="S451">
        <v>158.4</v>
      </c>
      <c r="T451" t="s">
        <v>37</v>
      </c>
      <c r="U451" s="3"/>
      <c r="V451" s="3"/>
      <c r="W451" s="3"/>
    </row>
    <row r="452" spans="1:23">
      <c r="A452" t="s">
        <v>1258</v>
      </c>
      <c r="B452" t="s">
        <v>640</v>
      </c>
      <c r="C452" t="s">
        <v>50</v>
      </c>
      <c r="D452" s="2">
        <v>20067</v>
      </c>
      <c r="E452" t="s">
        <v>1259</v>
      </c>
      <c r="F452" s="2">
        <v>45444</v>
      </c>
      <c r="G452" t="s">
        <v>77</v>
      </c>
      <c r="H452" t="s">
        <v>134</v>
      </c>
      <c r="I452" t="s">
        <v>53</v>
      </c>
      <c r="J452" t="s">
        <v>34</v>
      </c>
      <c r="K452" t="s">
        <v>110</v>
      </c>
      <c r="L452">
        <v>55763.02</v>
      </c>
      <c r="M452">
        <v>42006.29</v>
      </c>
      <c r="N452" t="s">
        <v>192</v>
      </c>
      <c r="O452" t="s">
        <v>723</v>
      </c>
      <c r="P452" t="s">
        <v>1260</v>
      </c>
      <c r="Q452">
        <v>5</v>
      </c>
      <c r="R452">
        <v>132</v>
      </c>
      <c r="S452">
        <v>114.2</v>
      </c>
      <c r="T452" t="s">
        <v>37</v>
      </c>
      <c r="U452" s="3"/>
      <c r="V452" s="3"/>
      <c r="W452" s="3"/>
    </row>
    <row r="453" spans="1:23">
      <c r="A453" t="s">
        <v>1261</v>
      </c>
      <c r="B453" t="s">
        <v>155</v>
      </c>
      <c r="C453" t="s">
        <v>40</v>
      </c>
      <c r="D453" s="2">
        <v>30521</v>
      </c>
      <c r="E453" s="2">
        <v>45257</v>
      </c>
      <c r="F453" s="2">
        <v>45264</v>
      </c>
      <c r="G453" t="s">
        <v>117</v>
      </c>
      <c r="H453" t="s">
        <v>78</v>
      </c>
      <c r="I453" t="s">
        <v>53</v>
      </c>
      <c r="J453" t="s">
        <v>97</v>
      </c>
      <c r="K453" t="s">
        <v>55</v>
      </c>
      <c r="L453">
        <v>9798.17</v>
      </c>
      <c r="M453">
        <v>8550.57</v>
      </c>
      <c r="N453" t="s">
        <v>192</v>
      </c>
      <c r="O453">
        <v>7</v>
      </c>
      <c r="P453">
        <v>89</v>
      </c>
      <c r="Q453">
        <v>2</v>
      </c>
      <c r="R453">
        <v>102</v>
      </c>
      <c r="S453">
        <v>249.8</v>
      </c>
      <c r="T453" t="s">
        <v>37</v>
      </c>
      <c r="U453" s="3"/>
      <c r="V453" s="3"/>
      <c r="W453" s="3"/>
    </row>
    <row r="454" spans="1:23">
      <c r="A454" t="s">
        <v>1262</v>
      </c>
      <c r="B454" t="s">
        <v>1263</v>
      </c>
      <c r="C454" t="s">
        <v>100</v>
      </c>
      <c r="D454" s="2">
        <v>23549</v>
      </c>
      <c r="E454" s="2">
        <v>45094</v>
      </c>
      <c r="F454" s="2">
        <v>45105</v>
      </c>
      <c r="G454" t="s">
        <v>114</v>
      </c>
      <c r="H454" t="s">
        <v>95</v>
      </c>
      <c r="I454" t="s">
        <v>96</v>
      </c>
      <c r="J454" t="s">
        <v>179</v>
      </c>
      <c r="K454" t="s">
        <v>55</v>
      </c>
      <c r="L454">
        <v>220127.06</v>
      </c>
      <c r="M454">
        <v>218939.04</v>
      </c>
      <c r="N454" t="s">
        <v>35</v>
      </c>
      <c r="O454">
        <v>11</v>
      </c>
      <c r="P454">
        <v>20</v>
      </c>
      <c r="Q454">
        <v>5</v>
      </c>
      <c r="R454">
        <v>102</v>
      </c>
      <c r="S454">
        <v>102</v>
      </c>
      <c r="T454" t="s">
        <v>37</v>
      </c>
      <c r="U454" s="3"/>
      <c r="V454" s="3"/>
      <c r="W454" s="3"/>
    </row>
    <row r="455" spans="1:23">
      <c r="A455" t="s">
        <v>1264</v>
      </c>
      <c r="B455" t="s">
        <v>572</v>
      </c>
      <c r="C455" t="s">
        <v>50</v>
      </c>
      <c r="D455" s="2">
        <v>20764</v>
      </c>
      <c r="E455" s="2">
        <v>45693</v>
      </c>
      <c r="F455" s="2">
        <v>45699</v>
      </c>
      <c r="G455" t="s">
        <v>31</v>
      </c>
      <c r="I455" t="s">
        <v>53</v>
      </c>
      <c r="J455" t="s">
        <v>64</v>
      </c>
      <c r="K455" t="s">
        <v>120</v>
      </c>
      <c r="L455">
        <v>39340.31</v>
      </c>
      <c r="M455">
        <v>26501.5</v>
      </c>
      <c r="N455" t="s">
        <v>56</v>
      </c>
      <c r="O455" t="s">
        <v>934</v>
      </c>
      <c r="P455">
        <v>14</v>
      </c>
      <c r="R455">
        <v>105</v>
      </c>
      <c r="S455">
        <v>223.4</v>
      </c>
      <c r="T455" t="s">
        <v>65</v>
      </c>
      <c r="U455" s="3"/>
      <c r="V455" s="3"/>
      <c r="W455" s="3"/>
    </row>
    <row r="456" spans="1:23">
      <c r="A456" t="s">
        <v>1265</v>
      </c>
      <c r="B456" t="s">
        <v>472</v>
      </c>
      <c r="C456" t="s">
        <v>30</v>
      </c>
      <c r="D456" s="2">
        <v>36742</v>
      </c>
      <c r="E456" s="2">
        <v>45061</v>
      </c>
      <c r="F456" t="s">
        <v>1266</v>
      </c>
      <c r="G456" t="s">
        <v>62</v>
      </c>
      <c r="H456" t="s">
        <v>86</v>
      </c>
      <c r="J456" t="s">
        <v>361</v>
      </c>
      <c r="K456" t="s">
        <v>120</v>
      </c>
      <c r="L456">
        <v>199028.36</v>
      </c>
      <c r="M456">
        <v>160714.69</v>
      </c>
      <c r="N456" t="s">
        <v>73</v>
      </c>
      <c r="O456">
        <v>11</v>
      </c>
      <c r="P456">
        <v>239</v>
      </c>
      <c r="R456">
        <v>174</v>
      </c>
      <c r="S456">
        <v>204.5</v>
      </c>
      <c r="T456" t="s">
        <v>37</v>
      </c>
      <c r="U456" s="3"/>
      <c r="V456" s="3"/>
      <c r="W456" s="3"/>
    </row>
    <row r="457" spans="1:23">
      <c r="A457" t="s">
        <v>1267</v>
      </c>
      <c r="B457" t="s">
        <v>545</v>
      </c>
      <c r="C457" t="s">
        <v>100</v>
      </c>
      <c r="D457" t="s">
        <v>1268</v>
      </c>
      <c r="E457" s="2">
        <v>45754</v>
      </c>
      <c r="F457" s="2">
        <v>45768</v>
      </c>
      <c r="G457" t="s">
        <v>77</v>
      </c>
      <c r="H457" t="s">
        <v>24</v>
      </c>
      <c r="J457" t="s">
        <v>26</v>
      </c>
      <c r="K457" t="s">
        <v>55</v>
      </c>
      <c r="L457">
        <v>82074.84</v>
      </c>
      <c r="M457">
        <v>68840.600000000006</v>
      </c>
      <c r="N457" t="s">
        <v>35</v>
      </c>
      <c r="O457">
        <v>14</v>
      </c>
      <c r="P457">
        <v>83</v>
      </c>
      <c r="R457">
        <v>190</v>
      </c>
      <c r="S457">
        <v>216.4</v>
      </c>
      <c r="U457" s="3"/>
      <c r="V457" s="3"/>
      <c r="W457" s="3"/>
    </row>
    <row r="458" spans="1:23">
      <c r="A458" t="s">
        <v>1269</v>
      </c>
      <c r="B458" t="s">
        <v>864</v>
      </c>
      <c r="C458" t="s">
        <v>100</v>
      </c>
      <c r="D458" t="s">
        <v>1270</v>
      </c>
      <c r="E458" t="s">
        <v>1271</v>
      </c>
      <c r="F458" s="2">
        <v>45832</v>
      </c>
      <c r="G458" t="s">
        <v>62</v>
      </c>
      <c r="H458" t="s">
        <v>95</v>
      </c>
      <c r="I458" t="s">
        <v>119</v>
      </c>
      <c r="L458">
        <v>227888.87</v>
      </c>
      <c r="M458">
        <v>190781.75</v>
      </c>
      <c r="N458" t="s">
        <v>91</v>
      </c>
      <c r="O458">
        <v>17</v>
      </c>
      <c r="P458">
        <v>52</v>
      </c>
      <c r="Q458">
        <v>4</v>
      </c>
      <c r="R458">
        <v>181</v>
      </c>
      <c r="U458" s="3"/>
      <c r="V458" s="3"/>
      <c r="W458" s="3"/>
    </row>
    <row r="459" spans="1:23">
      <c r="A459" t="s">
        <v>1272</v>
      </c>
      <c r="B459" t="s">
        <v>887</v>
      </c>
      <c r="C459" t="s">
        <v>30</v>
      </c>
      <c r="D459" s="2">
        <v>37358</v>
      </c>
      <c r="E459" t="s">
        <v>1273</v>
      </c>
      <c r="F459" t="s">
        <v>1274</v>
      </c>
      <c r="G459" t="s">
        <v>117</v>
      </c>
      <c r="H459" t="s">
        <v>86</v>
      </c>
      <c r="I459" t="s">
        <v>96</v>
      </c>
      <c r="J459" t="s">
        <v>34</v>
      </c>
      <c r="K459" t="s">
        <v>55</v>
      </c>
      <c r="L459">
        <v>170897.94</v>
      </c>
      <c r="M459">
        <v>139325.32999999999</v>
      </c>
      <c r="N459" t="s">
        <v>56</v>
      </c>
      <c r="O459">
        <v>2</v>
      </c>
      <c r="P459">
        <v>165</v>
      </c>
      <c r="Q459">
        <v>5</v>
      </c>
      <c r="R459">
        <v>116</v>
      </c>
      <c r="S459">
        <v>248.7</v>
      </c>
      <c r="U459" s="3"/>
      <c r="V459" s="3"/>
      <c r="W459" s="3"/>
    </row>
    <row r="460" spans="1:23">
      <c r="A460" t="s">
        <v>1275</v>
      </c>
      <c r="B460" t="s">
        <v>1276</v>
      </c>
      <c r="C460" t="s">
        <v>206</v>
      </c>
      <c r="D460" s="2">
        <v>21512</v>
      </c>
      <c r="E460" t="s">
        <v>1277</v>
      </c>
      <c r="F460" s="2">
        <v>45386</v>
      </c>
      <c r="G460" t="s">
        <v>161</v>
      </c>
      <c r="H460" t="s">
        <v>124</v>
      </c>
      <c r="J460" t="s">
        <v>26</v>
      </c>
      <c r="K460" t="s">
        <v>161</v>
      </c>
      <c r="L460">
        <v>47881.24</v>
      </c>
      <c r="M460">
        <v>35920.99</v>
      </c>
      <c r="N460" t="s">
        <v>192</v>
      </c>
      <c r="O460">
        <v>3</v>
      </c>
      <c r="P460">
        <v>194</v>
      </c>
      <c r="Q460">
        <v>5</v>
      </c>
      <c r="R460">
        <v>177</v>
      </c>
      <c r="S460">
        <v>205.9</v>
      </c>
      <c r="U460" s="3"/>
      <c r="V460" s="3"/>
      <c r="W460" s="3"/>
    </row>
    <row r="461" spans="1:23">
      <c r="A461" t="s">
        <v>1278</v>
      </c>
      <c r="B461" t="s">
        <v>280</v>
      </c>
      <c r="C461" t="s">
        <v>60</v>
      </c>
      <c r="D461" s="2">
        <v>30332</v>
      </c>
      <c r="E461" s="2">
        <v>45907</v>
      </c>
      <c r="F461" t="s">
        <v>1279</v>
      </c>
      <c r="G461" t="s">
        <v>152</v>
      </c>
      <c r="I461" t="s">
        <v>79</v>
      </c>
      <c r="J461" t="s">
        <v>97</v>
      </c>
      <c r="L461">
        <v>23192.99</v>
      </c>
      <c r="M461">
        <v>18569.099999999999</v>
      </c>
      <c r="N461" t="s">
        <v>192</v>
      </c>
      <c r="O461">
        <v>4</v>
      </c>
      <c r="P461">
        <v>66</v>
      </c>
      <c r="Q461">
        <v>4</v>
      </c>
      <c r="R461">
        <v>168</v>
      </c>
      <c r="S461">
        <v>140.5</v>
      </c>
      <c r="U461" s="3"/>
      <c r="V461" s="3"/>
      <c r="W461" s="3"/>
    </row>
    <row r="462" spans="1:23">
      <c r="A462" t="s">
        <v>1280</v>
      </c>
      <c r="B462" t="s">
        <v>843</v>
      </c>
      <c r="C462" t="s">
        <v>816</v>
      </c>
      <c r="D462" s="2">
        <v>39519</v>
      </c>
      <c r="E462" s="2">
        <v>45873</v>
      </c>
      <c r="F462" t="s">
        <v>1281</v>
      </c>
      <c r="G462" t="s">
        <v>1282</v>
      </c>
      <c r="H462" t="s">
        <v>134</v>
      </c>
      <c r="I462" t="s">
        <v>79</v>
      </c>
      <c r="J462" t="s">
        <v>97</v>
      </c>
      <c r="L462" t="s">
        <v>1283</v>
      </c>
      <c r="M462">
        <v>153278.25</v>
      </c>
      <c r="N462" t="s">
        <v>35</v>
      </c>
      <c r="O462">
        <v>7</v>
      </c>
      <c r="P462">
        <v>52</v>
      </c>
      <c r="Q462">
        <v>4</v>
      </c>
      <c r="R462">
        <v>132</v>
      </c>
      <c r="S462">
        <v>195</v>
      </c>
      <c r="T462" t="s">
        <v>37</v>
      </c>
      <c r="U462" s="3"/>
      <c r="V462" s="3"/>
      <c r="W462" s="3"/>
    </row>
    <row r="463" spans="1:23">
      <c r="A463" t="s">
        <v>1284</v>
      </c>
      <c r="B463" t="s">
        <v>88</v>
      </c>
      <c r="D463" s="2">
        <v>35148</v>
      </c>
      <c r="E463" s="2">
        <v>45585</v>
      </c>
      <c r="G463" t="s">
        <v>161</v>
      </c>
      <c r="H463" t="s">
        <v>113</v>
      </c>
      <c r="I463" t="s">
        <v>45</v>
      </c>
      <c r="J463" t="s">
        <v>179</v>
      </c>
      <c r="K463" t="s">
        <v>55</v>
      </c>
      <c r="L463">
        <v>96850.31</v>
      </c>
      <c r="M463">
        <v>62543.29</v>
      </c>
      <c r="N463" t="s">
        <v>73</v>
      </c>
      <c r="O463">
        <v>12</v>
      </c>
      <c r="P463" t="s">
        <v>1285</v>
      </c>
      <c r="Q463">
        <v>2</v>
      </c>
      <c r="R463">
        <v>118</v>
      </c>
      <c r="S463">
        <v>214.8</v>
      </c>
      <c r="T463" t="s">
        <v>81</v>
      </c>
      <c r="U463" s="3"/>
      <c r="V463" s="3"/>
      <c r="W463" s="3"/>
    </row>
    <row r="464" spans="1:23">
      <c r="A464" t="s">
        <v>1286</v>
      </c>
      <c r="B464" t="s">
        <v>150</v>
      </c>
      <c r="C464" t="s">
        <v>50</v>
      </c>
      <c r="D464" s="2">
        <v>33101</v>
      </c>
      <c r="E464" s="2">
        <v>45240</v>
      </c>
      <c r="F464" t="s">
        <v>1287</v>
      </c>
      <c r="G464" t="s">
        <v>105</v>
      </c>
      <c r="H464" t="s">
        <v>86</v>
      </c>
      <c r="I464" t="s">
        <v>53</v>
      </c>
      <c r="J464" t="s">
        <v>71</v>
      </c>
      <c r="K464" t="s">
        <v>161</v>
      </c>
      <c r="L464">
        <v>160180.57</v>
      </c>
      <c r="M464">
        <v>158404.47</v>
      </c>
      <c r="N464" t="s">
        <v>192</v>
      </c>
      <c r="O464" t="s">
        <v>1170</v>
      </c>
      <c r="P464">
        <v>104</v>
      </c>
      <c r="Q464">
        <v>5</v>
      </c>
      <c r="R464">
        <v>110</v>
      </c>
      <c r="S464">
        <v>139.9</v>
      </c>
      <c r="T464" t="s">
        <v>37</v>
      </c>
      <c r="U464" s="3"/>
      <c r="V464" s="3"/>
      <c r="W464" s="3"/>
    </row>
    <row r="465" spans="1:23">
      <c r="A465" t="s">
        <v>1288</v>
      </c>
      <c r="B465" t="s">
        <v>852</v>
      </c>
      <c r="C465" t="s">
        <v>30</v>
      </c>
      <c r="D465" s="2">
        <v>29204</v>
      </c>
      <c r="E465" t="s">
        <v>1289</v>
      </c>
      <c r="F465" s="2">
        <v>45849</v>
      </c>
      <c r="G465" t="s">
        <v>105</v>
      </c>
      <c r="H465" t="s">
        <v>63</v>
      </c>
      <c r="I465" t="s">
        <v>79</v>
      </c>
      <c r="J465" t="s">
        <v>97</v>
      </c>
      <c r="L465" t="s">
        <v>1290</v>
      </c>
      <c r="M465">
        <v>140459.53</v>
      </c>
      <c r="N465" t="s">
        <v>73</v>
      </c>
      <c r="O465">
        <v>13</v>
      </c>
      <c r="P465" t="s">
        <v>1291</v>
      </c>
      <c r="Q465">
        <v>4</v>
      </c>
      <c r="R465">
        <v>162</v>
      </c>
      <c r="S465">
        <v>107</v>
      </c>
      <c r="U465" s="3"/>
      <c r="V465" s="3"/>
      <c r="W465" s="3"/>
    </row>
    <row r="466" spans="1:23">
      <c r="A466" t="s">
        <v>1292</v>
      </c>
      <c r="B466" t="s">
        <v>1293</v>
      </c>
      <c r="C466" t="s">
        <v>133</v>
      </c>
      <c r="D466" s="2">
        <v>22747</v>
      </c>
      <c r="E466" s="2">
        <v>45247</v>
      </c>
      <c r="F466" s="2">
        <v>45260</v>
      </c>
      <c r="G466" t="s">
        <v>43</v>
      </c>
      <c r="H466" t="s">
        <v>124</v>
      </c>
      <c r="J466" t="s">
        <v>179</v>
      </c>
      <c r="K466" t="s">
        <v>27</v>
      </c>
      <c r="L466">
        <v>174257.48</v>
      </c>
      <c r="M466">
        <v>144059.87</v>
      </c>
      <c r="N466" t="s">
        <v>192</v>
      </c>
      <c r="O466">
        <v>13</v>
      </c>
      <c r="P466">
        <v>49</v>
      </c>
      <c r="Q466">
        <v>5</v>
      </c>
      <c r="R466" t="s">
        <v>1294</v>
      </c>
      <c r="S466">
        <v>199.3</v>
      </c>
      <c r="T466" t="s">
        <v>47</v>
      </c>
      <c r="U466" s="3"/>
      <c r="V466" s="3"/>
      <c r="W466" s="3"/>
    </row>
    <row r="467" spans="1:23">
      <c r="A467" t="s">
        <v>1295</v>
      </c>
      <c r="B467" t="s">
        <v>801</v>
      </c>
      <c r="C467" t="s">
        <v>40</v>
      </c>
      <c r="D467" s="2">
        <v>36559</v>
      </c>
      <c r="E467" t="s">
        <v>1296</v>
      </c>
      <c r="F467" t="s">
        <v>1297</v>
      </c>
      <c r="H467" t="s">
        <v>24</v>
      </c>
      <c r="I467" t="s">
        <v>119</v>
      </c>
      <c r="J467" t="s">
        <v>26</v>
      </c>
      <c r="L467">
        <v>80040.240000000005</v>
      </c>
      <c r="M467">
        <v>60902.79</v>
      </c>
      <c r="N467" t="s">
        <v>73</v>
      </c>
      <c r="O467">
        <v>1</v>
      </c>
      <c r="P467">
        <v>43</v>
      </c>
      <c r="Q467">
        <v>4</v>
      </c>
      <c r="R467" t="s">
        <v>1298</v>
      </c>
      <c r="S467">
        <v>229.7</v>
      </c>
      <c r="T467" t="s">
        <v>65</v>
      </c>
      <c r="U467" s="3"/>
      <c r="V467" s="3"/>
      <c r="W467" s="3"/>
    </row>
    <row r="468" spans="1:23">
      <c r="A468" t="s">
        <v>1299</v>
      </c>
      <c r="B468" t="s">
        <v>1293</v>
      </c>
      <c r="C468" t="s">
        <v>60</v>
      </c>
      <c r="D468" s="2">
        <v>31311</v>
      </c>
      <c r="E468" s="2">
        <v>45888</v>
      </c>
      <c r="F468" s="2">
        <v>45897</v>
      </c>
      <c r="G468" t="s">
        <v>94</v>
      </c>
      <c r="H468" t="s">
        <v>52</v>
      </c>
      <c r="I468" t="s">
        <v>53</v>
      </c>
      <c r="J468" t="s">
        <v>34</v>
      </c>
      <c r="L468">
        <v>26524.560000000001</v>
      </c>
      <c r="M468">
        <v>19646.2</v>
      </c>
      <c r="N468" t="s">
        <v>73</v>
      </c>
      <c r="O468">
        <v>9</v>
      </c>
      <c r="P468">
        <v>102</v>
      </c>
      <c r="R468">
        <v>138</v>
      </c>
      <c r="S468">
        <v>160.6</v>
      </c>
      <c r="T468" t="s">
        <v>81</v>
      </c>
      <c r="U468" s="3"/>
      <c r="V468" s="3"/>
      <c r="W468" s="3"/>
    </row>
    <row r="469" spans="1:23">
      <c r="A469" t="s">
        <v>1300</v>
      </c>
      <c r="B469" t="s">
        <v>1146</v>
      </c>
      <c r="C469" t="s">
        <v>60</v>
      </c>
      <c r="D469" s="2">
        <v>32650</v>
      </c>
      <c r="E469" s="2">
        <v>45733</v>
      </c>
      <c r="F469" s="2">
        <v>45738</v>
      </c>
      <c r="G469" t="s">
        <v>70</v>
      </c>
      <c r="H469" t="s">
        <v>113</v>
      </c>
      <c r="I469" t="s">
        <v>45</v>
      </c>
      <c r="J469" t="s">
        <v>46</v>
      </c>
      <c r="K469" t="s">
        <v>110</v>
      </c>
      <c r="L469">
        <v>74856.490000000005</v>
      </c>
      <c r="N469" t="s">
        <v>192</v>
      </c>
      <c r="O469">
        <v>5</v>
      </c>
      <c r="P469">
        <v>209</v>
      </c>
      <c r="R469">
        <v>92</v>
      </c>
      <c r="S469">
        <v>188.2</v>
      </c>
      <c r="T469" t="s">
        <v>37</v>
      </c>
      <c r="U469" s="3"/>
      <c r="V469" s="3"/>
      <c r="W469" s="3"/>
    </row>
    <row r="470" spans="1:23">
      <c r="A470" t="s">
        <v>1301</v>
      </c>
      <c r="B470" t="s">
        <v>1302</v>
      </c>
      <c r="D470" s="2">
        <v>28278</v>
      </c>
      <c r="E470" s="2">
        <v>45485</v>
      </c>
      <c r="F470" s="2">
        <v>45500</v>
      </c>
      <c r="G470" t="s">
        <v>105</v>
      </c>
      <c r="H470" t="s">
        <v>95</v>
      </c>
      <c r="I470" t="s">
        <v>25</v>
      </c>
      <c r="J470" t="s">
        <v>97</v>
      </c>
      <c r="K470" t="s">
        <v>55</v>
      </c>
      <c r="L470" t="s">
        <v>1303</v>
      </c>
      <c r="M470">
        <v>138177.29</v>
      </c>
      <c r="N470" t="s">
        <v>192</v>
      </c>
      <c r="O470">
        <v>15</v>
      </c>
      <c r="P470">
        <v>151</v>
      </c>
      <c r="Q470">
        <v>1</v>
      </c>
      <c r="R470">
        <v>128</v>
      </c>
      <c r="S470">
        <v>142.30000000000001</v>
      </c>
      <c r="T470" t="s">
        <v>37</v>
      </c>
      <c r="U470" s="3"/>
      <c r="V470" s="3"/>
      <c r="W470" s="3"/>
    </row>
    <row r="471" spans="1:23">
      <c r="A471" t="s">
        <v>1304</v>
      </c>
      <c r="B471" t="s">
        <v>1305</v>
      </c>
      <c r="C471" t="s">
        <v>22</v>
      </c>
      <c r="D471" t="s">
        <v>1306</v>
      </c>
      <c r="E471" s="2">
        <v>45503</v>
      </c>
      <c r="F471" t="s">
        <v>1307</v>
      </c>
      <c r="G471" t="s">
        <v>411</v>
      </c>
      <c r="H471" t="s">
        <v>113</v>
      </c>
      <c r="I471" t="s">
        <v>33</v>
      </c>
      <c r="J471" t="s">
        <v>46</v>
      </c>
      <c r="K471" t="s">
        <v>110</v>
      </c>
      <c r="L471">
        <v>215716.09</v>
      </c>
      <c r="M471">
        <v>152490.19</v>
      </c>
      <c r="N471" t="s">
        <v>73</v>
      </c>
      <c r="O471">
        <v>9</v>
      </c>
      <c r="P471">
        <v>37</v>
      </c>
      <c r="Q471">
        <v>2</v>
      </c>
      <c r="R471">
        <v>121</v>
      </c>
      <c r="S471">
        <v>84.1</v>
      </c>
      <c r="T471" t="s">
        <v>127</v>
      </c>
      <c r="U471" s="3"/>
      <c r="V471" s="3"/>
      <c r="W471" s="3"/>
    </row>
    <row r="472" spans="1:23">
      <c r="A472" t="s">
        <v>1308</v>
      </c>
      <c r="B472" t="s">
        <v>458</v>
      </c>
      <c r="C472" t="s">
        <v>206</v>
      </c>
      <c r="D472" s="2">
        <v>33050</v>
      </c>
      <c r="E472" s="2">
        <v>45143</v>
      </c>
      <c r="G472" t="s">
        <v>62</v>
      </c>
      <c r="H472" t="s">
        <v>86</v>
      </c>
      <c r="I472" t="s">
        <v>33</v>
      </c>
      <c r="J472" t="s">
        <v>97</v>
      </c>
      <c r="K472" t="s">
        <v>401</v>
      </c>
      <c r="L472">
        <v>25196.71</v>
      </c>
      <c r="M472">
        <v>17666.73</v>
      </c>
      <c r="N472" t="s">
        <v>192</v>
      </c>
      <c r="O472">
        <v>4</v>
      </c>
      <c r="P472">
        <v>207</v>
      </c>
      <c r="Q472">
        <v>4</v>
      </c>
      <c r="R472">
        <v>116</v>
      </c>
      <c r="S472">
        <v>79.5</v>
      </c>
      <c r="T472" t="s">
        <v>37</v>
      </c>
      <c r="U472" s="3"/>
      <c r="V472" s="3"/>
      <c r="W472" s="3"/>
    </row>
    <row r="473" spans="1:23">
      <c r="A473" t="s">
        <v>1309</v>
      </c>
      <c r="B473" t="s">
        <v>229</v>
      </c>
      <c r="C473" t="s">
        <v>60</v>
      </c>
      <c r="D473" t="s">
        <v>1310</v>
      </c>
      <c r="E473" t="s">
        <v>1311</v>
      </c>
      <c r="F473" s="2">
        <v>45294</v>
      </c>
      <c r="G473" t="s">
        <v>89</v>
      </c>
      <c r="H473" t="s">
        <v>118</v>
      </c>
      <c r="I473" t="s">
        <v>45</v>
      </c>
      <c r="J473" t="s">
        <v>26</v>
      </c>
      <c r="K473" t="s">
        <v>161</v>
      </c>
      <c r="L473">
        <v>176459.85</v>
      </c>
      <c r="M473">
        <v>133484.74</v>
      </c>
      <c r="N473" t="s">
        <v>192</v>
      </c>
      <c r="O473">
        <v>7</v>
      </c>
      <c r="P473">
        <v>222</v>
      </c>
      <c r="Q473">
        <v>5</v>
      </c>
      <c r="R473" t="s">
        <v>885</v>
      </c>
      <c r="S473">
        <v>258.5</v>
      </c>
      <c r="T473" t="s">
        <v>47</v>
      </c>
      <c r="U473" s="3"/>
      <c r="V473" s="3"/>
      <c r="W473" s="3"/>
    </row>
    <row r="474" spans="1:23">
      <c r="A474" t="s">
        <v>1312</v>
      </c>
      <c r="B474" t="s">
        <v>1313</v>
      </c>
      <c r="C474" t="s">
        <v>60</v>
      </c>
      <c r="D474" s="2">
        <v>19727</v>
      </c>
      <c r="E474" s="2">
        <v>45938</v>
      </c>
      <c r="F474" s="2">
        <v>45950</v>
      </c>
      <c r="G474" t="s">
        <v>152</v>
      </c>
      <c r="H474" t="s">
        <v>118</v>
      </c>
      <c r="I474" t="s">
        <v>79</v>
      </c>
      <c r="J474" t="s">
        <v>26</v>
      </c>
      <c r="K474" t="s">
        <v>161</v>
      </c>
      <c r="L474">
        <v>169323.67</v>
      </c>
      <c r="M474">
        <v>120001.83</v>
      </c>
      <c r="N474" t="s">
        <v>73</v>
      </c>
      <c r="O474">
        <v>12</v>
      </c>
      <c r="P474">
        <v>195</v>
      </c>
      <c r="Q474">
        <v>2</v>
      </c>
      <c r="R474">
        <v>130</v>
      </c>
      <c r="S474">
        <v>181.7</v>
      </c>
      <c r="T474" t="s">
        <v>65</v>
      </c>
      <c r="U474" s="3"/>
      <c r="V474" s="3"/>
      <c r="W474" s="3"/>
    </row>
    <row r="475" spans="1:23">
      <c r="A475" t="s">
        <v>1314</v>
      </c>
      <c r="B475" t="s">
        <v>244</v>
      </c>
      <c r="C475" t="s">
        <v>60</v>
      </c>
      <c r="D475" s="2">
        <v>19340</v>
      </c>
      <c r="E475" s="2">
        <v>45766</v>
      </c>
      <c r="F475" s="2">
        <v>45781</v>
      </c>
      <c r="G475" t="s">
        <v>105</v>
      </c>
      <c r="I475" t="s">
        <v>79</v>
      </c>
      <c r="J475" t="s">
        <v>34</v>
      </c>
      <c r="K475" t="s">
        <v>55</v>
      </c>
      <c r="L475">
        <v>217498.88</v>
      </c>
      <c r="M475">
        <v>172665.9</v>
      </c>
      <c r="N475" t="s">
        <v>73</v>
      </c>
      <c r="O475">
        <v>15</v>
      </c>
      <c r="P475">
        <v>41</v>
      </c>
      <c r="Q475">
        <v>4</v>
      </c>
      <c r="R475">
        <v>143</v>
      </c>
      <c r="S475">
        <v>250.4</v>
      </c>
      <c r="T475" t="s">
        <v>47</v>
      </c>
      <c r="U475" s="3"/>
      <c r="V475" s="3"/>
      <c r="W475" s="3"/>
    </row>
    <row r="476" spans="1:23">
      <c r="A476" t="s">
        <v>1315</v>
      </c>
      <c r="B476" t="s">
        <v>21</v>
      </c>
      <c r="C476" t="s">
        <v>30</v>
      </c>
      <c r="D476" s="2">
        <v>29289</v>
      </c>
      <c r="E476" t="s">
        <v>1316</v>
      </c>
      <c r="G476" t="s">
        <v>43</v>
      </c>
      <c r="H476" t="s">
        <v>124</v>
      </c>
      <c r="I476" t="s">
        <v>96</v>
      </c>
      <c r="J476" t="s">
        <v>64</v>
      </c>
      <c r="K476" t="s">
        <v>55</v>
      </c>
      <c r="L476">
        <v>71223.22</v>
      </c>
      <c r="M476">
        <v>60252.03</v>
      </c>
      <c r="O476">
        <v>7</v>
      </c>
      <c r="P476">
        <v>190</v>
      </c>
      <c r="R476" t="s">
        <v>1317</v>
      </c>
      <c r="S476">
        <v>152.69999999999999</v>
      </c>
      <c r="T476" t="s">
        <v>47</v>
      </c>
      <c r="U476" s="3"/>
      <c r="V476" s="3"/>
      <c r="W476" s="3"/>
    </row>
    <row r="477" spans="1:23">
      <c r="A477" t="s">
        <v>1318</v>
      </c>
      <c r="B477" t="s">
        <v>470</v>
      </c>
      <c r="C477" t="s">
        <v>816</v>
      </c>
      <c r="D477" t="s">
        <v>1319</v>
      </c>
      <c r="E477" t="s">
        <v>1320</v>
      </c>
      <c r="F477" s="2">
        <v>45577</v>
      </c>
      <c r="G477" t="s">
        <v>117</v>
      </c>
      <c r="H477" t="s">
        <v>90</v>
      </c>
      <c r="I477" t="s">
        <v>96</v>
      </c>
      <c r="J477" t="s">
        <v>46</v>
      </c>
      <c r="K477" t="s">
        <v>27</v>
      </c>
      <c r="L477">
        <v>181877.3</v>
      </c>
      <c r="M477">
        <v>148292.72</v>
      </c>
      <c r="N477" t="s">
        <v>192</v>
      </c>
      <c r="O477">
        <v>14</v>
      </c>
      <c r="P477">
        <v>99</v>
      </c>
      <c r="R477">
        <v>98</v>
      </c>
      <c r="S477">
        <v>73.400000000000006</v>
      </c>
      <c r="T477" t="s">
        <v>65</v>
      </c>
      <c r="U477" s="3"/>
      <c r="V477" s="3"/>
      <c r="W477" s="3"/>
    </row>
    <row r="478" spans="1:23">
      <c r="A478" t="s">
        <v>1321</v>
      </c>
      <c r="B478" t="s">
        <v>224</v>
      </c>
      <c r="C478" t="s">
        <v>50</v>
      </c>
      <c r="D478" t="s">
        <v>1322</v>
      </c>
      <c r="E478" t="s">
        <v>1323</v>
      </c>
      <c r="F478" t="s">
        <v>685</v>
      </c>
      <c r="G478" t="s">
        <v>117</v>
      </c>
      <c r="H478" t="s">
        <v>86</v>
      </c>
      <c r="I478" t="s">
        <v>45</v>
      </c>
      <c r="J478" t="s">
        <v>34</v>
      </c>
      <c r="K478" t="s">
        <v>120</v>
      </c>
      <c r="L478">
        <v>141916.26</v>
      </c>
      <c r="M478">
        <v>112686.91</v>
      </c>
      <c r="N478" t="s">
        <v>73</v>
      </c>
      <c r="O478" t="s">
        <v>236</v>
      </c>
      <c r="P478">
        <v>230</v>
      </c>
      <c r="Q478">
        <v>2</v>
      </c>
      <c r="R478">
        <v>139</v>
      </c>
      <c r="S478">
        <v>212.5</v>
      </c>
      <c r="T478" t="s">
        <v>37</v>
      </c>
      <c r="U478" s="3"/>
      <c r="V478" s="3"/>
      <c r="W478" s="3"/>
    </row>
    <row r="479" spans="1:23">
      <c r="A479" t="s">
        <v>1324</v>
      </c>
      <c r="B479" t="s">
        <v>1256</v>
      </c>
      <c r="C479" t="s">
        <v>133</v>
      </c>
      <c r="D479" s="2">
        <v>29319</v>
      </c>
      <c r="E479" s="2">
        <v>44933</v>
      </c>
      <c r="F479" s="2">
        <v>44944</v>
      </c>
      <c r="G479" t="s">
        <v>117</v>
      </c>
      <c r="H479" t="s">
        <v>226</v>
      </c>
      <c r="I479" t="s">
        <v>53</v>
      </c>
      <c r="J479" t="s">
        <v>71</v>
      </c>
      <c r="K479" t="s">
        <v>120</v>
      </c>
      <c r="L479">
        <v>239275.24</v>
      </c>
      <c r="M479">
        <v>226307.98</v>
      </c>
      <c r="N479" t="s">
        <v>91</v>
      </c>
      <c r="O479">
        <v>11</v>
      </c>
      <c r="P479">
        <v>159</v>
      </c>
      <c r="R479">
        <v>115</v>
      </c>
      <c r="S479">
        <v>226.6</v>
      </c>
      <c r="T479" t="s">
        <v>106</v>
      </c>
      <c r="U479" s="3"/>
      <c r="V479" s="3"/>
      <c r="W479" s="3"/>
    </row>
    <row r="480" spans="1:23">
      <c r="A480" t="s">
        <v>1325</v>
      </c>
      <c r="B480" t="s">
        <v>1302</v>
      </c>
      <c r="C480" t="s">
        <v>100</v>
      </c>
      <c r="D480" s="2">
        <v>21671</v>
      </c>
      <c r="E480" s="2">
        <v>44986</v>
      </c>
      <c r="G480" t="s">
        <v>77</v>
      </c>
      <c r="H480" t="s">
        <v>78</v>
      </c>
      <c r="I480" t="s">
        <v>53</v>
      </c>
      <c r="J480" t="s">
        <v>34</v>
      </c>
      <c r="K480" t="s">
        <v>27</v>
      </c>
      <c r="L480">
        <v>157407.74</v>
      </c>
      <c r="M480">
        <v>105838.47</v>
      </c>
      <c r="N480" t="s">
        <v>56</v>
      </c>
      <c r="O480">
        <v>14</v>
      </c>
      <c r="P480">
        <v>118</v>
      </c>
      <c r="Q480">
        <v>5</v>
      </c>
      <c r="R480">
        <v>103</v>
      </c>
      <c r="S480">
        <v>248</v>
      </c>
      <c r="T480" t="s">
        <v>37</v>
      </c>
      <c r="U480" s="3"/>
      <c r="V480" s="3"/>
      <c r="W480" s="3"/>
    </row>
    <row r="481" spans="1:23">
      <c r="A481" t="s">
        <v>1326</v>
      </c>
      <c r="B481" t="s">
        <v>843</v>
      </c>
      <c r="C481" t="s">
        <v>30</v>
      </c>
      <c r="D481" s="2">
        <v>31068</v>
      </c>
      <c r="E481" s="2">
        <v>45816</v>
      </c>
      <c r="F481" s="2">
        <v>45827</v>
      </c>
      <c r="G481" t="s">
        <v>105</v>
      </c>
      <c r="H481" t="s">
        <v>118</v>
      </c>
      <c r="I481" t="s">
        <v>25</v>
      </c>
      <c r="J481" t="s">
        <v>71</v>
      </c>
      <c r="K481" t="s">
        <v>191</v>
      </c>
      <c r="L481" t="s">
        <v>1327</v>
      </c>
      <c r="M481">
        <v>52976.18</v>
      </c>
      <c r="N481" t="s">
        <v>106</v>
      </c>
      <c r="O481">
        <v>11</v>
      </c>
      <c r="P481">
        <v>135</v>
      </c>
      <c r="Q481">
        <v>1</v>
      </c>
      <c r="R481">
        <v>182</v>
      </c>
      <c r="S481">
        <v>206.3</v>
      </c>
      <c r="T481" t="s">
        <v>47</v>
      </c>
      <c r="U481" s="3"/>
      <c r="V481" s="3"/>
      <c r="W481" s="3"/>
    </row>
    <row r="482" spans="1:23">
      <c r="A482" t="s">
        <v>1328</v>
      </c>
      <c r="B482" t="s">
        <v>1182</v>
      </c>
      <c r="C482" t="s">
        <v>40</v>
      </c>
      <c r="D482" s="2">
        <v>29785</v>
      </c>
      <c r="E482" t="s">
        <v>1329</v>
      </c>
      <c r="F482" s="2">
        <v>45071</v>
      </c>
      <c r="G482" t="s">
        <v>70</v>
      </c>
      <c r="H482" t="s">
        <v>134</v>
      </c>
      <c r="I482" t="s">
        <v>53</v>
      </c>
      <c r="J482" t="s">
        <v>64</v>
      </c>
      <c r="K482" t="s">
        <v>55</v>
      </c>
      <c r="L482">
        <v>206154.37</v>
      </c>
      <c r="M482">
        <v>172046.01</v>
      </c>
      <c r="N482" t="s">
        <v>35</v>
      </c>
      <c r="O482">
        <v>17</v>
      </c>
      <c r="P482">
        <v>34</v>
      </c>
      <c r="Q482">
        <v>5</v>
      </c>
      <c r="R482">
        <v>119</v>
      </c>
      <c r="S482">
        <v>115.5</v>
      </c>
      <c r="U482" s="3"/>
      <c r="V482" s="3"/>
      <c r="W482" s="3"/>
    </row>
    <row r="483" spans="1:23">
      <c r="A483" t="s">
        <v>1330</v>
      </c>
      <c r="B483" t="s">
        <v>560</v>
      </c>
      <c r="C483" t="s">
        <v>30</v>
      </c>
      <c r="D483" t="s">
        <v>1331</v>
      </c>
      <c r="E483" t="s">
        <v>1332</v>
      </c>
      <c r="G483" t="s">
        <v>31</v>
      </c>
      <c r="H483" t="s">
        <v>153</v>
      </c>
      <c r="I483" t="s">
        <v>79</v>
      </c>
      <c r="J483" t="s">
        <v>186</v>
      </c>
      <c r="K483" t="s">
        <v>72</v>
      </c>
      <c r="M483">
        <v>16942.14</v>
      </c>
      <c r="N483" t="s">
        <v>73</v>
      </c>
      <c r="O483">
        <v>16</v>
      </c>
      <c r="P483" t="s">
        <v>1333</v>
      </c>
      <c r="Q483">
        <v>4</v>
      </c>
      <c r="R483">
        <v>164</v>
      </c>
      <c r="S483">
        <v>163.4</v>
      </c>
      <c r="T483" t="s">
        <v>65</v>
      </c>
      <c r="U483" s="3"/>
      <c r="V483" s="3"/>
      <c r="W483" s="3"/>
    </row>
    <row r="484" spans="1:23">
      <c r="A484" t="s">
        <v>1334</v>
      </c>
      <c r="B484" t="s">
        <v>274</v>
      </c>
      <c r="C484" t="s">
        <v>100</v>
      </c>
      <c r="D484" s="2">
        <v>36077</v>
      </c>
      <c r="E484" s="2">
        <v>45612</v>
      </c>
      <c r="F484" s="2">
        <v>45619</v>
      </c>
      <c r="G484" t="s">
        <v>109</v>
      </c>
      <c r="H484" t="s">
        <v>134</v>
      </c>
      <c r="I484" t="s">
        <v>33</v>
      </c>
      <c r="J484" t="s">
        <v>71</v>
      </c>
      <c r="K484" t="s">
        <v>55</v>
      </c>
      <c r="L484" t="s">
        <v>1335</v>
      </c>
      <c r="M484">
        <v>95650.55</v>
      </c>
      <c r="N484" t="s">
        <v>73</v>
      </c>
      <c r="O484">
        <v>7</v>
      </c>
      <c r="P484">
        <v>171</v>
      </c>
      <c r="R484">
        <v>188</v>
      </c>
      <c r="S484">
        <v>147.1</v>
      </c>
      <c r="T484" t="s">
        <v>721</v>
      </c>
      <c r="U484" s="3"/>
      <c r="V484" s="3"/>
      <c r="W484" s="3"/>
    </row>
    <row r="485" spans="1:23">
      <c r="A485" t="s">
        <v>1336</v>
      </c>
      <c r="B485" t="s">
        <v>829</v>
      </c>
      <c r="C485" t="s">
        <v>22</v>
      </c>
      <c r="D485" t="s">
        <v>1337</v>
      </c>
      <c r="E485" s="2">
        <v>45397</v>
      </c>
      <c r="F485" s="2">
        <v>45406</v>
      </c>
      <c r="G485" t="s">
        <v>152</v>
      </c>
      <c r="H485" t="s">
        <v>44</v>
      </c>
      <c r="I485" t="s">
        <v>25</v>
      </c>
      <c r="J485" t="s">
        <v>80</v>
      </c>
      <c r="L485">
        <v>207822.83</v>
      </c>
      <c r="M485">
        <v>158341.42000000001</v>
      </c>
      <c r="N485" t="s">
        <v>192</v>
      </c>
      <c r="O485">
        <v>9</v>
      </c>
      <c r="P485">
        <v>189</v>
      </c>
      <c r="Q485">
        <v>4</v>
      </c>
      <c r="R485">
        <v>182</v>
      </c>
      <c r="T485" t="s">
        <v>37</v>
      </c>
      <c r="U485" s="3"/>
      <c r="V485" s="3"/>
      <c r="W485" s="3"/>
    </row>
    <row r="486" spans="1:23">
      <c r="A486" t="s">
        <v>1338</v>
      </c>
      <c r="B486" t="s">
        <v>752</v>
      </c>
      <c r="C486" t="s">
        <v>133</v>
      </c>
      <c r="D486" s="2">
        <v>40299</v>
      </c>
      <c r="E486" t="s">
        <v>1339</v>
      </c>
      <c r="F486" t="s">
        <v>1340</v>
      </c>
      <c r="G486" t="s">
        <v>117</v>
      </c>
      <c r="H486" t="s">
        <v>124</v>
      </c>
      <c r="I486" t="s">
        <v>33</v>
      </c>
      <c r="J486" t="s">
        <v>179</v>
      </c>
      <c r="K486" t="s">
        <v>161</v>
      </c>
      <c r="L486">
        <v>93592.320000000007</v>
      </c>
      <c r="M486">
        <v>60240.72</v>
      </c>
      <c r="N486" t="s">
        <v>35</v>
      </c>
      <c r="O486" t="s">
        <v>1170</v>
      </c>
      <c r="P486">
        <v>113</v>
      </c>
      <c r="Q486">
        <v>5</v>
      </c>
      <c r="R486">
        <v>99</v>
      </c>
      <c r="S486">
        <v>123.2</v>
      </c>
      <c r="U486" s="3"/>
      <c r="V486" s="3"/>
      <c r="W486" s="3"/>
    </row>
    <row r="487" spans="1:23">
      <c r="A487" t="s">
        <v>1341</v>
      </c>
      <c r="B487" t="s">
        <v>1342</v>
      </c>
      <c r="D487" s="2">
        <v>22285</v>
      </c>
      <c r="E487" s="2">
        <v>45103</v>
      </c>
      <c r="F487" s="2">
        <v>45111</v>
      </c>
      <c r="G487" t="s">
        <v>117</v>
      </c>
      <c r="H487" t="s">
        <v>153</v>
      </c>
      <c r="I487" t="s">
        <v>96</v>
      </c>
      <c r="J487" t="s">
        <v>71</v>
      </c>
      <c r="K487" t="s">
        <v>55</v>
      </c>
      <c r="M487">
        <v>6139.5</v>
      </c>
      <c r="N487" t="s">
        <v>192</v>
      </c>
      <c r="O487">
        <v>8</v>
      </c>
      <c r="P487">
        <v>192</v>
      </c>
      <c r="Q487">
        <v>3</v>
      </c>
      <c r="R487">
        <v>117</v>
      </c>
      <c r="S487">
        <v>82.4</v>
      </c>
      <c r="U487" s="3"/>
      <c r="V487" s="3"/>
      <c r="W487" s="3"/>
    </row>
    <row r="488" spans="1:23">
      <c r="A488" t="s">
        <v>1343</v>
      </c>
      <c r="B488" t="s">
        <v>436</v>
      </c>
      <c r="C488" t="s">
        <v>206</v>
      </c>
      <c r="D488" s="2">
        <v>22767</v>
      </c>
      <c r="E488" s="2">
        <v>45483</v>
      </c>
      <c r="F488" s="2">
        <v>45490</v>
      </c>
      <c r="G488" t="s">
        <v>77</v>
      </c>
      <c r="H488" t="s">
        <v>278</v>
      </c>
      <c r="I488" t="s">
        <v>25</v>
      </c>
      <c r="J488" t="s">
        <v>179</v>
      </c>
      <c r="K488" t="s">
        <v>161</v>
      </c>
      <c r="L488">
        <v>218696.42</v>
      </c>
      <c r="M488">
        <v>180271.27</v>
      </c>
      <c r="N488" t="s">
        <v>35</v>
      </c>
      <c r="O488">
        <v>7</v>
      </c>
      <c r="P488">
        <v>184</v>
      </c>
      <c r="R488">
        <v>119</v>
      </c>
      <c r="S488">
        <v>206</v>
      </c>
      <c r="U488" s="3"/>
      <c r="V488" s="3"/>
      <c r="W488" s="3"/>
    </row>
    <row r="489" spans="1:23">
      <c r="A489" t="s">
        <v>1344</v>
      </c>
      <c r="B489" t="s">
        <v>909</v>
      </c>
      <c r="C489" t="s">
        <v>60</v>
      </c>
      <c r="D489" t="s">
        <v>1345</v>
      </c>
      <c r="E489" s="2">
        <v>45884</v>
      </c>
      <c r="F489" s="2">
        <v>45896</v>
      </c>
      <c r="G489" t="s">
        <v>62</v>
      </c>
      <c r="J489" t="s">
        <v>64</v>
      </c>
      <c r="L489">
        <v>103436.88</v>
      </c>
      <c r="M489">
        <v>71333.899999999994</v>
      </c>
      <c r="O489">
        <v>12</v>
      </c>
      <c r="P489">
        <v>69</v>
      </c>
      <c r="Q489">
        <v>3</v>
      </c>
      <c r="R489">
        <v>132</v>
      </c>
      <c r="S489">
        <v>245.7</v>
      </c>
      <c r="U489" s="3"/>
      <c r="V489" s="3"/>
      <c r="W489" s="3"/>
    </row>
    <row r="490" spans="1:23">
      <c r="A490" t="s">
        <v>1346</v>
      </c>
      <c r="B490" t="s">
        <v>895</v>
      </c>
      <c r="D490" t="s">
        <v>1347</v>
      </c>
      <c r="E490" s="2">
        <v>45738</v>
      </c>
      <c r="F490" s="2">
        <v>45741</v>
      </c>
      <c r="G490" t="s">
        <v>114</v>
      </c>
      <c r="H490" t="s">
        <v>95</v>
      </c>
      <c r="I490" t="s">
        <v>25</v>
      </c>
      <c r="J490" t="s">
        <v>64</v>
      </c>
      <c r="L490">
        <v>28194.29</v>
      </c>
      <c r="M490">
        <v>21890.47</v>
      </c>
      <c r="N490" t="s">
        <v>73</v>
      </c>
      <c r="O490" t="s">
        <v>713</v>
      </c>
      <c r="P490">
        <v>145</v>
      </c>
      <c r="Q490">
        <v>3</v>
      </c>
      <c r="R490" t="s">
        <v>1348</v>
      </c>
      <c r="S490">
        <v>113.1</v>
      </c>
      <c r="U490" s="3"/>
      <c r="V490" s="3"/>
      <c r="W490" s="3"/>
    </row>
    <row r="491" spans="1:23">
      <c r="A491" t="s">
        <v>1349</v>
      </c>
      <c r="B491" t="s">
        <v>1350</v>
      </c>
      <c r="D491" s="2">
        <v>21909</v>
      </c>
      <c r="E491" s="2">
        <v>45312</v>
      </c>
      <c r="F491" s="2">
        <v>45313</v>
      </c>
      <c r="G491" t="s">
        <v>89</v>
      </c>
      <c r="H491" t="s">
        <v>78</v>
      </c>
      <c r="I491" t="s">
        <v>33</v>
      </c>
      <c r="J491" t="s">
        <v>34</v>
      </c>
      <c r="K491" t="s">
        <v>27</v>
      </c>
      <c r="L491">
        <v>38228</v>
      </c>
      <c r="M491">
        <v>34729.42</v>
      </c>
      <c r="N491" t="s">
        <v>73</v>
      </c>
      <c r="O491" t="s">
        <v>723</v>
      </c>
      <c r="P491">
        <v>83</v>
      </c>
      <c r="Q491">
        <v>4</v>
      </c>
      <c r="R491">
        <v>186</v>
      </c>
      <c r="S491">
        <v>147.19999999999999</v>
      </c>
      <c r="T491" t="s">
        <v>721</v>
      </c>
      <c r="U491" s="3"/>
      <c r="V491" s="3"/>
      <c r="W491" s="3"/>
    </row>
    <row r="492" spans="1:23">
      <c r="A492" t="s">
        <v>1351</v>
      </c>
      <c r="B492" t="s">
        <v>1131</v>
      </c>
      <c r="C492" t="s">
        <v>30</v>
      </c>
      <c r="D492" s="2">
        <v>18617</v>
      </c>
      <c r="E492" s="2">
        <v>45541</v>
      </c>
      <c r="F492" s="2">
        <v>45552</v>
      </c>
      <c r="G492" t="s">
        <v>94</v>
      </c>
      <c r="H492" t="s">
        <v>44</v>
      </c>
      <c r="I492" t="s">
        <v>79</v>
      </c>
      <c r="K492" t="s">
        <v>72</v>
      </c>
      <c r="L492">
        <v>148448.47</v>
      </c>
      <c r="M492">
        <v>125592.99</v>
      </c>
      <c r="O492">
        <v>11</v>
      </c>
      <c r="P492">
        <v>156</v>
      </c>
      <c r="Q492">
        <v>1</v>
      </c>
      <c r="R492">
        <v>176</v>
      </c>
      <c r="S492">
        <v>163.4</v>
      </c>
      <c r="T492" t="s">
        <v>37</v>
      </c>
      <c r="U492" s="3"/>
      <c r="V492" s="3"/>
      <c r="W492" s="3"/>
    </row>
    <row r="493" spans="1:23">
      <c r="A493" t="s">
        <v>1352</v>
      </c>
      <c r="B493" t="s">
        <v>470</v>
      </c>
      <c r="C493" t="s">
        <v>30</v>
      </c>
      <c r="D493" s="2">
        <v>19231</v>
      </c>
      <c r="E493" s="2">
        <v>45104</v>
      </c>
      <c r="F493" s="2">
        <v>45120</v>
      </c>
      <c r="G493" t="s">
        <v>161</v>
      </c>
      <c r="H493" t="s">
        <v>52</v>
      </c>
      <c r="I493" t="s">
        <v>45</v>
      </c>
      <c r="J493" t="s">
        <v>26</v>
      </c>
      <c r="K493" t="s">
        <v>27</v>
      </c>
      <c r="L493">
        <v>115034.83</v>
      </c>
      <c r="M493">
        <v>78342.47</v>
      </c>
      <c r="O493">
        <v>16</v>
      </c>
      <c r="P493">
        <v>159</v>
      </c>
      <c r="R493">
        <v>94</v>
      </c>
      <c r="S493">
        <v>131.30000000000001</v>
      </c>
      <c r="T493" t="s">
        <v>37</v>
      </c>
      <c r="U493" s="3"/>
      <c r="V493" s="3"/>
      <c r="W493" s="3"/>
    </row>
    <row r="494" spans="1:23">
      <c r="A494" t="s">
        <v>1353</v>
      </c>
      <c r="B494" t="s">
        <v>39</v>
      </c>
      <c r="D494" s="2">
        <v>27293</v>
      </c>
      <c r="E494" s="2">
        <v>45026</v>
      </c>
      <c r="F494" s="2">
        <v>45035</v>
      </c>
      <c r="G494" t="s">
        <v>31</v>
      </c>
      <c r="H494" t="s">
        <v>95</v>
      </c>
      <c r="K494" t="s">
        <v>120</v>
      </c>
      <c r="L494">
        <v>225809.78</v>
      </c>
      <c r="M494">
        <v>215889.17</v>
      </c>
      <c r="N494" t="s">
        <v>162</v>
      </c>
      <c r="O494">
        <v>9</v>
      </c>
      <c r="P494">
        <v>15</v>
      </c>
      <c r="Q494">
        <v>5</v>
      </c>
      <c r="R494" t="s">
        <v>1354</v>
      </c>
      <c r="S494">
        <v>133</v>
      </c>
      <c r="T494" t="s">
        <v>37</v>
      </c>
      <c r="U494" s="3"/>
      <c r="V494" s="3"/>
      <c r="W494" s="3"/>
    </row>
    <row r="495" spans="1:23">
      <c r="A495" t="s">
        <v>1355</v>
      </c>
      <c r="B495" t="s">
        <v>843</v>
      </c>
      <c r="D495" t="s">
        <v>1356</v>
      </c>
      <c r="E495" t="s">
        <v>1357</v>
      </c>
      <c r="F495" s="2">
        <v>45841</v>
      </c>
      <c r="G495" t="s">
        <v>62</v>
      </c>
      <c r="H495" t="s">
        <v>124</v>
      </c>
      <c r="I495" t="s">
        <v>25</v>
      </c>
      <c r="J495" t="s">
        <v>34</v>
      </c>
      <c r="K495" t="s">
        <v>55</v>
      </c>
      <c r="L495">
        <v>125296.05</v>
      </c>
      <c r="M495">
        <v>88289.01</v>
      </c>
      <c r="N495" t="s">
        <v>73</v>
      </c>
      <c r="O495">
        <v>4</v>
      </c>
      <c r="P495" t="s">
        <v>885</v>
      </c>
      <c r="R495">
        <v>178</v>
      </c>
      <c r="S495">
        <v>140</v>
      </c>
      <c r="T495" t="s">
        <v>37</v>
      </c>
      <c r="U495" s="3"/>
      <c r="V495" s="3"/>
      <c r="W495" s="3"/>
    </row>
    <row r="496" spans="1:23">
      <c r="A496" t="s">
        <v>1358</v>
      </c>
      <c r="B496" t="s">
        <v>485</v>
      </c>
      <c r="C496" t="s">
        <v>60</v>
      </c>
      <c r="D496" s="2">
        <v>20826</v>
      </c>
      <c r="E496" t="s">
        <v>1359</v>
      </c>
      <c r="F496" s="2">
        <v>45109</v>
      </c>
      <c r="G496" t="s">
        <v>77</v>
      </c>
      <c r="H496" t="s">
        <v>113</v>
      </c>
      <c r="I496" t="s">
        <v>119</v>
      </c>
      <c r="J496" t="s">
        <v>64</v>
      </c>
      <c r="K496" t="s">
        <v>27</v>
      </c>
      <c r="L496">
        <v>67594.149999999994</v>
      </c>
      <c r="M496">
        <v>67003.350000000006</v>
      </c>
      <c r="N496" t="s">
        <v>35</v>
      </c>
      <c r="O496">
        <v>6</v>
      </c>
      <c r="Q496">
        <v>3</v>
      </c>
      <c r="R496">
        <v>164</v>
      </c>
      <c r="S496">
        <v>148.5</v>
      </c>
      <c r="T496" t="s">
        <v>37</v>
      </c>
      <c r="U496" s="3"/>
      <c r="V496" s="3"/>
      <c r="W496" s="3"/>
    </row>
    <row r="497" spans="1:23">
      <c r="A497" t="s">
        <v>1360</v>
      </c>
      <c r="B497" t="s">
        <v>587</v>
      </c>
      <c r="C497" t="s">
        <v>22</v>
      </c>
      <c r="D497" s="2">
        <v>38787</v>
      </c>
      <c r="E497" s="2">
        <v>45426</v>
      </c>
      <c r="F497" s="2">
        <v>45442</v>
      </c>
      <c r="G497" t="s">
        <v>94</v>
      </c>
      <c r="H497" t="s">
        <v>376</v>
      </c>
      <c r="J497" t="s">
        <v>34</v>
      </c>
      <c r="K497" t="s">
        <v>120</v>
      </c>
      <c r="L497">
        <v>120986.75</v>
      </c>
      <c r="M497">
        <v>90948.81</v>
      </c>
      <c r="N497" t="s">
        <v>192</v>
      </c>
      <c r="O497">
        <v>16</v>
      </c>
      <c r="P497">
        <v>146</v>
      </c>
      <c r="R497">
        <v>99</v>
      </c>
      <c r="S497">
        <v>97.8</v>
      </c>
      <c r="T497" t="s">
        <v>47</v>
      </c>
      <c r="U497" s="3"/>
      <c r="V497" s="3"/>
      <c r="W497" s="3"/>
    </row>
    <row r="498" spans="1:23">
      <c r="A498" t="s">
        <v>1361</v>
      </c>
      <c r="B498" t="s">
        <v>1362</v>
      </c>
      <c r="C498" t="s">
        <v>30</v>
      </c>
      <c r="D498" s="2">
        <v>19170</v>
      </c>
      <c r="E498" s="2">
        <v>45735</v>
      </c>
      <c r="F498" s="2">
        <v>45736</v>
      </c>
      <c r="G498" t="s">
        <v>31</v>
      </c>
      <c r="H498" t="s">
        <v>63</v>
      </c>
      <c r="I498" t="s">
        <v>79</v>
      </c>
      <c r="J498" t="s">
        <v>645</v>
      </c>
      <c r="K498" t="s">
        <v>110</v>
      </c>
      <c r="L498">
        <v>152593.04</v>
      </c>
      <c r="M498">
        <v>141084.85999999999</v>
      </c>
      <c r="N498" t="s">
        <v>192</v>
      </c>
      <c r="O498">
        <v>1</v>
      </c>
      <c r="P498">
        <v>37</v>
      </c>
      <c r="R498">
        <v>168</v>
      </c>
      <c r="S498">
        <v>250.4</v>
      </c>
      <c r="T498" t="s">
        <v>37</v>
      </c>
      <c r="U498" s="3"/>
      <c r="V498" s="3"/>
      <c r="W498" s="3"/>
    </row>
    <row r="499" spans="1:23">
      <c r="A499" t="s">
        <v>1363</v>
      </c>
      <c r="B499" t="s">
        <v>1364</v>
      </c>
      <c r="C499" t="s">
        <v>22</v>
      </c>
      <c r="D499" s="2">
        <v>27529</v>
      </c>
      <c r="E499" s="2">
        <v>45626</v>
      </c>
      <c r="F499" t="s">
        <v>1365</v>
      </c>
      <c r="G499" t="s">
        <v>144</v>
      </c>
      <c r="H499" t="s">
        <v>63</v>
      </c>
      <c r="I499" t="s">
        <v>96</v>
      </c>
      <c r="J499" t="s">
        <v>34</v>
      </c>
      <c r="L499">
        <v>129081.39</v>
      </c>
      <c r="M499">
        <v>113703.16</v>
      </c>
      <c r="N499" t="s">
        <v>192</v>
      </c>
      <c r="O499">
        <v>10</v>
      </c>
      <c r="P499">
        <v>219</v>
      </c>
      <c r="R499">
        <v>177</v>
      </c>
      <c r="S499">
        <v>185</v>
      </c>
      <c r="U499" s="3"/>
      <c r="V499" s="3"/>
      <c r="W499" s="3"/>
    </row>
    <row r="500" spans="1:23">
      <c r="A500" t="s">
        <v>1366</v>
      </c>
      <c r="B500" t="s">
        <v>515</v>
      </c>
      <c r="C500" t="s">
        <v>100</v>
      </c>
      <c r="D500" t="s">
        <v>1367</v>
      </c>
      <c r="E500" t="s">
        <v>1368</v>
      </c>
      <c r="F500" t="s">
        <v>1369</v>
      </c>
      <c r="G500" t="s">
        <v>94</v>
      </c>
      <c r="I500" t="s">
        <v>119</v>
      </c>
      <c r="J500" t="s">
        <v>64</v>
      </c>
      <c r="K500" t="s">
        <v>27</v>
      </c>
      <c r="L500">
        <v>169834.78</v>
      </c>
      <c r="M500">
        <v>132330.68</v>
      </c>
      <c r="N500" t="s">
        <v>56</v>
      </c>
      <c r="O500" t="s">
        <v>1370</v>
      </c>
      <c r="P500">
        <v>113</v>
      </c>
      <c r="Q500">
        <v>4</v>
      </c>
      <c r="R500">
        <v>188</v>
      </c>
      <c r="S500">
        <v>186.5</v>
      </c>
      <c r="T500" t="s">
        <v>47</v>
      </c>
      <c r="U500" s="3"/>
      <c r="V500" s="3"/>
      <c r="W500" s="3"/>
    </row>
    <row r="501" spans="1:23">
      <c r="A501" t="s">
        <v>1371</v>
      </c>
      <c r="B501" t="s">
        <v>877</v>
      </c>
      <c r="D501" s="2">
        <v>36857</v>
      </c>
      <c r="E501" s="2">
        <v>45617</v>
      </c>
      <c r="F501" t="s">
        <v>1372</v>
      </c>
      <c r="G501" t="s">
        <v>70</v>
      </c>
      <c r="H501" t="s">
        <v>32</v>
      </c>
      <c r="I501" t="s">
        <v>119</v>
      </c>
      <c r="J501" t="s">
        <v>80</v>
      </c>
      <c r="K501" t="s">
        <v>114</v>
      </c>
      <c r="L501">
        <v>99428.479999999996</v>
      </c>
      <c r="M501">
        <v>66024.37</v>
      </c>
      <c r="N501" t="s">
        <v>73</v>
      </c>
      <c r="O501">
        <v>6</v>
      </c>
      <c r="P501" t="s">
        <v>1373</v>
      </c>
      <c r="R501">
        <v>158</v>
      </c>
      <c r="S501">
        <v>134.9</v>
      </c>
      <c r="T501" t="s">
        <v>65</v>
      </c>
      <c r="U501" s="3"/>
      <c r="V501" s="3"/>
      <c r="W501" s="3"/>
    </row>
    <row r="502" spans="1:23">
      <c r="A502" t="s">
        <v>1374</v>
      </c>
      <c r="B502" t="s">
        <v>1119</v>
      </c>
      <c r="C502" t="s">
        <v>22</v>
      </c>
      <c r="D502" t="s">
        <v>1375</v>
      </c>
      <c r="E502" s="2">
        <v>45334</v>
      </c>
      <c r="G502" t="s">
        <v>43</v>
      </c>
      <c r="H502" t="s">
        <v>113</v>
      </c>
      <c r="K502" t="s">
        <v>120</v>
      </c>
      <c r="L502">
        <v>29249.599999999999</v>
      </c>
      <c r="M502">
        <v>22676.11</v>
      </c>
      <c r="N502" t="s">
        <v>35</v>
      </c>
      <c r="O502">
        <v>9</v>
      </c>
      <c r="P502">
        <v>35</v>
      </c>
      <c r="Q502">
        <v>3</v>
      </c>
      <c r="R502">
        <v>113</v>
      </c>
      <c r="S502">
        <v>93.4</v>
      </c>
      <c r="T502" t="s">
        <v>37</v>
      </c>
      <c r="U502" s="3"/>
      <c r="V502" s="3"/>
      <c r="W502" s="3"/>
    </row>
    <row r="503" spans="1:23">
      <c r="A503" t="s">
        <v>1376</v>
      </c>
      <c r="B503" t="s">
        <v>147</v>
      </c>
      <c r="C503" t="s">
        <v>50</v>
      </c>
      <c r="D503" s="2">
        <v>32851</v>
      </c>
      <c r="E503" t="s">
        <v>1377</v>
      </c>
      <c r="F503" s="2">
        <v>45523</v>
      </c>
      <c r="G503" t="s">
        <v>94</v>
      </c>
      <c r="H503" t="s">
        <v>118</v>
      </c>
      <c r="I503" t="s">
        <v>96</v>
      </c>
      <c r="J503" t="s">
        <v>64</v>
      </c>
      <c r="K503" t="s">
        <v>55</v>
      </c>
      <c r="L503">
        <v>90003.98</v>
      </c>
      <c r="M503">
        <v>67098.95</v>
      </c>
      <c r="N503" t="s">
        <v>91</v>
      </c>
      <c r="O503">
        <v>14</v>
      </c>
      <c r="P503">
        <v>146</v>
      </c>
      <c r="Q503">
        <v>5</v>
      </c>
      <c r="R503">
        <v>187</v>
      </c>
      <c r="S503">
        <v>111.8</v>
      </c>
      <c r="T503" t="s">
        <v>37</v>
      </c>
      <c r="U503" s="3"/>
      <c r="V503" s="3"/>
      <c r="W503" s="3"/>
    </row>
    <row r="504" spans="1:23">
      <c r="A504" t="s">
        <v>1378</v>
      </c>
      <c r="B504" t="s">
        <v>234</v>
      </c>
      <c r="C504" t="s">
        <v>60</v>
      </c>
      <c r="D504" s="2">
        <v>39149</v>
      </c>
      <c r="E504" s="2">
        <v>45499</v>
      </c>
      <c r="G504" t="s">
        <v>754</v>
      </c>
      <c r="H504" t="s">
        <v>44</v>
      </c>
      <c r="I504" t="s">
        <v>79</v>
      </c>
      <c r="J504" t="s">
        <v>106</v>
      </c>
      <c r="K504" t="s">
        <v>110</v>
      </c>
      <c r="L504">
        <v>215571.57</v>
      </c>
      <c r="M504">
        <v>170766.55</v>
      </c>
      <c r="O504">
        <v>4</v>
      </c>
      <c r="P504">
        <v>64</v>
      </c>
      <c r="Q504">
        <v>2</v>
      </c>
      <c r="R504">
        <v>100</v>
      </c>
      <c r="S504">
        <v>147.6</v>
      </c>
      <c r="T504" t="s">
        <v>37</v>
      </c>
      <c r="U504" s="3"/>
      <c r="V504" s="3"/>
      <c r="W504" s="3"/>
    </row>
    <row r="505" spans="1:23">
      <c r="A505" t="s">
        <v>1379</v>
      </c>
      <c r="B505" t="s">
        <v>658</v>
      </c>
      <c r="C505" t="s">
        <v>196</v>
      </c>
      <c r="D505" s="2">
        <v>18857</v>
      </c>
      <c r="E505" s="2">
        <v>45721</v>
      </c>
      <c r="F505" s="2">
        <v>45736</v>
      </c>
      <c r="G505" t="s">
        <v>105</v>
      </c>
      <c r="H505" t="s">
        <v>124</v>
      </c>
      <c r="I505" t="s">
        <v>33</v>
      </c>
      <c r="K505" t="s">
        <v>161</v>
      </c>
      <c r="L505">
        <v>209642.59</v>
      </c>
      <c r="N505" t="s">
        <v>409</v>
      </c>
      <c r="O505">
        <v>15</v>
      </c>
      <c r="P505">
        <v>206</v>
      </c>
      <c r="Q505">
        <v>4</v>
      </c>
      <c r="R505">
        <v>116</v>
      </c>
      <c r="S505">
        <v>111.4</v>
      </c>
      <c r="T505" t="s">
        <v>65</v>
      </c>
      <c r="U505" s="3"/>
      <c r="V505" s="3"/>
      <c r="W505" s="3"/>
    </row>
    <row r="506" spans="1:23">
      <c r="A506" t="s">
        <v>1380</v>
      </c>
      <c r="B506" t="s">
        <v>247</v>
      </c>
      <c r="C506" t="s">
        <v>133</v>
      </c>
      <c r="D506" s="2">
        <v>27314</v>
      </c>
      <c r="E506" s="2">
        <v>45663</v>
      </c>
      <c r="G506" t="s">
        <v>43</v>
      </c>
      <c r="H506" t="s">
        <v>153</v>
      </c>
      <c r="J506" t="s">
        <v>1381</v>
      </c>
      <c r="K506" t="s">
        <v>27</v>
      </c>
      <c r="L506">
        <v>24641.57</v>
      </c>
      <c r="M506">
        <v>19823.38</v>
      </c>
      <c r="N506" t="s">
        <v>91</v>
      </c>
      <c r="O506">
        <v>13</v>
      </c>
      <c r="P506">
        <v>73</v>
      </c>
      <c r="Q506">
        <v>5</v>
      </c>
      <c r="R506">
        <v>123</v>
      </c>
      <c r="S506">
        <v>160.9</v>
      </c>
      <c r="T506" t="s">
        <v>47</v>
      </c>
      <c r="U506" s="3"/>
      <c r="V506" s="3"/>
      <c r="W506" s="3"/>
    </row>
    <row r="507" spans="1:23">
      <c r="A507" t="s">
        <v>1382</v>
      </c>
      <c r="B507" t="s">
        <v>332</v>
      </c>
      <c r="C507" t="s">
        <v>22</v>
      </c>
      <c r="D507" t="s">
        <v>1383</v>
      </c>
      <c r="E507" t="s">
        <v>1384</v>
      </c>
      <c r="F507" t="s">
        <v>1385</v>
      </c>
      <c r="G507" t="s">
        <v>62</v>
      </c>
      <c r="H507" t="s">
        <v>86</v>
      </c>
      <c r="I507" t="s">
        <v>79</v>
      </c>
      <c r="J507" t="s">
        <v>71</v>
      </c>
      <c r="K507" t="s">
        <v>161</v>
      </c>
      <c r="L507">
        <v>43740.63</v>
      </c>
      <c r="M507">
        <v>33660.370000000003</v>
      </c>
      <c r="N507" t="s">
        <v>192</v>
      </c>
      <c r="O507">
        <v>14</v>
      </c>
      <c r="P507">
        <v>28</v>
      </c>
      <c r="Q507">
        <v>1</v>
      </c>
      <c r="R507">
        <v>163</v>
      </c>
      <c r="S507">
        <v>194.4</v>
      </c>
      <c r="U507" s="3"/>
      <c r="V507" s="3"/>
      <c r="W507" s="3"/>
    </row>
    <row r="508" spans="1:23">
      <c r="A508" t="s">
        <v>1386</v>
      </c>
      <c r="B508" t="s">
        <v>986</v>
      </c>
      <c r="C508" t="s">
        <v>40</v>
      </c>
      <c r="D508" t="s">
        <v>1387</v>
      </c>
      <c r="E508" s="2">
        <v>45682</v>
      </c>
      <c r="F508" s="2">
        <v>45688</v>
      </c>
      <c r="G508" t="s">
        <v>62</v>
      </c>
      <c r="H508" t="s">
        <v>86</v>
      </c>
      <c r="I508" t="s">
        <v>25</v>
      </c>
      <c r="J508" t="s">
        <v>46</v>
      </c>
      <c r="K508" t="s">
        <v>110</v>
      </c>
      <c r="L508">
        <v>214213.31</v>
      </c>
      <c r="M508">
        <v>182932.55</v>
      </c>
      <c r="N508" t="s">
        <v>192</v>
      </c>
      <c r="O508">
        <v>6</v>
      </c>
      <c r="P508">
        <v>10</v>
      </c>
      <c r="R508">
        <v>154</v>
      </c>
      <c r="S508">
        <v>240</v>
      </c>
      <c r="T508" t="s">
        <v>37</v>
      </c>
      <c r="U508" s="3"/>
      <c r="V508" s="3"/>
      <c r="W508" s="3"/>
    </row>
    <row r="509" spans="1:23">
      <c r="A509" t="s">
        <v>1388</v>
      </c>
      <c r="B509" t="s">
        <v>1200</v>
      </c>
      <c r="C509" t="s">
        <v>100</v>
      </c>
      <c r="D509" s="2">
        <v>22240</v>
      </c>
      <c r="E509" t="s">
        <v>1389</v>
      </c>
      <c r="F509" s="2">
        <v>45016</v>
      </c>
      <c r="G509" t="s">
        <v>62</v>
      </c>
      <c r="H509" t="s">
        <v>24</v>
      </c>
      <c r="I509" t="s">
        <v>96</v>
      </c>
      <c r="J509" t="s">
        <v>34</v>
      </c>
      <c r="K509" t="s">
        <v>72</v>
      </c>
      <c r="L509">
        <v>133401.03</v>
      </c>
      <c r="M509">
        <v>114470.72</v>
      </c>
      <c r="O509" t="s">
        <v>713</v>
      </c>
      <c r="P509">
        <v>106</v>
      </c>
      <c r="R509">
        <v>159</v>
      </c>
      <c r="S509">
        <v>208</v>
      </c>
      <c r="T509" t="s">
        <v>37</v>
      </c>
      <c r="U509" s="3"/>
      <c r="V509" s="3"/>
      <c r="W509" s="3"/>
    </row>
    <row r="510" spans="1:23">
      <c r="A510" t="s">
        <v>1390</v>
      </c>
      <c r="B510" t="s">
        <v>1391</v>
      </c>
      <c r="C510" t="s">
        <v>40</v>
      </c>
      <c r="D510" s="2">
        <v>32321</v>
      </c>
      <c r="E510" s="2">
        <v>45538</v>
      </c>
      <c r="F510" s="2">
        <v>45542</v>
      </c>
      <c r="G510" t="s">
        <v>43</v>
      </c>
      <c r="H510" t="s">
        <v>134</v>
      </c>
      <c r="I510" t="s">
        <v>79</v>
      </c>
      <c r="J510" t="s">
        <v>71</v>
      </c>
      <c r="L510">
        <v>94971.8</v>
      </c>
      <c r="M510">
        <v>80361.95</v>
      </c>
      <c r="N510" t="s">
        <v>192</v>
      </c>
      <c r="O510">
        <v>4</v>
      </c>
      <c r="Q510">
        <v>1</v>
      </c>
      <c r="R510">
        <v>117</v>
      </c>
      <c r="S510">
        <v>152.80000000000001</v>
      </c>
      <c r="U510" s="3"/>
      <c r="V510" s="3"/>
      <c r="W510" s="3"/>
    </row>
    <row r="511" spans="1:23">
      <c r="A511" t="s">
        <v>1392</v>
      </c>
      <c r="B511" t="s">
        <v>1393</v>
      </c>
      <c r="C511" t="s">
        <v>206</v>
      </c>
      <c r="D511" s="2">
        <v>34923</v>
      </c>
      <c r="E511" s="2">
        <v>45346</v>
      </c>
      <c r="F511" t="s">
        <v>1394</v>
      </c>
      <c r="G511" t="s">
        <v>152</v>
      </c>
      <c r="H511" t="s">
        <v>86</v>
      </c>
      <c r="I511" t="s">
        <v>53</v>
      </c>
      <c r="J511" t="s">
        <v>26</v>
      </c>
      <c r="K511" t="s">
        <v>72</v>
      </c>
      <c r="L511">
        <v>75615.98</v>
      </c>
      <c r="M511">
        <v>60883.46</v>
      </c>
      <c r="N511" t="s">
        <v>56</v>
      </c>
      <c r="O511">
        <v>15</v>
      </c>
      <c r="P511">
        <v>237</v>
      </c>
      <c r="Q511">
        <v>4</v>
      </c>
      <c r="R511">
        <v>173</v>
      </c>
      <c r="S511">
        <v>235.7</v>
      </c>
      <c r="T511" t="s">
        <v>37</v>
      </c>
      <c r="U511" s="3"/>
      <c r="V511" s="3"/>
      <c r="W511" s="3"/>
    </row>
    <row r="512" spans="1:23">
      <c r="A512" t="s">
        <v>1395</v>
      </c>
      <c r="B512" t="s">
        <v>147</v>
      </c>
      <c r="C512" t="s">
        <v>60</v>
      </c>
      <c r="D512" s="2">
        <v>35782</v>
      </c>
      <c r="E512" s="2">
        <v>45479</v>
      </c>
      <c r="G512" t="s">
        <v>94</v>
      </c>
      <c r="H512" t="s">
        <v>113</v>
      </c>
      <c r="I512" t="s">
        <v>119</v>
      </c>
      <c r="J512" t="s">
        <v>179</v>
      </c>
      <c r="K512" t="s">
        <v>191</v>
      </c>
      <c r="L512">
        <v>113468.77</v>
      </c>
      <c r="M512">
        <v>106609.96</v>
      </c>
      <c r="N512" t="s">
        <v>35</v>
      </c>
      <c r="O512">
        <v>2</v>
      </c>
      <c r="P512">
        <v>122</v>
      </c>
      <c r="Q512">
        <v>5</v>
      </c>
      <c r="R512">
        <v>169</v>
      </c>
      <c r="S512">
        <v>132</v>
      </c>
      <c r="T512" t="s">
        <v>65</v>
      </c>
      <c r="U512" s="3"/>
      <c r="V512" s="3"/>
      <c r="W512" s="3"/>
    </row>
    <row r="513" spans="1:23">
      <c r="A513" t="s">
        <v>1396</v>
      </c>
      <c r="B513" t="s">
        <v>199</v>
      </c>
      <c r="C513" t="s">
        <v>30</v>
      </c>
      <c r="D513" s="2">
        <v>26260</v>
      </c>
      <c r="E513" s="2">
        <v>45827</v>
      </c>
      <c r="F513" s="2">
        <v>45836</v>
      </c>
      <c r="G513" t="s">
        <v>70</v>
      </c>
      <c r="H513" t="s">
        <v>86</v>
      </c>
      <c r="I513" t="s">
        <v>33</v>
      </c>
      <c r="K513" t="s">
        <v>27</v>
      </c>
      <c r="L513">
        <v>97512.66</v>
      </c>
      <c r="M513">
        <v>70966.559999999998</v>
      </c>
      <c r="N513" t="s">
        <v>192</v>
      </c>
      <c r="O513">
        <v>9</v>
      </c>
      <c r="Q513">
        <v>5</v>
      </c>
      <c r="R513">
        <v>91</v>
      </c>
      <c r="S513">
        <v>251.2</v>
      </c>
      <c r="T513" t="s">
        <v>47</v>
      </c>
      <c r="U513" s="3"/>
      <c r="V513" s="3"/>
      <c r="W513" s="3"/>
    </row>
    <row r="514" spans="1:23">
      <c r="A514" t="s">
        <v>1397</v>
      </c>
      <c r="B514" t="s">
        <v>39</v>
      </c>
      <c r="C514" t="s">
        <v>459</v>
      </c>
      <c r="D514" t="s">
        <v>1398</v>
      </c>
      <c r="E514" t="s">
        <v>1399</v>
      </c>
      <c r="F514" t="s">
        <v>1400</v>
      </c>
      <c r="G514" t="s">
        <v>77</v>
      </c>
      <c r="H514" t="s">
        <v>52</v>
      </c>
      <c r="I514" t="s">
        <v>33</v>
      </c>
      <c r="J514" t="s">
        <v>34</v>
      </c>
      <c r="K514" t="s">
        <v>72</v>
      </c>
      <c r="L514">
        <v>203393.22</v>
      </c>
      <c r="M514">
        <v>180011.04</v>
      </c>
      <c r="N514" t="s">
        <v>73</v>
      </c>
      <c r="O514">
        <v>6</v>
      </c>
      <c r="P514">
        <v>100</v>
      </c>
      <c r="R514" t="s">
        <v>1401</v>
      </c>
      <c r="S514">
        <v>179.6</v>
      </c>
      <c r="T514" t="s">
        <v>37</v>
      </c>
      <c r="U514" s="3"/>
      <c r="V514" s="3"/>
      <c r="W514" s="3"/>
    </row>
    <row r="515" spans="1:23">
      <c r="A515" t="s">
        <v>1402</v>
      </c>
      <c r="B515" t="s">
        <v>451</v>
      </c>
      <c r="C515" t="s">
        <v>22</v>
      </c>
      <c r="D515" t="s">
        <v>1403</v>
      </c>
      <c r="E515" s="2">
        <v>45948</v>
      </c>
      <c r="G515" t="s">
        <v>117</v>
      </c>
      <c r="H515" t="s">
        <v>44</v>
      </c>
      <c r="I515" t="s">
        <v>96</v>
      </c>
      <c r="J515" t="s">
        <v>26</v>
      </c>
      <c r="K515" t="s">
        <v>72</v>
      </c>
      <c r="L515">
        <v>206457.08</v>
      </c>
      <c r="M515">
        <v>142533.59</v>
      </c>
      <c r="N515" t="s">
        <v>73</v>
      </c>
      <c r="O515">
        <v>13</v>
      </c>
      <c r="P515">
        <v>205</v>
      </c>
      <c r="Q515">
        <v>4</v>
      </c>
      <c r="R515">
        <v>121</v>
      </c>
      <c r="S515">
        <v>158.19999999999999</v>
      </c>
      <c r="T515" t="s">
        <v>47</v>
      </c>
      <c r="U515" s="3"/>
      <c r="V515" s="3"/>
      <c r="W515" s="3"/>
    </row>
    <row r="516" spans="1:23">
      <c r="A516" t="s">
        <v>1404</v>
      </c>
      <c r="B516" t="s">
        <v>765</v>
      </c>
      <c r="C516" t="s">
        <v>30</v>
      </c>
      <c r="D516" t="s">
        <v>1405</v>
      </c>
      <c r="E516" s="2">
        <v>45775</v>
      </c>
      <c r="F516" s="2">
        <v>45791</v>
      </c>
      <c r="G516" t="s">
        <v>105</v>
      </c>
      <c r="H516" t="s">
        <v>63</v>
      </c>
      <c r="I516" t="s">
        <v>33</v>
      </c>
      <c r="J516" t="s">
        <v>71</v>
      </c>
      <c r="K516" t="s">
        <v>27</v>
      </c>
      <c r="L516" t="s">
        <v>1406</v>
      </c>
      <c r="M516">
        <v>56538.69</v>
      </c>
      <c r="N516" t="s">
        <v>56</v>
      </c>
      <c r="O516">
        <v>16</v>
      </c>
      <c r="P516">
        <v>106</v>
      </c>
      <c r="Q516">
        <v>4</v>
      </c>
      <c r="S516">
        <v>151.69999999999999</v>
      </c>
      <c r="T516" t="s">
        <v>47</v>
      </c>
      <c r="U516" s="3"/>
      <c r="V516" s="3"/>
      <c r="W516" s="3"/>
    </row>
    <row r="517" spans="1:23">
      <c r="A517" t="s">
        <v>1407</v>
      </c>
      <c r="B517" t="s">
        <v>1408</v>
      </c>
      <c r="C517" t="s">
        <v>206</v>
      </c>
      <c r="D517" s="2">
        <v>39139</v>
      </c>
      <c r="E517" s="2">
        <v>45238</v>
      </c>
      <c r="G517" t="s">
        <v>62</v>
      </c>
      <c r="H517" t="s">
        <v>24</v>
      </c>
      <c r="I517" t="s">
        <v>53</v>
      </c>
      <c r="J517" t="s">
        <v>71</v>
      </c>
      <c r="K517" t="s">
        <v>161</v>
      </c>
      <c r="L517">
        <v>245966.01</v>
      </c>
      <c r="M517">
        <v>222260.28</v>
      </c>
      <c r="N517" t="s">
        <v>192</v>
      </c>
      <c r="O517">
        <v>2</v>
      </c>
      <c r="P517">
        <v>240</v>
      </c>
      <c r="Q517">
        <v>5</v>
      </c>
      <c r="R517">
        <v>175</v>
      </c>
      <c r="S517">
        <v>178.7</v>
      </c>
      <c r="T517" t="s">
        <v>37</v>
      </c>
      <c r="U517" s="3"/>
      <c r="V517" s="3"/>
      <c r="W517" s="3"/>
    </row>
    <row r="518" spans="1:23">
      <c r="A518" t="s">
        <v>1409</v>
      </c>
      <c r="B518" t="s">
        <v>171</v>
      </c>
      <c r="C518" t="s">
        <v>22</v>
      </c>
      <c r="D518" s="2">
        <v>31917</v>
      </c>
      <c r="E518" s="2">
        <v>46004</v>
      </c>
      <c r="F518" s="2">
        <v>46007</v>
      </c>
      <c r="G518" t="s">
        <v>109</v>
      </c>
      <c r="H518" t="s">
        <v>124</v>
      </c>
      <c r="I518" t="s">
        <v>33</v>
      </c>
      <c r="J518" t="s">
        <v>34</v>
      </c>
      <c r="K518" t="s">
        <v>55</v>
      </c>
      <c r="L518">
        <v>152526.51</v>
      </c>
      <c r="M518">
        <v>113970.59</v>
      </c>
      <c r="N518" t="s">
        <v>56</v>
      </c>
      <c r="O518">
        <v>3</v>
      </c>
      <c r="P518">
        <v>203</v>
      </c>
      <c r="R518">
        <v>102</v>
      </c>
      <c r="S518">
        <v>164.3</v>
      </c>
      <c r="T518" t="s">
        <v>47</v>
      </c>
      <c r="U518" s="3"/>
      <c r="V518" s="3"/>
      <c r="W518" s="3"/>
    </row>
    <row r="519" spans="1:23">
      <c r="A519" t="s">
        <v>1410</v>
      </c>
      <c r="B519" t="s">
        <v>768</v>
      </c>
      <c r="C519" t="s">
        <v>100</v>
      </c>
      <c r="D519" s="2">
        <v>36668</v>
      </c>
      <c r="E519" s="2">
        <v>45595</v>
      </c>
      <c r="F519" s="2">
        <v>45602</v>
      </c>
      <c r="G519" t="s">
        <v>62</v>
      </c>
      <c r="H519" t="s">
        <v>153</v>
      </c>
      <c r="I519" t="s">
        <v>53</v>
      </c>
      <c r="J519" t="s">
        <v>179</v>
      </c>
      <c r="K519" t="s">
        <v>161</v>
      </c>
      <c r="L519">
        <v>22164.65</v>
      </c>
      <c r="M519">
        <v>19200.98</v>
      </c>
      <c r="N519" t="s">
        <v>73</v>
      </c>
      <c r="O519">
        <v>7</v>
      </c>
      <c r="P519">
        <v>42</v>
      </c>
      <c r="Q519">
        <v>2</v>
      </c>
      <c r="R519">
        <v>147</v>
      </c>
      <c r="S519">
        <v>94</v>
      </c>
      <c r="U519" s="3"/>
      <c r="V519" s="3"/>
      <c r="W519" s="3"/>
    </row>
    <row r="520" spans="1:23">
      <c r="A520" t="s">
        <v>1411</v>
      </c>
      <c r="B520" t="s">
        <v>116</v>
      </c>
      <c r="C520" t="s">
        <v>100</v>
      </c>
      <c r="D520" t="s">
        <v>1412</v>
      </c>
      <c r="E520" s="2">
        <v>44996</v>
      </c>
      <c r="F520" s="2">
        <v>45008</v>
      </c>
      <c r="G520" t="s">
        <v>94</v>
      </c>
      <c r="H520" t="s">
        <v>63</v>
      </c>
      <c r="I520" t="s">
        <v>33</v>
      </c>
      <c r="J520" t="s">
        <v>179</v>
      </c>
      <c r="L520">
        <v>10266.43</v>
      </c>
      <c r="M520">
        <v>8386.32</v>
      </c>
      <c r="N520" t="s">
        <v>73</v>
      </c>
      <c r="O520" t="s">
        <v>1370</v>
      </c>
      <c r="P520">
        <v>213</v>
      </c>
      <c r="S520">
        <v>195.1</v>
      </c>
      <c r="T520" t="s">
        <v>37</v>
      </c>
      <c r="U520" s="3"/>
      <c r="V520" s="3"/>
      <c r="W520" s="3"/>
    </row>
    <row r="521" spans="1:23">
      <c r="A521" t="s">
        <v>1413</v>
      </c>
      <c r="B521" t="s">
        <v>661</v>
      </c>
      <c r="D521" s="2">
        <v>20312</v>
      </c>
      <c r="E521" s="2">
        <v>45230</v>
      </c>
      <c r="F521" s="2">
        <v>45232</v>
      </c>
      <c r="G521" t="s">
        <v>94</v>
      </c>
      <c r="H521" t="s">
        <v>95</v>
      </c>
      <c r="J521" t="s">
        <v>71</v>
      </c>
      <c r="K521" t="s">
        <v>401</v>
      </c>
      <c r="L521">
        <v>227058.46</v>
      </c>
      <c r="M521">
        <v>145551.47</v>
      </c>
      <c r="N521" t="s">
        <v>73</v>
      </c>
      <c r="O521">
        <v>2</v>
      </c>
      <c r="P521">
        <v>14</v>
      </c>
      <c r="Q521">
        <v>1</v>
      </c>
      <c r="R521">
        <v>170</v>
      </c>
      <c r="S521">
        <v>138.5</v>
      </c>
      <c r="T521" t="s">
        <v>65</v>
      </c>
      <c r="U521" s="3"/>
      <c r="V521" s="3"/>
      <c r="W521" s="3"/>
    </row>
    <row r="522" spans="1:23">
      <c r="A522" t="s">
        <v>1414</v>
      </c>
      <c r="B522" t="s">
        <v>394</v>
      </c>
      <c r="C522" t="s">
        <v>84</v>
      </c>
      <c r="D522" s="2">
        <v>32070</v>
      </c>
      <c r="E522" t="s">
        <v>1415</v>
      </c>
      <c r="F522" s="2">
        <v>45343</v>
      </c>
      <c r="G522" t="s">
        <v>31</v>
      </c>
      <c r="H522" t="s">
        <v>78</v>
      </c>
      <c r="I522" t="s">
        <v>25</v>
      </c>
      <c r="J522" t="s">
        <v>34</v>
      </c>
      <c r="K522" t="s">
        <v>120</v>
      </c>
      <c r="L522">
        <v>241125.27</v>
      </c>
      <c r="M522">
        <v>187528.73</v>
      </c>
      <c r="N522" t="s">
        <v>192</v>
      </c>
      <c r="O522">
        <v>14</v>
      </c>
      <c r="P522" t="s">
        <v>1416</v>
      </c>
      <c r="R522">
        <v>95</v>
      </c>
      <c r="S522">
        <v>124.1</v>
      </c>
      <c r="T522" t="s">
        <v>37</v>
      </c>
      <c r="U522" s="3"/>
      <c r="V522" s="3"/>
      <c r="W522" s="3"/>
    </row>
    <row r="523" spans="1:23">
      <c r="A523" t="s">
        <v>1417</v>
      </c>
      <c r="B523" t="s">
        <v>1108</v>
      </c>
      <c r="C523" t="s">
        <v>133</v>
      </c>
      <c r="D523" s="2">
        <v>37368</v>
      </c>
      <c r="E523" s="2">
        <v>45447</v>
      </c>
      <c r="F523" t="s">
        <v>1418</v>
      </c>
      <c r="G523" t="s">
        <v>89</v>
      </c>
      <c r="H523" t="s">
        <v>86</v>
      </c>
      <c r="I523" t="s">
        <v>25</v>
      </c>
      <c r="J523" t="s">
        <v>80</v>
      </c>
      <c r="K523" t="s">
        <v>55</v>
      </c>
      <c r="L523">
        <v>238122.13</v>
      </c>
      <c r="M523">
        <v>174569.55</v>
      </c>
      <c r="N523" t="s">
        <v>192</v>
      </c>
      <c r="O523">
        <v>13</v>
      </c>
      <c r="P523">
        <v>5</v>
      </c>
      <c r="Q523">
        <v>4</v>
      </c>
      <c r="R523">
        <v>96</v>
      </c>
      <c r="S523">
        <v>252.1</v>
      </c>
      <c r="T523" t="s">
        <v>65</v>
      </c>
      <c r="U523" s="3"/>
      <c r="V523" s="3"/>
      <c r="W523" s="3"/>
    </row>
    <row r="524" spans="1:23">
      <c r="A524" t="s">
        <v>1419</v>
      </c>
      <c r="B524" t="s">
        <v>1088</v>
      </c>
      <c r="C524" t="s">
        <v>40</v>
      </c>
      <c r="D524" s="2">
        <v>38090</v>
      </c>
      <c r="E524" s="2">
        <v>45599</v>
      </c>
      <c r="F524" s="2">
        <v>45605</v>
      </c>
      <c r="G524" t="s">
        <v>94</v>
      </c>
      <c r="H524" t="s">
        <v>24</v>
      </c>
      <c r="I524" t="s">
        <v>79</v>
      </c>
      <c r="J524" t="s">
        <v>26</v>
      </c>
      <c r="K524" t="s">
        <v>183</v>
      </c>
      <c r="L524">
        <v>83871.77</v>
      </c>
      <c r="M524">
        <v>82527.600000000006</v>
      </c>
      <c r="N524" t="s">
        <v>56</v>
      </c>
      <c r="O524">
        <v>6</v>
      </c>
      <c r="P524">
        <v>10</v>
      </c>
      <c r="Q524">
        <v>2</v>
      </c>
      <c r="R524">
        <v>106</v>
      </c>
      <c r="S524">
        <v>246.9</v>
      </c>
      <c r="U524" s="3"/>
      <c r="V524" s="3"/>
      <c r="W524" s="3"/>
    </row>
    <row r="525" spans="1:23">
      <c r="A525" t="s">
        <v>1420</v>
      </c>
      <c r="B525" t="s">
        <v>541</v>
      </c>
      <c r="C525" t="s">
        <v>84</v>
      </c>
      <c r="D525" s="2">
        <v>32907</v>
      </c>
      <c r="E525" s="2">
        <v>45245</v>
      </c>
      <c r="F525" s="2">
        <v>45249</v>
      </c>
      <c r="G525" t="s">
        <v>152</v>
      </c>
      <c r="H525" t="s">
        <v>86</v>
      </c>
      <c r="I525" t="s">
        <v>33</v>
      </c>
      <c r="J525" t="s">
        <v>71</v>
      </c>
      <c r="K525" t="s">
        <v>191</v>
      </c>
      <c r="L525">
        <v>241373.06</v>
      </c>
      <c r="M525">
        <v>224349.04</v>
      </c>
      <c r="O525" t="s">
        <v>903</v>
      </c>
      <c r="P525">
        <v>91</v>
      </c>
      <c r="Q525">
        <v>2</v>
      </c>
      <c r="R525">
        <v>154</v>
      </c>
      <c r="S525">
        <v>215.5</v>
      </c>
      <c r="T525" t="s">
        <v>37</v>
      </c>
      <c r="U525" s="3"/>
      <c r="V525" s="3"/>
      <c r="W525" s="3"/>
    </row>
    <row r="526" spans="1:23">
      <c r="A526" t="s">
        <v>1421</v>
      </c>
      <c r="B526" t="s">
        <v>1342</v>
      </c>
      <c r="D526" s="2">
        <v>36925</v>
      </c>
      <c r="E526" s="2">
        <v>45259</v>
      </c>
      <c r="F526" t="s">
        <v>1422</v>
      </c>
      <c r="G526" t="s">
        <v>89</v>
      </c>
      <c r="I526" t="s">
        <v>45</v>
      </c>
      <c r="J526" t="s">
        <v>34</v>
      </c>
      <c r="K526" t="s">
        <v>27</v>
      </c>
      <c r="L526">
        <v>247800.6</v>
      </c>
      <c r="M526">
        <v>169644.92</v>
      </c>
      <c r="N526" t="s">
        <v>192</v>
      </c>
      <c r="O526">
        <v>5</v>
      </c>
      <c r="P526">
        <v>92</v>
      </c>
      <c r="Q526">
        <v>4</v>
      </c>
      <c r="R526">
        <v>186</v>
      </c>
      <c r="S526">
        <v>152.19999999999999</v>
      </c>
      <c r="T526" t="s">
        <v>37</v>
      </c>
      <c r="U526" s="3"/>
      <c r="V526" s="3"/>
      <c r="W526" s="3"/>
    </row>
    <row r="527" spans="1:23">
      <c r="A527" t="s">
        <v>1423</v>
      </c>
      <c r="B527" t="s">
        <v>67</v>
      </c>
      <c r="C527" t="s">
        <v>206</v>
      </c>
      <c r="D527" s="2">
        <v>27201</v>
      </c>
      <c r="E527" t="s">
        <v>1424</v>
      </c>
      <c r="F527" s="2">
        <v>45689</v>
      </c>
      <c r="G527" t="s">
        <v>152</v>
      </c>
      <c r="H527" t="s">
        <v>32</v>
      </c>
      <c r="I527" t="s">
        <v>45</v>
      </c>
      <c r="J527" t="s">
        <v>179</v>
      </c>
      <c r="L527">
        <v>143807.48000000001</v>
      </c>
      <c r="M527">
        <v>143275.21</v>
      </c>
      <c r="N527" t="s">
        <v>73</v>
      </c>
      <c r="O527">
        <v>7</v>
      </c>
      <c r="P527">
        <v>100</v>
      </c>
      <c r="Q527">
        <v>5</v>
      </c>
      <c r="R527">
        <v>143</v>
      </c>
      <c r="S527">
        <v>212.4</v>
      </c>
      <c r="T527" t="s">
        <v>37</v>
      </c>
      <c r="U527" s="3"/>
      <c r="V527" s="3"/>
      <c r="W527" s="3"/>
    </row>
    <row r="528" spans="1:23">
      <c r="A528" t="s">
        <v>1425</v>
      </c>
      <c r="B528" t="s">
        <v>1426</v>
      </c>
      <c r="D528" s="2">
        <v>36917</v>
      </c>
      <c r="E528" s="2">
        <v>45576</v>
      </c>
      <c r="F528" s="2">
        <v>45584</v>
      </c>
      <c r="H528" t="s">
        <v>134</v>
      </c>
      <c r="I528" t="s">
        <v>96</v>
      </c>
      <c r="J528" t="s">
        <v>179</v>
      </c>
      <c r="K528" t="s">
        <v>161</v>
      </c>
      <c r="L528">
        <v>215017.59</v>
      </c>
      <c r="M528">
        <v>211085.9</v>
      </c>
      <c r="N528" t="s">
        <v>192</v>
      </c>
      <c r="O528">
        <v>8</v>
      </c>
      <c r="P528">
        <v>175</v>
      </c>
      <c r="Q528">
        <v>3</v>
      </c>
      <c r="R528">
        <v>179</v>
      </c>
      <c r="T528" t="s">
        <v>37</v>
      </c>
      <c r="U528" s="3"/>
      <c r="V528" s="3"/>
      <c r="W528" s="3"/>
    </row>
    <row r="529" spans="1:23">
      <c r="A529" t="s">
        <v>1427</v>
      </c>
      <c r="B529" t="s">
        <v>887</v>
      </c>
      <c r="C529" t="s">
        <v>40</v>
      </c>
      <c r="D529" s="2">
        <v>38428</v>
      </c>
      <c r="E529" s="2">
        <v>45132</v>
      </c>
      <c r="F529" s="2">
        <v>45144</v>
      </c>
      <c r="G529" t="s">
        <v>109</v>
      </c>
      <c r="H529" t="s">
        <v>78</v>
      </c>
      <c r="I529" t="s">
        <v>119</v>
      </c>
      <c r="J529" t="s">
        <v>204</v>
      </c>
      <c r="K529" t="s">
        <v>161</v>
      </c>
      <c r="L529">
        <v>222381.08</v>
      </c>
      <c r="M529">
        <v>194121.65</v>
      </c>
      <c r="N529" t="s">
        <v>73</v>
      </c>
      <c r="O529">
        <v>12</v>
      </c>
      <c r="P529">
        <v>154</v>
      </c>
      <c r="Q529">
        <v>2</v>
      </c>
      <c r="R529">
        <v>119</v>
      </c>
      <c r="S529">
        <v>79.3</v>
      </c>
      <c r="T529" t="s">
        <v>65</v>
      </c>
      <c r="U529" s="3"/>
      <c r="V529" s="3"/>
      <c r="W529" s="3"/>
    </row>
    <row r="530" spans="1:23">
      <c r="A530" t="s">
        <v>1428</v>
      </c>
      <c r="B530" t="s">
        <v>926</v>
      </c>
      <c r="C530" t="s">
        <v>40</v>
      </c>
      <c r="D530" s="2">
        <v>20729</v>
      </c>
      <c r="E530" s="2">
        <v>45145</v>
      </c>
      <c r="G530" t="s">
        <v>70</v>
      </c>
      <c r="H530" t="s">
        <v>63</v>
      </c>
      <c r="I530" t="s">
        <v>79</v>
      </c>
      <c r="J530" t="s">
        <v>64</v>
      </c>
      <c r="K530" t="s">
        <v>55</v>
      </c>
      <c r="L530">
        <v>28955.51</v>
      </c>
      <c r="M530">
        <v>25401.4</v>
      </c>
      <c r="N530" t="s">
        <v>73</v>
      </c>
      <c r="O530">
        <v>16</v>
      </c>
      <c r="P530">
        <v>148</v>
      </c>
      <c r="Q530">
        <v>4</v>
      </c>
      <c r="R530">
        <v>100</v>
      </c>
      <c r="S530">
        <v>133.5</v>
      </c>
      <c r="T530" t="s">
        <v>47</v>
      </c>
      <c r="U530" s="3"/>
      <c r="V530" s="3"/>
      <c r="W530" s="3"/>
    </row>
    <row r="531" spans="1:23">
      <c r="A531" t="s">
        <v>1429</v>
      </c>
      <c r="B531" t="s">
        <v>277</v>
      </c>
      <c r="C531" t="s">
        <v>100</v>
      </c>
      <c r="D531" s="2">
        <v>29837</v>
      </c>
      <c r="E531" s="2">
        <v>45048</v>
      </c>
      <c r="F531" s="2">
        <v>45062</v>
      </c>
      <c r="G531" t="s">
        <v>141</v>
      </c>
      <c r="H531" t="s">
        <v>134</v>
      </c>
      <c r="I531" t="s">
        <v>45</v>
      </c>
      <c r="K531" t="s">
        <v>55</v>
      </c>
      <c r="L531">
        <v>74944.81</v>
      </c>
      <c r="M531">
        <v>61556.38</v>
      </c>
      <c r="N531" t="s">
        <v>73</v>
      </c>
      <c r="O531">
        <v>14</v>
      </c>
      <c r="P531">
        <v>156</v>
      </c>
      <c r="Q531">
        <v>4</v>
      </c>
      <c r="R531">
        <v>164</v>
      </c>
      <c r="S531">
        <v>124.7</v>
      </c>
      <c r="T531" t="s">
        <v>47</v>
      </c>
      <c r="U531" s="3"/>
      <c r="V531" s="3"/>
      <c r="W531" s="3"/>
    </row>
    <row r="532" spans="1:23">
      <c r="A532" t="s">
        <v>1430</v>
      </c>
      <c r="B532" t="s">
        <v>1431</v>
      </c>
      <c r="C532" t="s">
        <v>100</v>
      </c>
      <c r="D532" s="2">
        <v>21521</v>
      </c>
      <c r="E532" t="s">
        <v>1432</v>
      </c>
      <c r="F532" t="s">
        <v>1433</v>
      </c>
      <c r="G532" t="s">
        <v>31</v>
      </c>
      <c r="H532" t="s">
        <v>52</v>
      </c>
      <c r="I532" t="s">
        <v>79</v>
      </c>
      <c r="J532" t="s">
        <v>97</v>
      </c>
      <c r="K532" t="s">
        <v>55</v>
      </c>
      <c r="L532">
        <v>241391.92</v>
      </c>
      <c r="M532">
        <v>238451.75</v>
      </c>
      <c r="N532" t="s">
        <v>35</v>
      </c>
      <c r="O532">
        <v>8</v>
      </c>
      <c r="P532">
        <v>152</v>
      </c>
      <c r="Q532">
        <v>1</v>
      </c>
      <c r="R532">
        <v>173</v>
      </c>
      <c r="S532">
        <v>109.9</v>
      </c>
      <c r="T532" t="s">
        <v>81</v>
      </c>
      <c r="U532" s="3"/>
      <c r="V532" s="3"/>
      <c r="W532" s="3"/>
    </row>
    <row r="533" spans="1:23">
      <c r="A533" t="s">
        <v>1434</v>
      </c>
      <c r="B533" t="s">
        <v>992</v>
      </c>
      <c r="C533" t="s">
        <v>100</v>
      </c>
      <c r="D533" t="s">
        <v>1435</v>
      </c>
      <c r="E533" s="2">
        <v>45350</v>
      </c>
      <c r="F533" s="2">
        <v>45363</v>
      </c>
      <c r="H533" t="s">
        <v>113</v>
      </c>
      <c r="I533" t="s">
        <v>45</v>
      </c>
      <c r="J533" t="s">
        <v>645</v>
      </c>
      <c r="L533">
        <v>123506.09</v>
      </c>
      <c r="M533">
        <v>102662.62</v>
      </c>
      <c r="N533" t="s">
        <v>35</v>
      </c>
      <c r="O533">
        <v>13</v>
      </c>
      <c r="P533">
        <v>69</v>
      </c>
      <c r="Q533">
        <v>1</v>
      </c>
      <c r="R533">
        <v>145</v>
      </c>
      <c r="S533">
        <v>158.1</v>
      </c>
      <c r="T533" t="s">
        <v>81</v>
      </c>
      <c r="U533" s="3"/>
      <c r="V533" s="3"/>
      <c r="W533" s="3"/>
    </row>
    <row r="534" spans="1:23">
      <c r="A534" t="s">
        <v>1436</v>
      </c>
      <c r="B534" t="s">
        <v>155</v>
      </c>
      <c r="C534" t="s">
        <v>206</v>
      </c>
      <c r="D534" s="2">
        <v>26440</v>
      </c>
      <c r="E534" s="2">
        <v>45386</v>
      </c>
      <c r="F534" s="2">
        <v>45401</v>
      </c>
      <c r="H534" t="s">
        <v>44</v>
      </c>
      <c r="J534" t="s">
        <v>34</v>
      </c>
      <c r="K534" t="s">
        <v>55</v>
      </c>
      <c r="L534">
        <v>69235.77</v>
      </c>
      <c r="M534">
        <v>50394.03</v>
      </c>
      <c r="O534">
        <v>15</v>
      </c>
      <c r="P534">
        <v>236</v>
      </c>
      <c r="Q534">
        <v>3</v>
      </c>
      <c r="R534">
        <v>92</v>
      </c>
      <c r="S534">
        <v>218.4</v>
      </c>
      <c r="U534" s="3"/>
      <c r="V534" s="3"/>
      <c r="W534" s="3"/>
    </row>
    <row r="535" spans="1:23">
      <c r="A535" t="s">
        <v>1437</v>
      </c>
      <c r="B535" t="s">
        <v>1438</v>
      </c>
      <c r="C535" t="s">
        <v>22</v>
      </c>
      <c r="D535" s="2">
        <v>35612</v>
      </c>
      <c r="E535" t="s">
        <v>1439</v>
      </c>
      <c r="F535" s="2">
        <v>45059</v>
      </c>
      <c r="G535" t="s">
        <v>109</v>
      </c>
      <c r="H535" t="s">
        <v>44</v>
      </c>
      <c r="I535" t="s">
        <v>45</v>
      </c>
      <c r="J535" t="s">
        <v>64</v>
      </c>
      <c r="K535" t="s">
        <v>110</v>
      </c>
      <c r="L535">
        <v>214322.91</v>
      </c>
      <c r="N535" t="s">
        <v>35</v>
      </c>
      <c r="O535">
        <v>4</v>
      </c>
      <c r="P535">
        <v>140</v>
      </c>
      <c r="Q535">
        <v>3</v>
      </c>
      <c r="R535">
        <v>170</v>
      </c>
      <c r="S535">
        <v>164.4</v>
      </c>
      <c r="T535" t="s">
        <v>37</v>
      </c>
      <c r="U535" s="3"/>
      <c r="V535" s="3"/>
      <c r="W535" s="3"/>
    </row>
    <row r="536" spans="1:23">
      <c r="A536" t="s">
        <v>1440</v>
      </c>
      <c r="B536" t="s">
        <v>251</v>
      </c>
      <c r="C536" t="s">
        <v>22</v>
      </c>
      <c r="D536" s="2">
        <v>31888</v>
      </c>
      <c r="E536" s="2">
        <v>45750</v>
      </c>
      <c r="F536" t="s">
        <v>1441</v>
      </c>
      <c r="G536" t="s">
        <v>77</v>
      </c>
      <c r="H536" t="s">
        <v>118</v>
      </c>
      <c r="I536" t="s">
        <v>45</v>
      </c>
      <c r="J536" t="s">
        <v>80</v>
      </c>
      <c r="K536" t="s">
        <v>55</v>
      </c>
      <c r="L536">
        <v>82866.98</v>
      </c>
      <c r="M536">
        <v>66878.97</v>
      </c>
      <c r="N536" t="s">
        <v>192</v>
      </c>
      <c r="O536">
        <v>12</v>
      </c>
      <c r="P536" t="s">
        <v>1442</v>
      </c>
      <c r="Q536">
        <v>4</v>
      </c>
      <c r="R536">
        <v>158</v>
      </c>
      <c r="S536">
        <v>133.4</v>
      </c>
      <c r="T536" t="s">
        <v>47</v>
      </c>
      <c r="U536" s="3"/>
      <c r="V536" s="3"/>
      <c r="W536" s="3"/>
    </row>
    <row r="537" spans="1:23">
      <c r="A537" t="s">
        <v>1443</v>
      </c>
      <c r="B537" t="s">
        <v>298</v>
      </c>
      <c r="C537" t="s">
        <v>60</v>
      </c>
      <c r="D537" s="2">
        <v>23718</v>
      </c>
      <c r="E537" s="2">
        <v>45374</v>
      </c>
      <c r="F537" s="2">
        <v>45386</v>
      </c>
      <c r="G537" t="s">
        <v>109</v>
      </c>
      <c r="H537" t="s">
        <v>24</v>
      </c>
      <c r="I537" t="s">
        <v>79</v>
      </c>
      <c r="J537" t="s">
        <v>26</v>
      </c>
      <c r="K537" t="s">
        <v>120</v>
      </c>
      <c r="L537">
        <v>247850.61</v>
      </c>
      <c r="M537">
        <v>184673.41</v>
      </c>
      <c r="N537" t="s">
        <v>73</v>
      </c>
      <c r="O537">
        <v>12</v>
      </c>
      <c r="P537">
        <v>120</v>
      </c>
      <c r="Q537">
        <v>4</v>
      </c>
      <c r="R537">
        <v>101</v>
      </c>
      <c r="S537">
        <v>134.80000000000001</v>
      </c>
      <c r="T537" t="s">
        <v>47</v>
      </c>
      <c r="U537" s="3"/>
      <c r="V537" s="3"/>
      <c r="W537" s="3"/>
    </row>
    <row r="538" spans="1:23">
      <c r="A538" t="s">
        <v>1444</v>
      </c>
      <c r="B538" t="s">
        <v>1342</v>
      </c>
      <c r="C538" t="s">
        <v>206</v>
      </c>
      <c r="D538" s="2">
        <v>37372</v>
      </c>
      <c r="E538" s="2">
        <v>45770</v>
      </c>
      <c r="F538" s="2">
        <v>45781</v>
      </c>
      <c r="G538" t="s">
        <v>89</v>
      </c>
      <c r="H538" t="s">
        <v>118</v>
      </c>
      <c r="I538" t="s">
        <v>45</v>
      </c>
      <c r="K538" t="s">
        <v>286</v>
      </c>
      <c r="L538">
        <v>71223.31</v>
      </c>
      <c r="M538">
        <v>61499.05</v>
      </c>
      <c r="N538" t="s">
        <v>73</v>
      </c>
      <c r="O538">
        <v>11</v>
      </c>
      <c r="P538">
        <v>96</v>
      </c>
      <c r="R538">
        <v>161</v>
      </c>
      <c r="S538">
        <v>202.2</v>
      </c>
      <c r="T538" t="s">
        <v>37</v>
      </c>
      <c r="U538" s="3"/>
      <c r="V538" s="3"/>
      <c r="W538" s="3"/>
    </row>
    <row r="539" spans="1:23">
      <c r="A539" t="s">
        <v>1445</v>
      </c>
      <c r="B539" t="s">
        <v>801</v>
      </c>
      <c r="C539" t="s">
        <v>206</v>
      </c>
      <c r="D539" s="2">
        <v>23655</v>
      </c>
      <c r="E539" t="s">
        <v>1446</v>
      </c>
      <c r="F539" s="2">
        <v>44995</v>
      </c>
      <c r="G539" t="s">
        <v>31</v>
      </c>
      <c r="H539" t="s">
        <v>86</v>
      </c>
      <c r="I539" t="s">
        <v>119</v>
      </c>
      <c r="J539" t="s">
        <v>71</v>
      </c>
      <c r="K539" t="s">
        <v>55</v>
      </c>
      <c r="L539">
        <v>209099.73</v>
      </c>
      <c r="M539">
        <v>148224.5</v>
      </c>
      <c r="N539" t="s">
        <v>73</v>
      </c>
      <c r="O539">
        <v>4</v>
      </c>
      <c r="P539">
        <v>21</v>
      </c>
      <c r="Q539">
        <v>3</v>
      </c>
      <c r="R539">
        <v>150</v>
      </c>
      <c r="S539">
        <v>141.80000000000001</v>
      </c>
      <c r="T539" t="s">
        <v>47</v>
      </c>
      <c r="U539" s="3"/>
      <c r="V539" s="3"/>
      <c r="W539" s="3"/>
    </row>
    <row r="540" spans="1:23">
      <c r="A540" t="s">
        <v>1447</v>
      </c>
      <c r="B540" t="s">
        <v>661</v>
      </c>
      <c r="C540" t="s">
        <v>84</v>
      </c>
      <c r="D540" s="2">
        <v>34964</v>
      </c>
      <c r="E540" t="s">
        <v>1081</v>
      </c>
      <c r="F540" s="2">
        <v>46025</v>
      </c>
      <c r="G540" t="s">
        <v>62</v>
      </c>
      <c r="I540" t="s">
        <v>45</v>
      </c>
      <c r="J540" t="s">
        <v>34</v>
      </c>
      <c r="K540" t="s">
        <v>27</v>
      </c>
      <c r="L540">
        <v>107659.36</v>
      </c>
      <c r="M540">
        <v>92146.33</v>
      </c>
      <c r="N540" t="s">
        <v>35</v>
      </c>
      <c r="O540">
        <v>11</v>
      </c>
      <c r="P540">
        <v>118</v>
      </c>
      <c r="Q540">
        <v>5</v>
      </c>
      <c r="R540">
        <v>130</v>
      </c>
      <c r="S540">
        <v>119.4</v>
      </c>
      <c r="T540" t="s">
        <v>47</v>
      </c>
      <c r="U540" s="3"/>
      <c r="V540" s="3"/>
      <c r="W540" s="3"/>
    </row>
    <row r="541" spans="1:23">
      <c r="A541" t="s">
        <v>1448</v>
      </c>
      <c r="B541" t="s">
        <v>472</v>
      </c>
      <c r="C541" t="s">
        <v>40</v>
      </c>
      <c r="D541" s="2">
        <v>31272</v>
      </c>
      <c r="E541" s="2">
        <v>45203</v>
      </c>
      <c r="F541" t="s">
        <v>1449</v>
      </c>
      <c r="G541" t="s">
        <v>89</v>
      </c>
      <c r="H541" t="s">
        <v>86</v>
      </c>
      <c r="I541" t="s">
        <v>53</v>
      </c>
      <c r="J541" t="s">
        <v>80</v>
      </c>
      <c r="K541" t="s">
        <v>120</v>
      </c>
      <c r="L541">
        <v>227230.31</v>
      </c>
      <c r="M541">
        <v>195813.87</v>
      </c>
      <c r="N541" t="s">
        <v>73</v>
      </c>
      <c r="O541">
        <v>2</v>
      </c>
      <c r="P541">
        <v>144</v>
      </c>
      <c r="Q541">
        <v>2</v>
      </c>
      <c r="R541">
        <v>120</v>
      </c>
      <c r="S541">
        <v>172.4</v>
      </c>
      <c r="T541" t="s">
        <v>37</v>
      </c>
      <c r="U541" s="3"/>
      <c r="V541" s="3"/>
      <c r="W541" s="3"/>
    </row>
    <row r="542" spans="1:23">
      <c r="A542" t="s">
        <v>1450</v>
      </c>
      <c r="B542" t="s">
        <v>332</v>
      </c>
      <c r="C542" t="s">
        <v>60</v>
      </c>
      <c r="D542" s="2">
        <v>32723</v>
      </c>
      <c r="E542" s="2">
        <v>45791</v>
      </c>
      <c r="F542" s="2">
        <v>45809</v>
      </c>
      <c r="G542" t="s">
        <v>70</v>
      </c>
      <c r="H542" t="s">
        <v>63</v>
      </c>
      <c r="J542" t="s">
        <v>97</v>
      </c>
      <c r="K542" t="s">
        <v>55</v>
      </c>
      <c r="L542">
        <v>171131.39</v>
      </c>
      <c r="M542">
        <v>121330.11</v>
      </c>
      <c r="N542" t="s">
        <v>35</v>
      </c>
      <c r="O542">
        <v>18</v>
      </c>
      <c r="P542">
        <v>200</v>
      </c>
      <c r="Q542">
        <v>1</v>
      </c>
      <c r="R542">
        <v>189</v>
      </c>
      <c r="S542">
        <v>75.2</v>
      </c>
      <c r="U542" s="3"/>
      <c r="V542" s="3"/>
      <c r="W542" s="3"/>
    </row>
    <row r="543" spans="1:23">
      <c r="A543" t="s">
        <v>1451</v>
      </c>
      <c r="B543" t="s">
        <v>1452</v>
      </c>
      <c r="C543" t="s">
        <v>50</v>
      </c>
      <c r="D543" s="2">
        <v>19687</v>
      </c>
      <c r="E543" s="2">
        <v>44979</v>
      </c>
      <c r="F543" s="2">
        <v>44984</v>
      </c>
      <c r="G543" t="s">
        <v>105</v>
      </c>
      <c r="H543" t="s">
        <v>134</v>
      </c>
      <c r="I543" t="s">
        <v>33</v>
      </c>
      <c r="J543" t="s">
        <v>64</v>
      </c>
      <c r="K543" t="s">
        <v>161</v>
      </c>
      <c r="L543">
        <v>162287.74</v>
      </c>
      <c r="M543">
        <v>126299.01</v>
      </c>
      <c r="O543">
        <v>5</v>
      </c>
      <c r="P543">
        <v>26</v>
      </c>
      <c r="R543">
        <v>108</v>
      </c>
      <c r="S543">
        <v>184.1</v>
      </c>
      <c r="T543" t="s">
        <v>37</v>
      </c>
      <c r="U543" s="3"/>
      <c r="V543" s="3"/>
      <c r="W543" s="3"/>
    </row>
    <row r="544" spans="1:23">
      <c r="A544" t="s">
        <v>1453</v>
      </c>
      <c r="B544" t="s">
        <v>394</v>
      </c>
      <c r="C544" t="s">
        <v>459</v>
      </c>
      <c r="D544" s="2">
        <v>18648</v>
      </c>
      <c r="E544" t="s">
        <v>1454</v>
      </c>
      <c r="F544" s="2">
        <v>45028</v>
      </c>
      <c r="G544" t="s">
        <v>94</v>
      </c>
      <c r="H544" t="s">
        <v>134</v>
      </c>
      <c r="I544" t="s">
        <v>119</v>
      </c>
      <c r="J544" t="s">
        <v>46</v>
      </c>
      <c r="K544" t="s">
        <v>449</v>
      </c>
      <c r="L544">
        <v>24450.42</v>
      </c>
      <c r="M544">
        <v>17764.5</v>
      </c>
      <c r="N544" t="s">
        <v>91</v>
      </c>
      <c r="O544">
        <v>1</v>
      </c>
      <c r="P544">
        <v>140</v>
      </c>
      <c r="Q544">
        <v>3</v>
      </c>
      <c r="R544">
        <v>141</v>
      </c>
      <c r="S544">
        <v>141.80000000000001</v>
      </c>
      <c r="T544" t="s">
        <v>37</v>
      </c>
      <c r="U544" s="3"/>
      <c r="V544" s="3"/>
      <c r="W544" s="3"/>
    </row>
    <row r="545" spans="1:23">
      <c r="A545" t="s">
        <v>1455</v>
      </c>
      <c r="B545" t="s">
        <v>390</v>
      </c>
      <c r="C545" t="s">
        <v>133</v>
      </c>
      <c r="D545" s="2">
        <v>33087</v>
      </c>
      <c r="E545" t="s">
        <v>1456</v>
      </c>
      <c r="F545" s="2">
        <v>45766</v>
      </c>
      <c r="G545" t="s">
        <v>117</v>
      </c>
      <c r="K545" t="s">
        <v>55</v>
      </c>
      <c r="L545">
        <v>90381.58</v>
      </c>
      <c r="M545">
        <v>84209.42</v>
      </c>
      <c r="N545" t="s">
        <v>56</v>
      </c>
      <c r="O545">
        <v>7</v>
      </c>
      <c r="P545">
        <v>204</v>
      </c>
      <c r="R545">
        <v>113</v>
      </c>
      <c r="S545">
        <v>93.9</v>
      </c>
      <c r="T545" t="s">
        <v>37</v>
      </c>
      <c r="U545" s="3"/>
      <c r="V545" s="3"/>
      <c r="W545" s="3"/>
    </row>
    <row r="546" spans="1:23">
      <c r="A546" t="s">
        <v>1457</v>
      </c>
      <c r="B546" t="s">
        <v>1458</v>
      </c>
      <c r="C546" t="s">
        <v>206</v>
      </c>
      <c r="D546" s="2">
        <v>29693</v>
      </c>
      <c r="E546" s="2">
        <v>45324</v>
      </c>
      <c r="F546" s="2">
        <v>45337</v>
      </c>
      <c r="G546" t="s">
        <v>94</v>
      </c>
      <c r="H546" t="s">
        <v>95</v>
      </c>
      <c r="I546" t="s">
        <v>33</v>
      </c>
      <c r="J546" t="s">
        <v>34</v>
      </c>
      <c r="K546" t="s">
        <v>161</v>
      </c>
      <c r="L546">
        <v>68780.36</v>
      </c>
      <c r="M546">
        <v>62033</v>
      </c>
      <c r="N546" t="s">
        <v>192</v>
      </c>
      <c r="O546" t="s">
        <v>580</v>
      </c>
      <c r="P546">
        <v>41</v>
      </c>
      <c r="Q546">
        <v>4</v>
      </c>
      <c r="R546">
        <v>169</v>
      </c>
      <c r="S546">
        <v>198.8</v>
      </c>
      <c r="U546" s="3"/>
      <c r="V546" s="3"/>
      <c r="W546" s="3"/>
    </row>
    <row r="547" spans="1:23">
      <c r="A547" t="s">
        <v>1459</v>
      </c>
      <c r="B547" t="s">
        <v>1460</v>
      </c>
      <c r="C547" t="s">
        <v>816</v>
      </c>
      <c r="D547" t="s">
        <v>1461</v>
      </c>
      <c r="E547" t="s">
        <v>1462</v>
      </c>
      <c r="F547" s="2">
        <v>45023</v>
      </c>
      <c r="G547" t="s">
        <v>141</v>
      </c>
      <c r="H547" t="s">
        <v>134</v>
      </c>
      <c r="I547" t="s">
        <v>53</v>
      </c>
      <c r="J547" t="s">
        <v>46</v>
      </c>
      <c r="K547" t="s">
        <v>72</v>
      </c>
      <c r="L547">
        <v>236670.07999999999</v>
      </c>
      <c r="M547">
        <v>219463.55</v>
      </c>
      <c r="N547" t="s">
        <v>73</v>
      </c>
      <c r="O547">
        <v>13</v>
      </c>
      <c r="P547">
        <v>226</v>
      </c>
      <c r="Q547">
        <v>1</v>
      </c>
      <c r="R547">
        <v>113</v>
      </c>
      <c r="S547">
        <v>146.6</v>
      </c>
      <c r="T547" t="s">
        <v>47</v>
      </c>
      <c r="U547" s="3"/>
      <c r="V547" s="3"/>
      <c r="W547" s="3"/>
    </row>
    <row r="548" spans="1:23">
      <c r="A548" t="s">
        <v>1463</v>
      </c>
      <c r="B548" t="s">
        <v>1464</v>
      </c>
      <c r="C548" t="s">
        <v>106</v>
      </c>
      <c r="D548" s="2">
        <v>37516</v>
      </c>
      <c r="E548" s="2">
        <v>44973</v>
      </c>
      <c r="F548" s="2">
        <v>44981</v>
      </c>
      <c r="G548" t="s">
        <v>501</v>
      </c>
      <c r="H548" t="s">
        <v>86</v>
      </c>
      <c r="I548" t="s">
        <v>53</v>
      </c>
      <c r="J548" t="s">
        <v>71</v>
      </c>
      <c r="K548" t="s">
        <v>55</v>
      </c>
      <c r="L548">
        <v>84558.93</v>
      </c>
      <c r="M548">
        <v>71004.539999999994</v>
      </c>
      <c r="N548" t="s">
        <v>56</v>
      </c>
      <c r="O548">
        <v>8</v>
      </c>
      <c r="P548">
        <v>217</v>
      </c>
      <c r="Q548">
        <v>1</v>
      </c>
      <c r="R548">
        <v>176</v>
      </c>
      <c r="S548">
        <v>200.8</v>
      </c>
      <c r="T548" t="s">
        <v>37</v>
      </c>
      <c r="U548" s="3"/>
      <c r="V548" s="3"/>
      <c r="W548" s="3"/>
    </row>
    <row r="549" spans="1:23">
      <c r="A549" t="s">
        <v>1465</v>
      </c>
      <c r="B549" t="s">
        <v>613</v>
      </c>
      <c r="C549" t="s">
        <v>100</v>
      </c>
      <c r="D549" s="2">
        <v>36976</v>
      </c>
      <c r="E549" s="2">
        <v>45136</v>
      </c>
      <c r="F549" t="s">
        <v>1466</v>
      </c>
      <c r="G549" t="s">
        <v>117</v>
      </c>
      <c r="H549" t="s">
        <v>32</v>
      </c>
      <c r="J549" t="s">
        <v>26</v>
      </c>
      <c r="K549" t="s">
        <v>110</v>
      </c>
      <c r="L549">
        <v>137233.53</v>
      </c>
      <c r="M549">
        <v>122605.72</v>
      </c>
      <c r="N549" t="s">
        <v>91</v>
      </c>
      <c r="O549">
        <v>3</v>
      </c>
      <c r="P549">
        <v>66</v>
      </c>
      <c r="Q549">
        <v>2</v>
      </c>
      <c r="R549">
        <v>170</v>
      </c>
      <c r="S549">
        <v>199</v>
      </c>
      <c r="T549" t="s">
        <v>37</v>
      </c>
      <c r="U549" s="3"/>
      <c r="V549" s="3"/>
      <c r="W549" s="3"/>
    </row>
    <row r="550" spans="1:23">
      <c r="A550" t="s">
        <v>1467</v>
      </c>
      <c r="B550" t="s">
        <v>288</v>
      </c>
      <c r="C550" t="s">
        <v>50</v>
      </c>
      <c r="D550" s="2">
        <v>27075</v>
      </c>
      <c r="E550" t="s">
        <v>1468</v>
      </c>
      <c r="F550" s="2">
        <v>45966</v>
      </c>
      <c r="G550" t="s">
        <v>31</v>
      </c>
      <c r="I550" t="s">
        <v>25</v>
      </c>
      <c r="K550" t="s">
        <v>110</v>
      </c>
      <c r="L550">
        <v>228098.95</v>
      </c>
      <c r="M550">
        <v>215805.48</v>
      </c>
      <c r="N550" t="s">
        <v>73</v>
      </c>
      <c r="O550">
        <v>14</v>
      </c>
      <c r="P550">
        <v>212</v>
      </c>
      <c r="Q550">
        <v>1</v>
      </c>
      <c r="R550">
        <v>165</v>
      </c>
      <c r="S550">
        <v>90.3</v>
      </c>
      <c r="T550" t="s">
        <v>348</v>
      </c>
      <c r="U550" s="3"/>
      <c r="V550" s="3"/>
      <c r="W550" s="3"/>
    </row>
    <row r="551" spans="1:23">
      <c r="A551" t="s">
        <v>1469</v>
      </c>
      <c r="B551" t="s">
        <v>1061</v>
      </c>
      <c r="C551" t="s">
        <v>30</v>
      </c>
      <c r="D551" s="2">
        <v>39467</v>
      </c>
      <c r="E551" s="2">
        <v>45364</v>
      </c>
      <c r="F551" s="2">
        <v>45377</v>
      </c>
      <c r="G551" t="s">
        <v>70</v>
      </c>
      <c r="H551" t="s">
        <v>63</v>
      </c>
      <c r="I551" t="s">
        <v>53</v>
      </c>
      <c r="J551" t="s">
        <v>179</v>
      </c>
      <c r="K551" t="s">
        <v>161</v>
      </c>
      <c r="L551">
        <v>21372.36</v>
      </c>
      <c r="M551">
        <v>13873.79</v>
      </c>
      <c r="N551" t="s">
        <v>73</v>
      </c>
      <c r="O551">
        <v>13</v>
      </c>
      <c r="P551">
        <v>36</v>
      </c>
      <c r="R551">
        <v>171</v>
      </c>
      <c r="S551">
        <v>216.7</v>
      </c>
      <c r="T551" t="s">
        <v>127</v>
      </c>
      <c r="U551" s="3"/>
      <c r="V551" s="3"/>
      <c r="W551" s="3"/>
    </row>
    <row r="552" spans="1:23">
      <c r="A552" t="s">
        <v>1470</v>
      </c>
      <c r="B552" t="s">
        <v>1471</v>
      </c>
      <c r="D552" s="2">
        <v>30013</v>
      </c>
      <c r="E552" s="2">
        <v>45418</v>
      </c>
      <c r="F552" s="2">
        <v>45433</v>
      </c>
      <c r="G552" t="s">
        <v>105</v>
      </c>
      <c r="H552" t="s">
        <v>134</v>
      </c>
      <c r="I552" t="s">
        <v>33</v>
      </c>
      <c r="J552" t="s">
        <v>26</v>
      </c>
      <c r="K552" t="s">
        <v>72</v>
      </c>
      <c r="L552">
        <v>65648.960000000006</v>
      </c>
      <c r="M552">
        <v>59650.29</v>
      </c>
      <c r="N552" t="s">
        <v>326</v>
      </c>
      <c r="O552" t="s">
        <v>1170</v>
      </c>
      <c r="P552">
        <v>224</v>
      </c>
      <c r="Q552">
        <v>5</v>
      </c>
      <c r="R552">
        <v>106</v>
      </c>
      <c r="S552">
        <v>168.7</v>
      </c>
      <c r="T552" t="s">
        <v>37</v>
      </c>
      <c r="U552" s="3"/>
      <c r="V552" s="3"/>
      <c r="W552" s="3"/>
    </row>
    <row r="553" spans="1:23">
      <c r="A553" t="s">
        <v>1472</v>
      </c>
      <c r="B553" t="s">
        <v>1200</v>
      </c>
      <c r="C553" t="s">
        <v>60</v>
      </c>
      <c r="D553" s="2">
        <v>28127</v>
      </c>
      <c r="E553" s="2">
        <v>45322</v>
      </c>
      <c r="F553" s="2">
        <v>45324</v>
      </c>
      <c r="G553" t="s">
        <v>94</v>
      </c>
      <c r="H553" t="s">
        <v>63</v>
      </c>
      <c r="I553" t="s">
        <v>79</v>
      </c>
      <c r="J553" t="s">
        <v>34</v>
      </c>
      <c r="K553" t="s">
        <v>72</v>
      </c>
      <c r="L553">
        <v>221423.55</v>
      </c>
      <c r="M553">
        <v>209345.27</v>
      </c>
      <c r="N553" t="s">
        <v>990</v>
      </c>
      <c r="O553">
        <v>2</v>
      </c>
      <c r="P553">
        <v>200</v>
      </c>
      <c r="Q553">
        <v>1</v>
      </c>
      <c r="R553">
        <v>139</v>
      </c>
      <c r="S553">
        <v>99.3</v>
      </c>
      <c r="T553" t="s">
        <v>37</v>
      </c>
      <c r="U553" s="3"/>
      <c r="V553" s="3"/>
      <c r="W553" s="3"/>
    </row>
    <row r="554" spans="1:23">
      <c r="A554" t="s">
        <v>1473</v>
      </c>
      <c r="B554" t="s">
        <v>513</v>
      </c>
      <c r="C554" t="s">
        <v>40</v>
      </c>
      <c r="D554" s="2">
        <v>29918</v>
      </c>
      <c r="E554" s="2">
        <v>45920</v>
      </c>
      <c r="F554" s="2">
        <v>45934</v>
      </c>
      <c r="G554" t="s">
        <v>754</v>
      </c>
      <c r="H554" t="s">
        <v>90</v>
      </c>
      <c r="I554" t="s">
        <v>45</v>
      </c>
      <c r="J554" t="s">
        <v>64</v>
      </c>
      <c r="L554">
        <v>208269.41</v>
      </c>
      <c r="M554">
        <v>192628.17</v>
      </c>
      <c r="N554" t="s">
        <v>326</v>
      </c>
      <c r="O554">
        <v>14</v>
      </c>
      <c r="P554">
        <v>15</v>
      </c>
      <c r="Q554">
        <v>2</v>
      </c>
      <c r="R554">
        <v>120</v>
      </c>
      <c r="S554">
        <v>127.8</v>
      </c>
      <c r="T554" t="s">
        <v>37</v>
      </c>
      <c r="U554" s="3"/>
      <c r="V554" s="3"/>
      <c r="W554" s="3"/>
    </row>
    <row r="555" spans="1:23">
      <c r="A555" t="s">
        <v>1474</v>
      </c>
      <c r="B555" t="s">
        <v>392</v>
      </c>
      <c r="C555" t="s">
        <v>40</v>
      </c>
      <c r="D555" s="2">
        <v>19412</v>
      </c>
      <c r="E555" t="s">
        <v>1475</v>
      </c>
      <c r="F555" s="2">
        <v>45700</v>
      </c>
      <c r="G555" t="s">
        <v>152</v>
      </c>
      <c r="H555" t="s">
        <v>118</v>
      </c>
      <c r="I555" t="s">
        <v>25</v>
      </c>
      <c r="J555" t="s">
        <v>64</v>
      </c>
      <c r="K555" t="s">
        <v>161</v>
      </c>
      <c r="L555">
        <v>93640.1</v>
      </c>
      <c r="M555">
        <v>73678.63</v>
      </c>
      <c r="O555">
        <v>15</v>
      </c>
      <c r="P555" t="s">
        <v>1476</v>
      </c>
      <c r="Q555">
        <v>5</v>
      </c>
      <c r="R555">
        <v>126</v>
      </c>
      <c r="S555">
        <v>179.1</v>
      </c>
      <c r="T555" t="s">
        <v>81</v>
      </c>
      <c r="U555" s="3"/>
      <c r="V555" s="3"/>
      <c r="W555" s="3"/>
    </row>
    <row r="556" spans="1:23">
      <c r="A556" t="s">
        <v>1477</v>
      </c>
      <c r="B556" t="s">
        <v>139</v>
      </c>
      <c r="C556" t="s">
        <v>84</v>
      </c>
      <c r="D556" s="2">
        <v>33536</v>
      </c>
      <c r="E556" t="s">
        <v>1478</v>
      </c>
      <c r="F556" s="2">
        <v>45864</v>
      </c>
      <c r="G556" t="s">
        <v>109</v>
      </c>
      <c r="H556" t="s">
        <v>124</v>
      </c>
      <c r="I556" t="s">
        <v>119</v>
      </c>
      <c r="K556" t="s">
        <v>27</v>
      </c>
      <c r="L556">
        <v>97564.46</v>
      </c>
      <c r="M556">
        <v>68003.820000000007</v>
      </c>
      <c r="N556" t="s">
        <v>56</v>
      </c>
      <c r="O556">
        <v>3</v>
      </c>
      <c r="P556">
        <v>89</v>
      </c>
      <c r="Q556">
        <v>2</v>
      </c>
      <c r="R556">
        <v>127</v>
      </c>
      <c r="S556">
        <v>74</v>
      </c>
      <c r="T556" t="s">
        <v>37</v>
      </c>
      <c r="U556" s="3"/>
      <c r="V556" s="3"/>
      <c r="W556" s="3"/>
    </row>
    <row r="557" spans="1:23">
      <c r="A557" t="s">
        <v>1479</v>
      </c>
      <c r="B557" t="s">
        <v>1480</v>
      </c>
      <c r="C557" t="s">
        <v>133</v>
      </c>
      <c r="D557" s="2">
        <v>28056</v>
      </c>
      <c r="E557" t="s">
        <v>1481</v>
      </c>
      <c r="F557" s="2">
        <v>44992</v>
      </c>
      <c r="G557" t="s">
        <v>43</v>
      </c>
      <c r="H557" t="s">
        <v>113</v>
      </c>
      <c r="I557" t="s">
        <v>33</v>
      </c>
      <c r="J557" t="s">
        <v>34</v>
      </c>
      <c r="K557" t="s">
        <v>27</v>
      </c>
      <c r="L557">
        <v>191538.43</v>
      </c>
      <c r="M557">
        <v>170963.52</v>
      </c>
      <c r="N557" t="s">
        <v>91</v>
      </c>
      <c r="O557">
        <v>18</v>
      </c>
      <c r="P557">
        <v>49</v>
      </c>
      <c r="Q557">
        <v>4</v>
      </c>
      <c r="S557">
        <v>176.7</v>
      </c>
      <c r="U557" s="3"/>
      <c r="V557" s="3"/>
      <c r="W557" s="3"/>
    </row>
    <row r="558" spans="1:23">
      <c r="A558" t="s">
        <v>1482</v>
      </c>
      <c r="B558" t="s">
        <v>139</v>
      </c>
      <c r="C558" t="s">
        <v>133</v>
      </c>
      <c r="D558" t="s">
        <v>1483</v>
      </c>
      <c r="E558" t="s">
        <v>1484</v>
      </c>
      <c r="F558" s="2">
        <v>45173</v>
      </c>
      <c r="G558" t="s">
        <v>117</v>
      </c>
      <c r="H558" t="s">
        <v>118</v>
      </c>
      <c r="I558" t="s">
        <v>79</v>
      </c>
      <c r="J558" t="s">
        <v>46</v>
      </c>
      <c r="K558" t="s">
        <v>120</v>
      </c>
      <c r="L558" t="s">
        <v>1485</v>
      </c>
      <c r="M558">
        <v>8144.82</v>
      </c>
      <c r="N558" t="s">
        <v>56</v>
      </c>
      <c r="O558">
        <v>5</v>
      </c>
      <c r="Q558">
        <v>5</v>
      </c>
      <c r="R558">
        <v>159</v>
      </c>
      <c r="S558">
        <v>198.5</v>
      </c>
      <c r="T558" t="s">
        <v>37</v>
      </c>
      <c r="U558" s="3"/>
      <c r="V558" s="3"/>
      <c r="W558" s="3"/>
    </row>
    <row r="559" spans="1:23">
      <c r="A559" t="s">
        <v>1486</v>
      </c>
      <c r="B559" t="s">
        <v>241</v>
      </c>
      <c r="C559" t="s">
        <v>100</v>
      </c>
      <c r="D559" s="2">
        <v>37145</v>
      </c>
      <c r="E559" s="2">
        <v>45616</v>
      </c>
      <c r="F559" t="s">
        <v>1487</v>
      </c>
      <c r="G559" t="s">
        <v>984</v>
      </c>
      <c r="H559" t="s">
        <v>78</v>
      </c>
      <c r="I559" t="s">
        <v>96</v>
      </c>
      <c r="K559" t="s">
        <v>110</v>
      </c>
      <c r="L559">
        <v>136513.35</v>
      </c>
      <c r="M559">
        <v>119624.38</v>
      </c>
      <c r="N559" t="s">
        <v>35</v>
      </c>
      <c r="O559">
        <v>4</v>
      </c>
      <c r="P559">
        <v>202</v>
      </c>
      <c r="Q559">
        <v>5</v>
      </c>
      <c r="R559">
        <v>155</v>
      </c>
      <c r="S559">
        <v>121.7</v>
      </c>
      <c r="T559" t="s">
        <v>37</v>
      </c>
      <c r="U559" s="3"/>
      <c r="V559" s="3"/>
      <c r="W559" s="3"/>
    </row>
    <row r="560" spans="1:23">
      <c r="A560" t="s">
        <v>1488</v>
      </c>
      <c r="B560" t="s">
        <v>442</v>
      </c>
      <c r="C560" t="s">
        <v>100</v>
      </c>
      <c r="D560" s="2">
        <v>19777</v>
      </c>
      <c r="E560" s="2">
        <v>45322</v>
      </c>
      <c r="F560" s="2">
        <v>45333</v>
      </c>
      <c r="I560" t="s">
        <v>25</v>
      </c>
      <c r="J560" t="s">
        <v>179</v>
      </c>
      <c r="K560" t="s">
        <v>72</v>
      </c>
      <c r="L560">
        <v>236472.52</v>
      </c>
      <c r="M560">
        <v>192825.97</v>
      </c>
      <c r="N560" t="s">
        <v>73</v>
      </c>
      <c r="O560">
        <v>11</v>
      </c>
      <c r="P560">
        <v>161</v>
      </c>
      <c r="Q560">
        <v>5</v>
      </c>
      <c r="R560">
        <v>100</v>
      </c>
      <c r="S560">
        <v>125.7</v>
      </c>
      <c r="T560" t="s">
        <v>37</v>
      </c>
      <c r="U560" s="3"/>
      <c r="V560" s="3"/>
      <c r="W560" s="3"/>
    </row>
    <row r="561" spans="1:23">
      <c r="A561" t="s">
        <v>1489</v>
      </c>
      <c r="B561" t="s">
        <v>403</v>
      </c>
      <c r="C561" t="s">
        <v>22</v>
      </c>
      <c r="D561" s="2">
        <v>24488</v>
      </c>
      <c r="E561" s="2">
        <v>45829</v>
      </c>
      <c r="F561" t="s">
        <v>1490</v>
      </c>
      <c r="G561" t="s">
        <v>43</v>
      </c>
      <c r="H561" t="s">
        <v>124</v>
      </c>
      <c r="I561" t="s">
        <v>25</v>
      </c>
      <c r="J561" t="s">
        <v>34</v>
      </c>
      <c r="K561" t="s">
        <v>55</v>
      </c>
      <c r="L561">
        <v>221645.29</v>
      </c>
      <c r="M561">
        <v>154668.72</v>
      </c>
      <c r="N561" t="s">
        <v>73</v>
      </c>
      <c r="O561">
        <v>15</v>
      </c>
      <c r="P561">
        <v>225</v>
      </c>
      <c r="Q561">
        <v>4</v>
      </c>
      <c r="R561">
        <v>175</v>
      </c>
      <c r="S561">
        <v>94.7</v>
      </c>
      <c r="T561" t="s">
        <v>721</v>
      </c>
      <c r="U561" s="3"/>
      <c r="V561" s="3"/>
      <c r="W561" s="3"/>
    </row>
    <row r="562" spans="1:23">
      <c r="A562" t="s">
        <v>1491</v>
      </c>
      <c r="B562" t="s">
        <v>1061</v>
      </c>
      <c r="C562" t="s">
        <v>22</v>
      </c>
      <c r="D562" s="2">
        <v>18826</v>
      </c>
      <c r="E562" s="2">
        <v>46019</v>
      </c>
      <c r="G562" t="s">
        <v>94</v>
      </c>
      <c r="I562" t="s">
        <v>45</v>
      </c>
      <c r="J562" t="s">
        <v>34</v>
      </c>
      <c r="K562" t="s">
        <v>55</v>
      </c>
      <c r="L562">
        <v>59947.99</v>
      </c>
      <c r="M562">
        <v>59124.18</v>
      </c>
      <c r="N562" t="s">
        <v>73</v>
      </c>
      <c r="O562">
        <v>9</v>
      </c>
      <c r="P562" t="s">
        <v>1492</v>
      </c>
      <c r="Q562">
        <v>5</v>
      </c>
      <c r="R562">
        <v>181</v>
      </c>
      <c r="S562">
        <v>246.8</v>
      </c>
      <c r="T562" t="s">
        <v>47</v>
      </c>
      <c r="U562" s="3"/>
      <c r="V562" s="3"/>
      <c r="W562" s="3"/>
    </row>
    <row r="563" spans="1:23">
      <c r="A563" t="s">
        <v>1493</v>
      </c>
      <c r="B563" t="s">
        <v>833</v>
      </c>
      <c r="C563" t="s">
        <v>40</v>
      </c>
      <c r="D563" s="2">
        <v>23566</v>
      </c>
      <c r="E563" t="s">
        <v>1494</v>
      </c>
      <c r="F563" t="s">
        <v>1495</v>
      </c>
      <c r="G563" t="s">
        <v>77</v>
      </c>
      <c r="H563" t="s">
        <v>95</v>
      </c>
      <c r="I563" t="s">
        <v>119</v>
      </c>
      <c r="J563" t="s">
        <v>34</v>
      </c>
      <c r="K563" t="s">
        <v>110</v>
      </c>
      <c r="L563">
        <v>32512.89</v>
      </c>
      <c r="M563">
        <v>27123.77</v>
      </c>
      <c r="N563" t="s">
        <v>35</v>
      </c>
      <c r="O563">
        <v>11</v>
      </c>
      <c r="P563">
        <v>233</v>
      </c>
      <c r="R563">
        <v>127</v>
      </c>
      <c r="S563">
        <v>128.30000000000001</v>
      </c>
      <c r="T563" t="s">
        <v>37</v>
      </c>
      <c r="U563" s="3"/>
      <c r="V563" s="3"/>
      <c r="W563" s="3"/>
    </row>
    <row r="564" spans="1:23">
      <c r="A564" t="s">
        <v>1496</v>
      </c>
      <c r="B564" t="s">
        <v>652</v>
      </c>
      <c r="C564" t="s">
        <v>100</v>
      </c>
      <c r="D564" s="2">
        <v>34116</v>
      </c>
      <c r="E564" t="s">
        <v>1497</v>
      </c>
      <c r="F564" s="2">
        <v>45148</v>
      </c>
      <c r="G564" t="s">
        <v>161</v>
      </c>
      <c r="H564" t="s">
        <v>124</v>
      </c>
      <c r="J564" t="s">
        <v>34</v>
      </c>
      <c r="K564" t="s">
        <v>120</v>
      </c>
      <c r="L564">
        <v>167650.9</v>
      </c>
      <c r="M564">
        <v>163384.38</v>
      </c>
      <c r="N564" t="s">
        <v>192</v>
      </c>
      <c r="O564">
        <v>13</v>
      </c>
      <c r="P564">
        <v>24</v>
      </c>
      <c r="Q564">
        <v>1</v>
      </c>
      <c r="R564">
        <v>110</v>
      </c>
      <c r="S564">
        <v>191.4</v>
      </c>
      <c r="T564" t="s">
        <v>37</v>
      </c>
      <c r="U564" s="3"/>
      <c r="V564" s="3"/>
      <c r="W564" s="3"/>
    </row>
    <row r="565" spans="1:23">
      <c r="A565" t="s">
        <v>1498</v>
      </c>
      <c r="B565" t="s">
        <v>845</v>
      </c>
      <c r="C565" t="s">
        <v>30</v>
      </c>
      <c r="D565" t="s">
        <v>1499</v>
      </c>
      <c r="E565" s="2">
        <v>45424</v>
      </c>
      <c r="F565" s="2">
        <v>45428</v>
      </c>
      <c r="G565" t="s">
        <v>62</v>
      </c>
      <c r="H565" t="s">
        <v>1500</v>
      </c>
      <c r="I565" t="s">
        <v>119</v>
      </c>
      <c r="J565" t="s">
        <v>34</v>
      </c>
      <c r="K565" t="s">
        <v>55</v>
      </c>
      <c r="L565">
        <v>9716.35</v>
      </c>
      <c r="M565">
        <v>8470.01</v>
      </c>
      <c r="N565" t="s">
        <v>192</v>
      </c>
      <c r="O565">
        <v>4</v>
      </c>
      <c r="P565">
        <v>120</v>
      </c>
      <c r="Q565">
        <v>1</v>
      </c>
      <c r="R565">
        <v>153</v>
      </c>
      <c r="S565">
        <v>219.3</v>
      </c>
      <c r="T565" t="s">
        <v>37</v>
      </c>
      <c r="U565" s="3"/>
      <c r="V565" s="3"/>
      <c r="W565" s="3"/>
    </row>
    <row r="566" spans="1:23">
      <c r="A566" t="s">
        <v>1501</v>
      </c>
      <c r="B566" t="s">
        <v>762</v>
      </c>
      <c r="C566" t="s">
        <v>133</v>
      </c>
      <c r="D566" t="s">
        <v>1502</v>
      </c>
      <c r="E566" s="2">
        <v>45221</v>
      </c>
      <c r="F566" s="2">
        <v>45224</v>
      </c>
      <c r="G566" t="s">
        <v>62</v>
      </c>
      <c r="H566" t="s">
        <v>90</v>
      </c>
      <c r="I566" t="s">
        <v>45</v>
      </c>
      <c r="J566" t="s">
        <v>204</v>
      </c>
      <c r="K566" t="s">
        <v>120</v>
      </c>
      <c r="L566">
        <v>83652.92</v>
      </c>
      <c r="M566">
        <v>60720.04</v>
      </c>
      <c r="O566">
        <v>3</v>
      </c>
      <c r="P566">
        <v>105</v>
      </c>
      <c r="Q566">
        <v>5</v>
      </c>
      <c r="R566">
        <v>91</v>
      </c>
      <c r="S566">
        <v>217.7</v>
      </c>
      <c r="T566" t="s">
        <v>37</v>
      </c>
      <c r="U566" s="3"/>
      <c r="V566" s="3"/>
      <c r="W566" s="3"/>
    </row>
    <row r="567" spans="1:23">
      <c r="A567" t="s">
        <v>1503</v>
      </c>
      <c r="B567" t="s">
        <v>1153</v>
      </c>
      <c r="D567" s="2">
        <v>19256</v>
      </c>
      <c r="E567" s="2">
        <v>46021</v>
      </c>
      <c r="F567" s="2">
        <v>46030</v>
      </c>
      <c r="G567" t="s">
        <v>117</v>
      </c>
      <c r="H567" t="s">
        <v>118</v>
      </c>
      <c r="I567" t="s">
        <v>96</v>
      </c>
      <c r="J567" t="s">
        <v>186</v>
      </c>
      <c r="K567" t="s">
        <v>55</v>
      </c>
      <c r="L567">
        <v>217349.22</v>
      </c>
      <c r="M567">
        <v>160417.25</v>
      </c>
      <c r="N567" t="s">
        <v>91</v>
      </c>
      <c r="O567">
        <v>9</v>
      </c>
      <c r="P567">
        <v>240</v>
      </c>
      <c r="Q567">
        <v>1</v>
      </c>
      <c r="R567">
        <v>132</v>
      </c>
      <c r="S567">
        <v>221.7</v>
      </c>
      <c r="T567" t="s">
        <v>37</v>
      </c>
      <c r="U567" s="3"/>
      <c r="V567" s="3"/>
      <c r="W567" s="3"/>
    </row>
    <row r="568" spans="1:23">
      <c r="A568" t="s">
        <v>1504</v>
      </c>
      <c r="B568" t="s">
        <v>1505</v>
      </c>
      <c r="C568" t="s">
        <v>40</v>
      </c>
      <c r="D568" s="2">
        <v>33279</v>
      </c>
      <c r="E568" s="2">
        <v>45637</v>
      </c>
      <c r="F568" s="2">
        <v>45652</v>
      </c>
      <c r="G568" t="s">
        <v>89</v>
      </c>
      <c r="H568" t="s">
        <v>32</v>
      </c>
      <c r="I568" t="s">
        <v>25</v>
      </c>
      <c r="J568" t="s">
        <v>34</v>
      </c>
      <c r="K568" t="s">
        <v>55</v>
      </c>
      <c r="L568">
        <v>25187.26</v>
      </c>
      <c r="M568">
        <v>19408.91</v>
      </c>
      <c r="N568" t="s">
        <v>192</v>
      </c>
      <c r="O568">
        <v>15</v>
      </c>
      <c r="P568">
        <v>144</v>
      </c>
      <c r="Q568">
        <v>4</v>
      </c>
      <c r="R568">
        <v>147</v>
      </c>
      <c r="S568">
        <v>144.19999999999999</v>
      </c>
      <c r="T568" t="s">
        <v>47</v>
      </c>
      <c r="U568" s="3"/>
      <c r="V568" s="3"/>
      <c r="W568" s="3"/>
    </row>
    <row r="569" spans="1:23">
      <c r="A569" t="s">
        <v>1506</v>
      </c>
      <c r="B569" t="s">
        <v>1393</v>
      </c>
      <c r="C569" t="s">
        <v>84</v>
      </c>
      <c r="D569" s="2">
        <v>21842</v>
      </c>
      <c r="E569" s="2">
        <v>45820</v>
      </c>
      <c r="F569" s="2">
        <v>45837</v>
      </c>
      <c r="H569" t="s">
        <v>124</v>
      </c>
      <c r="I569" t="s">
        <v>53</v>
      </c>
      <c r="J569" t="s">
        <v>46</v>
      </c>
      <c r="K569" t="s">
        <v>55</v>
      </c>
      <c r="L569">
        <v>130238.92</v>
      </c>
      <c r="M569">
        <v>110465.02</v>
      </c>
      <c r="N569" t="s">
        <v>35</v>
      </c>
      <c r="O569">
        <v>17</v>
      </c>
      <c r="P569">
        <v>196</v>
      </c>
      <c r="Q569">
        <v>1</v>
      </c>
      <c r="R569">
        <v>172</v>
      </c>
      <c r="S569">
        <v>171.1</v>
      </c>
      <c r="U569" s="3"/>
      <c r="V569" s="3"/>
      <c r="W569" s="3"/>
    </row>
    <row r="570" spans="1:23">
      <c r="A570" t="s">
        <v>1507</v>
      </c>
      <c r="B570" t="s">
        <v>857</v>
      </c>
      <c r="D570" s="2">
        <v>26252</v>
      </c>
      <c r="E570" s="2">
        <v>45005</v>
      </c>
      <c r="F570" s="2">
        <v>45006</v>
      </c>
      <c r="G570" t="s">
        <v>62</v>
      </c>
      <c r="H570" t="s">
        <v>44</v>
      </c>
      <c r="I570" t="s">
        <v>53</v>
      </c>
      <c r="J570" t="s">
        <v>46</v>
      </c>
      <c r="K570" t="s">
        <v>72</v>
      </c>
      <c r="L570">
        <v>213489.2</v>
      </c>
      <c r="M570">
        <v>165531.35</v>
      </c>
      <c r="N570" t="s">
        <v>192</v>
      </c>
      <c r="O570">
        <v>1</v>
      </c>
      <c r="P570">
        <v>139</v>
      </c>
      <c r="Q570">
        <v>4</v>
      </c>
      <c r="R570">
        <v>148</v>
      </c>
      <c r="S570">
        <v>182.8</v>
      </c>
      <c r="T570" t="s">
        <v>47</v>
      </c>
      <c r="U570" s="3"/>
      <c r="V570" s="3"/>
      <c r="W570" s="3"/>
    </row>
    <row r="571" spans="1:23">
      <c r="A571" t="s">
        <v>1508</v>
      </c>
      <c r="B571" t="s">
        <v>1509</v>
      </c>
      <c r="C571" t="s">
        <v>100</v>
      </c>
      <c r="D571" s="2">
        <v>30959</v>
      </c>
      <c r="E571" t="s">
        <v>1510</v>
      </c>
      <c r="F571" s="2">
        <v>45636</v>
      </c>
      <c r="G571" t="s">
        <v>161</v>
      </c>
      <c r="H571" t="s">
        <v>113</v>
      </c>
      <c r="I571" t="s">
        <v>119</v>
      </c>
      <c r="J571" t="s">
        <v>97</v>
      </c>
      <c r="K571" t="s">
        <v>55</v>
      </c>
      <c r="L571">
        <v>134427.46</v>
      </c>
      <c r="M571">
        <v>123233.18</v>
      </c>
      <c r="N571" t="s">
        <v>192</v>
      </c>
      <c r="O571">
        <v>13</v>
      </c>
      <c r="P571">
        <v>128</v>
      </c>
      <c r="Q571">
        <v>3</v>
      </c>
      <c r="R571">
        <v>133</v>
      </c>
      <c r="S571">
        <v>143.9</v>
      </c>
      <c r="T571" t="s">
        <v>37</v>
      </c>
      <c r="U571" s="3"/>
      <c r="V571" s="3"/>
      <c r="W571" s="3"/>
    </row>
    <row r="572" spans="1:23">
      <c r="A572" t="s">
        <v>1511</v>
      </c>
      <c r="B572" t="s">
        <v>324</v>
      </c>
      <c r="C572" t="s">
        <v>30</v>
      </c>
      <c r="D572" s="2">
        <v>26816</v>
      </c>
      <c r="E572" t="s">
        <v>1512</v>
      </c>
      <c r="F572" t="s">
        <v>1513</v>
      </c>
      <c r="G572" t="s">
        <v>43</v>
      </c>
      <c r="I572" t="s">
        <v>119</v>
      </c>
      <c r="J572" t="s">
        <v>179</v>
      </c>
      <c r="K572" t="s">
        <v>120</v>
      </c>
      <c r="L572">
        <v>153446.25</v>
      </c>
      <c r="M572">
        <v>135846.87</v>
      </c>
      <c r="N572" t="s">
        <v>73</v>
      </c>
      <c r="O572">
        <v>17</v>
      </c>
      <c r="P572">
        <v>78</v>
      </c>
      <c r="Q572">
        <v>5</v>
      </c>
      <c r="R572">
        <v>118</v>
      </c>
      <c r="S572">
        <v>71.400000000000006</v>
      </c>
      <c r="T572" t="s">
        <v>65</v>
      </c>
      <c r="U572" s="3"/>
      <c r="V572" s="3"/>
      <c r="W572" s="3"/>
    </row>
    <row r="573" spans="1:23">
      <c r="A573" t="s">
        <v>1514</v>
      </c>
      <c r="B573" t="s">
        <v>1167</v>
      </c>
      <c r="C573" t="s">
        <v>50</v>
      </c>
      <c r="D573" t="s">
        <v>1515</v>
      </c>
      <c r="E573" s="2">
        <v>45107</v>
      </c>
      <c r="F573" t="s">
        <v>1516</v>
      </c>
      <c r="G573" t="s">
        <v>161</v>
      </c>
      <c r="I573" t="s">
        <v>119</v>
      </c>
      <c r="J573" t="s">
        <v>80</v>
      </c>
      <c r="K573" t="s">
        <v>27</v>
      </c>
      <c r="L573">
        <v>29037.5</v>
      </c>
      <c r="M573">
        <v>18562.080000000002</v>
      </c>
      <c r="N573" t="s">
        <v>990</v>
      </c>
      <c r="O573">
        <v>11</v>
      </c>
      <c r="P573">
        <v>163</v>
      </c>
      <c r="Q573">
        <v>4</v>
      </c>
      <c r="R573">
        <v>143</v>
      </c>
      <c r="S573">
        <v>160.4</v>
      </c>
      <c r="T573" t="s">
        <v>37</v>
      </c>
      <c r="U573" s="3"/>
      <c r="V573" s="3"/>
      <c r="W573" s="3"/>
    </row>
    <row r="574" spans="1:23">
      <c r="A574" t="s">
        <v>1517</v>
      </c>
      <c r="B574" t="s">
        <v>1460</v>
      </c>
      <c r="C574" t="s">
        <v>40</v>
      </c>
      <c r="D574" t="s">
        <v>1518</v>
      </c>
      <c r="E574" s="2">
        <v>45862</v>
      </c>
      <c r="F574" s="2">
        <v>45875</v>
      </c>
      <c r="G574" t="s">
        <v>161</v>
      </c>
      <c r="H574" t="s">
        <v>153</v>
      </c>
      <c r="J574" t="s">
        <v>64</v>
      </c>
      <c r="K574" t="s">
        <v>72</v>
      </c>
      <c r="L574">
        <v>17385.23</v>
      </c>
      <c r="M574">
        <v>14045.57</v>
      </c>
      <c r="N574" t="s">
        <v>91</v>
      </c>
      <c r="O574">
        <v>13</v>
      </c>
      <c r="P574">
        <v>198</v>
      </c>
      <c r="R574">
        <v>90</v>
      </c>
      <c r="S574">
        <v>121.6</v>
      </c>
      <c r="T574" t="s">
        <v>47</v>
      </c>
      <c r="U574" s="3"/>
      <c r="V574" s="3"/>
      <c r="W574" s="3"/>
    </row>
    <row r="575" spans="1:23">
      <c r="A575" t="s">
        <v>1519</v>
      </c>
      <c r="B575" t="s">
        <v>1480</v>
      </c>
      <c r="C575" t="s">
        <v>30</v>
      </c>
      <c r="D575" s="2">
        <v>36756</v>
      </c>
      <c r="E575" s="2">
        <v>45832</v>
      </c>
      <c r="F575" t="s">
        <v>1520</v>
      </c>
      <c r="G575" t="s">
        <v>62</v>
      </c>
      <c r="H575" t="s">
        <v>124</v>
      </c>
      <c r="J575" t="s">
        <v>46</v>
      </c>
      <c r="K575" t="s">
        <v>72</v>
      </c>
      <c r="L575">
        <v>128776.57</v>
      </c>
      <c r="M575">
        <v>105952.03</v>
      </c>
      <c r="N575" t="s">
        <v>192</v>
      </c>
      <c r="O575">
        <v>9</v>
      </c>
      <c r="P575">
        <v>76</v>
      </c>
      <c r="R575">
        <v>170</v>
      </c>
      <c r="S575">
        <v>134.5</v>
      </c>
      <c r="T575" t="s">
        <v>37</v>
      </c>
      <c r="U575" s="3"/>
      <c r="V575" s="3"/>
      <c r="W575" s="3"/>
    </row>
    <row r="576" spans="1:23">
      <c r="A576" t="s">
        <v>1521</v>
      </c>
      <c r="B576" t="s">
        <v>1101</v>
      </c>
      <c r="C576" t="s">
        <v>133</v>
      </c>
      <c r="D576" s="2">
        <v>21187</v>
      </c>
      <c r="E576" s="2">
        <v>45014</v>
      </c>
      <c r="F576" s="2">
        <v>45019</v>
      </c>
      <c r="G576" t="s">
        <v>501</v>
      </c>
      <c r="H576" t="s">
        <v>113</v>
      </c>
      <c r="J576" t="s">
        <v>106</v>
      </c>
      <c r="K576" t="s">
        <v>72</v>
      </c>
      <c r="L576">
        <v>162716.66</v>
      </c>
      <c r="M576">
        <v>117452.86</v>
      </c>
      <c r="N576" t="s">
        <v>73</v>
      </c>
      <c r="O576">
        <v>5</v>
      </c>
      <c r="P576">
        <v>65</v>
      </c>
      <c r="Q576">
        <v>3</v>
      </c>
      <c r="R576">
        <v>172</v>
      </c>
      <c r="S576">
        <v>236.7</v>
      </c>
      <c r="T576" t="s">
        <v>37</v>
      </c>
      <c r="U576" s="3"/>
      <c r="V576" s="3"/>
      <c r="W576" s="3"/>
    </row>
    <row r="577" spans="1:23">
      <c r="A577" t="s">
        <v>1522</v>
      </c>
      <c r="B577" t="s">
        <v>1302</v>
      </c>
      <c r="C577" t="s">
        <v>84</v>
      </c>
      <c r="D577" s="2">
        <v>30602</v>
      </c>
      <c r="E577" s="2">
        <v>45717</v>
      </c>
      <c r="F577" t="s">
        <v>1523</v>
      </c>
      <c r="H577" t="s">
        <v>153</v>
      </c>
      <c r="I577" t="s">
        <v>45</v>
      </c>
      <c r="J577" t="s">
        <v>34</v>
      </c>
      <c r="K577" t="s">
        <v>110</v>
      </c>
      <c r="L577">
        <v>113628.58</v>
      </c>
      <c r="M577">
        <v>90465.51</v>
      </c>
      <c r="N577" t="s">
        <v>35</v>
      </c>
      <c r="O577">
        <v>16</v>
      </c>
      <c r="P577">
        <v>189</v>
      </c>
      <c r="Q577">
        <v>5</v>
      </c>
      <c r="R577">
        <v>172</v>
      </c>
      <c r="S577">
        <v>148.5</v>
      </c>
      <c r="U577" s="3"/>
      <c r="V577" s="3"/>
      <c r="W577" s="3"/>
    </row>
    <row r="578" spans="1:23">
      <c r="A578" t="s">
        <v>1524</v>
      </c>
      <c r="B578" t="s">
        <v>531</v>
      </c>
      <c r="C578" t="s">
        <v>84</v>
      </c>
      <c r="D578" s="2">
        <v>36946</v>
      </c>
      <c r="E578" s="2">
        <v>45200</v>
      </c>
      <c r="F578" s="2">
        <v>45207</v>
      </c>
      <c r="G578" t="s">
        <v>62</v>
      </c>
      <c r="I578" t="s">
        <v>53</v>
      </c>
      <c r="J578" t="s">
        <v>166</v>
      </c>
      <c r="L578">
        <v>157660.71</v>
      </c>
      <c r="M578">
        <v>103268.25</v>
      </c>
      <c r="N578" t="s">
        <v>56</v>
      </c>
      <c r="O578">
        <v>7</v>
      </c>
      <c r="P578">
        <v>101</v>
      </c>
      <c r="Q578">
        <v>1</v>
      </c>
      <c r="R578">
        <v>101</v>
      </c>
      <c r="S578">
        <v>168.7</v>
      </c>
      <c r="T578" t="s">
        <v>37</v>
      </c>
      <c r="U578" s="3"/>
      <c r="V578" s="3"/>
      <c r="W578" s="3"/>
    </row>
    <row r="579" spans="1:23">
      <c r="A579" t="s">
        <v>1525</v>
      </c>
      <c r="B579" t="s">
        <v>1526</v>
      </c>
      <c r="C579" t="s">
        <v>50</v>
      </c>
      <c r="D579" s="2">
        <v>29444</v>
      </c>
      <c r="E579" s="2">
        <v>45460</v>
      </c>
      <c r="F579" t="s">
        <v>1527</v>
      </c>
      <c r="G579" t="s">
        <v>109</v>
      </c>
      <c r="H579" t="s">
        <v>32</v>
      </c>
      <c r="I579" t="s">
        <v>53</v>
      </c>
      <c r="J579" t="s">
        <v>34</v>
      </c>
      <c r="K579" t="s">
        <v>55</v>
      </c>
      <c r="L579">
        <v>40801.85</v>
      </c>
      <c r="M579">
        <v>36084.230000000003</v>
      </c>
      <c r="N579" t="s">
        <v>106</v>
      </c>
      <c r="O579">
        <v>12</v>
      </c>
      <c r="P579">
        <v>88</v>
      </c>
      <c r="Q579">
        <v>3</v>
      </c>
      <c r="R579">
        <v>169</v>
      </c>
      <c r="S579">
        <v>87.1</v>
      </c>
      <c r="U579" s="3"/>
      <c r="V579" s="3"/>
      <c r="W579" s="3"/>
    </row>
    <row r="580" spans="1:23">
      <c r="A580" t="s">
        <v>1528</v>
      </c>
      <c r="B580" t="s">
        <v>83</v>
      </c>
      <c r="C580" t="s">
        <v>100</v>
      </c>
      <c r="D580" s="2">
        <v>22884</v>
      </c>
      <c r="E580" s="2">
        <v>45371</v>
      </c>
      <c r="F580" s="2">
        <v>45377</v>
      </c>
      <c r="G580" t="s">
        <v>152</v>
      </c>
      <c r="H580" t="s">
        <v>63</v>
      </c>
      <c r="I580" t="s">
        <v>53</v>
      </c>
      <c r="J580" t="s">
        <v>97</v>
      </c>
      <c r="K580" t="s">
        <v>72</v>
      </c>
      <c r="L580">
        <v>40909.93</v>
      </c>
      <c r="M580">
        <v>35820.870000000003</v>
      </c>
      <c r="N580" t="s">
        <v>192</v>
      </c>
      <c r="O580">
        <v>6</v>
      </c>
      <c r="P580">
        <v>59</v>
      </c>
      <c r="Q580">
        <v>4</v>
      </c>
      <c r="R580">
        <v>111</v>
      </c>
      <c r="S580">
        <v>251.5</v>
      </c>
      <c r="U580" s="3"/>
      <c r="V580" s="3"/>
      <c r="W580" s="3"/>
    </row>
    <row r="581" spans="1:23">
      <c r="A581" t="s">
        <v>1529</v>
      </c>
      <c r="B581" t="s">
        <v>527</v>
      </c>
      <c r="D581" s="2">
        <v>38237</v>
      </c>
      <c r="E581" s="2">
        <v>45582</v>
      </c>
      <c r="F581" s="2">
        <v>45600</v>
      </c>
      <c r="G581" t="s">
        <v>109</v>
      </c>
      <c r="H581" t="s">
        <v>134</v>
      </c>
      <c r="I581" t="s">
        <v>33</v>
      </c>
      <c r="J581" t="s">
        <v>34</v>
      </c>
      <c r="K581" t="s">
        <v>27</v>
      </c>
      <c r="L581">
        <v>181884.55</v>
      </c>
      <c r="M581">
        <v>159163.12</v>
      </c>
      <c r="N581" t="s">
        <v>56</v>
      </c>
      <c r="O581">
        <v>18</v>
      </c>
      <c r="P581">
        <v>230</v>
      </c>
      <c r="R581">
        <v>118</v>
      </c>
      <c r="S581">
        <v>100.7</v>
      </c>
      <c r="T581" t="s">
        <v>37</v>
      </c>
      <c r="U581" s="3"/>
      <c r="V581" s="3"/>
      <c r="W581" s="3"/>
    </row>
    <row r="582" spans="1:23">
      <c r="A582" t="s">
        <v>1530</v>
      </c>
      <c r="B582" t="s">
        <v>234</v>
      </c>
      <c r="D582" s="2">
        <v>28496</v>
      </c>
      <c r="E582" t="s">
        <v>1531</v>
      </c>
      <c r="G582" t="s">
        <v>1282</v>
      </c>
      <c r="H582" t="s">
        <v>1012</v>
      </c>
      <c r="K582" t="s">
        <v>388</v>
      </c>
      <c r="L582">
        <v>118456.48</v>
      </c>
      <c r="M582">
        <v>103753.56</v>
      </c>
      <c r="N582" t="s">
        <v>192</v>
      </c>
      <c r="O582">
        <v>15</v>
      </c>
      <c r="P582">
        <v>189</v>
      </c>
      <c r="Q582">
        <v>2</v>
      </c>
      <c r="R582">
        <v>117</v>
      </c>
      <c r="S582">
        <v>163.19999999999999</v>
      </c>
      <c r="T582" t="s">
        <v>65</v>
      </c>
      <c r="U582" s="3"/>
      <c r="V582" s="3"/>
      <c r="W582" s="3"/>
    </row>
    <row r="583" spans="1:23">
      <c r="A583" t="s">
        <v>1532</v>
      </c>
      <c r="B583" t="s">
        <v>438</v>
      </c>
      <c r="C583" t="s">
        <v>133</v>
      </c>
      <c r="D583" s="2">
        <v>38726</v>
      </c>
      <c r="E583" s="2">
        <v>45928</v>
      </c>
      <c r="F583" s="2">
        <v>45943</v>
      </c>
      <c r="G583" t="s">
        <v>89</v>
      </c>
      <c r="J583" t="s">
        <v>46</v>
      </c>
      <c r="K583" t="s">
        <v>55</v>
      </c>
      <c r="L583">
        <v>171690.33</v>
      </c>
      <c r="M583">
        <v>134552.89000000001</v>
      </c>
      <c r="N583" t="s">
        <v>91</v>
      </c>
      <c r="O583">
        <v>15</v>
      </c>
      <c r="Q583">
        <v>5</v>
      </c>
      <c r="R583">
        <v>175</v>
      </c>
      <c r="S583">
        <v>167.7</v>
      </c>
      <c r="T583" t="s">
        <v>47</v>
      </c>
      <c r="U583" s="3"/>
      <c r="V583" s="3"/>
      <c r="W583" s="3"/>
    </row>
    <row r="584" spans="1:23">
      <c r="A584" t="s">
        <v>1533</v>
      </c>
      <c r="B584" t="s">
        <v>655</v>
      </c>
      <c r="C584" t="s">
        <v>40</v>
      </c>
      <c r="D584" s="2">
        <v>37557</v>
      </c>
      <c r="E584" t="s">
        <v>1534</v>
      </c>
      <c r="F584" s="2">
        <v>45587</v>
      </c>
      <c r="G584" t="s">
        <v>105</v>
      </c>
      <c r="I584" t="s">
        <v>53</v>
      </c>
      <c r="J584" t="s">
        <v>80</v>
      </c>
      <c r="K584" t="s">
        <v>72</v>
      </c>
      <c r="L584">
        <v>218321.64</v>
      </c>
      <c r="M584">
        <v>190508.71</v>
      </c>
      <c r="N584" t="s">
        <v>192</v>
      </c>
      <c r="O584">
        <v>4</v>
      </c>
      <c r="P584">
        <v>227</v>
      </c>
      <c r="Q584">
        <v>2</v>
      </c>
      <c r="R584">
        <v>92</v>
      </c>
      <c r="S584">
        <v>218</v>
      </c>
      <c r="U584" s="3"/>
      <c r="V584" s="3"/>
      <c r="W584" s="3"/>
    </row>
    <row r="585" spans="1:23">
      <c r="A585" t="s">
        <v>1535</v>
      </c>
      <c r="B585" t="s">
        <v>49</v>
      </c>
      <c r="C585" t="s">
        <v>206</v>
      </c>
      <c r="D585" s="2">
        <v>20201</v>
      </c>
      <c r="E585" s="2">
        <v>45950</v>
      </c>
      <c r="F585" s="2">
        <v>45953</v>
      </c>
      <c r="G585" t="s">
        <v>114</v>
      </c>
      <c r="H585" t="s">
        <v>124</v>
      </c>
      <c r="I585" t="s">
        <v>79</v>
      </c>
      <c r="J585" t="s">
        <v>179</v>
      </c>
      <c r="K585" t="s">
        <v>55</v>
      </c>
      <c r="L585">
        <v>159239.44</v>
      </c>
      <c r="M585">
        <v>100910.95</v>
      </c>
      <c r="O585">
        <v>3</v>
      </c>
      <c r="P585">
        <v>58</v>
      </c>
      <c r="Q585">
        <v>3</v>
      </c>
      <c r="R585">
        <v>105</v>
      </c>
      <c r="S585">
        <v>234.7</v>
      </c>
      <c r="U585" s="3"/>
      <c r="V585" s="3"/>
      <c r="W585" s="3"/>
    </row>
    <row r="586" spans="1:23">
      <c r="A586" t="s">
        <v>1536</v>
      </c>
      <c r="B586" t="s">
        <v>1537</v>
      </c>
      <c r="C586" t="s">
        <v>40</v>
      </c>
      <c r="D586" t="s">
        <v>1538</v>
      </c>
      <c r="E586" s="2">
        <v>45841</v>
      </c>
      <c r="F586" s="2">
        <v>45846</v>
      </c>
      <c r="G586" t="s">
        <v>141</v>
      </c>
      <c r="H586" t="s">
        <v>153</v>
      </c>
      <c r="J586" t="s">
        <v>80</v>
      </c>
      <c r="K586" t="s">
        <v>72</v>
      </c>
      <c r="L586">
        <v>51492.95</v>
      </c>
      <c r="M586">
        <v>42823.02</v>
      </c>
      <c r="N586" t="s">
        <v>192</v>
      </c>
      <c r="O586">
        <v>5</v>
      </c>
      <c r="P586">
        <v>59</v>
      </c>
      <c r="Q586">
        <v>1</v>
      </c>
      <c r="R586" t="s">
        <v>1539</v>
      </c>
      <c r="S586">
        <v>178.7</v>
      </c>
      <c r="T586" t="s">
        <v>37</v>
      </c>
      <c r="U586" s="3"/>
      <c r="V586" s="3"/>
      <c r="W586" s="3"/>
    </row>
    <row r="587" spans="1:23">
      <c r="A587" t="s">
        <v>1540</v>
      </c>
      <c r="B587" t="s">
        <v>1106</v>
      </c>
      <c r="C587" t="s">
        <v>40</v>
      </c>
      <c r="D587" s="2">
        <v>24863</v>
      </c>
      <c r="E587" s="2">
        <v>45735</v>
      </c>
      <c r="F587" t="s">
        <v>1541</v>
      </c>
      <c r="G587" t="s">
        <v>105</v>
      </c>
      <c r="I587" t="s">
        <v>25</v>
      </c>
      <c r="K587" t="s">
        <v>72</v>
      </c>
      <c r="L587">
        <v>167068.56</v>
      </c>
      <c r="M587">
        <v>124472.5</v>
      </c>
      <c r="N587" t="s">
        <v>91</v>
      </c>
      <c r="O587">
        <v>17</v>
      </c>
      <c r="Q587">
        <v>4</v>
      </c>
      <c r="R587">
        <v>106</v>
      </c>
      <c r="S587">
        <v>73.3</v>
      </c>
      <c r="T587" t="s">
        <v>37</v>
      </c>
      <c r="U587" s="3"/>
      <c r="V587" s="3"/>
      <c r="W587" s="3"/>
    </row>
    <row r="588" spans="1:23">
      <c r="A588" t="s">
        <v>1542</v>
      </c>
      <c r="B588" t="s">
        <v>132</v>
      </c>
      <c r="C588" t="s">
        <v>50</v>
      </c>
      <c r="D588" s="2">
        <v>21538</v>
      </c>
      <c r="E588" s="2">
        <v>45943</v>
      </c>
      <c r="F588" t="s">
        <v>1543</v>
      </c>
      <c r="G588" t="s">
        <v>94</v>
      </c>
      <c r="H588" t="s">
        <v>32</v>
      </c>
      <c r="I588" t="s">
        <v>33</v>
      </c>
      <c r="J588" t="s">
        <v>97</v>
      </c>
      <c r="K588" t="s">
        <v>27</v>
      </c>
      <c r="L588">
        <v>70676.83</v>
      </c>
      <c r="M588">
        <v>65837.100000000006</v>
      </c>
      <c r="N588" t="s">
        <v>192</v>
      </c>
      <c r="O588">
        <v>1</v>
      </c>
      <c r="P588">
        <v>145</v>
      </c>
      <c r="Q588">
        <v>5</v>
      </c>
      <c r="R588">
        <v>159</v>
      </c>
      <c r="S588">
        <v>139.69999999999999</v>
      </c>
      <c r="T588" t="s">
        <v>65</v>
      </c>
      <c r="U588" s="3"/>
      <c r="V588" s="3"/>
      <c r="W588" s="3"/>
    </row>
    <row r="589" spans="1:23">
      <c r="A589" t="s">
        <v>1544</v>
      </c>
      <c r="B589" t="s">
        <v>338</v>
      </c>
      <c r="C589" t="s">
        <v>206</v>
      </c>
      <c r="D589" s="2">
        <v>23636</v>
      </c>
      <c r="E589" s="2">
        <v>45496</v>
      </c>
      <c r="F589" s="2">
        <v>45498</v>
      </c>
      <c r="G589" t="s">
        <v>117</v>
      </c>
      <c r="H589" t="s">
        <v>24</v>
      </c>
      <c r="J589" t="s">
        <v>197</v>
      </c>
      <c r="K589" t="s">
        <v>72</v>
      </c>
      <c r="L589" t="s">
        <v>1545</v>
      </c>
      <c r="N589" t="s">
        <v>73</v>
      </c>
      <c r="O589">
        <v>2</v>
      </c>
      <c r="P589">
        <v>63</v>
      </c>
      <c r="Q589">
        <v>3</v>
      </c>
      <c r="R589">
        <v>106</v>
      </c>
      <c r="S589">
        <v>233.4</v>
      </c>
      <c r="T589" t="s">
        <v>37</v>
      </c>
      <c r="U589" s="3"/>
      <c r="V589" s="3"/>
      <c r="W589" s="3"/>
    </row>
    <row r="590" spans="1:23">
      <c r="A590" t="s">
        <v>1546</v>
      </c>
      <c r="B590" t="s">
        <v>1167</v>
      </c>
      <c r="C590" t="s">
        <v>133</v>
      </c>
      <c r="D590" s="2">
        <v>32672</v>
      </c>
      <c r="E590" s="2">
        <v>45943</v>
      </c>
      <c r="F590" s="2">
        <v>45958</v>
      </c>
      <c r="G590" t="s">
        <v>70</v>
      </c>
      <c r="H590" t="s">
        <v>44</v>
      </c>
      <c r="I590" t="s">
        <v>33</v>
      </c>
      <c r="J590" t="s">
        <v>46</v>
      </c>
      <c r="K590" t="s">
        <v>161</v>
      </c>
      <c r="L590">
        <v>112096.04</v>
      </c>
      <c r="M590">
        <v>88946.75</v>
      </c>
      <c r="N590" t="s">
        <v>91</v>
      </c>
      <c r="O590">
        <v>15</v>
      </c>
      <c r="P590">
        <v>94</v>
      </c>
      <c r="Q590">
        <v>5</v>
      </c>
      <c r="R590">
        <v>126</v>
      </c>
      <c r="S590">
        <v>150.80000000000001</v>
      </c>
      <c r="T590" t="s">
        <v>47</v>
      </c>
      <c r="U590" s="3"/>
      <c r="V590" s="3"/>
      <c r="W590" s="3"/>
    </row>
    <row r="591" spans="1:23">
      <c r="A591" t="s">
        <v>1547</v>
      </c>
      <c r="B591" t="s">
        <v>1135</v>
      </c>
      <c r="C591" t="s">
        <v>133</v>
      </c>
      <c r="D591" t="s">
        <v>1548</v>
      </c>
      <c r="E591" t="s">
        <v>1549</v>
      </c>
      <c r="F591" s="2">
        <v>45789</v>
      </c>
      <c r="G591" t="s">
        <v>77</v>
      </c>
      <c r="H591" t="s">
        <v>134</v>
      </c>
      <c r="I591" t="s">
        <v>96</v>
      </c>
      <c r="J591" t="s">
        <v>26</v>
      </c>
      <c r="L591">
        <v>123523.59</v>
      </c>
      <c r="M591">
        <v>100318.42</v>
      </c>
      <c r="N591" t="s">
        <v>73</v>
      </c>
      <c r="O591">
        <v>18</v>
      </c>
      <c r="P591">
        <v>144</v>
      </c>
      <c r="Q591">
        <v>1</v>
      </c>
      <c r="R591">
        <v>156</v>
      </c>
      <c r="S591">
        <v>88.5</v>
      </c>
      <c r="U591" s="3"/>
      <c r="V591" s="3"/>
      <c r="W591" s="3"/>
    </row>
    <row r="592" spans="1:23">
      <c r="A592" t="s">
        <v>1550</v>
      </c>
      <c r="B592" t="s">
        <v>1350</v>
      </c>
      <c r="C592" t="s">
        <v>133</v>
      </c>
      <c r="D592" t="s">
        <v>1551</v>
      </c>
      <c r="E592" s="2">
        <v>45607</v>
      </c>
      <c r="F592" s="2">
        <v>45610</v>
      </c>
      <c r="I592" t="s">
        <v>96</v>
      </c>
      <c r="J592" t="s">
        <v>204</v>
      </c>
      <c r="K592" t="s">
        <v>55</v>
      </c>
      <c r="L592" t="s">
        <v>1552</v>
      </c>
      <c r="M592">
        <v>205602.53</v>
      </c>
      <c r="N592" t="s">
        <v>35</v>
      </c>
      <c r="O592">
        <v>3</v>
      </c>
      <c r="P592">
        <v>56</v>
      </c>
      <c r="Q592">
        <v>4</v>
      </c>
      <c r="R592">
        <v>112</v>
      </c>
      <c r="S592">
        <v>91.7</v>
      </c>
      <c r="T592" t="s">
        <v>47</v>
      </c>
      <c r="U592" s="3"/>
      <c r="V592" s="3"/>
      <c r="W592" s="3"/>
    </row>
    <row r="593" spans="1:23">
      <c r="A593" t="s">
        <v>1553</v>
      </c>
      <c r="B593" t="s">
        <v>324</v>
      </c>
      <c r="D593" s="2">
        <v>26045</v>
      </c>
      <c r="E593" s="2">
        <v>45337</v>
      </c>
      <c r="F593" s="2">
        <v>45350</v>
      </c>
      <c r="G593" t="s">
        <v>70</v>
      </c>
      <c r="H593" t="s">
        <v>32</v>
      </c>
      <c r="I593" t="s">
        <v>96</v>
      </c>
      <c r="J593" t="s">
        <v>34</v>
      </c>
      <c r="L593" t="s">
        <v>1554</v>
      </c>
      <c r="M593">
        <v>200329.69</v>
      </c>
      <c r="N593" t="s">
        <v>192</v>
      </c>
      <c r="O593">
        <v>13</v>
      </c>
      <c r="P593">
        <v>25</v>
      </c>
      <c r="Q593">
        <v>5</v>
      </c>
      <c r="R593">
        <v>164</v>
      </c>
      <c r="T593" t="s">
        <v>47</v>
      </c>
      <c r="U593" s="3"/>
      <c r="V593" s="3"/>
      <c r="W593" s="3"/>
    </row>
    <row r="594" spans="1:23">
      <c r="A594" t="s">
        <v>1555</v>
      </c>
      <c r="B594" t="s">
        <v>21</v>
      </c>
      <c r="C594" t="s">
        <v>206</v>
      </c>
      <c r="D594" t="s">
        <v>1556</v>
      </c>
      <c r="E594" s="2">
        <v>45884</v>
      </c>
      <c r="F594" t="s">
        <v>1557</v>
      </c>
      <c r="G594" t="s">
        <v>152</v>
      </c>
      <c r="H594" t="s">
        <v>24</v>
      </c>
      <c r="I594" t="s">
        <v>96</v>
      </c>
      <c r="K594" t="s">
        <v>72</v>
      </c>
      <c r="L594">
        <v>60898.11</v>
      </c>
      <c r="M594">
        <v>39482.99</v>
      </c>
      <c r="N594" t="s">
        <v>73</v>
      </c>
      <c r="O594">
        <v>4</v>
      </c>
      <c r="P594">
        <v>188</v>
      </c>
      <c r="Q594">
        <v>5</v>
      </c>
      <c r="R594">
        <v>163</v>
      </c>
      <c r="S594">
        <v>70.599999999999994</v>
      </c>
      <c r="T594" t="s">
        <v>47</v>
      </c>
      <c r="U594" s="3"/>
      <c r="V594" s="3"/>
      <c r="W594" s="3"/>
    </row>
    <row r="595" spans="1:23">
      <c r="A595" t="s">
        <v>1558</v>
      </c>
      <c r="B595" t="s">
        <v>560</v>
      </c>
      <c r="D595" s="2">
        <v>30549</v>
      </c>
      <c r="E595" s="2">
        <v>45385</v>
      </c>
      <c r="F595" s="2">
        <v>45388</v>
      </c>
      <c r="G595" t="s">
        <v>144</v>
      </c>
      <c r="H595" t="s">
        <v>32</v>
      </c>
      <c r="I595" t="s">
        <v>33</v>
      </c>
      <c r="J595" t="s">
        <v>34</v>
      </c>
      <c r="L595">
        <v>97099.76</v>
      </c>
      <c r="M595">
        <v>80833.11</v>
      </c>
      <c r="N595" t="s">
        <v>1048</v>
      </c>
      <c r="O595">
        <v>3</v>
      </c>
      <c r="P595">
        <v>31</v>
      </c>
      <c r="Q595">
        <v>4</v>
      </c>
      <c r="R595">
        <v>138</v>
      </c>
      <c r="S595">
        <v>251.5</v>
      </c>
      <c r="T595" t="s">
        <v>721</v>
      </c>
      <c r="U595" s="3"/>
      <c r="V595" s="3"/>
      <c r="W595" s="3"/>
    </row>
    <row r="596" spans="1:23">
      <c r="A596" t="s">
        <v>1559</v>
      </c>
      <c r="B596" t="s">
        <v>1050</v>
      </c>
      <c r="D596" s="2">
        <v>32282</v>
      </c>
      <c r="E596" t="s">
        <v>1560</v>
      </c>
      <c r="F596" s="2">
        <v>45175</v>
      </c>
      <c r="G596" t="s">
        <v>161</v>
      </c>
      <c r="H596" t="s">
        <v>153</v>
      </c>
      <c r="I596" t="s">
        <v>96</v>
      </c>
      <c r="J596" t="s">
        <v>97</v>
      </c>
      <c r="K596" t="s">
        <v>120</v>
      </c>
      <c r="L596">
        <v>221147.69</v>
      </c>
      <c r="M596">
        <v>139453.41</v>
      </c>
      <c r="N596" t="s">
        <v>192</v>
      </c>
      <c r="O596">
        <v>15</v>
      </c>
      <c r="P596">
        <v>59</v>
      </c>
      <c r="R596">
        <v>96</v>
      </c>
      <c r="S596">
        <v>168</v>
      </c>
      <c r="T596" t="s">
        <v>37</v>
      </c>
      <c r="U596" s="3"/>
      <c r="V596" s="3"/>
      <c r="W596" s="3"/>
    </row>
    <row r="597" spans="1:23">
      <c r="A597" t="s">
        <v>1561</v>
      </c>
      <c r="B597" t="s">
        <v>1140</v>
      </c>
      <c r="C597" t="s">
        <v>40</v>
      </c>
      <c r="D597" s="2">
        <v>23915</v>
      </c>
      <c r="E597" s="2">
        <v>45977</v>
      </c>
      <c r="F597" s="2">
        <v>45994</v>
      </c>
      <c r="G597" t="s">
        <v>70</v>
      </c>
      <c r="H597" t="s">
        <v>118</v>
      </c>
      <c r="J597" t="s">
        <v>97</v>
      </c>
      <c r="K597" t="s">
        <v>191</v>
      </c>
      <c r="L597">
        <v>224618.09</v>
      </c>
      <c r="M597">
        <v>223001.60000000001</v>
      </c>
      <c r="N597" t="s">
        <v>35</v>
      </c>
      <c r="O597">
        <v>17</v>
      </c>
      <c r="P597">
        <v>10</v>
      </c>
      <c r="R597">
        <v>154</v>
      </c>
      <c r="S597">
        <v>188.9</v>
      </c>
      <c r="T597" t="s">
        <v>65</v>
      </c>
      <c r="U597" s="3"/>
      <c r="V597" s="3"/>
      <c r="W597" s="3"/>
    </row>
    <row r="598" spans="1:23">
      <c r="A598" t="s">
        <v>1562</v>
      </c>
      <c r="B598" t="s">
        <v>1563</v>
      </c>
      <c r="C598" t="s">
        <v>100</v>
      </c>
      <c r="D598" s="2">
        <v>31641</v>
      </c>
      <c r="E598" t="s">
        <v>1564</v>
      </c>
      <c r="F598" t="s">
        <v>1565</v>
      </c>
      <c r="G598" t="s">
        <v>89</v>
      </c>
      <c r="H598" t="s">
        <v>124</v>
      </c>
      <c r="I598" t="s">
        <v>25</v>
      </c>
      <c r="J598" t="s">
        <v>179</v>
      </c>
      <c r="K598" t="s">
        <v>55</v>
      </c>
      <c r="L598">
        <v>66726.42</v>
      </c>
      <c r="M598">
        <v>55091.75</v>
      </c>
      <c r="N598" t="s">
        <v>91</v>
      </c>
      <c r="O598">
        <v>15</v>
      </c>
      <c r="P598">
        <v>86</v>
      </c>
      <c r="R598">
        <v>175</v>
      </c>
      <c r="S598">
        <v>87.8</v>
      </c>
      <c r="T598" t="s">
        <v>47</v>
      </c>
      <c r="U598" s="3"/>
      <c r="V598" s="3"/>
      <c r="W598" s="3"/>
    </row>
    <row r="599" spans="1:23">
      <c r="A599" t="s">
        <v>1566</v>
      </c>
      <c r="B599" t="s">
        <v>173</v>
      </c>
      <c r="C599" t="s">
        <v>1149</v>
      </c>
      <c r="D599" t="s">
        <v>1567</v>
      </c>
      <c r="E599" s="2">
        <v>45960</v>
      </c>
      <c r="F599" s="2">
        <v>45965</v>
      </c>
      <c r="G599" t="s">
        <v>70</v>
      </c>
      <c r="H599" t="s">
        <v>134</v>
      </c>
      <c r="J599" t="s">
        <v>179</v>
      </c>
      <c r="K599" t="s">
        <v>120</v>
      </c>
      <c r="L599">
        <v>68615.78</v>
      </c>
      <c r="M599">
        <v>49798.12</v>
      </c>
      <c r="N599" t="s">
        <v>192</v>
      </c>
      <c r="O599" t="s">
        <v>1036</v>
      </c>
      <c r="P599">
        <v>187</v>
      </c>
      <c r="Q599">
        <v>2</v>
      </c>
      <c r="R599">
        <v>123</v>
      </c>
      <c r="S599">
        <v>241.9</v>
      </c>
      <c r="T599" t="s">
        <v>81</v>
      </c>
      <c r="U599" s="3"/>
      <c r="V599" s="3"/>
      <c r="W599" s="3"/>
    </row>
    <row r="600" spans="1:23">
      <c r="A600" t="s">
        <v>1568</v>
      </c>
      <c r="B600" t="s">
        <v>622</v>
      </c>
      <c r="C600" t="s">
        <v>30</v>
      </c>
      <c r="D600" t="s">
        <v>1569</v>
      </c>
      <c r="E600" s="2">
        <v>45869</v>
      </c>
      <c r="F600" s="2">
        <v>45882</v>
      </c>
      <c r="G600" t="s">
        <v>141</v>
      </c>
      <c r="H600" t="s">
        <v>24</v>
      </c>
      <c r="I600" t="s">
        <v>79</v>
      </c>
      <c r="J600" t="s">
        <v>71</v>
      </c>
      <c r="K600" t="s">
        <v>161</v>
      </c>
      <c r="L600">
        <v>209183.93</v>
      </c>
      <c r="M600">
        <v>161984.35</v>
      </c>
      <c r="O600">
        <v>13</v>
      </c>
      <c r="P600">
        <v>68</v>
      </c>
      <c r="Q600">
        <v>5</v>
      </c>
      <c r="R600">
        <v>168</v>
      </c>
      <c r="S600">
        <v>151.6</v>
      </c>
      <c r="T600" t="s">
        <v>65</v>
      </c>
      <c r="U600" s="3"/>
      <c r="V600" s="3"/>
      <c r="W600" s="3"/>
    </row>
    <row r="601" spans="1:23">
      <c r="A601" t="s">
        <v>1570</v>
      </c>
      <c r="B601" t="s">
        <v>251</v>
      </c>
      <c r="C601" t="s">
        <v>84</v>
      </c>
      <c r="D601" s="2">
        <v>30742</v>
      </c>
      <c r="E601" s="2">
        <v>45956</v>
      </c>
      <c r="F601" s="2">
        <v>45964</v>
      </c>
      <c r="G601" t="s">
        <v>43</v>
      </c>
      <c r="H601" t="s">
        <v>95</v>
      </c>
      <c r="I601" t="s">
        <v>45</v>
      </c>
      <c r="K601" t="s">
        <v>120</v>
      </c>
      <c r="L601">
        <v>12669.27</v>
      </c>
      <c r="M601">
        <v>8921.39</v>
      </c>
      <c r="O601">
        <v>8</v>
      </c>
      <c r="P601">
        <v>71</v>
      </c>
      <c r="Q601">
        <v>4</v>
      </c>
      <c r="R601">
        <v>151</v>
      </c>
      <c r="S601">
        <v>98.8</v>
      </c>
      <c r="T601" t="s">
        <v>37</v>
      </c>
      <c r="U601" s="3"/>
      <c r="V601" s="3"/>
      <c r="W601" s="3"/>
    </row>
    <row r="602" spans="1:23">
      <c r="A602" t="s">
        <v>1571</v>
      </c>
      <c r="B602" t="s">
        <v>1131</v>
      </c>
      <c r="D602" s="2">
        <v>32959</v>
      </c>
      <c r="E602" s="2">
        <v>45345</v>
      </c>
      <c r="F602" t="s">
        <v>1572</v>
      </c>
      <c r="G602" t="s">
        <v>94</v>
      </c>
      <c r="H602" t="s">
        <v>32</v>
      </c>
      <c r="I602" t="s">
        <v>79</v>
      </c>
      <c r="J602" t="s">
        <v>179</v>
      </c>
      <c r="K602" t="s">
        <v>55</v>
      </c>
      <c r="L602">
        <v>87077.93</v>
      </c>
      <c r="M602">
        <v>62098.52</v>
      </c>
      <c r="N602" t="s">
        <v>73</v>
      </c>
      <c r="O602">
        <v>14</v>
      </c>
      <c r="P602">
        <v>70</v>
      </c>
      <c r="Q602">
        <v>5</v>
      </c>
      <c r="R602" t="s">
        <v>1573</v>
      </c>
      <c r="S602">
        <v>167.1</v>
      </c>
      <c r="T602" t="s">
        <v>37</v>
      </c>
      <c r="U602" s="3"/>
      <c r="V602" s="3"/>
      <c r="W602" s="3"/>
    </row>
    <row r="603" spans="1:23">
      <c r="A603" t="s">
        <v>1574</v>
      </c>
      <c r="B603" t="s">
        <v>932</v>
      </c>
      <c r="C603" t="s">
        <v>22</v>
      </c>
      <c r="D603" t="s">
        <v>1575</v>
      </c>
      <c r="E603" t="s">
        <v>1576</v>
      </c>
      <c r="F603" t="s">
        <v>1577</v>
      </c>
      <c r="G603" t="s">
        <v>77</v>
      </c>
      <c r="H603" t="s">
        <v>78</v>
      </c>
      <c r="J603" t="s">
        <v>26</v>
      </c>
      <c r="K603" t="s">
        <v>55</v>
      </c>
      <c r="L603">
        <v>193668.97</v>
      </c>
      <c r="M603">
        <v>176250.07</v>
      </c>
      <c r="N603" t="s">
        <v>35</v>
      </c>
      <c r="O603">
        <v>13</v>
      </c>
      <c r="P603" t="s">
        <v>1046</v>
      </c>
      <c r="R603">
        <v>163</v>
      </c>
      <c r="S603">
        <v>213.1</v>
      </c>
      <c r="U603" s="3"/>
      <c r="V603" s="3"/>
      <c r="W603" s="3"/>
    </row>
    <row r="604" spans="1:23">
      <c r="A604" t="s">
        <v>1578</v>
      </c>
      <c r="B604" t="s">
        <v>406</v>
      </c>
      <c r="C604" t="s">
        <v>60</v>
      </c>
      <c r="D604" s="2">
        <v>39650</v>
      </c>
      <c r="E604" s="2">
        <v>45698</v>
      </c>
      <c r="F604" s="2">
        <v>45707</v>
      </c>
      <c r="G604" t="s">
        <v>117</v>
      </c>
      <c r="H604" t="s">
        <v>113</v>
      </c>
      <c r="I604" t="s">
        <v>45</v>
      </c>
      <c r="K604" t="s">
        <v>72</v>
      </c>
      <c r="L604">
        <v>100467.32</v>
      </c>
      <c r="M604">
        <v>78201.66</v>
      </c>
      <c r="N604" t="s">
        <v>73</v>
      </c>
      <c r="O604">
        <v>9</v>
      </c>
      <c r="P604">
        <v>84</v>
      </c>
      <c r="R604">
        <v>138</v>
      </c>
      <c r="S604">
        <v>177.8</v>
      </c>
      <c r="U604" s="3"/>
      <c r="V604" s="3"/>
      <c r="W604" s="3"/>
    </row>
    <row r="605" spans="1:23">
      <c r="A605" t="s">
        <v>1579</v>
      </c>
      <c r="B605" t="s">
        <v>1580</v>
      </c>
      <c r="C605" t="s">
        <v>100</v>
      </c>
      <c r="D605" s="2">
        <v>34538</v>
      </c>
      <c r="E605" s="2">
        <v>45018</v>
      </c>
      <c r="F605" s="2">
        <v>45030</v>
      </c>
      <c r="G605" t="s">
        <v>411</v>
      </c>
      <c r="H605" t="s">
        <v>52</v>
      </c>
      <c r="I605" t="s">
        <v>79</v>
      </c>
      <c r="J605" t="s">
        <v>179</v>
      </c>
      <c r="K605" t="s">
        <v>55</v>
      </c>
      <c r="L605">
        <v>58699.63</v>
      </c>
      <c r="M605">
        <v>45504.58</v>
      </c>
      <c r="N605" t="s">
        <v>91</v>
      </c>
      <c r="O605">
        <v>12</v>
      </c>
      <c r="P605">
        <v>202</v>
      </c>
      <c r="T605" t="s">
        <v>65</v>
      </c>
      <c r="U605" s="3"/>
      <c r="V605" s="3"/>
      <c r="W605" s="3"/>
    </row>
    <row r="606" spans="1:23">
      <c r="A606" t="s">
        <v>1581</v>
      </c>
      <c r="B606" t="s">
        <v>116</v>
      </c>
      <c r="C606" t="s">
        <v>60</v>
      </c>
      <c r="D606" s="2">
        <v>25465</v>
      </c>
      <c r="E606" s="2">
        <v>45439</v>
      </c>
      <c r="G606" t="s">
        <v>43</v>
      </c>
      <c r="H606" t="s">
        <v>134</v>
      </c>
      <c r="I606" t="s">
        <v>96</v>
      </c>
      <c r="J606" t="s">
        <v>64</v>
      </c>
      <c r="K606" t="s">
        <v>72</v>
      </c>
      <c r="L606">
        <v>154314.14000000001</v>
      </c>
      <c r="M606">
        <v>124498.87</v>
      </c>
      <c r="N606" t="s">
        <v>56</v>
      </c>
      <c r="O606">
        <v>6</v>
      </c>
      <c r="P606">
        <v>17</v>
      </c>
      <c r="Q606">
        <v>5</v>
      </c>
      <c r="R606">
        <v>145</v>
      </c>
      <c r="S606">
        <v>119.8</v>
      </c>
      <c r="T606" t="s">
        <v>37</v>
      </c>
      <c r="U606" s="3"/>
      <c r="V606" s="3"/>
      <c r="W606" s="3"/>
    </row>
    <row r="607" spans="1:23">
      <c r="A607" t="s">
        <v>1582</v>
      </c>
      <c r="B607" t="s">
        <v>136</v>
      </c>
      <c r="C607" t="s">
        <v>84</v>
      </c>
      <c r="D607" s="2">
        <v>37165</v>
      </c>
      <c r="E607" s="2">
        <v>45797</v>
      </c>
      <c r="F607" s="2">
        <v>45802</v>
      </c>
      <c r="G607" t="s">
        <v>70</v>
      </c>
      <c r="H607" t="s">
        <v>63</v>
      </c>
      <c r="I607" t="s">
        <v>96</v>
      </c>
      <c r="J607" t="s">
        <v>34</v>
      </c>
      <c r="K607" t="s">
        <v>55</v>
      </c>
      <c r="M607">
        <v>209696.12</v>
      </c>
      <c r="N607" t="s">
        <v>73</v>
      </c>
      <c r="O607">
        <v>5</v>
      </c>
      <c r="P607">
        <v>52</v>
      </c>
      <c r="Q607">
        <v>4</v>
      </c>
      <c r="R607">
        <v>133</v>
      </c>
      <c r="S607">
        <v>203.1</v>
      </c>
      <c r="T607" t="s">
        <v>37</v>
      </c>
      <c r="U607" s="3"/>
      <c r="V607" s="3"/>
      <c r="W607" s="3"/>
    </row>
    <row r="608" spans="1:23">
      <c r="A608" t="s">
        <v>1583</v>
      </c>
      <c r="B608" t="s">
        <v>563</v>
      </c>
      <c r="C608" t="s">
        <v>60</v>
      </c>
      <c r="D608" s="2">
        <v>36021</v>
      </c>
      <c r="E608" s="2">
        <v>45906</v>
      </c>
      <c r="F608" s="2">
        <v>45922</v>
      </c>
      <c r="G608" t="s">
        <v>62</v>
      </c>
      <c r="H608" t="s">
        <v>78</v>
      </c>
      <c r="I608" t="s">
        <v>119</v>
      </c>
      <c r="K608" t="s">
        <v>161</v>
      </c>
      <c r="L608">
        <v>19164.740000000002</v>
      </c>
      <c r="M608">
        <v>14011.28</v>
      </c>
      <c r="N608" t="s">
        <v>73</v>
      </c>
      <c r="O608">
        <v>16</v>
      </c>
      <c r="Q608">
        <v>5</v>
      </c>
      <c r="R608">
        <v>180</v>
      </c>
      <c r="S608">
        <v>256.89999999999998</v>
      </c>
      <c r="T608" t="s">
        <v>37</v>
      </c>
      <c r="U608" s="3"/>
      <c r="V608" s="3"/>
      <c r="W608" s="3"/>
    </row>
    <row r="609" spans="1:23">
      <c r="A609" t="s">
        <v>1584</v>
      </c>
      <c r="B609" t="s">
        <v>1153</v>
      </c>
      <c r="C609" t="s">
        <v>206</v>
      </c>
      <c r="D609" t="s">
        <v>1585</v>
      </c>
      <c r="E609" s="2">
        <v>45089</v>
      </c>
      <c r="F609" s="2">
        <v>45095</v>
      </c>
      <c r="G609" t="s">
        <v>105</v>
      </c>
      <c r="H609" t="s">
        <v>32</v>
      </c>
      <c r="I609" t="s">
        <v>25</v>
      </c>
      <c r="J609" t="s">
        <v>71</v>
      </c>
      <c r="K609" t="s">
        <v>120</v>
      </c>
      <c r="L609">
        <v>112913.55</v>
      </c>
      <c r="M609">
        <v>78946.89</v>
      </c>
      <c r="N609" t="s">
        <v>192</v>
      </c>
      <c r="O609">
        <v>6</v>
      </c>
      <c r="P609">
        <v>72</v>
      </c>
      <c r="Q609">
        <v>3</v>
      </c>
      <c r="R609">
        <v>171</v>
      </c>
      <c r="S609">
        <v>224.3</v>
      </c>
      <c r="T609" t="s">
        <v>37</v>
      </c>
      <c r="U609" s="3"/>
      <c r="V609" s="3"/>
      <c r="W609" s="3"/>
    </row>
    <row r="610" spans="1:23">
      <c r="A610" t="s">
        <v>1586</v>
      </c>
      <c r="B610" t="s">
        <v>1587</v>
      </c>
      <c r="C610" t="s">
        <v>84</v>
      </c>
      <c r="D610" s="2">
        <v>19589</v>
      </c>
      <c r="E610" s="2">
        <v>45644</v>
      </c>
      <c r="F610" t="s">
        <v>1588</v>
      </c>
      <c r="G610" t="s">
        <v>109</v>
      </c>
      <c r="H610" t="s">
        <v>95</v>
      </c>
      <c r="I610" t="s">
        <v>53</v>
      </c>
      <c r="J610" t="s">
        <v>71</v>
      </c>
      <c r="K610" t="s">
        <v>161</v>
      </c>
      <c r="L610">
        <v>34159.379999999997</v>
      </c>
      <c r="M610">
        <v>25180.94</v>
      </c>
      <c r="N610" t="s">
        <v>73</v>
      </c>
      <c r="O610">
        <v>6</v>
      </c>
      <c r="P610">
        <v>197</v>
      </c>
      <c r="Q610">
        <v>4</v>
      </c>
      <c r="R610">
        <v>154</v>
      </c>
      <c r="S610">
        <v>131.6</v>
      </c>
      <c r="T610" t="s">
        <v>65</v>
      </c>
      <c r="U610" s="3"/>
      <c r="V610" s="3"/>
      <c r="W610" s="3"/>
    </row>
    <row r="611" spans="1:23">
      <c r="A611" t="s">
        <v>1589</v>
      </c>
      <c r="B611" t="s">
        <v>1590</v>
      </c>
      <c r="C611" t="s">
        <v>60</v>
      </c>
      <c r="D611" s="2">
        <v>40273</v>
      </c>
      <c r="E611" s="2">
        <v>45843</v>
      </c>
      <c r="F611" s="2">
        <v>45853</v>
      </c>
      <c r="G611" t="s">
        <v>117</v>
      </c>
      <c r="H611" t="s">
        <v>78</v>
      </c>
      <c r="K611" t="s">
        <v>110</v>
      </c>
      <c r="L611">
        <v>184026.36</v>
      </c>
      <c r="M611">
        <v>153703.42000000001</v>
      </c>
      <c r="N611" t="s">
        <v>56</v>
      </c>
      <c r="O611">
        <v>10</v>
      </c>
      <c r="P611">
        <v>235</v>
      </c>
      <c r="Q611">
        <v>4</v>
      </c>
      <c r="R611" t="s">
        <v>1291</v>
      </c>
      <c r="S611">
        <v>109.2</v>
      </c>
      <c r="U611" s="3"/>
      <c r="V611" s="3"/>
      <c r="W611" s="3"/>
    </row>
    <row r="612" spans="1:23">
      <c r="A612" t="s">
        <v>1591</v>
      </c>
      <c r="B612" t="s">
        <v>88</v>
      </c>
      <c r="C612" t="s">
        <v>40</v>
      </c>
      <c r="D612" s="2">
        <v>32332</v>
      </c>
      <c r="E612" t="s">
        <v>1592</v>
      </c>
      <c r="F612" t="s">
        <v>1593</v>
      </c>
      <c r="G612" t="s">
        <v>141</v>
      </c>
      <c r="H612" t="s">
        <v>86</v>
      </c>
      <c r="J612" t="s">
        <v>34</v>
      </c>
      <c r="K612" t="s">
        <v>27</v>
      </c>
      <c r="L612">
        <v>153198</v>
      </c>
      <c r="M612">
        <v>122175.39</v>
      </c>
      <c r="N612" t="s">
        <v>73</v>
      </c>
      <c r="O612">
        <v>9</v>
      </c>
      <c r="P612">
        <v>144</v>
      </c>
      <c r="R612">
        <v>108</v>
      </c>
      <c r="S612">
        <v>120.7</v>
      </c>
      <c r="T612" t="s">
        <v>47</v>
      </c>
      <c r="U612" s="3"/>
      <c r="V612" s="3"/>
      <c r="W612" s="3"/>
    </row>
    <row r="613" spans="1:23">
      <c r="A613" t="s">
        <v>1594</v>
      </c>
      <c r="B613" t="s">
        <v>67</v>
      </c>
      <c r="C613" t="s">
        <v>22</v>
      </c>
      <c r="D613" s="2">
        <v>30009</v>
      </c>
      <c r="E613" t="s">
        <v>1595</v>
      </c>
      <c r="F613" t="s">
        <v>1596</v>
      </c>
      <c r="G613" t="s">
        <v>109</v>
      </c>
      <c r="H613" t="s">
        <v>44</v>
      </c>
      <c r="I613" t="s">
        <v>96</v>
      </c>
      <c r="J613" t="s">
        <v>46</v>
      </c>
      <c r="M613">
        <v>45752.56</v>
      </c>
      <c r="N613" t="s">
        <v>73</v>
      </c>
      <c r="O613">
        <v>12</v>
      </c>
      <c r="P613">
        <v>141</v>
      </c>
      <c r="Q613">
        <v>4</v>
      </c>
      <c r="R613">
        <v>158</v>
      </c>
      <c r="S613">
        <v>237</v>
      </c>
      <c r="U613" s="3"/>
      <c r="V613" s="3"/>
      <c r="W613" s="3"/>
    </row>
    <row r="614" spans="1:23">
      <c r="A614" t="s">
        <v>1597</v>
      </c>
      <c r="B614" t="s">
        <v>1598</v>
      </c>
      <c r="D614" s="2">
        <v>20897</v>
      </c>
      <c r="E614" s="2">
        <v>45861</v>
      </c>
      <c r="F614" s="2">
        <v>45878</v>
      </c>
      <c r="G614" t="s">
        <v>109</v>
      </c>
      <c r="I614" t="s">
        <v>79</v>
      </c>
      <c r="K614" t="s">
        <v>114</v>
      </c>
      <c r="L614">
        <v>143054.89000000001</v>
      </c>
      <c r="M614">
        <v>135419.91</v>
      </c>
      <c r="N614" t="s">
        <v>35</v>
      </c>
      <c r="O614">
        <v>17</v>
      </c>
      <c r="P614">
        <v>140</v>
      </c>
      <c r="R614">
        <v>189</v>
      </c>
      <c r="S614">
        <v>99.5</v>
      </c>
      <c r="U614" s="3"/>
      <c r="V614" s="3"/>
      <c r="W614" s="3"/>
    </row>
    <row r="615" spans="1:23">
      <c r="A615" t="s">
        <v>1599</v>
      </c>
      <c r="B615" t="s">
        <v>321</v>
      </c>
      <c r="C615" t="s">
        <v>40</v>
      </c>
      <c r="D615" s="2">
        <v>38706</v>
      </c>
      <c r="E615" s="2">
        <v>45707</v>
      </c>
      <c r="F615" s="2">
        <v>45716</v>
      </c>
      <c r="G615" t="s">
        <v>62</v>
      </c>
      <c r="H615" t="s">
        <v>86</v>
      </c>
      <c r="I615" t="s">
        <v>45</v>
      </c>
      <c r="K615" t="s">
        <v>55</v>
      </c>
      <c r="L615">
        <v>113758.79</v>
      </c>
      <c r="M615">
        <v>78900.34</v>
      </c>
      <c r="O615">
        <v>9</v>
      </c>
      <c r="P615">
        <v>150</v>
      </c>
      <c r="Q615">
        <v>2</v>
      </c>
      <c r="R615">
        <v>109</v>
      </c>
      <c r="S615">
        <v>255.4</v>
      </c>
      <c r="U615" s="3"/>
      <c r="V615" s="3"/>
      <c r="W615" s="3"/>
    </row>
    <row r="616" spans="1:23">
      <c r="A616" t="s">
        <v>1600</v>
      </c>
      <c r="B616" t="s">
        <v>438</v>
      </c>
      <c r="C616" t="s">
        <v>60</v>
      </c>
      <c r="D616" s="2">
        <v>20847</v>
      </c>
      <c r="E616" s="2">
        <v>45166</v>
      </c>
      <c r="F616" s="2">
        <v>45167</v>
      </c>
      <c r="G616" t="s">
        <v>62</v>
      </c>
      <c r="H616" t="s">
        <v>24</v>
      </c>
      <c r="I616" t="s">
        <v>25</v>
      </c>
      <c r="J616" t="s">
        <v>26</v>
      </c>
      <c r="K616" t="s">
        <v>55</v>
      </c>
      <c r="L616">
        <v>173687.08</v>
      </c>
      <c r="M616">
        <v>138337.09</v>
      </c>
      <c r="O616">
        <v>1</v>
      </c>
      <c r="P616">
        <v>102</v>
      </c>
      <c r="Q616">
        <v>2</v>
      </c>
      <c r="R616">
        <v>95</v>
      </c>
      <c r="S616">
        <v>242.9</v>
      </c>
      <c r="T616" t="s">
        <v>37</v>
      </c>
      <c r="U616" s="3"/>
      <c r="V616" s="3"/>
      <c r="W616" s="3"/>
    </row>
    <row r="617" spans="1:23">
      <c r="A617" t="s">
        <v>1601</v>
      </c>
      <c r="B617" t="s">
        <v>1108</v>
      </c>
      <c r="D617" s="2">
        <v>33349</v>
      </c>
      <c r="E617" s="2">
        <v>45101</v>
      </c>
      <c r="F617" t="s">
        <v>1602</v>
      </c>
      <c r="G617" t="s">
        <v>902</v>
      </c>
      <c r="I617" t="s">
        <v>96</v>
      </c>
      <c r="J617" t="s">
        <v>34</v>
      </c>
      <c r="K617" t="s">
        <v>120</v>
      </c>
      <c r="L617">
        <v>196302</v>
      </c>
      <c r="M617">
        <v>157671.51999999999</v>
      </c>
      <c r="N617" t="s">
        <v>73</v>
      </c>
      <c r="O617">
        <v>17</v>
      </c>
      <c r="P617">
        <v>54</v>
      </c>
      <c r="Q617">
        <v>5</v>
      </c>
      <c r="R617">
        <v>129</v>
      </c>
      <c r="S617">
        <v>147.6</v>
      </c>
      <c r="T617" t="s">
        <v>37</v>
      </c>
      <c r="U617" s="3"/>
      <c r="V617" s="3"/>
      <c r="W617" s="3"/>
    </row>
    <row r="618" spans="1:23">
      <c r="A618" t="s">
        <v>1603</v>
      </c>
      <c r="B618" t="s">
        <v>622</v>
      </c>
      <c r="D618" s="2">
        <v>27268</v>
      </c>
      <c r="E618" s="2">
        <v>45079</v>
      </c>
      <c r="G618" t="s">
        <v>31</v>
      </c>
      <c r="H618" t="s">
        <v>207</v>
      </c>
      <c r="I618" t="s">
        <v>79</v>
      </c>
      <c r="J618" t="s">
        <v>34</v>
      </c>
      <c r="K618" t="s">
        <v>72</v>
      </c>
      <c r="L618" t="s">
        <v>1604</v>
      </c>
      <c r="M618">
        <v>168872.21</v>
      </c>
      <c r="N618" t="s">
        <v>192</v>
      </c>
      <c r="O618">
        <v>11</v>
      </c>
      <c r="P618">
        <v>73</v>
      </c>
      <c r="Q618">
        <v>2</v>
      </c>
      <c r="R618">
        <v>99</v>
      </c>
      <c r="S618">
        <v>72.5</v>
      </c>
      <c r="U618" s="3"/>
      <c r="V618" s="3"/>
      <c r="W618" s="3"/>
    </row>
    <row r="619" spans="1:23">
      <c r="A619" t="s">
        <v>1605</v>
      </c>
      <c r="B619" t="s">
        <v>613</v>
      </c>
      <c r="D619" t="s">
        <v>1606</v>
      </c>
      <c r="E619" s="2">
        <v>45888</v>
      </c>
      <c r="F619" s="2">
        <v>45890</v>
      </c>
      <c r="G619" t="s">
        <v>152</v>
      </c>
      <c r="H619" t="s">
        <v>63</v>
      </c>
      <c r="I619" t="s">
        <v>45</v>
      </c>
      <c r="K619" t="s">
        <v>110</v>
      </c>
      <c r="L619">
        <v>106373.38</v>
      </c>
      <c r="M619">
        <v>83849.919999999998</v>
      </c>
      <c r="N619" t="s">
        <v>192</v>
      </c>
      <c r="O619">
        <v>2</v>
      </c>
      <c r="P619">
        <v>41</v>
      </c>
      <c r="Q619">
        <v>4</v>
      </c>
      <c r="R619">
        <v>158</v>
      </c>
      <c r="S619">
        <v>207.9</v>
      </c>
      <c r="T619" t="s">
        <v>37</v>
      </c>
      <c r="U619" s="3"/>
      <c r="V619" s="3"/>
      <c r="W619" s="3"/>
    </row>
    <row r="620" spans="1:23">
      <c r="A620" t="s">
        <v>1607</v>
      </c>
      <c r="B620" t="s">
        <v>825</v>
      </c>
      <c r="D620" t="s">
        <v>1608</v>
      </c>
      <c r="E620" s="2">
        <v>45686</v>
      </c>
      <c r="F620" t="s">
        <v>1609</v>
      </c>
      <c r="G620" t="s">
        <v>77</v>
      </c>
      <c r="H620" t="s">
        <v>106</v>
      </c>
      <c r="I620" t="s">
        <v>33</v>
      </c>
      <c r="K620" t="s">
        <v>55</v>
      </c>
      <c r="L620">
        <v>114981.49</v>
      </c>
      <c r="M620">
        <v>77228.639999999999</v>
      </c>
      <c r="N620" t="s">
        <v>192</v>
      </c>
      <c r="O620">
        <v>14</v>
      </c>
      <c r="P620">
        <v>157</v>
      </c>
      <c r="Q620">
        <v>4</v>
      </c>
      <c r="S620">
        <v>74.2</v>
      </c>
      <c r="T620" t="s">
        <v>37</v>
      </c>
      <c r="U620" s="3"/>
      <c r="V620" s="3"/>
      <c r="W620" s="3"/>
    </row>
    <row r="621" spans="1:23">
      <c r="A621" t="s">
        <v>1610</v>
      </c>
      <c r="B621" t="s">
        <v>332</v>
      </c>
      <c r="C621" t="s">
        <v>133</v>
      </c>
      <c r="D621" s="2">
        <v>36080</v>
      </c>
      <c r="E621" t="s">
        <v>1611</v>
      </c>
      <c r="F621" s="2">
        <v>45215</v>
      </c>
      <c r="G621" t="s">
        <v>501</v>
      </c>
      <c r="H621" t="s">
        <v>63</v>
      </c>
      <c r="I621" t="s">
        <v>119</v>
      </c>
      <c r="J621" t="s">
        <v>26</v>
      </c>
      <c r="K621" t="s">
        <v>120</v>
      </c>
      <c r="L621">
        <v>116491.23</v>
      </c>
      <c r="M621">
        <v>87120.81</v>
      </c>
      <c r="N621" t="s">
        <v>162</v>
      </c>
      <c r="O621">
        <v>3</v>
      </c>
      <c r="P621">
        <v>28</v>
      </c>
      <c r="Q621">
        <v>3</v>
      </c>
      <c r="R621">
        <v>152</v>
      </c>
      <c r="S621">
        <v>126.4</v>
      </c>
      <c r="T621" t="s">
        <v>37</v>
      </c>
      <c r="U621" s="3"/>
      <c r="V621" s="3"/>
      <c r="W621" s="3"/>
    </row>
    <row r="622" spans="1:23">
      <c r="A622" t="s">
        <v>1612</v>
      </c>
      <c r="B622" t="s">
        <v>871</v>
      </c>
      <c r="C622" t="s">
        <v>60</v>
      </c>
      <c r="D622" s="2">
        <v>32366</v>
      </c>
      <c r="E622" t="s">
        <v>1613</v>
      </c>
      <c r="F622" s="2">
        <v>45979</v>
      </c>
      <c r="G622" t="s">
        <v>70</v>
      </c>
      <c r="H622" t="s">
        <v>153</v>
      </c>
      <c r="I622" t="s">
        <v>96</v>
      </c>
      <c r="K622" t="s">
        <v>72</v>
      </c>
      <c r="L622" t="s">
        <v>1614</v>
      </c>
      <c r="M622">
        <v>50064.5</v>
      </c>
      <c r="N622" t="s">
        <v>35</v>
      </c>
      <c r="O622">
        <v>3</v>
      </c>
      <c r="P622">
        <v>146</v>
      </c>
      <c r="Q622">
        <v>5</v>
      </c>
      <c r="R622">
        <v>177</v>
      </c>
      <c r="T622" t="s">
        <v>37</v>
      </c>
      <c r="U622" s="3"/>
      <c r="V622" s="3"/>
      <c r="W622" s="3"/>
    </row>
    <row r="623" spans="1:23">
      <c r="A623" t="s">
        <v>1615</v>
      </c>
      <c r="B623" t="s">
        <v>1167</v>
      </c>
      <c r="C623" t="s">
        <v>307</v>
      </c>
      <c r="D623" s="2">
        <v>23722</v>
      </c>
      <c r="E623" s="2">
        <v>45766</v>
      </c>
      <c r="F623" s="2">
        <v>45775</v>
      </c>
      <c r="G623" t="s">
        <v>411</v>
      </c>
      <c r="H623" t="s">
        <v>124</v>
      </c>
      <c r="I623" t="s">
        <v>45</v>
      </c>
      <c r="J623" t="s">
        <v>97</v>
      </c>
      <c r="K623" t="s">
        <v>55</v>
      </c>
      <c r="L623">
        <v>71415.42</v>
      </c>
      <c r="M623">
        <v>67679.37</v>
      </c>
      <c r="N623" t="s">
        <v>794</v>
      </c>
      <c r="O623">
        <v>9</v>
      </c>
      <c r="P623">
        <v>133</v>
      </c>
      <c r="Q623">
        <v>3</v>
      </c>
      <c r="R623">
        <v>161</v>
      </c>
      <c r="S623">
        <v>186.1</v>
      </c>
      <c r="U623" s="3"/>
      <c r="V623" s="3"/>
      <c r="W623" s="3"/>
    </row>
    <row r="624" spans="1:23">
      <c r="A624" t="s">
        <v>1616</v>
      </c>
      <c r="B624" t="s">
        <v>363</v>
      </c>
      <c r="C624" t="s">
        <v>30</v>
      </c>
      <c r="D624" s="2">
        <v>40447</v>
      </c>
      <c r="E624" s="2">
        <v>45691</v>
      </c>
      <c r="F624" s="2">
        <v>45692</v>
      </c>
      <c r="G624" t="s">
        <v>152</v>
      </c>
      <c r="H624" t="s">
        <v>78</v>
      </c>
      <c r="I624" t="s">
        <v>119</v>
      </c>
      <c r="J624" t="s">
        <v>64</v>
      </c>
      <c r="K624" t="s">
        <v>120</v>
      </c>
      <c r="L624" t="s">
        <v>1617</v>
      </c>
      <c r="M624">
        <v>117311.64</v>
      </c>
      <c r="N624" t="s">
        <v>990</v>
      </c>
      <c r="O624">
        <v>1</v>
      </c>
      <c r="P624">
        <v>152</v>
      </c>
      <c r="Q624">
        <v>5</v>
      </c>
      <c r="R624">
        <v>90</v>
      </c>
      <c r="S624">
        <v>186</v>
      </c>
      <c r="T624" t="s">
        <v>37</v>
      </c>
      <c r="U624" s="3"/>
      <c r="V624" s="3"/>
      <c r="W624" s="3"/>
    </row>
    <row r="625" spans="1:23">
      <c r="A625" t="s">
        <v>1618</v>
      </c>
      <c r="B625" t="s">
        <v>624</v>
      </c>
      <c r="C625" t="s">
        <v>133</v>
      </c>
      <c r="D625" t="s">
        <v>1619</v>
      </c>
      <c r="E625" s="2">
        <v>45808</v>
      </c>
      <c r="F625" s="2">
        <v>45819</v>
      </c>
      <c r="G625" t="s">
        <v>152</v>
      </c>
      <c r="H625" t="s">
        <v>32</v>
      </c>
      <c r="I625" t="s">
        <v>96</v>
      </c>
      <c r="J625" t="s">
        <v>197</v>
      </c>
      <c r="L625">
        <v>219621</v>
      </c>
      <c r="M625">
        <v>184922.21</v>
      </c>
      <c r="N625" t="s">
        <v>192</v>
      </c>
      <c r="O625">
        <v>11</v>
      </c>
      <c r="P625">
        <v>148</v>
      </c>
      <c r="Q625">
        <v>5</v>
      </c>
      <c r="R625">
        <v>179</v>
      </c>
      <c r="S625">
        <v>125.7</v>
      </c>
      <c r="U625" s="3"/>
      <c r="V625" s="3"/>
      <c r="W625" s="3"/>
    </row>
    <row r="626" spans="1:23">
      <c r="A626" t="s">
        <v>1620</v>
      </c>
      <c r="B626" t="s">
        <v>155</v>
      </c>
      <c r="C626" t="s">
        <v>84</v>
      </c>
      <c r="D626" s="2">
        <v>39888</v>
      </c>
      <c r="E626" s="2">
        <v>45341</v>
      </c>
      <c r="F626" s="2">
        <v>45351</v>
      </c>
      <c r="G626" t="s">
        <v>161</v>
      </c>
      <c r="H626" t="s">
        <v>86</v>
      </c>
      <c r="I626" t="s">
        <v>33</v>
      </c>
      <c r="J626" t="s">
        <v>179</v>
      </c>
      <c r="K626" t="s">
        <v>120</v>
      </c>
      <c r="L626">
        <v>66309.69</v>
      </c>
      <c r="M626">
        <v>49474.9</v>
      </c>
      <c r="N626" t="s">
        <v>192</v>
      </c>
      <c r="O626">
        <v>10</v>
      </c>
      <c r="P626">
        <v>203</v>
      </c>
      <c r="R626">
        <v>174</v>
      </c>
      <c r="S626">
        <v>186</v>
      </c>
      <c r="T626" t="s">
        <v>47</v>
      </c>
      <c r="U626" s="3"/>
      <c r="V626" s="3"/>
      <c r="W626" s="3"/>
    </row>
    <row r="627" spans="1:23">
      <c r="A627" t="s">
        <v>1621</v>
      </c>
      <c r="B627" t="s">
        <v>1622</v>
      </c>
      <c r="C627" t="s">
        <v>396</v>
      </c>
      <c r="D627" s="2">
        <v>19568</v>
      </c>
      <c r="E627" t="s">
        <v>1623</v>
      </c>
      <c r="F627" s="2">
        <v>45504</v>
      </c>
      <c r="G627" t="s">
        <v>31</v>
      </c>
      <c r="H627" t="s">
        <v>134</v>
      </c>
      <c r="J627" t="s">
        <v>80</v>
      </c>
      <c r="K627" t="s">
        <v>110</v>
      </c>
      <c r="L627" t="s">
        <v>1624</v>
      </c>
      <c r="M627">
        <v>147644.32999999999</v>
      </c>
      <c r="N627" t="s">
        <v>56</v>
      </c>
      <c r="O627">
        <v>18</v>
      </c>
      <c r="P627">
        <v>69</v>
      </c>
      <c r="Q627">
        <v>5</v>
      </c>
      <c r="R627">
        <v>159</v>
      </c>
      <c r="S627">
        <v>165.6</v>
      </c>
      <c r="T627" t="s">
        <v>37</v>
      </c>
      <c r="U627" s="3"/>
      <c r="V627" s="3"/>
      <c r="W627" s="3"/>
    </row>
    <row r="628" spans="1:23">
      <c r="A628" t="s">
        <v>1625</v>
      </c>
      <c r="B628" t="s">
        <v>1001</v>
      </c>
      <c r="C628" t="s">
        <v>459</v>
      </c>
      <c r="D628" s="2">
        <v>37477</v>
      </c>
      <c r="E628" s="2">
        <v>45029</v>
      </c>
      <c r="F628" s="2">
        <v>45042</v>
      </c>
      <c r="G628" t="s">
        <v>117</v>
      </c>
      <c r="H628" t="s">
        <v>63</v>
      </c>
      <c r="I628" t="s">
        <v>119</v>
      </c>
      <c r="J628" t="s">
        <v>26</v>
      </c>
      <c r="K628" t="s">
        <v>72</v>
      </c>
      <c r="L628">
        <v>92644.96</v>
      </c>
      <c r="M628">
        <v>65819.14</v>
      </c>
      <c r="N628" t="s">
        <v>35</v>
      </c>
      <c r="O628">
        <v>13</v>
      </c>
      <c r="P628">
        <v>149</v>
      </c>
      <c r="Q628">
        <v>3</v>
      </c>
      <c r="R628">
        <v>183</v>
      </c>
      <c r="S628">
        <v>226.7</v>
      </c>
      <c r="T628" t="s">
        <v>37</v>
      </c>
      <c r="U628" s="3"/>
      <c r="V628" s="3"/>
      <c r="W628" s="3"/>
    </row>
    <row r="629" spans="1:23">
      <c r="A629" t="s">
        <v>1626</v>
      </c>
      <c r="B629" t="s">
        <v>1590</v>
      </c>
      <c r="C629" t="s">
        <v>206</v>
      </c>
      <c r="D629" t="s">
        <v>1627</v>
      </c>
      <c r="E629" s="2">
        <v>45121</v>
      </c>
      <c r="F629" s="2">
        <v>45122</v>
      </c>
      <c r="G629" t="s">
        <v>70</v>
      </c>
      <c r="H629" t="s">
        <v>538</v>
      </c>
      <c r="J629" t="s">
        <v>34</v>
      </c>
      <c r="K629" t="s">
        <v>72</v>
      </c>
      <c r="L629">
        <v>15860.89</v>
      </c>
      <c r="N629" t="s">
        <v>91</v>
      </c>
      <c r="O629">
        <v>1</v>
      </c>
      <c r="P629">
        <v>167</v>
      </c>
      <c r="Q629">
        <v>1</v>
      </c>
      <c r="R629">
        <v>141</v>
      </c>
      <c r="S629">
        <v>206.2</v>
      </c>
      <c r="T629" t="s">
        <v>65</v>
      </c>
      <c r="U629" s="3"/>
      <c r="V629" s="3"/>
      <c r="W629" s="3"/>
    </row>
    <row r="630" spans="1:23">
      <c r="A630" t="s">
        <v>1628</v>
      </c>
      <c r="B630" t="s">
        <v>1182</v>
      </c>
      <c r="D630" t="s">
        <v>1629</v>
      </c>
      <c r="E630" t="s">
        <v>1630</v>
      </c>
      <c r="F630" s="2">
        <v>45264</v>
      </c>
      <c r="G630" t="s">
        <v>31</v>
      </c>
      <c r="H630" t="s">
        <v>207</v>
      </c>
      <c r="I630" t="s">
        <v>33</v>
      </c>
      <c r="K630" t="s">
        <v>106</v>
      </c>
      <c r="L630">
        <v>29970.959999999999</v>
      </c>
      <c r="M630">
        <v>28737.57</v>
      </c>
      <c r="N630" t="s">
        <v>56</v>
      </c>
      <c r="O630">
        <v>14</v>
      </c>
      <c r="P630">
        <v>51</v>
      </c>
      <c r="Q630">
        <v>5</v>
      </c>
      <c r="R630">
        <v>173</v>
      </c>
      <c r="S630">
        <v>200.4</v>
      </c>
      <c r="T630" t="s">
        <v>37</v>
      </c>
      <c r="U630" s="3"/>
      <c r="V630" s="3"/>
      <c r="W630" s="3"/>
    </row>
    <row r="631" spans="1:23">
      <c r="A631" t="s">
        <v>1631</v>
      </c>
      <c r="B631" t="s">
        <v>234</v>
      </c>
      <c r="D631" s="2">
        <v>19533</v>
      </c>
      <c r="E631" s="2">
        <v>45676</v>
      </c>
      <c r="F631" s="2">
        <v>45677</v>
      </c>
      <c r="G631" t="s">
        <v>141</v>
      </c>
      <c r="H631" t="s">
        <v>278</v>
      </c>
      <c r="I631" t="s">
        <v>33</v>
      </c>
      <c r="J631" t="s">
        <v>179</v>
      </c>
      <c r="K631" t="s">
        <v>120</v>
      </c>
      <c r="L631">
        <v>4906.38</v>
      </c>
      <c r="M631">
        <v>3665.24</v>
      </c>
      <c r="N631" t="s">
        <v>91</v>
      </c>
      <c r="O631">
        <v>1</v>
      </c>
      <c r="P631">
        <v>178</v>
      </c>
      <c r="Q631">
        <v>4</v>
      </c>
      <c r="R631">
        <v>128</v>
      </c>
      <c r="S631">
        <v>216.8</v>
      </c>
      <c r="T631" t="s">
        <v>37</v>
      </c>
      <c r="U631" s="3"/>
      <c r="V631" s="3"/>
      <c r="W631" s="3"/>
    </row>
    <row r="632" spans="1:23">
      <c r="A632" t="s">
        <v>1632</v>
      </c>
      <c r="B632" t="s">
        <v>1633</v>
      </c>
      <c r="D632" s="2">
        <v>39486</v>
      </c>
      <c r="E632" s="2">
        <v>45616</v>
      </c>
      <c r="F632" s="2">
        <v>45622</v>
      </c>
      <c r="G632" t="s">
        <v>105</v>
      </c>
      <c r="H632" t="s">
        <v>63</v>
      </c>
      <c r="I632" t="s">
        <v>45</v>
      </c>
      <c r="J632" t="s">
        <v>46</v>
      </c>
      <c r="K632" t="s">
        <v>55</v>
      </c>
      <c r="L632" t="s">
        <v>1634</v>
      </c>
      <c r="M632">
        <v>128176.38</v>
      </c>
      <c r="O632">
        <v>6</v>
      </c>
      <c r="P632">
        <v>97</v>
      </c>
      <c r="Q632">
        <v>4</v>
      </c>
      <c r="R632">
        <v>99</v>
      </c>
      <c r="S632">
        <v>76.3</v>
      </c>
      <c r="T632" t="s">
        <v>37</v>
      </c>
      <c r="U632" s="3"/>
      <c r="V632" s="3"/>
      <c r="W632" s="3"/>
    </row>
    <row r="633" spans="1:23">
      <c r="A633" t="s">
        <v>1635</v>
      </c>
      <c r="B633" t="s">
        <v>321</v>
      </c>
      <c r="C633" t="s">
        <v>100</v>
      </c>
      <c r="D633" t="s">
        <v>1636</v>
      </c>
      <c r="E633" s="2">
        <v>45183</v>
      </c>
      <c r="F633" s="2">
        <v>45190</v>
      </c>
      <c r="G633" t="s">
        <v>117</v>
      </c>
      <c r="H633" t="s">
        <v>106</v>
      </c>
      <c r="I633" t="s">
        <v>96</v>
      </c>
      <c r="J633" t="s">
        <v>71</v>
      </c>
      <c r="K633" t="s">
        <v>401</v>
      </c>
      <c r="L633">
        <v>146310.66</v>
      </c>
      <c r="M633">
        <v>140248.48000000001</v>
      </c>
      <c r="N633" t="s">
        <v>192</v>
      </c>
      <c r="O633">
        <v>7</v>
      </c>
      <c r="P633">
        <v>10</v>
      </c>
      <c r="Q633">
        <v>1</v>
      </c>
      <c r="R633">
        <v>140</v>
      </c>
      <c r="S633">
        <v>163.19999999999999</v>
      </c>
      <c r="T633" t="s">
        <v>37</v>
      </c>
      <c r="U633" s="3"/>
      <c r="V633" s="3"/>
      <c r="W633" s="3"/>
    </row>
    <row r="634" spans="1:23">
      <c r="A634" t="s">
        <v>1637</v>
      </c>
      <c r="B634" t="s">
        <v>661</v>
      </c>
      <c r="C634" t="s">
        <v>40</v>
      </c>
      <c r="D634" t="s">
        <v>1638</v>
      </c>
      <c r="E634" s="2">
        <v>45303</v>
      </c>
      <c r="F634" s="2">
        <v>45305</v>
      </c>
      <c r="G634" t="s">
        <v>141</v>
      </c>
      <c r="H634" t="s">
        <v>118</v>
      </c>
      <c r="I634" t="s">
        <v>53</v>
      </c>
      <c r="J634" t="s">
        <v>80</v>
      </c>
      <c r="K634" t="s">
        <v>55</v>
      </c>
      <c r="L634">
        <v>197846.01</v>
      </c>
      <c r="M634">
        <v>158140.1</v>
      </c>
      <c r="N634" t="s">
        <v>35</v>
      </c>
      <c r="O634">
        <v>2</v>
      </c>
      <c r="P634">
        <v>29</v>
      </c>
      <c r="Q634">
        <v>2</v>
      </c>
      <c r="S634">
        <v>210.1</v>
      </c>
      <c r="T634" t="s">
        <v>81</v>
      </c>
      <c r="U634" s="3"/>
      <c r="V634" s="3"/>
      <c r="W634" s="3"/>
    </row>
    <row r="635" spans="1:23">
      <c r="A635" t="s">
        <v>1639</v>
      </c>
      <c r="B635" t="s">
        <v>29</v>
      </c>
      <c r="C635" t="s">
        <v>30</v>
      </c>
      <c r="D635" s="2">
        <v>27614</v>
      </c>
      <c r="E635" s="2">
        <v>45205</v>
      </c>
      <c r="F635" s="2">
        <v>45206</v>
      </c>
      <c r="G635" t="s">
        <v>141</v>
      </c>
      <c r="H635" t="s">
        <v>63</v>
      </c>
      <c r="J635" t="s">
        <v>46</v>
      </c>
      <c r="K635" t="s">
        <v>110</v>
      </c>
      <c r="L635">
        <v>189173.68</v>
      </c>
      <c r="M635">
        <v>147602.87</v>
      </c>
      <c r="N635" t="s">
        <v>990</v>
      </c>
      <c r="O635">
        <v>1</v>
      </c>
      <c r="P635" t="s">
        <v>1640</v>
      </c>
      <c r="R635">
        <v>131</v>
      </c>
      <c r="S635">
        <v>232.9</v>
      </c>
      <c r="T635" t="s">
        <v>47</v>
      </c>
      <c r="U635" s="3"/>
      <c r="V635" s="3"/>
      <c r="W635" s="3"/>
    </row>
    <row r="636" spans="1:23">
      <c r="A636" t="s">
        <v>1641</v>
      </c>
      <c r="B636" t="s">
        <v>1342</v>
      </c>
      <c r="C636" t="s">
        <v>60</v>
      </c>
      <c r="D636" s="2">
        <v>29018</v>
      </c>
      <c r="E636" t="s">
        <v>1642</v>
      </c>
      <c r="G636" t="s">
        <v>77</v>
      </c>
      <c r="H636" t="s">
        <v>32</v>
      </c>
      <c r="I636" t="s">
        <v>25</v>
      </c>
      <c r="K636" t="s">
        <v>110</v>
      </c>
      <c r="L636" t="s">
        <v>1643</v>
      </c>
      <c r="M636">
        <v>23514.3</v>
      </c>
      <c r="N636" t="s">
        <v>35</v>
      </c>
      <c r="O636">
        <v>6</v>
      </c>
      <c r="P636">
        <v>210</v>
      </c>
      <c r="Q636">
        <v>5</v>
      </c>
      <c r="R636" t="s">
        <v>1644</v>
      </c>
      <c r="S636">
        <v>112.9</v>
      </c>
      <c r="T636" t="s">
        <v>37</v>
      </c>
      <c r="U636" s="3"/>
      <c r="V636" s="3"/>
      <c r="W636" s="3"/>
    </row>
    <row r="637" spans="1:23">
      <c r="A637" t="s">
        <v>1645</v>
      </c>
      <c r="B637" t="s">
        <v>324</v>
      </c>
      <c r="D637" s="2">
        <v>39684</v>
      </c>
      <c r="E637" t="s">
        <v>1646</v>
      </c>
      <c r="F637" t="s">
        <v>1647</v>
      </c>
      <c r="G637" t="s">
        <v>43</v>
      </c>
      <c r="H637" t="s">
        <v>52</v>
      </c>
      <c r="I637" t="s">
        <v>33</v>
      </c>
      <c r="J637" t="s">
        <v>64</v>
      </c>
      <c r="L637">
        <v>110541.29</v>
      </c>
      <c r="M637">
        <v>80726.720000000001</v>
      </c>
      <c r="O637">
        <v>12</v>
      </c>
      <c r="P637">
        <v>145</v>
      </c>
      <c r="R637">
        <v>100</v>
      </c>
      <c r="S637">
        <v>208.8</v>
      </c>
      <c r="T637" t="s">
        <v>65</v>
      </c>
      <c r="U637" s="3"/>
      <c r="V637" s="3"/>
      <c r="W637" s="3"/>
    </row>
    <row r="638" spans="1:23">
      <c r="A638" t="s">
        <v>1648</v>
      </c>
      <c r="B638" t="s">
        <v>867</v>
      </c>
      <c r="D638" t="s">
        <v>1649</v>
      </c>
      <c r="E638" s="2">
        <v>45243</v>
      </c>
      <c r="F638" s="2">
        <v>45260</v>
      </c>
      <c r="G638" t="s">
        <v>77</v>
      </c>
      <c r="H638" t="s">
        <v>124</v>
      </c>
      <c r="I638" t="s">
        <v>96</v>
      </c>
      <c r="J638" t="s">
        <v>46</v>
      </c>
      <c r="K638" t="s">
        <v>110</v>
      </c>
      <c r="L638">
        <v>240457.62</v>
      </c>
      <c r="M638">
        <v>230808.01</v>
      </c>
      <c r="O638">
        <v>17</v>
      </c>
      <c r="P638">
        <v>173</v>
      </c>
      <c r="Q638">
        <v>2</v>
      </c>
      <c r="R638">
        <v>155</v>
      </c>
      <c r="S638">
        <v>96.2</v>
      </c>
      <c r="U638" s="3"/>
      <c r="V638" s="3"/>
      <c r="W638" s="3"/>
    </row>
    <row r="639" spans="1:23">
      <c r="A639" t="s">
        <v>1650</v>
      </c>
      <c r="B639" t="s">
        <v>104</v>
      </c>
      <c r="D639" s="2">
        <v>24608</v>
      </c>
      <c r="E639" s="2">
        <v>45497</v>
      </c>
      <c r="F639" s="2">
        <v>45504</v>
      </c>
      <c r="G639" t="s">
        <v>31</v>
      </c>
      <c r="H639" t="s">
        <v>106</v>
      </c>
      <c r="I639" t="s">
        <v>33</v>
      </c>
      <c r="J639" t="s">
        <v>26</v>
      </c>
      <c r="K639" t="s">
        <v>110</v>
      </c>
      <c r="L639">
        <v>106811.39</v>
      </c>
      <c r="M639">
        <v>93265.81</v>
      </c>
      <c r="N639" t="s">
        <v>35</v>
      </c>
      <c r="O639">
        <v>7</v>
      </c>
      <c r="P639">
        <v>186</v>
      </c>
      <c r="Q639">
        <v>4</v>
      </c>
      <c r="R639">
        <v>179</v>
      </c>
      <c r="S639">
        <v>71.900000000000006</v>
      </c>
      <c r="T639" t="s">
        <v>47</v>
      </c>
      <c r="U639" s="3"/>
      <c r="V639" s="3"/>
      <c r="W639" s="3"/>
    </row>
    <row r="640" spans="1:23">
      <c r="A640" t="s">
        <v>1651</v>
      </c>
      <c r="B640" t="s">
        <v>334</v>
      </c>
      <c r="C640" t="s">
        <v>151</v>
      </c>
      <c r="D640" s="2">
        <v>23916</v>
      </c>
      <c r="E640" s="2">
        <v>45324</v>
      </c>
      <c r="F640" t="s">
        <v>1652</v>
      </c>
      <c r="G640" t="s">
        <v>70</v>
      </c>
      <c r="H640" t="s">
        <v>124</v>
      </c>
      <c r="I640" t="s">
        <v>33</v>
      </c>
      <c r="J640" t="s">
        <v>34</v>
      </c>
      <c r="K640" t="s">
        <v>388</v>
      </c>
      <c r="L640">
        <v>85527.62</v>
      </c>
      <c r="M640">
        <v>70316.31</v>
      </c>
      <c r="N640" t="s">
        <v>73</v>
      </c>
      <c r="O640">
        <v>2</v>
      </c>
      <c r="P640">
        <v>106</v>
      </c>
      <c r="Q640">
        <v>4</v>
      </c>
      <c r="R640">
        <v>90</v>
      </c>
      <c r="S640">
        <v>199.6</v>
      </c>
      <c r="T640" t="s">
        <v>81</v>
      </c>
      <c r="U640" s="3"/>
      <c r="V640" s="3"/>
      <c r="W640" s="3"/>
    </row>
    <row r="641" spans="1:23">
      <c r="A641" t="s">
        <v>1653</v>
      </c>
      <c r="B641" t="s">
        <v>417</v>
      </c>
      <c r="C641" t="s">
        <v>40</v>
      </c>
      <c r="D641" s="2">
        <v>28091</v>
      </c>
      <c r="E641" t="s">
        <v>1654</v>
      </c>
      <c r="F641" s="2">
        <v>45094</v>
      </c>
      <c r="H641" t="s">
        <v>118</v>
      </c>
      <c r="I641" t="s">
        <v>25</v>
      </c>
      <c r="J641" t="s">
        <v>97</v>
      </c>
      <c r="K641" t="s">
        <v>120</v>
      </c>
      <c r="L641">
        <v>146554.97</v>
      </c>
      <c r="M641">
        <v>100962.57</v>
      </c>
      <c r="N641" t="s">
        <v>56</v>
      </c>
      <c r="O641">
        <v>16</v>
      </c>
      <c r="P641">
        <v>206</v>
      </c>
      <c r="Q641">
        <v>1</v>
      </c>
      <c r="R641">
        <v>123</v>
      </c>
      <c r="U641" s="3"/>
      <c r="V641" s="3"/>
      <c r="W641" s="3"/>
    </row>
    <row r="642" spans="1:23">
      <c r="A642" t="s">
        <v>1655</v>
      </c>
      <c r="B642" t="s">
        <v>442</v>
      </c>
      <c r="C642" t="s">
        <v>50</v>
      </c>
      <c r="D642" t="s">
        <v>1656</v>
      </c>
      <c r="E642" s="2">
        <v>45732</v>
      </c>
      <c r="F642" s="2">
        <v>45747</v>
      </c>
      <c r="G642" t="s">
        <v>152</v>
      </c>
      <c r="H642" t="s">
        <v>134</v>
      </c>
      <c r="I642" t="s">
        <v>45</v>
      </c>
      <c r="J642" t="s">
        <v>34</v>
      </c>
      <c r="K642" t="s">
        <v>161</v>
      </c>
      <c r="L642">
        <v>232640.73</v>
      </c>
      <c r="M642">
        <v>202652.96</v>
      </c>
      <c r="N642" t="s">
        <v>56</v>
      </c>
      <c r="O642">
        <v>15</v>
      </c>
      <c r="P642">
        <v>210</v>
      </c>
      <c r="Q642">
        <v>4</v>
      </c>
      <c r="R642">
        <v>136</v>
      </c>
      <c r="S642">
        <v>138.69999999999999</v>
      </c>
      <c r="T642" t="s">
        <v>65</v>
      </c>
      <c r="U642" s="3"/>
      <c r="V642" s="3"/>
      <c r="W642" s="3"/>
    </row>
    <row r="643" spans="1:23">
      <c r="A643" t="s">
        <v>1657</v>
      </c>
      <c r="B643" t="s">
        <v>1658</v>
      </c>
      <c r="C643" t="s">
        <v>22</v>
      </c>
      <c r="D643" s="2">
        <v>33524</v>
      </c>
      <c r="E643" s="2">
        <v>45269</v>
      </c>
      <c r="F643" t="s">
        <v>1659</v>
      </c>
      <c r="H643" t="s">
        <v>124</v>
      </c>
      <c r="I643" t="s">
        <v>79</v>
      </c>
      <c r="J643" t="s">
        <v>97</v>
      </c>
      <c r="K643" t="s">
        <v>72</v>
      </c>
      <c r="L643">
        <v>109875.37</v>
      </c>
      <c r="M643">
        <v>79828.62</v>
      </c>
      <c r="N643" t="s">
        <v>192</v>
      </c>
      <c r="O643">
        <v>15</v>
      </c>
      <c r="P643">
        <v>42</v>
      </c>
      <c r="Q643">
        <v>5</v>
      </c>
      <c r="R643">
        <v>117</v>
      </c>
      <c r="S643">
        <v>219.3</v>
      </c>
      <c r="U643" s="3"/>
      <c r="V643" s="3"/>
      <c r="W643" s="3"/>
    </row>
    <row r="644" spans="1:23">
      <c r="A644" t="s">
        <v>1660</v>
      </c>
      <c r="B644" t="s">
        <v>433</v>
      </c>
      <c r="D644" s="2">
        <v>20809</v>
      </c>
      <c r="E644" s="2">
        <v>45761</v>
      </c>
      <c r="F644" t="s">
        <v>1661</v>
      </c>
      <c r="G644" t="s">
        <v>31</v>
      </c>
      <c r="H644" t="s">
        <v>538</v>
      </c>
      <c r="I644" t="s">
        <v>33</v>
      </c>
      <c r="L644">
        <v>143796.17000000001</v>
      </c>
      <c r="M644">
        <v>106430.14</v>
      </c>
      <c r="N644" t="s">
        <v>56</v>
      </c>
      <c r="O644">
        <v>5</v>
      </c>
      <c r="P644">
        <v>56</v>
      </c>
      <c r="R644">
        <v>133</v>
      </c>
      <c r="S644">
        <v>222.9</v>
      </c>
      <c r="T644" t="s">
        <v>47</v>
      </c>
      <c r="U644" s="3"/>
      <c r="V644" s="3"/>
      <c r="W644" s="3"/>
    </row>
    <row r="645" spans="1:23">
      <c r="A645" t="s">
        <v>1662</v>
      </c>
      <c r="B645" t="s">
        <v>556</v>
      </c>
      <c r="C645" t="s">
        <v>40</v>
      </c>
      <c r="D645" s="2">
        <v>34878</v>
      </c>
      <c r="E645" s="2">
        <v>46010</v>
      </c>
      <c r="F645" s="2">
        <v>46026</v>
      </c>
      <c r="G645" t="s">
        <v>105</v>
      </c>
      <c r="H645" t="s">
        <v>153</v>
      </c>
      <c r="I645" t="s">
        <v>96</v>
      </c>
      <c r="J645" t="s">
        <v>204</v>
      </c>
      <c r="K645" t="s">
        <v>161</v>
      </c>
      <c r="L645">
        <v>216232.86</v>
      </c>
      <c r="M645">
        <v>150185.20000000001</v>
      </c>
      <c r="N645" t="s">
        <v>192</v>
      </c>
      <c r="O645">
        <v>16</v>
      </c>
      <c r="P645">
        <v>181</v>
      </c>
      <c r="Q645">
        <v>5</v>
      </c>
      <c r="R645">
        <v>153</v>
      </c>
      <c r="S645">
        <v>132.9</v>
      </c>
      <c r="T645" t="s">
        <v>37</v>
      </c>
      <c r="U645" s="3"/>
      <c r="V645" s="3"/>
      <c r="W645" s="3"/>
    </row>
    <row r="646" spans="1:23">
      <c r="A646" t="s">
        <v>1663</v>
      </c>
      <c r="B646" t="s">
        <v>1664</v>
      </c>
      <c r="C646" t="s">
        <v>30</v>
      </c>
      <c r="D646" t="s">
        <v>1665</v>
      </c>
      <c r="E646" s="2">
        <v>45956</v>
      </c>
      <c r="F646" s="2">
        <v>45969</v>
      </c>
      <c r="G646" t="s">
        <v>161</v>
      </c>
      <c r="H646" t="s">
        <v>134</v>
      </c>
      <c r="I646" t="s">
        <v>45</v>
      </c>
      <c r="J646" t="s">
        <v>71</v>
      </c>
      <c r="K646" t="s">
        <v>161</v>
      </c>
      <c r="L646">
        <v>33802.11</v>
      </c>
      <c r="M646">
        <v>27142.33</v>
      </c>
      <c r="N646" t="s">
        <v>73</v>
      </c>
      <c r="O646">
        <v>13</v>
      </c>
      <c r="P646">
        <v>99</v>
      </c>
      <c r="Q646">
        <v>1</v>
      </c>
      <c r="R646">
        <v>158</v>
      </c>
      <c r="S646">
        <v>202.6</v>
      </c>
      <c r="T646" t="s">
        <v>37</v>
      </c>
      <c r="U646" s="3"/>
      <c r="V646" s="3"/>
      <c r="W646" s="3"/>
    </row>
    <row r="647" spans="1:23">
      <c r="A647" t="s">
        <v>1666</v>
      </c>
      <c r="B647" t="s">
        <v>1667</v>
      </c>
      <c r="C647" t="s">
        <v>40</v>
      </c>
      <c r="D647" s="2">
        <v>38078</v>
      </c>
      <c r="E647" s="2">
        <v>45855</v>
      </c>
      <c r="F647" s="2">
        <v>45864</v>
      </c>
      <c r="G647" t="s">
        <v>105</v>
      </c>
      <c r="H647" t="s">
        <v>78</v>
      </c>
      <c r="I647" t="s">
        <v>33</v>
      </c>
      <c r="J647" t="s">
        <v>663</v>
      </c>
      <c r="K647" t="s">
        <v>27</v>
      </c>
      <c r="L647">
        <v>47444.18</v>
      </c>
      <c r="M647">
        <v>46492.33</v>
      </c>
      <c r="N647" t="s">
        <v>91</v>
      </c>
      <c r="O647">
        <v>9</v>
      </c>
      <c r="P647">
        <v>78</v>
      </c>
      <c r="Q647">
        <v>1</v>
      </c>
      <c r="R647">
        <v>175</v>
      </c>
      <c r="S647">
        <v>251.2</v>
      </c>
      <c r="U647" s="3"/>
      <c r="V647" s="3"/>
      <c r="W647" s="3"/>
    </row>
    <row r="648" spans="1:23">
      <c r="A648" t="s">
        <v>1668</v>
      </c>
      <c r="B648" t="s">
        <v>756</v>
      </c>
      <c r="C648" t="s">
        <v>206</v>
      </c>
      <c r="D648" s="2">
        <v>23429</v>
      </c>
      <c r="E648" s="2">
        <v>44964</v>
      </c>
      <c r="F648" s="2">
        <v>44965</v>
      </c>
      <c r="G648" t="s">
        <v>141</v>
      </c>
      <c r="H648" t="s">
        <v>153</v>
      </c>
      <c r="I648" t="s">
        <v>33</v>
      </c>
      <c r="J648" t="s">
        <v>34</v>
      </c>
      <c r="K648" t="s">
        <v>120</v>
      </c>
      <c r="L648">
        <v>235186.3</v>
      </c>
      <c r="M648">
        <v>229524.37</v>
      </c>
      <c r="O648">
        <v>1</v>
      </c>
      <c r="P648">
        <v>41</v>
      </c>
      <c r="Q648">
        <v>2</v>
      </c>
      <c r="R648">
        <v>100</v>
      </c>
      <c r="S648">
        <v>140</v>
      </c>
      <c r="T648" t="s">
        <v>37</v>
      </c>
      <c r="U648" s="3"/>
      <c r="V648" s="3"/>
      <c r="W648" s="3"/>
    </row>
    <row r="649" spans="1:23">
      <c r="A649" t="s">
        <v>1669</v>
      </c>
      <c r="B649" t="s">
        <v>1438</v>
      </c>
      <c r="C649" t="s">
        <v>459</v>
      </c>
      <c r="D649" s="2">
        <v>24255</v>
      </c>
      <c r="E649" s="2">
        <v>45947</v>
      </c>
      <c r="F649" s="2">
        <v>45949</v>
      </c>
      <c r="G649" t="s">
        <v>94</v>
      </c>
      <c r="H649" t="s">
        <v>113</v>
      </c>
      <c r="I649" t="s">
        <v>53</v>
      </c>
      <c r="J649" t="s">
        <v>179</v>
      </c>
      <c r="K649" t="s">
        <v>110</v>
      </c>
      <c r="L649">
        <v>173646.49</v>
      </c>
      <c r="M649">
        <v>154899.67000000001</v>
      </c>
      <c r="O649">
        <v>2</v>
      </c>
      <c r="P649">
        <v>229</v>
      </c>
      <c r="Q649">
        <v>3</v>
      </c>
      <c r="R649">
        <v>118</v>
      </c>
      <c r="S649">
        <v>241.9</v>
      </c>
      <c r="T649" t="s">
        <v>37</v>
      </c>
      <c r="U649" s="3"/>
      <c r="V649" s="3"/>
      <c r="W649" s="3"/>
    </row>
    <row r="650" spans="1:23">
      <c r="A650" t="s">
        <v>1670</v>
      </c>
      <c r="B650" t="s">
        <v>1026</v>
      </c>
      <c r="C650" t="s">
        <v>60</v>
      </c>
      <c r="D650" s="2">
        <v>37486</v>
      </c>
      <c r="E650" s="2">
        <v>45055</v>
      </c>
      <c r="F650" t="s">
        <v>1671</v>
      </c>
      <c r="G650" t="s">
        <v>105</v>
      </c>
      <c r="H650" t="s">
        <v>63</v>
      </c>
      <c r="I650" t="s">
        <v>25</v>
      </c>
      <c r="J650" t="s">
        <v>166</v>
      </c>
      <c r="K650" t="s">
        <v>72</v>
      </c>
      <c r="L650">
        <v>8766.02</v>
      </c>
      <c r="M650">
        <v>7408.63</v>
      </c>
      <c r="N650" t="s">
        <v>192</v>
      </c>
      <c r="O650">
        <v>1</v>
      </c>
      <c r="P650">
        <v>179</v>
      </c>
      <c r="Q650">
        <v>3</v>
      </c>
      <c r="R650">
        <v>183</v>
      </c>
      <c r="S650">
        <v>94.3</v>
      </c>
      <c r="T650" t="s">
        <v>65</v>
      </c>
      <c r="U650" s="3"/>
      <c r="V650" s="3"/>
      <c r="W650" s="3"/>
    </row>
    <row r="651" spans="1:23">
      <c r="A651" t="s">
        <v>1672</v>
      </c>
      <c r="B651" t="s">
        <v>295</v>
      </c>
      <c r="C651" t="s">
        <v>30</v>
      </c>
      <c r="D651" s="2">
        <v>30643</v>
      </c>
      <c r="E651" s="2">
        <v>45104</v>
      </c>
      <c r="F651" s="2">
        <v>45120</v>
      </c>
      <c r="G651" t="s">
        <v>152</v>
      </c>
      <c r="H651" t="s">
        <v>86</v>
      </c>
      <c r="I651" t="s">
        <v>33</v>
      </c>
      <c r="J651" t="s">
        <v>80</v>
      </c>
      <c r="K651" t="s">
        <v>110</v>
      </c>
      <c r="L651">
        <v>96075.66</v>
      </c>
      <c r="M651">
        <v>77371.59</v>
      </c>
      <c r="N651" t="s">
        <v>35</v>
      </c>
      <c r="O651" t="s">
        <v>1673</v>
      </c>
      <c r="P651">
        <v>44</v>
      </c>
      <c r="R651">
        <v>189</v>
      </c>
      <c r="S651">
        <v>144.19999999999999</v>
      </c>
      <c r="T651" t="s">
        <v>106</v>
      </c>
      <c r="U651" s="3"/>
      <c r="V651" s="3"/>
      <c r="W651" s="3"/>
    </row>
    <row r="652" spans="1:23">
      <c r="A652" t="s">
        <v>1674</v>
      </c>
      <c r="B652" t="s">
        <v>1675</v>
      </c>
      <c r="C652" t="s">
        <v>100</v>
      </c>
      <c r="D652" s="2">
        <v>21614</v>
      </c>
      <c r="E652" s="2">
        <v>45833</v>
      </c>
      <c r="F652" t="s">
        <v>1676</v>
      </c>
      <c r="G652" t="s">
        <v>94</v>
      </c>
      <c r="H652" t="s">
        <v>95</v>
      </c>
      <c r="I652" t="s">
        <v>53</v>
      </c>
      <c r="J652" t="s">
        <v>179</v>
      </c>
      <c r="K652" t="s">
        <v>55</v>
      </c>
      <c r="L652">
        <v>73614.03</v>
      </c>
      <c r="M652">
        <v>63454.49</v>
      </c>
      <c r="N652" t="s">
        <v>91</v>
      </c>
      <c r="O652">
        <v>8</v>
      </c>
      <c r="P652">
        <v>217</v>
      </c>
      <c r="Q652">
        <v>4</v>
      </c>
      <c r="R652">
        <v>190</v>
      </c>
      <c r="S652">
        <v>137.30000000000001</v>
      </c>
      <c r="T652" t="s">
        <v>47</v>
      </c>
      <c r="U652" s="3"/>
      <c r="V652" s="3"/>
      <c r="W652" s="3"/>
    </row>
    <row r="653" spans="1:23">
      <c r="A653" t="s">
        <v>1677</v>
      </c>
      <c r="B653" t="s">
        <v>1678</v>
      </c>
      <c r="C653" t="s">
        <v>40</v>
      </c>
      <c r="D653" t="s">
        <v>1679</v>
      </c>
      <c r="E653" s="2">
        <v>45251</v>
      </c>
      <c r="F653" s="2">
        <v>45258</v>
      </c>
      <c r="G653" t="s">
        <v>161</v>
      </c>
      <c r="H653" t="s">
        <v>24</v>
      </c>
      <c r="J653" t="s">
        <v>26</v>
      </c>
      <c r="K653" t="s">
        <v>120</v>
      </c>
      <c r="L653">
        <v>41102.800000000003</v>
      </c>
      <c r="M653">
        <v>33139.800000000003</v>
      </c>
      <c r="N653" t="s">
        <v>192</v>
      </c>
      <c r="O653">
        <v>7</v>
      </c>
      <c r="P653">
        <v>221</v>
      </c>
      <c r="R653">
        <v>118</v>
      </c>
      <c r="S653">
        <v>239.7</v>
      </c>
      <c r="T653" t="s">
        <v>37</v>
      </c>
      <c r="U653" s="3"/>
      <c r="V653" s="3"/>
      <c r="W653" s="3"/>
    </row>
    <row r="654" spans="1:23">
      <c r="A654" t="s">
        <v>1680</v>
      </c>
      <c r="B654" t="s">
        <v>311</v>
      </c>
      <c r="C654" t="s">
        <v>206</v>
      </c>
      <c r="D654" s="2">
        <v>35920</v>
      </c>
      <c r="E654" s="2">
        <v>45224</v>
      </c>
      <c r="F654" s="2">
        <v>45231</v>
      </c>
      <c r="G654" t="s">
        <v>94</v>
      </c>
      <c r="H654" t="s">
        <v>153</v>
      </c>
      <c r="I654" t="s">
        <v>53</v>
      </c>
      <c r="J654" t="s">
        <v>97</v>
      </c>
      <c r="K654" t="s">
        <v>72</v>
      </c>
      <c r="L654">
        <v>238190.3</v>
      </c>
      <c r="M654">
        <v>172600.16</v>
      </c>
      <c r="N654" t="s">
        <v>192</v>
      </c>
      <c r="O654">
        <v>7</v>
      </c>
      <c r="P654">
        <v>167</v>
      </c>
      <c r="Q654">
        <v>2</v>
      </c>
      <c r="R654">
        <v>186</v>
      </c>
      <c r="S654">
        <v>185.4</v>
      </c>
      <c r="T654" t="s">
        <v>65</v>
      </c>
      <c r="U654" s="3"/>
      <c r="V654" s="3"/>
      <c r="W654" s="3"/>
    </row>
    <row r="655" spans="1:23">
      <c r="A655" t="s">
        <v>1681</v>
      </c>
      <c r="B655" t="s">
        <v>909</v>
      </c>
      <c r="C655" t="s">
        <v>133</v>
      </c>
      <c r="D655" s="2">
        <v>27115</v>
      </c>
      <c r="E655" s="2">
        <v>45618</v>
      </c>
      <c r="F655" t="s">
        <v>1682</v>
      </c>
      <c r="G655" t="s">
        <v>152</v>
      </c>
      <c r="H655" t="s">
        <v>134</v>
      </c>
      <c r="I655" t="s">
        <v>45</v>
      </c>
      <c r="J655" t="s">
        <v>34</v>
      </c>
      <c r="K655" t="s">
        <v>161</v>
      </c>
      <c r="L655">
        <v>216462.07999999999</v>
      </c>
      <c r="M655">
        <v>155852.85999999999</v>
      </c>
      <c r="O655">
        <v>7</v>
      </c>
      <c r="P655">
        <v>170</v>
      </c>
      <c r="Q655">
        <v>2</v>
      </c>
      <c r="R655">
        <v>158</v>
      </c>
      <c r="S655">
        <v>80.5</v>
      </c>
      <c r="T655" t="s">
        <v>37</v>
      </c>
      <c r="U655" s="3"/>
      <c r="V655" s="3"/>
      <c r="W655" s="3"/>
    </row>
    <row r="656" spans="1:23">
      <c r="A656" t="s">
        <v>1683</v>
      </c>
      <c r="B656" t="s">
        <v>1342</v>
      </c>
      <c r="C656" t="s">
        <v>40</v>
      </c>
      <c r="D656" s="2">
        <v>23564</v>
      </c>
      <c r="E656" s="2">
        <v>45748</v>
      </c>
      <c r="F656" t="s">
        <v>1684</v>
      </c>
      <c r="G656" t="s">
        <v>109</v>
      </c>
      <c r="H656" t="s">
        <v>113</v>
      </c>
      <c r="I656" t="s">
        <v>79</v>
      </c>
      <c r="J656" t="s">
        <v>80</v>
      </c>
      <c r="K656" t="s">
        <v>55</v>
      </c>
      <c r="L656">
        <v>143800.37</v>
      </c>
      <c r="M656">
        <v>102925.01</v>
      </c>
      <c r="O656">
        <v>2</v>
      </c>
      <c r="P656">
        <v>98</v>
      </c>
      <c r="Q656">
        <v>4</v>
      </c>
      <c r="R656">
        <v>98</v>
      </c>
      <c r="S656">
        <v>129.6</v>
      </c>
      <c r="T656" t="s">
        <v>65</v>
      </c>
      <c r="U656" s="3"/>
      <c r="V656" s="3"/>
      <c r="W656" s="3"/>
    </row>
    <row r="657" spans="1:23">
      <c r="A657" t="s">
        <v>1685</v>
      </c>
      <c r="B657" t="s">
        <v>155</v>
      </c>
      <c r="C657" t="s">
        <v>50</v>
      </c>
      <c r="D657" t="s">
        <v>1686</v>
      </c>
      <c r="E657" t="s">
        <v>1687</v>
      </c>
      <c r="F657" s="2">
        <v>44964</v>
      </c>
      <c r="G657" t="s">
        <v>23</v>
      </c>
      <c r="I657" t="s">
        <v>45</v>
      </c>
      <c r="K657" t="s">
        <v>286</v>
      </c>
      <c r="L657">
        <v>81957.539999999994</v>
      </c>
      <c r="M657">
        <v>62623.41</v>
      </c>
      <c r="N657" t="s">
        <v>192</v>
      </c>
      <c r="O657">
        <v>3</v>
      </c>
      <c r="P657">
        <v>211</v>
      </c>
      <c r="Q657">
        <v>3</v>
      </c>
      <c r="R657">
        <v>97</v>
      </c>
      <c r="S657">
        <v>160.69999999999999</v>
      </c>
      <c r="T657" t="s">
        <v>37</v>
      </c>
      <c r="U657" s="3"/>
      <c r="V657" s="3"/>
      <c r="W657" s="3"/>
    </row>
    <row r="658" spans="1:23">
      <c r="A658" t="s">
        <v>1688</v>
      </c>
      <c r="B658" t="s">
        <v>806</v>
      </c>
      <c r="C658" t="s">
        <v>100</v>
      </c>
      <c r="D658" t="s">
        <v>1689</v>
      </c>
      <c r="E658" s="2">
        <v>45807</v>
      </c>
      <c r="F658" s="2">
        <v>45820</v>
      </c>
      <c r="G658" t="s">
        <v>117</v>
      </c>
      <c r="H658" t="s">
        <v>113</v>
      </c>
      <c r="J658" t="s">
        <v>34</v>
      </c>
      <c r="K658" t="s">
        <v>120</v>
      </c>
      <c r="L658">
        <v>11493.08</v>
      </c>
      <c r="M658">
        <v>8713.2800000000007</v>
      </c>
      <c r="N658" t="s">
        <v>1048</v>
      </c>
      <c r="O658">
        <v>13</v>
      </c>
      <c r="P658">
        <v>23</v>
      </c>
      <c r="Q658">
        <v>3</v>
      </c>
      <c r="R658">
        <v>144</v>
      </c>
      <c r="S658">
        <v>163.19999999999999</v>
      </c>
      <c r="T658" t="s">
        <v>37</v>
      </c>
      <c r="U658" s="3"/>
      <c r="V658" s="3"/>
      <c r="W658" s="3"/>
    </row>
    <row r="659" spans="1:23">
      <c r="A659" t="s">
        <v>1690</v>
      </c>
      <c r="B659" t="s">
        <v>1505</v>
      </c>
      <c r="D659" t="s">
        <v>1691</v>
      </c>
      <c r="E659" s="2">
        <v>45787</v>
      </c>
      <c r="F659" s="2">
        <v>45799</v>
      </c>
      <c r="G659" t="s">
        <v>141</v>
      </c>
      <c r="H659" t="s">
        <v>86</v>
      </c>
      <c r="I659" t="s">
        <v>96</v>
      </c>
      <c r="J659" t="s">
        <v>80</v>
      </c>
      <c r="K659" t="s">
        <v>110</v>
      </c>
      <c r="L659">
        <v>31033.81</v>
      </c>
      <c r="N659" t="s">
        <v>73</v>
      </c>
      <c r="O659">
        <v>12</v>
      </c>
      <c r="P659">
        <v>102</v>
      </c>
      <c r="Q659">
        <v>5</v>
      </c>
      <c r="R659">
        <v>129</v>
      </c>
      <c r="S659">
        <v>105.8</v>
      </c>
      <c r="T659" t="s">
        <v>37</v>
      </c>
      <c r="U659" s="3"/>
      <c r="V659" s="3"/>
      <c r="W659" s="3"/>
    </row>
    <row r="660" spans="1:23">
      <c r="A660" t="s">
        <v>1692</v>
      </c>
      <c r="B660" t="s">
        <v>99</v>
      </c>
      <c r="C660" t="s">
        <v>206</v>
      </c>
      <c r="D660" s="2">
        <v>37027</v>
      </c>
      <c r="E660" s="2">
        <v>44941</v>
      </c>
      <c r="G660" t="s">
        <v>43</v>
      </c>
      <c r="H660" t="s">
        <v>95</v>
      </c>
      <c r="J660" t="s">
        <v>34</v>
      </c>
      <c r="K660" t="s">
        <v>161</v>
      </c>
      <c r="L660">
        <v>78277.16</v>
      </c>
      <c r="M660">
        <v>63377.33</v>
      </c>
      <c r="O660">
        <v>2</v>
      </c>
      <c r="R660">
        <v>141</v>
      </c>
      <c r="S660">
        <v>126.6</v>
      </c>
      <c r="T660" t="s">
        <v>37</v>
      </c>
      <c r="U660" s="3"/>
      <c r="V660" s="3"/>
      <c r="W660" s="3"/>
    </row>
    <row r="661" spans="1:23">
      <c r="A661" t="s">
        <v>1693</v>
      </c>
      <c r="B661" t="s">
        <v>756</v>
      </c>
      <c r="C661" t="s">
        <v>50</v>
      </c>
      <c r="D661" s="2">
        <v>25910</v>
      </c>
      <c r="E661" s="2">
        <v>45890</v>
      </c>
      <c r="G661" t="s">
        <v>370</v>
      </c>
      <c r="H661" t="s">
        <v>134</v>
      </c>
      <c r="I661" t="s">
        <v>96</v>
      </c>
      <c r="K661" t="s">
        <v>110</v>
      </c>
      <c r="L661">
        <v>108089.60000000001</v>
      </c>
      <c r="M661">
        <v>106886.11</v>
      </c>
      <c r="N661" t="s">
        <v>73</v>
      </c>
      <c r="O661">
        <v>7</v>
      </c>
      <c r="Q661">
        <v>2</v>
      </c>
      <c r="R661">
        <v>104</v>
      </c>
      <c r="S661">
        <v>237.7</v>
      </c>
      <c r="T661" t="s">
        <v>57</v>
      </c>
      <c r="U661" s="3"/>
      <c r="V661" s="3"/>
      <c r="W661" s="3"/>
    </row>
    <row r="662" spans="1:23">
      <c r="A662" t="s">
        <v>1694</v>
      </c>
      <c r="B662" t="s">
        <v>799</v>
      </c>
      <c r="C662" t="s">
        <v>206</v>
      </c>
      <c r="D662" s="2">
        <v>28071</v>
      </c>
      <c r="E662" s="2">
        <v>45800</v>
      </c>
      <c r="F662" s="2">
        <v>45810</v>
      </c>
      <c r="G662" t="s">
        <v>161</v>
      </c>
      <c r="H662" t="s">
        <v>106</v>
      </c>
      <c r="I662" t="s">
        <v>119</v>
      </c>
      <c r="K662" t="s">
        <v>55</v>
      </c>
      <c r="L662">
        <v>74270.27</v>
      </c>
      <c r="M662">
        <v>59238.45</v>
      </c>
      <c r="N662" t="s">
        <v>192</v>
      </c>
      <c r="O662">
        <v>10</v>
      </c>
      <c r="P662" t="s">
        <v>1695</v>
      </c>
      <c r="Q662">
        <v>5</v>
      </c>
      <c r="R662">
        <v>168</v>
      </c>
      <c r="S662">
        <v>144.80000000000001</v>
      </c>
      <c r="T662" t="s">
        <v>65</v>
      </c>
      <c r="U662" s="3"/>
      <c r="V662" s="3"/>
      <c r="W662" s="3"/>
    </row>
    <row r="663" spans="1:23">
      <c r="A663" t="s">
        <v>1696</v>
      </c>
      <c r="B663" t="s">
        <v>99</v>
      </c>
      <c r="C663" t="s">
        <v>40</v>
      </c>
      <c r="D663" t="s">
        <v>1697</v>
      </c>
      <c r="E663" s="2">
        <v>45427</v>
      </c>
      <c r="F663" s="2">
        <v>45435</v>
      </c>
      <c r="H663" t="s">
        <v>44</v>
      </c>
      <c r="I663" t="s">
        <v>96</v>
      </c>
      <c r="K663" t="s">
        <v>110</v>
      </c>
      <c r="L663" t="s">
        <v>1698</v>
      </c>
      <c r="M663">
        <v>99545.47</v>
      </c>
      <c r="N663" t="s">
        <v>192</v>
      </c>
      <c r="O663">
        <v>8</v>
      </c>
      <c r="P663">
        <v>74</v>
      </c>
      <c r="Q663">
        <v>4</v>
      </c>
      <c r="R663">
        <v>123</v>
      </c>
      <c r="S663">
        <v>73.3</v>
      </c>
      <c r="U663" s="3"/>
      <c r="V663" s="3"/>
      <c r="W663" s="3"/>
    </row>
    <row r="664" spans="1:23">
      <c r="A664" t="s">
        <v>1699</v>
      </c>
      <c r="B664" t="s">
        <v>1700</v>
      </c>
      <c r="C664" t="s">
        <v>22</v>
      </c>
      <c r="D664" t="s">
        <v>1701</v>
      </c>
      <c r="E664" t="s">
        <v>1702</v>
      </c>
      <c r="F664" t="s">
        <v>1703</v>
      </c>
      <c r="G664" t="s">
        <v>70</v>
      </c>
      <c r="H664" t="s">
        <v>118</v>
      </c>
      <c r="J664" t="s">
        <v>97</v>
      </c>
      <c r="K664" t="s">
        <v>388</v>
      </c>
      <c r="L664">
        <v>17647.98</v>
      </c>
      <c r="M664">
        <v>12963.2</v>
      </c>
      <c r="N664" t="s">
        <v>73</v>
      </c>
      <c r="O664">
        <v>1</v>
      </c>
      <c r="P664">
        <v>127</v>
      </c>
      <c r="Q664">
        <v>1</v>
      </c>
      <c r="T664" t="s">
        <v>37</v>
      </c>
      <c r="U664" s="3"/>
      <c r="V664" s="3"/>
      <c r="W664" s="3"/>
    </row>
    <row r="665" spans="1:23">
      <c r="A665" t="s">
        <v>1704</v>
      </c>
      <c r="B665" t="s">
        <v>1302</v>
      </c>
      <c r="D665" s="2">
        <v>28258</v>
      </c>
      <c r="E665" s="2">
        <v>45058</v>
      </c>
      <c r="F665" s="2">
        <v>45063</v>
      </c>
      <c r="G665" t="s">
        <v>94</v>
      </c>
      <c r="H665" t="s">
        <v>118</v>
      </c>
      <c r="I665" t="s">
        <v>25</v>
      </c>
      <c r="J665" t="s">
        <v>179</v>
      </c>
      <c r="K665" t="s">
        <v>72</v>
      </c>
      <c r="L665">
        <v>37505.199999999997</v>
      </c>
      <c r="M665">
        <v>30680.51</v>
      </c>
      <c r="O665">
        <v>5</v>
      </c>
      <c r="P665">
        <v>32</v>
      </c>
      <c r="Q665">
        <v>3</v>
      </c>
      <c r="R665">
        <v>189</v>
      </c>
      <c r="S665">
        <v>91.8</v>
      </c>
      <c r="U665" s="3"/>
      <c r="V665" s="3"/>
      <c r="W665" s="3"/>
    </row>
    <row r="666" spans="1:23">
      <c r="A666" t="s">
        <v>1705</v>
      </c>
      <c r="B666" t="s">
        <v>1408</v>
      </c>
      <c r="C666" t="s">
        <v>40</v>
      </c>
      <c r="D666" s="2">
        <v>40106</v>
      </c>
      <c r="E666" t="s">
        <v>1706</v>
      </c>
      <c r="F666" s="2">
        <v>45377</v>
      </c>
      <c r="G666" t="s">
        <v>105</v>
      </c>
      <c r="H666" t="s">
        <v>95</v>
      </c>
      <c r="I666" t="s">
        <v>96</v>
      </c>
      <c r="J666" t="s">
        <v>80</v>
      </c>
      <c r="K666" t="s">
        <v>55</v>
      </c>
      <c r="L666">
        <v>66695.289999999994</v>
      </c>
      <c r="M666">
        <v>54621.08</v>
      </c>
      <c r="N666" t="s">
        <v>73</v>
      </c>
      <c r="O666">
        <v>3</v>
      </c>
      <c r="P666">
        <v>61</v>
      </c>
      <c r="Q666">
        <v>2</v>
      </c>
      <c r="R666">
        <v>99</v>
      </c>
      <c r="S666">
        <v>112.3</v>
      </c>
      <c r="T666" t="s">
        <v>37</v>
      </c>
      <c r="U666" s="3"/>
      <c r="V666" s="3"/>
      <c r="W666" s="3"/>
    </row>
    <row r="667" spans="1:23">
      <c r="A667" t="s">
        <v>1707</v>
      </c>
      <c r="B667" t="s">
        <v>1708</v>
      </c>
      <c r="C667" t="s">
        <v>60</v>
      </c>
      <c r="D667" s="2">
        <v>24295</v>
      </c>
      <c r="E667" s="2">
        <v>45147</v>
      </c>
      <c r="F667" s="2">
        <v>45148</v>
      </c>
      <c r="G667" t="s">
        <v>141</v>
      </c>
      <c r="H667" t="s">
        <v>32</v>
      </c>
      <c r="I667" t="s">
        <v>79</v>
      </c>
      <c r="J667" t="s">
        <v>64</v>
      </c>
      <c r="K667" t="s">
        <v>110</v>
      </c>
      <c r="L667">
        <v>186009.25</v>
      </c>
      <c r="M667">
        <v>148668.65</v>
      </c>
      <c r="N667" t="s">
        <v>73</v>
      </c>
      <c r="O667">
        <v>1</v>
      </c>
      <c r="P667">
        <v>106</v>
      </c>
      <c r="R667">
        <v>93</v>
      </c>
      <c r="S667">
        <v>76.2</v>
      </c>
      <c r="U667" s="3"/>
      <c r="V667" s="3"/>
      <c r="W667" s="3"/>
    </row>
    <row r="668" spans="1:23">
      <c r="A668" t="s">
        <v>1709</v>
      </c>
      <c r="B668" t="s">
        <v>806</v>
      </c>
      <c r="C668" t="s">
        <v>206</v>
      </c>
      <c r="D668" s="2">
        <v>24199</v>
      </c>
      <c r="E668" t="s">
        <v>1710</v>
      </c>
      <c r="F668" s="2">
        <v>45552</v>
      </c>
      <c r="G668" t="s">
        <v>152</v>
      </c>
      <c r="H668" t="s">
        <v>124</v>
      </c>
      <c r="I668" t="s">
        <v>45</v>
      </c>
      <c r="J668" t="s">
        <v>64</v>
      </c>
      <c r="K668" t="s">
        <v>449</v>
      </c>
      <c r="L668">
        <v>198999.96</v>
      </c>
      <c r="M668">
        <v>195850.74</v>
      </c>
      <c r="N668" t="s">
        <v>192</v>
      </c>
      <c r="O668">
        <v>7</v>
      </c>
      <c r="P668">
        <v>46</v>
      </c>
      <c r="Q668">
        <v>3</v>
      </c>
      <c r="R668">
        <v>161</v>
      </c>
      <c r="S668">
        <v>185.8</v>
      </c>
      <c r="T668" t="s">
        <v>65</v>
      </c>
      <c r="U668" s="3"/>
      <c r="V668" s="3"/>
      <c r="W668" s="3"/>
    </row>
    <row r="669" spans="1:23">
      <c r="A669" t="s">
        <v>1711</v>
      </c>
      <c r="B669" t="s">
        <v>429</v>
      </c>
      <c r="C669" t="s">
        <v>60</v>
      </c>
      <c r="D669" s="2">
        <v>18698</v>
      </c>
      <c r="E669" s="2">
        <v>45748</v>
      </c>
      <c r="F669" s="2">
        <v>45752</v>
      </c>
      <c r="G669" t="s">
        <v>152</v>
      </c>
      <c r="H669" t="s">
        <v>86</v>
      </c>
      <c r="I669" t="s">
        <v>25</v>
      </c>
      <c r="J669" t="s">
        <v>80</v>
      </c>
      <c r="K669" t="s">
        <v>55</v>
      </c>
      <c r="L669">
        <v>51323.97</v>
      </c>
      <c r="M669">
        <v>40982.559999999998</v>
      </c>
      <c r="N669" t="s">
        <v>73</v>
      </c>
      <c r="O669">
        <v>4</v>
      </c>
      <c r="P669">
        <v>22</v>
      </c>
      <c r="Q669">
        <v>2</v>
      </c>
      <c r="R669">
        <v>175</v>
      </c>
      <c r="S669">
        <v>241.2</v>
      </c>
      <c r="T669" t="s">
        <v>37</v>
      </c>
      <c r="U669" s="3"/>
      <c r="V669" s="3"/>
      <c r="W669" s="3"/>
    </row>
    <row r="670" spans="1:23">
      <c r="A670" t="s">
        <v>1712</v>
      </c>
      <c r="B670" t="s">
        <v>403</v>
      </c>
      <c r="C670" t="s">
        <v>133</v>
      </c>
      <c r="D670" s="2">
        <v>20156</v>
      </c>
      <c r="E670" s="2">
        <v>45456</v>
      </c>
      <c r="F670" s="2">
        <v>45472</v>
      </c>
      <c r="G670" t="s">
        <v>152</v>
      </c>
      <c r="H670" t="s">
        <v>86</v>
      </c>
      <c r="I670" t="s">
        <v>96</v>
      </c>
      <c r="J670" t="s">
        <v>97</v>
      </c>
      <c r="K670" t="s">
        <v>110</v>
      </c>
      <c r="L670" t="s">
        <v>1713</v>
      </c>
      <c r="M670">
        <v>9974.4</v>
      </c>
      <c r="N670" t="s">
        <v>192</v>
      </c>
      <c r="O670">
        <v>16</v>
      </c>
      <c r="P670">
        <v>22</v>
      </c>
      <c r="Q670">
        <v>1</v>
      </c>
      <c r="R670">
        <v>101</v>
      </c>
      <c r="S670">
        <v>156.30000000000001</v>
      </c>
      <c r="T670" t="s">
        <v>47</v>
      </c>
      <c r="U670" s="3"/>
      <c r="V670" s="3"/>
      <c r="W670" s="3"/>
    </row>
    <row r="671" spans="1:23">
      <c r="A671" t="s">
        <v>1714</v>
      </c>
      <c r="B671" t="s">
        <v>579</v>
      </c>
      <c r="C671" t="s">
        <v>206</v>
      </c>
      <c r="D671" s="2">
        <v>33565</v>
      </c>
      <c r="E671" s="2">
        <v>45941</v>
      </c>
      <c r="F671" s="2">
        <v>45952</v>
      </c>
      <c r="G671" t="s">
        <v>43</v>
      </c>
      <c r="H671" t="s">
        <v>52</v>
      </c>
      <c r="I671" t="s">
        <v>53</v>
      </c>
      <c r="J671" t="s">
        <v>71</v>
      </c>
      <c r="K671" t="s">
        <v>110</v>
      </c>
      <c r="L671">
        <v>14886.49</v>
      </c>
      <c r="M671">
        <v>13277.94</v>
      </c>
      <c r="O671">
        <v>11</v>
      </c>
      <c r="P671">
        <v>63</v>
      </c>
      <c r="R671">
        <v>146</v>
      </c>
      <c r="S671">
        <v>99.3</v>
      </c>
      <c r="U671" s="3"/>
      <c r="V671" s="3"/>
      <c r="W671" s="3"/>
    </row>
    <row r="672" spans="1:23">
      <c r="A672" t="s">
        <v>1715</v>
      </c>
      <c r="B672" t="s">
        <v>1088</v>
      </c>
      <c r="C672" t="s">
        <v>816</v>
      </c>
      <c r="D672" t="s">
        <v>1716</v>
      </c>
      <c r="E672" t="s">
        <v>1717</v>
      </c>
      <c r="F672" t="s">
        <v>1718</v>
      </c>
      <c r="G672" t="s">
        <v>141</v>
      </c>
      <c r="H672" t="s">
        <v>86</v>
      </c>
      <c r="L672">
        <v>192931.69</v>
      </c>
      <c r="M672">
        <v>181033.35</v>
      </c>
      <c r="N672" t="s">
        <v>73</v>
      </c>
      <c r="O672">
        <v>8</v>
      </c>
      <c r="P672">
        <v>30</v>
      </c>
      <c r="Q672">
        <v>3</v>
      </c>
      <c r="R672">
        <v>100</v>
      </c>
      <c r="S672">
        <v>86.3</v>
      </c>
      <c r="T672" t="s">
        <v>37</v>
      </c>
      <c r="U672" s="3"/>
      <c r="V672" s="3"/>
      <c r="W672" s="3"/>
    </row>
    <row r="673" spans="1:23">
      <c r="A673" t="s">
        <v>1719</v>
      </c>
      <c r="B673" t="s">
        <v>83</v>
      </c>
      <c r="C673" t="s">
        <v>133</v>
      </c>
      <c r="D673" s="2">
        <v>38574</v>
      </c>
      <c r="E673" s="2">
        <v>45000</v>
      </c>
      <c r="F673" s="2">
        <v>45008</v>
      </c>
      <c r="G673" t="s">
        <v>105</v>
      </c>
      <c r="H673" t="s">
        <v>52</v>
      </c>
      <c r="I673" t="s">
        <v>96</v>
      </c>
      <c r="J673" t="s">
        <v>46</v>
      </c>
      <c r="L673">
        <v>46605.19</v>
      </c>
      <c r="N673" t="s">
        <v>192</v>
      </c>
      <c r="O673">
        <v>8</v>
      </c>
      <c r="P673">
        <v>234</v>
      </c>
      <c r="Q673">
        <v>2</v>
      </c>
      <c r="R673">
        <v>153</v>
      </c>
      <c r="S673">
        <v>89.4</v>
      </c>
      <c r="T673" t="s">
        <v>47</v>
      </c>
      <c r="U673" s="3"/>
      <c r="V673" s="3"/>
      <c r="W673" s="3"/>
    </row>
    <row r="674" spans="1:23">
      <c r="A674" t="s">
        <v>1720</v>
      </c>
      <c r="B674" t="s">
        <v>270</v>
      </c>
      <c r="C674" t="s">
        <v>50</v>
      </c>
      <c r="D674" s="2">
        <v>34108</v>
      </c>
      <c r="E674" s="2">
        <v>45710</v>
      </c>
      <c r="F674" t="s">
        <v>1721</v>
      </c>
      <c r="G674" t="s">
        <v>31</v>
      </c>
      <c r="H674" t="s">
        <v>153</v>
      </c>
      <c r="I674" t="s">
        <v>25</v>
      </c>
      <c r="J674" t="s">
        <v>64</v>
      </c>
      <c r="M674">
        <v>203109.38</v>
      </c>
      <c r="N674" t="s">
        <v>56</v>
      </c>
      <c r="O674">
        <v>7</v>
      </c>
      <c r="P674">
        <v>80</v>
      </c>
      <c r="Q674">
        <v>5</v>
      </c>
      <c r="R674">
        <v>146</v>
      </c>
      <c r="S674">
        <v>236.7</v>
      </c>
      <c r="T674" t="s">
        <v>37</v>
      </c>
      <c r="U674" s="3"/>
      <c r="V674" s="3"/>
      <c r="W674" s="3"/>
    </row>
    <row r="675" spans="1:23">
      <c r="A675" t="s">
        <v>1722</v>
      </c>
      <c r="B675" t="s">
        <v>1050</v>
      </c>
      <c r="C675" t="s">
        <v>50</v>
      </c>
      <c r="D675" s="2">
        <v>20022</v>
      </c>
      <c r="E675" s="2">
        <v>45568</v>
      </c>
      <c r="F675" s="2">
        <v>45575</v>
      </c>
      <c r="G675" t="s">
        <v>77</v>
      </c>
      <c r="H675" t="s">
        <v>32</v>
      </c>
      <c r="I675" t="s">
        <v>96</v>
      </c>
      <c r="K675" t="s">
        <v>55</v>
      </c>
      <c r="L675">
        <v>176242.72</v>
      </c>
      <c r="M675">
        <v>144374.21</v>
      </c>
      <c r="N675" t="s">
        <v>73</v>
      </c>
      <c r="O675">
        <v>7</v>
      </c>
      <c r="P675" t="s">
        <v>1723</v>
      </c>
      <c r="Q675">
        <v>4</v>
      </c>
      <c r="R675">
        <v>110</v>
      </c>
      <c r="S675">
        <v>250</v>
      </c>
      <c r="T675" t="s">
        <v>37</v>
      </c>
      <c r="U675" s="3"/>
      <c r="V675" s="3"/>
      <c r="W675" s="3"/>
    </row>
    <row r="676" spans="1:23">
      <c r="A676" t="s">
        <v>1724</v>
      </c>
      <c r="B676" t="s">
        <v>253</v>
      </c>
      <c r="C676" t="s">
        <v>84</v>
      </c>
      <c r="D676" t="s">
        <v>1725</v>
      </c>
      <c r="E676" s="2">
        <v>45201</v>
      </c>
      <c r="F676" s="2">
        <v>45202</v>
      </c>
      <c r="G676" t="s">
        <v>117</v>
      </c>
      <c r="H676" t="s">
        <v>153</v>
      </c>
      <c r="I676" t="s">
        <v>53</v>
      </c>
      <c r="J676" t="s">
        <v>97</v>
      </c>
      <c r="K676" t="s">
        <v>72</v>
      </c>
      <c r="L676">
        <v>149150.97</v>
      </c>
      <c r="M676">
        <v>107597.62</v>
      </c>
      <c r="N676" t="s">
        <v>73</v>
      </c>
      <c r="O676">
        <v>1</v>
      </c>
      <c r="P676">
        <v>226</v>
      </c>
      <c r="Q676">
        <v>4</v>
      </c>
      <c r="R676">
        <v>117</v>
      </c>
      <c r="S676">
        <v>78</v>
      </c>
      <c r="T676" t="s">
        <v>37</v>
      </c>
      <c r="U676" s="3"/>
      <c r="V676" s="3"/>
      <c r="W676" s="3"/>
    </row>
    <row r="677" spans="1:23">
      <c r="A677" t="s">
        <v>1726</v>
      </c>
      <c r="B677" t="s">
        <v>1727</v>
      </c>
      <c r="C677" t="s">
        <v>60</v>
      </c>
      <c r="D677" t="s">
        <v>1728</v>
      </c>
      <c r="E677" s="2">
        <v>45082</v>
      </c>
      <c r="F677" t="s">
        <v>1729</v>
      </c>
      <c r="G677" t="s">
        <v>117</v>
      </c>
      <c r="H677" t="s">
        <v>95</v>
      </c>
      <c r="I677" t="s">
        <v>25</v>
      </c>
      <c r="J677" t="s">
        <v>64</v>
      </c>
      <c r="K677" t="s">
        <v>161</v>
      </c>
      <c r="L677">
        <v>86561.5</v>
      </c>
      <c r="M677">
        <v>65910.42</v>
      </c>
      <c r="N677" t="s">
        <v>35</v>
      </c>
      <c r="O677">
        <v>11</v>
      </c>
      <c r="P677">
        <v>32</v>
      </c>
      <c r="Q677">
        <v>4</v>
      </c>
      <c r="R677">
        <v>173</v>
      </c>
      <c r="S677">
        <v>172.3</v>
      </c>
      <c r="T677" t="s">
        <v>37</v>
      </c>
      <c r="U677" s="3"/>
      <c r="V677" s="3"/>
      <c r="W677" s="3"/>
    </row>
    <row r="678" spans="1:23">
      <c r="A678" t="s">
        <v>1730</v>
      </c>
      <c r="B678" t="s">
        <v>1731</v>
      </c>
      <c r="C678" t="s">
        <v>40</v>
      </c>
      <c r="D678" t="s">
        <v>1732</v>
      </c>
      <c r="E678" t="s">
        <v>608</v>
      </c>
      <c r="F678" s="2">
        <v>45978</v>
      </c>
      <c r="G678" t="s">
        <v>89</v>
      </c>
      <c r="H678" t="s">
        <v>90</v>
      </c>
      <c r="I678" t="s">
        <v>79</v>
      </c>
      <c r="J678" t="s">
        <v>64</v>
      </c>
      <c r="K678" t="s">
        <v>161</v>
      </c>
      <c r="L678">
        <v>105746.2</v>
      </c>
      <c r="M678">
        <v>100200.73</v>
      </c>
      <c r="N678" t="s">
        <v>73</v>
      </c>
      <c r="O678">
        <v>4</v>
      </c>
      <c r="Q678">
        <v>1</v>
      </c>
      <c r="R678">
        <v>103</v>
      </c>
      <c r="S678">
        <v>215.1</v>
      </c>
      <c r="T678" t="s">
        <v>81</v>
      </c>
      <c r="U678" s="3"/>
      <c r="V678" s="3"/>
      <c r="W678" s="3"/>
    </row>
    <row r="679" spans="1:23">
      <c r="A679" t="s">
        <v>1733</v>
      </c>
      <c r="B679" t="s">
        <v>1734</v>
      </c>
      <c r="C679" t="s">
        <v>459</v>
      </c>
      <c r="D679" s="2">
        <v>28811</v>
      </c>
      <c r="E679" s="2">
        <v>45910</v>
      </c>
      <c r="F679" s="2">
        <v>45918</v>
      </c>
      <c r="G679" t="s">
        <v>89</v>
      </c>
      <c r="H679" t="s">
        <v>63</v>
      </c>
      <c r="I679" t="s">
        <v>79</v>
      </c>
      <c r="J679" t="s">
        <v>34</v>
      </c>
      <c r="K679" t="s">
        <v>161</v>
      </c>
      <c r="L679">
        <v>72237.820000000007</v>
      </c>
      <c r="M679">
        <v>63457.04</v>
      </c>
      <c r="N679" t="s">
        <v>91</v>
      </c>
      <c r="O679">
        <v>8</v>
      </c>
      <c r="P679">
        <v>203</v>
      </c>
      <c r="Q679">
        <v>2</v>
      </c>
      <c r="R679">
        <v>166</v>
      </c>
      <c r="T679" t="s">
        <v>47</v>
      </c>
      <c r="U679" s="3"/>
      <c r="V679" s="3"/>
      <c r="W679" s="3"/>
    </row>
    <row r="680" spans="1:23">
      <c r="A680" t="s">
        <v>1735</v>
      </c>
      <c r="B680" t="s">
        <v>1736</v>
      </c>
      <c r="C680" t="s">
        <v>60</v>
      </c>
      <c r="D680" s="2">
        <v>32646</v>
      </c>
      <c r="E680" t="s">
        <v>1737</v>
      </c>
      <c r="F680" s="2">
        <v>45375</v>
      </c>
      <c r="G680" t="s">
        <v>77</v>
      </c>
      <c r="H680" t="s">
        <v>95</v>
      </c>
      <c r="I680" t="s">
        <v>33</v>
      </c>
      <c r="J680" t="s">
        <v>26</v>
      </c>
      <c r="K680" t="s">
        <v>120</v>
      </c>
      <c r="M680">
        <v>89381.94</v>
      </c>
      <c r="N680" t="s">
        <v>794</v>
      </c>
      <c r="O680">
        <v>4</v>
      </c>
      <c r="P680">
        <v>216</v>
      </c>
      <c r="Q680">
        <v>4</v>
      </c>
      <c r="R680">
        <v>165</v>
      </c>
      <c r="S680">
        <v>185.8</v>
      </c>
      <c r="T680" t="s">
        <v>37</v>
      </c>
      <c r="U680" s="3"/>
      <c r="V680" s="3"/>
      <c r="W680" s="3"/>
    </row>
    <row r="681" spans="1:23">
      <c r="A681" t="s">
        <v>1738</v>
      </c>
      <c r="B681" t="s">
        <v>531</v>
      </c>
      <c r="C681" t="s">
        <v>133</v>
      </c>
      <c r="D681" s="2">
        <v>19371</v>
      </c>
      <c r="E681" s="2">
        <v>45329</v>
      </c>
      <c r="F681" s="2">
        <v>45335</v>
      </c>
      <c r="G681" t="s">
        <v>984</v>
      </c>
      <c r="H681" t="s">
        <v>95</v>
      </c>
      <c r="I681" t="s">
        <v>79</v>
      </c>
      <c r="J681" t="s">
        <v>80</v>
      </c>
      <c r="K681" t="s">
        <v>55</v>
      </c>
      <c r="L681">
        <v>218559.62</v>
      </c>
      <c r="M681">
        <v>174089.22</v>
      </c>
      <c r="N681" t="s">
        <v>91</v>
      </c>
      <c r="O681">
        <v>6</v>
      </c>
      <c r="P681">
        <v>16</v>
      </c>
      <c r="Q681">
        <v>5</v>
      </c>
      <c r="R681">
        <v>112</v>
      </c>
      <c r="S681">
        <v>121.3</v>
      </c>
      <c r="T681" t="s">
        <v>37</v>
      </c>
      <c r="U681" s="3"/>
      <c r="V681" s="3"/>
      <c r="W681" s="3"/>
    </row>
    <row r="682" spans="1:23">
      <c r="A682" t="s">
        <v>1739</v>
      </c>
      <c r="B682" t="s">
        <v>1104</v>
      </c>
      <c r="C682" t="s">
        <v>84</v>
      </c>
      <c r="D682" s="2">
        <v>34521</v>
      </c>
      <c r="E682" s="2">
        <v>45863</v>
      </c>
      <c r="F682" t="s">
        <v>1740</v>
      </c>
      <c r="H682" t="s">
        <v>86</v>
      </c>
      <c r="I682" t="s">
        <v>53</v>
      </c>
      <c r="J682" t="s">
        <v>64</v>
      </c>
      <c r="L682">
        <v>248253.5</v>
      </c>
      <c r="M682">
        <v>239466.38</v>
      </c>
      <c r="N682" t="s">
        <v>91</v>
      </c>
      <c r="O682">
        <v>14</v>
      </c>
      <c r="P682">
        <v>133</v>
      </c>
      <c r="Q682">
        <v>4</v>
      </c>
      <c r="R682">
        <v>176</v>
      </c>
      <c r="S682">
        <v>220</v>
      </c>
      <c r="T682" t="s">
        <v>47</v>
      </c>
      <c r="U682" s="3"/>
      <c r="V682" s="3"/>
      <c r="W682" s="3"/>
    </row>
    <row r="683" spans="1:23">
      <c r="A683" t="s">
        <v>1741</v>
      </c>
      <c r="B683" t="s">
        <v>1742</v>
      </c>
      <c r="C683" t="s">
        <v>206</v>
      </c>
      <c r="D683" s="2">
        <v>20559</v>
      </c>
      <c r="E683" s="2">
        <v>45551</v>
      </c>
      <c r="G683" t="s">
        <v>161</v>
      </c>
      <c r="H683" t="s">
        <v>86</v>
      </c>
      <c r="I683" t="s">
        <v>53</v>
      </c>
      <c r="J683" t="s">
        <v>64</v>
      </c>
      <c r="K683" t="s">
        <v>72</v>
      </c>
      <c r="L683">
        <v>198297.73</v>
      </c>
      <c r="M683">
        <v>192352.9</v>
      </c>
      <c r="N683" t="s">
        <v>91</v>
      </c>
      <c r="O683">
        <v>4</v>
      </c>
      <c r="P683">
        <v>188</v>
      </c>
      <c r="Q683">
        <v>3</v>
      </c>
      <c r="R683">
        <v>102</v>
      </c>
      <c r="S683">
        <v>197.9</v>
      </c>
      <c r="T683" t="s">
        <v>57</v>
      </c>
      <c r="U683" s="3"/>
      <c r="V683" s="3"/>
      <c r="W683" s="3"/>
    </row>
    <row r="684" spans="1:23">
      <c r="A684" t="s">
        <v>1743</v>
      </c>
      <c r="B684" t="s">
        <v>1744</v>
      </c>
      <c r="C684" t="s">
        <v>206</v>
      </c>
      <c r="D684" t="s">
        <v>1745</v>
      </c>
      <c r="E684" t="s">
        <v>1746</v>
      </c>
      <c r="F684" s="2">
        <v>45029</v>
      </c>
      <c r="G684" t="s">
        <v>370</v>
      </c>
      <c r="H684" t="s">
        <v>1012</v>
      </c>
      <c r="I684" t="s">
        <v>53</v>
      </c>
      <c r="J684" t="s">
        <v>179</v>
      </c>
      <c r="L684">
        <v>159614.01</v>
      </c>
      <c r="M684">
        <v>123080.69</v>
      </c>
      <c r="N684" t="s">
        <v>192</v>
      </c>
      <c r="O684">
        <v>14</v>
      </c>
      <c r="P684">
        <v>224</v>
      </c>
      <c r="Q684">
        <v>5</v>
      </c>
      <c r="R684">
        <v>121</v>
      </c>
      <c r="S684">
        <v>216.4</v>
      </c>
      <c r="T684" t="s">
        <v>57</v>
      </c>
      <c r="U684" s="3"/>
      <c r="V684" s="3"/>
      <c r="W684" s="3"/>
    </row>
    <row r="685" spans="1:23">
      <c r="A685" t="s">
        <v>1747</v>
      </c>
      <c r="B685" t="s">
        <v>1748</v>
      </c>
      <c r="C685" t="s">
        <v>22</v>
      </c>
      <c r="D685" s="2">
        <v>26619</v>
      </c>
      <c r="E685" s="2">
        <v>45291</v>
      </c>
      <c r="F685" t="s">
        <v>1180</v>
      </c>
      <c r="H685" t="s">
        <v>153</v>
      </c>
      <c r="I685" t="s">
        <v>53</v>
      </c>
      <c r="J685" t="s">
        <v>34</v>
      </c>
      <c r="K685" t="s">
        <v>120</v>
      </c>
      <c r="L685">
        <v>95775.42</v>
      </c>
      <c r="M685">
        <v>80269.570000000007</v>
      </c>
      <c r="N685" t="s">
        <v>73</v>
      </c>
      <c r="O685">
        <v>1</v>
      </c>
      <c r="P685">
        <v>107</v>
      </c>
      <c r="R685">
        <v>139</v>
      </c>
      <c r="S685">
        <v>215.1</v>
      </c>
      <c r="T685" t="s">
        <v>57</v>
      </c>
      <c r="U685" s="3"/>
      <c r="V685" s="3"/>
      <c r="W685" s="3"/>
    </row>
    <row r="686" spans="1:23">
      <c r="A686" t="s">
        <v>1749</v>
      </c>
      <c r="B686" t="s">
        <v>342</v>
      </c>
      <c r="C686" t="s">
        <v>133</v>
      </c>
      <c r="D686" s="2">
        <v>36031</v>
      </c>
      <c r="E686" t="s">
        <v>1750</v>
      </c>
      <c r="F686" s="2">
        <v>45542</v>
      </c>
      <c r="G686" t="s">
        <v>117</v>
      </c>
      <c r="L686">
        <v>157781.89000000001</v>
      </c>
      <c r="M686">
        <v>146650.32</v>
      </c>
      <c r="N686" t="s">
        <v>73</v>
      </c>
      <c r="O686">
        <v>5</v>
      </c>
      <c r="P686">
        <v>110</v>
      </c>
      <c r="Q686">
        <v>4</v>
      </c>
      <c r="R686">
        <v>165</v>
      </c>
      <c r="S686">
        <v>257.8</v>
      </c>
      <c r="T686" t="s">
        <v>65</v>
      </c>
      <c r="U686" s="3"/>
      <c r="V686" s="3"/>
      <c r="W686" s="3"/>
    </row>
    <row r="687" spans="1:23">
      <c r="A687" t="s">
        <v>1751</v>
      </c>
      <c r="B687" t="s">
        <v>867</v>
      </c>
      <c r="D687" s="2">
        <v>25028</v>
      </c>
      <c r="E687" s="2">
        <v>45081</v>
      </c>
      <c r="F687" s="2">
        <v>45098</v>
      </c>
      <c r="G687" t="s">
        <v>117</v>
      </c>
      <c r="H687" t="s">
        <v>78</v>
      </c>
      <c r="I687" t="s">
        <v>96</v>
      </c>
      <c r="K687" t="s">
        <v>55</v>
      </c>
      <c r="M687">
        <v>81982.009999999995</v>
      </c>
      <c r="N687" t="s">
        <v>73</v>
      </c>
      <c r="O687">
        <v>17</v>
      </c>
      <c r="P687">
        <v>122</v>
      </c>
      <c r="R687">
        <v>170</v>
      </c>
      <c r="S687">
        <v>135.19999999999999</v>
      </c>
      <c r="T687" t="s">
        <v>37</v>
      </c>
      <c r="U687" s="3"/>
      <c r="V687" s="3"/>
      <c r="W687" s="3"/>
    </row>
    <row r="688" spans="1:23">
      <c r="A688" t="s">
        <v>1752</v>
      </c>
      <c r="B688" t="s">
        <v>383</v>
      </c>
      <c r="C688" t="s">
        <v>60</v>
      </c>
      <c r="D688" s="2">
        <v>20826</v>
      </c>
      <c r="E688" s="2">
        <v>45743</v>
      </c>
      <c r="F688" s="2">
        <v>45748</v>
      </c>
      <c r="G688" t="s">
        <v>152</v>
      </c>
      <c r="H688" t="s">
        <v>134</v>
      </c>
      <c r="J688" t="s">
        <v>71</v>
      </c>
      <c r="K688" t="s">
        <v>191</v>
      </c>
      <c r="L688">
        <v>139337.04</v>
      </c>
      <c r="M688">
        <v>98291.62</v>
      </c>
      <c r="N688" t="s">
        <v>73</v>
      </c>
      <c r="O688">
        <v>5</v>
      </c>
      <c r="P688">
        <v>144</v>
      </c>
      <c r="Q688">
        <v>3</v>
      </c>
      <c r="R688">
        <v>124</v>
      </c>
      <c r="S688">
        <v>171.6</v>
      </c>
      <c r="T688" t="s">
        <v>65</v>
      </c>
      <c r="U688" s="3"/>
      <c r="V688" s="3"/>
      <c r="W688" s="3"/>
    </row>
    <row r="689" spans="1:23">
      <c r="A689" t="s">
        <v>1753</v>
      </c>
      <c r="B689" t="s">
        <v>464</v>
      </c>
      <c r="C689" t="s">
        <v>100</v>
      </c>
      <c r="D689" s="2">
        <v>32805</v>
      </c>
      <c r="E689" t="s">
        <v>1754</v>
      </c>
      <c r="F689" s="2">
        <v>45906</v>
      </c>
      <c r="G689" t="s">
        <v>31</v>
      </c>
      <c r="H689" t="s">
        <v>255</v>
      </c>
      <c r="I689" t="s">
        <v>119</v>
      </c>
      <c r="J689" t="s">
        <v>34</v>
      </c>
      <c r="K689" t="s">
        <v>72</v>
      </c>
      <c r="L689" t="s">
        <v>1755</v>
      </c>
      <c r="M689">
        <v>173346.59</v>
      </c>
      <c r="N689" t="s">
        <v>35</v>
      </c>
      <c r="O689">
        <v>9</v>
      </c>
      <c r="P689">
        <v>119</v>
      </c>
      <c r="Q689">
        <v>5</v>
      </c>
      <c r="R689">
        <v>91</v>
      </c>
      <c r="T689" t="s">
        <v>721</v>
      </c>
      <c r="U689" s="3"/>
      <c r="V689" s="3"/>
      <c r="W689" s="3"/>
    </row>
    <row r="690" spans="1:23">
      <c r="A690" t="s">
        <v>1756</v>
      </c>
      <c r="B690" t="s">
        <v>909</v>
      </c>
      <c r="C690" t="s">
        <v>22</v>
      </c>
      <c r="D690" s="2">
        <v>20707</v>
      </c>
      <c r="E690" s="2">
        <v>45319</v>
      </c>
      <c r="F690" t="s">
        <v>1757</v>
      </c>
      <c r="G690" t="s">
        <v>141</v>
      </c>
      <c r="I690" t="s">
        <v>96</v>
      </c>
      <c r="K690" t="s">
        <v>55</v>
      </c>
      <c r="L690">
        <v>113584.31</v>
      </c>
      <c r="M690">
        <v>96637.09</v>
      </c>
      <c r="N690" t="s">
        <v>192</v>
      </c>
      <c r="O690">
        <v>15</v>
      </c>
      <c r="P690">
        <v>127</v>
      </c>
      <c r="Q690">
        <v>1</v>
      </c>
      <c r="R690" t="s">
        <v>1758</v>
      </c>
      <c r="S690">
        <v>92.5</v>
      </c>
      <c r="T690" t="s">
        <v>37</v>
      </c>
      <c r="U690" s="3"/>
      <c r="V690" s="3"/>
      <c r="W690" s="3"/>
    </row>
    <row r="691" spans="1:23">
      <c r="A691" t="s">
        <v>1759</v>
      </c>
      <c r="B691" t="s">
        <v>1302</v>
      </c>
      <c r="C691" t="s">
        <v>22</v>
      </c>
      <c r="D691" s="2">
        <v>21478</v>
      </c>
      <c r="E691" s="2">
        <v>45015</v>
      </c>
      <c r="F691" s="2">
        <v>45028</v>
      </c>
      <c r="G691" t="s">
        <v>141</v>
      </c>
      <c r="H691" t="s">
        <v>63</v>
      </c>
      <c r="I691" t="s">
        <v>79</v>
      </c>
      <c r="J691" t="s">
        <v>64</v>
      </c>
      <c r="K691" t="s">
        <v>110</v>
      </c>
      <c r="L691">
        <v>225840.76</v>
      </c>
      <c r="M691">
        <v>202866.56</v>
      </c>
      <c r="N691" t="s">
        <v>192</v>
      </c>
      <c r="O691">
        <v>13</v>
      </c>
      <c r="P691">
        <v>100</v>
      </c>
      <c r="Q691">
        <v>3</v>
      </c>
      <c r="R691">
        <v>128</v>
      </c>
      <c r="S691">
        <v>248.6</v>
      </c>
      <c r="T691" t="s">
        <v>37</v>
      </c>
      <c r="U691" s="3"/>
      <c r="V691" s="3"/>
      <c r="W691" s="3"/>
    </row>
    <row r="692" spans="1:23">
      <c r="A692" t="s">
        <v>1760</v>
      </c>
      <c r="B692" t="s">
        <v>1106</v>
      </c>
      <c r="D692" s="2">
        <v>18422</v>
      </c>
      <c r="E692" s="2">
        <v>45368</v>
      </c>
      <c r="F692" t="s">
        <v>1761</v>
      </c>
      <c r="G692" t="s">
        <v>152</v>
      </c>
      <c r="H692" t="s">
        <v>44</v>
      </c>
      <c r="J692" t="s">
        <v>71</v>
      </c>
      <c r="K692" t="s">
        <v>72</v>
      </c>
      <c r="L692">
        <v>121399.08</v>
      </c>
      <c r="M692">
        <v>91233.67</v>
      </c>
      <c r="N692" t="s">
        <v>192</v>
      </c>
      <c r="O692">
        <v>10</v>
      </c>
      <c r="P692">
        <v>78</v>
      </c>
      <c r="Q692">
        <v>5</v>
      </c>
      <c r="R692">
        <v>137</v>
      </c>
      <c r="S692">
        <v>183.5</v>
      </c>
      <c r="T692" t="s">
        <v>57</v>
      </c>
      <c r="U692" s="3"/>
      <c r="V692" s="3"/>
      <c r="W692" s="3"/>
    </row>
    <row r="693" spans="1:23">
      <c r="A693" t="s">
        <v>1762</v>
      </c>
      <c r="B693" t="s">
        <v>403</v>
      </c>
      <c r="C693" t="s">
        <v>40</v>
      </c>
      <c r="D693" s="2">
        <v>22277</v>
      </c>
      <c r="E693" t="s">
        <v>1763</v>
      </c>
      <c r="F693" s="2">
        <v>45043</v>
      </c>
      <c r="G693" t="s">
        <v>43</v>
      </c>
      <c r="H693" t="s">
        <v>124</v>
      </c>
      <c r="I693" t="s">
        <v>53</v>
      </c>
      <c r="J693" t="s">
        <v>26</v>
      </c>
      <c r="L693">
        <v>232803.27</v>
      </c>
      <c r="M693">
        <v>227865.21</v>
      </c>
      <c r="N693" t="s">
        <v>192</v>
      </c>
      <c r="O693">
        <v>1</v>
      </c>
      <c r="P693">
        <v>204</v>
      </c>
      <c r="R693">
        <v>120</v>
      </c>
      <c r="S693">
        <v>245.4</v>
      </c>
      <c r="U693" s="3"/>
      <c r="V693" s="3"/>
      <c r="W693" s="3"/>
    </row>
    <row r="694" spans="1:23">
      <c r="A694" t="s">
        <v>1764</v>
      </c>
      <c r="B694" t="s">
        <v>887</v>
      </c>
      <c r="C694" t="s">
        <v>60</v>
      </c>
      <c r="D694" s="2">
        <v>32091</v>
      </c>
      <c r="E694" t="s">
        <v>1765</v>
      </c>
      <c r="F694" s="2">
        <v>45287</v>
      </c>
      <c r="G694" t="s">
        <v>106</v>
      </c>
      <c r="H694" t="s">
        <v>63</v>
      </c>
      <c r="I694" t="s">
        <v>33</v>
      </c>
      <c r="J694" t="s">
        <v>34</v>
      </c>
      <c r="K694" t="s">
        <v>55</v>
      </c>
      <c r="L694">
        <v>31124.9</v>
      </c>
      <c r="M694">
        <v>22362.52</v>
      </c>
      <c r="N694" t="s">
        <v>326</v>
      </c>
      <c r="O694">
        <v>12</v>
      </c>
      <c r="P694">
        <v>99</v>
      </c>
      <c r="Q694">
        <v>2</v>
      </c>
      <c r="R694">
        <v>147</v>
      </c>
      <c r="S694">
        <v>82.6</v>
      </c>
      <c r="T694" t="s">
        <v>65</v>
      </c>
      <c r="U694" s="3"/>
      <c r="V694" s="3"/>
      <c r="W694" s="3"/>
    </row>
    <row r="695" spans="1:23">
      <c r="A695" t="s">
        <v>1766</v>
      </c>
      <c r="B695" t="s">
        <v>93</v>
      </c>
      <c r="C695" t="s">
        <v>84</v>
      </c>
      <c r="D695" s="2">
        <v>35427</v>
      </c>
      <c r="E695" s="2">
        <v>45532</v>
      </c>
      <c r="F695" t="s">
        <v>1767</v>
      </c>
      <c r="H695" t="s">
        <v>32</v>
      </c>
      <c r="I695" t="s">
        <v>33</v>
      </c>
      <c r="J695" t="s">
        <v>46</v>
      </c>
      <c r="K695" t="s">
        <v>55</v>
      </c>
      <c r="L695">
        <v>146193.79</v>
      </c>
      <c r="M695">
        <v>117024.23</v>
      </c>
      <c r="N695" t="s">
        <v>91</v>
      </c>
      <c r="O695">
        <v>4</v>
      </c>
      <c r="P695">
        <v>151</v>
      </c>
      <c r="R695">
        <v>115</v>
      </c>
      <c r="S695">
        <v>119.4</v>
      </c>
      <c r="T695" t="s">
        <v>37</v>
      </c>
      <c r="U695" s="3"/>
      <c r="V695" s="3"/>
      <c r="W695" s="3"/>
    </row>
    <row r="696" spans="1:23">
      <c r="A696" t="s">
        <v>1768</v>
      </c>
      <c r="B696" t="s">
        <v>1509</v>
      </c>
      <c r="C696" t="s">
        <v>84</v>
      </c>
      <c r="D696" s="2">
        <v>39727</v>
      </c>
      <c r="E696" s="2">
        <v>45801</v>
      </c>
      <c r="F696" t="s">
        <v>1769</v>
      </c>
      <c r="G696" t="s">
        <v>89</v>
      </c>
      <c r="H696" t="s">
        <v>95</v>
      </c>
      <c r="I696" t="s">
        <v>53</v>
      </c>
      <c r="J696" t="s">
        <v>64</v>
      </c>
      <c r="K696" t="s">
        <v>110</v>
      </c>
      <c r="L696">
        <v>19408.55</v>
      </c>
      <c r="M696">
        <v>16380.34</v>
      </c>
      <c r="N696" t="s">
        <v>192</v>
      </c>
      <c r="O696">
        <v>2</v>
      </c>
      <c r="P696">
        <v>126</v>
      </c>
      <c r="Q696">
        <v>4</v>
      </c>
      <c r="R696">
        <v>91</v>
      </c>
      <c r="S696">
        <v>124.2</v>
      </c>
      <c r="T696" t="s">
        <v>37</v>
      </c>
      <c r="U696" s="3"/>
      <c r="V696" s="3"/>
      <c r="W696" s="3"/>
    </row>
    <row r="697" spans="1:23">
      <c r="A697" t="s">
        <v>1770</v>
      </c>
      <c r="B697" t="s">
        <v>825</v>
      </c>
      <c r="C697" t="s">
        <v>84</v>
      </c>
      <c r="D697" t="s">
        <v>1771</v>
      </c>
      <c r="E697" t="s">
        <v>1772</v>
      </c>
      <c r="F697" s="2">
        <v>45158</v>
      </c>
      <c r="G697" t="s">
        <v>77</v>
      </c>
      <c r="H697" t="s">
        <v>86</v>
      </c>
      <c r="I697" t="s">
        <v>96</v>
      </c>
      <c r="J697" t="s">
        <v>71</v>
      </c>
      <c r="K697" t="s">
        <v>120</v>
      </c>
      <c r="L697">
        <v>217665.74</v>
      </c>
      <c r="M697">
        <v>150183.35</v>
      </c>
      <c r="N697" t="s">
        <v>192</v>
      </c>
      <c r="O697">
        <v>12</v>
      </c>
      <c r="P697">
        <v>127</v>
      </c>
      <c r="R697">
        <v>185</v>
      </c>
      <c r="S697">
        <v>142</v>
      </c>
      <c r="T697" t="s">
        <v>47</v>
      </c>
      <c r="U697" s="3"/>
      <c r="V697" s="3"/>
      <c r="W697" s="3"/>
    </row>
    <row r="698" spans="1:23">
      <c r="A698" t="s">
        <v>1773</v>
      </c>
      <c r="B698" t="s">
        <v>1001</v>
      </c>
      <c r="D698" s="2">
        <v>32069</v>
      </c>
      <c r="E698" s="2">
        <v>44986</v>
      </c>
      <c r="F698" s="2">
        <v>44988</v>
      </c>
      <c r="G698" t="s">
        <v>89</v>
      </c>
      <c r="H698" t="s">
        <v>118</v>
      </c>
      <c r="I698" t="s">
        <v>119</v>
      </c>
      <c r="J698" t="s">
        <v>34</v>
      </c>
      <c r="K698" t="s">
        <v>161</v>
      </c>
      <c r="L698">
        <v>58899.07</v>
      </c>
      <c r="M698">
        <v>50617.13</v>
      </c>
      <c r="N698" t="s">
        <v>192</v>
      </c>
      <c r="O698">
        <v>2</v>
      </c>
      <c r="P698">
        <v>64</v>
      </c>
      <c r="Q698">
        <v>5</v>
      </c>
      <c r="R698">
        <v>110</v>
      </c>
      <c r="S698">
        <v>88.1</v>
      </c>
      <c r="T698" t="s">
        <v>37</v>
      </c>
      <c r="U698" s="3"/>
      <c r="V698" s="3"/>
      <c r="W698" s="3"/>
    </row>
    <row r="699" spans="1:23">
      <c r="A699" t="s">
        <v>1774</v>
      </c>
      <c r="B699" t="s">
        <v>647</v>
      </c>
      <c r="C699" t="s">
        <v>206</v>
      </c>
      <c r="D699" s="2">
        <v>31943</v>
      </c>
      <c r="E699" s="2">
        <v>45276</v>
      </c>
      <c r="F699" s="2">
        <v>45294</v>
      </c>
      <c r="G699" t="s">
        <v>105</v>
      </c>
      <c r="J699" t="s">
        <v>46</v>
      </c>
      <c r="K699" t="s">
        <v>110</v>
      </c>
      <c r="L699">
        <v>159689.59</v>
      </c>
      <c r="M699">
        <v>115631.7</v>
      </c>
      <c r="N699" t="s">
        <v>35</v>
      </c>
      <c r="O699">
        <v>18</v>
      </c>
      <c r="P699">
        <v>138</v>
      </c>
      <c r="Q699">
        <v>3</v>
      </c>
      <c r="R699">
        <v>156</v>
      </c>
      <c r="S699">
        <v>211</v>
      </c>
      <c r="T699" t="s">
        <v>37</v>
      </c>
      <c r="U699" s="3"/>
      <c r="V699" s="3"/>
      <c r="W699" s="3"/>
    </row>
    <row r="700" spans="1:23">
      <c r="A700" t="s">
        <v>1775</v>
      </c>
      <c r="B700" t="s">
        <v>1464</v>
      </c>
      <c r="C700" t="s">
        <v>84</v>
      </c>
      <c r="D700" s="2">
        <v>22970</v>
      </c>
      <c r="E700" s="2">
        <v>45852</v>
      </c>
      <c r="F700" s="2">
        <v>45855</v>
      </c>
      <c r="G700" t="s">
        <v>105</v>
      </c>
      <c r="H700" t="s">
        <v>78</v>
      </c>
      <c r="I700" t="s">
        <v>96</v>
      </c>
      <c r="J700" t="s">
        <v>71</v>
      </c>
      <c r="K700" t="s">
        <v>120</v>
      </c>
      <c r="L700">
        <v>231546.53</v>
      </c>
      <c r="M700">
        <v>216952.68</v>
      </c>
      <c r="N700" t="s">
        <v>192</v>
      </c>
      <c r="O700">
        <v>3</v>
      </c>
      <c r="P700">
        <v>208</v>
      </c>
      <c r="Q700">
        <v>4</v>
      </c>
      <c r="R700">
        <v>144</v>
      </c>
      <c r="S700">
        <v>164.3</v>
      </c>
      <c r="T700" t="s">
        <v>47</v>
      </c>
      <c r="U700" s="3"/>
      <c r="V700" s="3"/>
      <c r="W700" s="3"/>
    </row>
    <row r="701" spans="1:23">
      <c r="A701" t="s">
        <v>1776</v>
      </c>
      <c r="B701" t="s">
        <v>244</v>
      </c>
      <c r="C701" t="s">
        <v>206</v>
      </c>
      <c r="D701" t="s">
        <v>1777</v>
      </c>
      <c r="E701" s="2">
        <v>45490</v>
      </c>
      <c r="F701" s="2">
        <v>45501</v>
      </c>
      <c r="H701" t="s">
        <v>24</v>
      </c>
      <c r="I701" t="s">
        <v>53</v>
      </c>
      <c r="J701" t="s">
        <v>197</v>
      </c>
      <c r="K701" t="s">
        <v>27</v>
      </c>
      <c r="L701">
        <v>112710.49</v>
      </c>
      <c r="M701">
        <v>72437.72</v>
      </c>
      <c r="N701" t="s">
        <v>91</v>
      </c>
      <c r="O701">
        <v>11</v>
      </c>
      <c r="Q701">
        <v>3</v>
      </c>
      <c r="R701">
        <v>161</v>
      </c>
      <c r="S701">
        <v>233.7</v>
      </c>
      <c r="T701" t="s">
        <v>37</v>
      </c>
      <c r="U701" s="3"/>
      <c r="V701" s="3"/>
      <c r="W701" s="3"/>
    </row>
    <row r="702" spans="1:23">
      <c r="A702" t="s">
        <v>1778</v>
      </c>
      <c r="B702" t="s">
        <v>427</v>
      </c>
      <c r="C702" t="s">
        <v>50</v>
      </c>
      <c r="D702" s="2">
        <v>22727</v>
      </c>
      <c r="E702" s="2">
        <v>45735</v>
      </c>
      <c r="F702" s="2">
        <v>45736</v>
      </c>
      <c r="G702" t="s">
        <v>161</v>
      </c>
      <c r="H702" t="s">
        <v>52</v>
      </c>
      <c r="I702" t="s">
        <v>45</v>
      </c>
      <c r="K702" t="s">
        <v>401</v>
      </c>
      <c r="L702">
        <v>22255.51</v>
      </c>
      <c r="M702">
        <v>21978.6</v>
      </c>
      <c r="N702" t="s">
        <v>192</v>
      </c>
      <c r="O702">
        <v>1</v>
      </c>
      <c r="P702">
        <v>141</v>
      </c>
      <c r="Q702">
        <v>3</v>
      </c>
      <c r="R702">
        <v>163</v>
      </c>
      <c r="S702">
        <v>257.10000000000002</v>
      </c>
      <c r="T702" t="s">
        <v>65</v>
      </c>
      <c r="U702" s="3"/>
      <c r="V702" s="3"/>
      <c r="W702" s="3"/>
    </row>
    <row r="703" spans="1:23">
      <c r="A703" t="s">
        <v>1779</v>
      </c>
      <c r="B703" t="s">
        <v>21</v>
      </c>
      <c r="C703" t="s">
        <v>22</v>
      </c>
      <c r="D703" t="s">
        <v>1780</v>
      </c>
      <c r="E703" s="2">
        <v>45540</v>
      </c>
      <c r="F703" s="2">
        <v>45547</v>
      </c>
      <c r="G703" t="s">
        <v>94</v>
      </c>
      <c r="H703" t="s">
        <v>134</v>
      </c>
      <c r="I703" t="s">
        <v>33</v>
      </c>
      <c r="J703" t="s">
        <v>46</v>
      </c>
      <c r="K703" t="s">
        <v>72</v>
      </c>
      <c r="L703">
        <v>233334.88</v>
      </c>
      <c r="M703">
        <v>178261.11</v>
      </c>
      <c r="N703" t="s">
        <v>91</v>
      </c>
      <c r="O703">
        <v>7</v>
      </c>
      <c r="P703">
        <v>102</v>
      </c>
      <c r="Q703">
        <v>4</v>
      </c>
      <c r="R703">
        <v>107</v>
      </c>
      <c r="S703">
        <v>243.9</v>
      </c>
      <c r="T703" t="s">
        <v>37</v>
      </c>
      <c r="U703" s="3"/>
      <c r="V703" s="3"/>
      <c r="W703" s="3"/>
    </row>
    <row r="704" spans="1:23">
      <c r="A704" t="s">
        <v>1781</v>
      </c>
      <c r="B704" t="s">
        <v>363</v>
      </c>
      <c r="C704" t="s">
        <v>50</v>
      </c>
      <c r="D704" s="2">
        <v>33008</v>
      </c>
      <c r="E704" s="2">
        <v>45431</v>
      </c>
      <c r="F704" t="s">
        <v>1782</v>
      </c>
      <c r="H704" t="s">
        <v>1783</v>
      </c>
      <c r="I704" t="s">
        <v>79</v>
      </c>
      <c r="J704" t="s">
        <v>80</v>
      </c>
      <c r="K704" t="s">
        <v>55</v>
      </c>
      <c r="L704">
        <v>147233.82999999999</v>
      </c>
      <c r="M704">
        <v>100148.91</v>
      </c>
      <c r="N704" t="s">
        <v>192</v>
      </c>
      <c r="O704">
        <v>3</v>
      </c>
      <c r="P704">
        <v>93</v>
      </c>
      <c r="Q704">
        <v>2</v>
      </c>
      <c r="R704">
        <v>102</v>
      </c>
      <c r="S704">
        <v>142.19999999999999</v>
      </c>
      <c r="T704" t="s">
        <v>721</v>
      </c>
      <c r="U704" s="3"/>
      <c r="V704" s="3"/>
      <c r="W704" s="3"/>
    </row>
    <row r="705" spans="1:23">
      <c r="A705" t="s">
        <v>1784</v>
      </c>
      <c r="B705" t="s">
        <v>857</v>
      </c>
      <c r="C705" t="s">
        <v>133</v>
      </c>
      <c r="D705" s="2">
        <v>26033</v>
      </c>
      <c r="E705" s="2">
        <v>45289</v>
      </c>
      <c r="F705" t="s">
        <v>1785</v>
      </c>
      <c r="G705" t="s">
        <v>70</v>
      </c>
      <c r="H705" t="s">
        <v>44</v>
      </c>
      <c r="I705" t="s">
        <v>96</v>
      </c>
      <c r="J705" t="s">
        <v>26</v>
      </c>
      <c r="K705" t="s">
        <v>27</v>
      </c>
      <c r="L705">
        <v>204707.55</v>
      </c>
      <c r="M705">
        <v>143318.46</v>
      </c>
      <c r="N705" t="s">
        <v>73</v>
      </c>
      <c r="O705">
        <v>17</v>
      </c>
      <c r="P705">
        <v>13</v>
      </c>
      <c r="Q705">
        <v>2</v>
      </c>
      <c r="R705">
        <v>169</v>
      </c>
      <c r="S705">
        <v>259.8</v>
      </c>
      <c r="T705" t="s">
        <v>37</v>
      </c>
      <c r="U705" s="3"/>
      <c r="V705" s="3"/>
      <c r="W705" s="3"/>
    </row>
    <row r="706" spans="1:23">
      <c r="A706" t="s">
        <v>1786</v>
      </c>
      <c r="B706" t="s">
        <v>464</v>
      </c>
      <c r="C706" t="s">
        <v>133</v>
      </c>
      <c r="D706" t="s">
        <v>1787</v>
      </c>
      <c r="E706" s="2">
        <v>44943</v>
      </c>
      <c r="F706" t="s">
        <v>1788</v>
      </c>
      <c r="G706" t="s">
        <v>43</v>
      </c>
      <c r="H706" t="s">
        <v>86</v>
      </c>
      <c r="I706" t="s">
        <v>79</v>
      </c>
      <c r="J706" t="s">
        <v>97</v>
      </c>
      <c r="K706" t="s">
        <v>72</v>
      </c>
      <c r="L706">
        <v>233572.66</v>
      </c>
      <c r="M706">
        <v>202165.98</v>
      </c>
      <c r="N706" t="s">
        <v>91</v>
      </c>
      <c r="O706">
        <v>9</v>
      </c>
      <c r="P706">
        <v>72</v>
      </c>
      <c r="Q706">
        <v>5</v>
      </c>
      <c r="R706">
        <v>176</v>
      </c>
      <c r="S706">
        <v>121.4</v>
      </c>
      <c r="T706" t="s">
        <v>81</v>
      </c>
      <c r="U706" s="3"/>
      <c r="V706" s="3"/>
      <c r="W706" s="3"/>
    </row>
    <row r="707" spans="1:23">
      <c r="A707" t="s">
        <v>1789</v>
      </c>
      <c r="B707" t="s">
        <v>666</v>
      </c>
      <c r="C707" t="s">
        <v>133</v>
      </c>
      <c r="D707" s="2">
        <v>31477</v>
      </c>
      <c r="E707" s="2">
        <v>45962</v>
      </c>
      <c r="F707" s="2">
        <v>45980</v>
      </c>
      <c r="G707" t="s">
        <v>190</v>
      </c>
      <c r="H707" t="s">
        <v>118</v>
      </c>
      <c r="J707" t="s">
        <v>71</v>
      </c>
      <c r="K707" t="s">
        <v>110</v>
      </c>
      <c r="L707" t="s">
        <v>1790</v>
      </c>
      <c r="M707">
        <v>160001.16</v>
      </c>
      <c r="O707">
        <v>18</v>
      </c>
      <c r="P707">
        <v>185</v>
      </c>
      <c r="Q707">
        <v>4</v>
      </c>
      <c r="R707">
        <v>188</v>
      </c>
      <c r="S707">
        <v>132.4</v>
      </c>
      <c r="U707" s="3"/>
      <c r="V707" s="3"/>
      <c r="W707" s="3"/>
    </row>
    <row r="708" spans="1:23">
      <c r="A708" t="s">
        <v>1791</v>
      </c>
      <c r="B708" t="s">
        <v>796</v>
      </c>
      <c r="C708" t="s">
        <v>30</v>
      </c>
      <c r="D708" s="2">
        <v>37766</v>
      </c>
      <c r="E708" s="2">
        <v>44998</v>
      </c>
      <c r="F708" s="2">
        <v>45005</v>
      </c>
      <c r="G708" t="s">
        <v>94</v>
      </c>
      <c r="H708" t="s">
        <v>118</v>
      </c>
      <c r="I708" t="s">
        <v>33</v>
      </c>
      <c r="K708" t="s">
        <v>55</v>
      </c>
      <c r="L708">
        <v>124620.87</v>
      </c>
      <c r="N708" t="s">
        <v>91</v>
      </c>
      <c r="O708">
        <v>7</v>
      </c>
      <c r="Q708">
        <v>5</v>
      </c>
      <c r="R708">
        <v>155</v>
      </c>
      <c r="S708">
        <v>112.3</v>
      </c>
      <c r="T708" t="s">
        <v>47</v>
      </c>
      <c r="U708" s="3"/>
      <c r="V708" s="3"/>
      <c r="W708" s="3"/>
    </row>
    <row r="709" spans="1:23">
      <c r="A709" t="s">
        <v>1792</v>
      </c>
      <c r="B709" t="s">
        <v>403</v>
      </c>
      <c r="C709" t="s">
        <v>84</v>
      </c>
      <c r="D709" s="2">
        <v>37588</v>
      </c>
      <c r="E709" s="2">
        <v>45785</v>
      </c>
      <c r="F709" t="s">
        <v>1793</v>
      </c>
      <c r="G709" t="s">
        <v>62</v>
      </c>
      <c r="I709" t="s">
        <v>53</v>
      </c>
      <c r="J709" t="s">
        <v>46</v>
      </c>
      <c r="K709" t="s">
        <v>286</v>
      </c>
      <c r="L709">
        <v>67965.58</v>
      </c>
      <c r="M709">
        <v>67351.61</v>
      </c>
      <c r="N709" t="s">
        <v>73</v>
      </c>
      <c r="O709">
        <v>1</v>
      </c>
      <c r="P709">
        <v>72</v>
      </c>
      <c r="Q709">
        <v>2</v>
      </c>
      <c r="R709">
        <v>173</v>
      </c>
      <c r="S709">
        <v>231</v>
      </c>
      <c r="T709" t="s">
        <v>47</v>
      </c>
      <c r="U709" s="3"/>
      <c r="V709" s="3"/>
      <c r="W709" s="3"/>
    </row>
    <row r="710" spans="1:23">
      <c r="A710" t="s">
        <v>1794</v>
      </c>
      <c r="B710" t="s">
        <v>423</v>
      </c>
      <c r="D710" s="2">
        <v>23079</v>
      </c>
      <c r="E710" s="2">
        <v>45687</v>
      </c>
      <c r="F710" t="s">
        <v>1795</v>
      </c>
      <c r="G710" t="s">
        <v>141</v>
      </c>
      <c r="H710" t="s">
        <v>52</v>
      </c>
      <c r="I710" t="s">
        <v>25</v>
      </c>
      <c r="K710" t="s">
        <v>55</v>
      </c>
      <c r="L710">
        <v>121973.49</v>
      </c>
      <c r="M710">
        <v>87038.2</v>
      </c>
      <c r="O710">
        <v>8</v>
      </c>
      <c r="P710">
        <v>167</v>
      </c>
      <c r="Q710">
        <v>3</v>
      </c>
      <c r="R710">
        <v>108</v>
      </c>
      <c r="S710">
        <v>212.6</v>
      </c>
      <c r="T710" t="s">
        <v>37</v>
      </c>
      <c r="U710" s="3"/>
      <c r="V710" s="3"/>
      <c r="W710" s="3"/>
    </row>
    <row r="711" spans="1:23">
      <c r="A711" t="s">
        <v>1796</v>
      </c>
      <c r="B711" t="s">
        <v>83</v>
      </c>
      <c r="C711" t="s">
        <v>22</v>
      </c>
      <c r="D711" t="s">
        <v>1797</v>
      </c>
      <c r="E711" s="2">
        <v>45520</v>
      </c>
      <c r="F711" t="s">
        <v>1798</v>
      </c>
      <c r="G711" t="s">
        <v>31</v>
      </c>
      <c r="H711" t="s">
        <v>113</v>
      </c>
      <c r="I711" t="s">
        <v>45</v>
      </c>
      <c r="J711" t="s">
        <v>97</v>
      </c>
      <c r="K711" t="s">
        <v>120</v>
      </c>
      <c r="L711">
        <v>106255.96</v>
      </c>
      <c r="M711">
        <v>91387.65</v>
      </c>
      <c r="N711" t="s">
        <v>192</v>
      </c>
      <c r="O711">
        <v>1</v>
      </c>
      <c r="P711">
        <v>164</v>
      </c>
      <c r="Q711">
        <v>1</v>
      </c>
      <c r="R711">
        <v>94</v>
      </c>
      <c r="S711">
        <v>106.6</v>
      </c>
      <c r="T711" t="s">
        <v>37</v>
      </c>
      <c r="U711" s="3"/>
      <c r="V711" s="3"/>
      <c r="W711" s="3"/>
    </row>
    <row r="712" spans="1:23">
      <c r="A712" t="s">
        <v>1799</v>
      </c>
      <c r="B712" t="s">
        <v>771</v>
      </c>
      <c r="D712" s="2">
        <v>26036</v>
      </c>
      <c r="E712" s="2">
        <v>45775</v>
      </c>
      <c r="G712" t="s">
        <v>105</v>
      </c>
      <c r="I712" t="s">
        <v>79</v>
      </c>
      <c r="J712" t="s">
        <v>64</v>
      </c>
      <c r="K712" t="s">
        <v>110</v>
      </c>
      <c r="L712">
        <v>146889.62</v>
      </c>
      <c r="M712">
        <v>117759.83</v>
      </c>
      <c r="N712" t="s">
        <v>91</v>
      </c>
      <c r="O712">
        <v>5</v>
      </c>
      <c r="P712">
        <v>126</v>
      </c>
      <c r="Q712">
        <v>5</v>
      </c>
      <c r="R712">
        <v>93</v>
      </c>
      <c r="S712">
        <v>81.400000000000006</v>
      </c>
      <c r="T712" t="s">
        <v>37</v>
      </c>
      <c r="U712" s="3"/>
      <c r="V712" s="3"/>
      <c r="W712" s="3"/>
    </row>
    <row r="713" spans="1:23">
      <c r="A713" t="s">
        <v>1800</v>
      </c>
      <c r="B713" t="s">
        <v>1667</v>
      </c>
      <c r="C713" t="s">
        <v>60</v>
      </c>
      <c r="D713" s="2">
        <v>20127</v>
      </c>
      <c r="E713" s="2">
        <v>45706</v>
      </c>
      <c r="F713" s="2">
        <v>45708</v>
      </c>
      <c r="G713" t="s">
        <v>77</v>
      </c>
      <c r="H713" t="s">
        <v>52</v>
      </c>
      <c r="I713" t="s">
        <v>79</v>
      </c>
      <c r="J713" t="s">
        <v>34</v>
      </c>
      <c r="K713" t="s">
        <v>55</v>
      </c>
      <c r="L713">
        <v>37777.42</v>
      </c>
      <c r="M713">
        <v>26726.98</v>
      </c>
      <c r="N713" t="s">
        <v>56</v>
      </c>
      <c r="O713">
        <v>2</v>
      </c>
      <c r="P713">
        <v>215</v>
      </c>
      <c r="Q713">
        <v>5</v>
      </c>
      <c r="R713">
        <v>130</v>
      </c>
      <c r="U713" s="3"/>
      <c r="V713" s="3"/>
      <c r="W713" s="3"/>
    </row>
    <row r="714" spans="1:23">
      <c r="A714" t="s">
        <v>1801</v>
      </c>
      <c r="B714" t="s">
        <v>936</v>
      </c>
      <c r="C714" t="s">
        <v>133</v>
      </c>
      <c r="D714" s="2">
        <v>21665</v>
      </c>
      <c r="E714" s="2">
        <v>45544</v>
      </c>
      <c r="F714" s="2">
        <v>45554</v>
      </c>
      <c r="G714" t="s">
        <v>62</v>
      </c>
      <c r="I714" t="s">
        <v>119</v>
      </c>
      <c r="J714" t="s">
        <v>97</v>
      </c>
      <c r="K714" t="s">
        <v>183</v>
      </c>
      <c r="L714">
        <v>25478.639999999999</v>
      </c>
      <c r="M714">
        <v>17055.099999999999</v>
      </c>
      <c r="N714" t="s">
        <v>73</v>
      </c>
      <c r="O714">
        <v>10</v>
      </c>
      <c r="P714">
        <v>92</v>
      </c>
      <c r="Q714">
        <v>3</v>
      </c>
      <c r="R714">
        <v>117</v>
      </c>
      <c r="S714">
        <v>243.2</v>
      </c>
      <c r="T714" t="s">
        <v>127</v>
      </c>
      <c r="U714" s="3"/>
      <c r="V714" s="3"/>
      <c r="W714" s="3"/>
    </row>
    <row r="715" spans="1:23">
      <c r="A715" t="s">
        <v>1802</v>
      </c>
      <c r="B715" t="s">
        <v>522</v>
      </c>
      <c r="C715" t="s">
        <v>133</v>
      </c>
      <c r="D715" t="s">
        <v>1803</v>
      </c>
      <c r="E715" s="2">
        <v>45788</v>
      </c>
      <c r="F715" s="2">
        <v>45800</v>
      </c>
      <c r="G715" t="s">
        <v>94</v>
      </c>
      <c r="H715" t="s">
        <v>124</v>
      </c>
      <c r="J715" t="s">
        <v>34</v>
      </c>
      <c r="K715" t="s">
        <v>161</v>
      </c>
      <c r="L715">
        <v>22028.45</v>
      </c>
      <c r="M715">
        <v>18432.599999999999</v>
      </c>
      <c r="N715" t="s">
        <v>192</v>
      </c>
      <c r="O715">
        <v>12</v>
      </c>
      <c r="P715">
        <v>81</v>
      </c>
      <c r="R715">
        <v>93</v>
      </c>
      <c r="S715">
        <v>254.4</v>
      </c>
      <c r="U715" s="3"/>
      <c r="V715" s="3"/>
      <c r="W715" s="3"/>
    </row>
    <row r="716" spans="1:23">
      <c r="A716" t="s">
        <v>1804</v>
      </c>
      <c r="B716" t="s">
        <v>1119</v>
      </c>
      <c r="C716" t="s">
        <v>40</v>
      </c>
      <c r="D716" s="2">
        <v>22115</v>
      </c>
      <c r="E716" s="2">
        <v>45755</v>
      </c>
      <c r="F716" s="2">
        <v>45765</v>
      </c>
      <c r="G716" t="s">
        <v>70</v>
      </c>
      <c r="H716" t="s">
        <v>95</v>
      </c>
      <c r="I716" t="s">
        <v>79</v>
      </c>
      <c r="J716" t="s">
        <v>71</v>
      </c>
      <c r="K716" t="s">
        <v>55</v>
      </c>
      <c r="L716">
        <v>121044.95</v>
      </c>
      <c r="O716">
        <v>10</v>
      </c>
      <c r="P716">
        <v>237</v>
      </c>
      <c r="R716">
        <v>176</v>
      </c>
      <c r="S716">
        <v>150</v>
      </c>
      <c r="T716" t="s">
        <v>47</v>
      </c>
      <c r="U716" s="3"/>
      <c r="V716" s="3"/>
      <c r="W716" s="3"/>
    </row>
    <row r="717" spans="1:23">
      <c r="A717" t="s">
        <v>1805</v>
      </c>
      <c r="B717" t="s">
        <v>155</v>
      </c>
      <c r="C717" t="s">
        <v>40</v>
      </c>
      <c r="D717" s="2">
        <v>31428</v>
      </c>
      <c r="E717" s="2">
        <v>45524</v>
      </c>
      <c r="F717" t="s">
        <v>1806</v>
      </c>
      <c r="G717" t="s">
        <v>109</v>
      </c>
      <c r="H717" t="s">
        <v>24</v>
      </c>
      <c r="I717" t="s">
        <v>25</v>
      </c>
      <c r="J717" t="s">
        <v>34</v>
      </c>
      <c r="K717" t="s">
        <v>388</v>
      </c>
      <c r="L717" t="s">
        <v>1807</v>
      </c>
      <c r="M717">
        <v>113652.09</v>
      </c>
      <c r="N717" t="s">
        <v>192</v>
      </c>
      <c r="O717">
        <v>5</v>
      </c>
      <c r="P717">
        <v>215</v>
      </c>
      <c r="Q717">
        <v>4</v>
      </c>
      <c r="R717">
        <v>140</v>
      </c>
      <c r="S717">
        <v>185.5</v>
      </c>
      <c r="T717" t="s">
        <v>106</v>
      </c>
      <c r="U717" s="3"/>
      <c r="V717" s="3"/>
      <c r="W717" s="3"/>
    </row>
    <row r="718" spans="1:23">
      <c r="A718" t="s">
        <v>1808</v>
      </c>
      <c r="B718" t="s">
        <v>1480</v>
      </c>
      <c r="C718" t="s">
        <v>30</v>
      </c>
      <c r="D718" t="s">
        <v>1809</v>
      </c>
      <c r="E718" s="2">
        <v>45310</v>
      </c>
      <c r="F718" s="2">
        <v>45315</v>
      </c>
      <c r="G718" t="s">
        <v>152</v>
      </c>
      <c r="H718" t="s">
        <v>124</v>
      </c>
      <c r="K718" t="s">
        <v>27</v>
      </c>
      <c r="L718">
        <v>51827.21</v>
      </c>
      <c r="M718">
        <v>37335.040000000001</v>
      </c>
      <c r="N718" t="s">
        <v>35</v>
      </c>
      <c r="O718">
        <v>5</v>
      </c>
      <c r="P718">
        <v>195</v>
      </c>
      <c r="Q718">
        <v>3</v>
      </c>
      <c r="R718">
        <v>91</v>
      </c>
      <c r="S718">
        <v>138.30000000000001</v>
      </c>
      <c r="T718" t="s">
        <v>127</v>
      </c>
      <c r="U718" s="3"/>
      <c r="V718" s="3"/>
      <c r="W718" s="3"/>
    </row>
    <row r="719" spans="1:23">
      <c r="A719" t="s">
        <v>1810</v>
      </c>
      <c r="B719" t="s">
        <v>967</v>
      </c>
      <c r="D719" s="2">
        <v>18280</v>
      </c>
      <c r="E719" t="s">
        <v>1811</v>
      </c>
      <c r="F719" s="2">
        <v>45997</v>
      </c>
      <c r="G719" t="s">
        <v>161</v>
      </c>
      <c r="H719" t="s">
        <v>134</v>
      </c>
      <c r="I719" t="s">
        <v>25</v>
      </c>
      <c r="J719" t="s">
        <v>179</v>
      </c>
      <c r="L719">
        <v>145962.15</v>
      </c>
      <c r="M719">
        <v>119009.5</v>
      </c>
      <c r="N719" t="s">
        <v>91</v>
      </c>
      <c r="O719" t="s">
        <v>713</v>
      </c>
      <c r="P719">
        <v>197</v>
      </c>
      <c r="Q719">
        <v>3</v>
      </c>
      <c r="R719">
        <v>120</v>
      </c>
      <c r="S719">
        <v>96.4</v>
      </c>
      <c r="T719" t="s">
        <v>37</v>
      </c>
      <c r="U719" s="3"/>
      <c r="V719" s="3"/>
      <c r="W719" s="3"/>
    </row>
    <row r="720" spans="1:23">
      <c r="A720" t="s">
        <v>1812</v>
      </c>
      <c r="B720" t="s">
        <v>292</v>
      </c>
      <c r="C720" t="s">
        <v>84</v>
      </c>
      <c r="D720" s="2">
        <v>37680</v>
      </c>
      <c r="E720" t="s">
        <v>1595</v>
      </c>
      <c r="F720" t="s">
        <v>1813</v>
      </c>
      <c r="G720" t="s">
        <v>43</v>
      </c>
      <c r="H720" t="s">
        <v>86</v>
      </c>
      <c r="I720" t="s">
        <v>25</v>
      </c>
      <c r="J720" t="s">
        <v>179</v>
      </c>
      <c r="K720" t="s">
        <v>120</v>
      </c>
      <c r="L720">
        <v>8206.77</v>
      </c>
      <c r="M720">
        <v>6978.24</v>
      </c>
      <c r="N720" t="s">
        <v>192</v>
      </c>
      <c r="O720">
        <v>16</v>
      </c>
      <c r="P720">
        <v>155</v>
      </c>
      <c r="R720">
        <v>125</v>
      </c>
      <c r="S720">
        <v>200</v>
      </c>
      <c r="T720" t="s">
        <v>47</v>
      </c>
      <c r="U720" s="3"/>
      <c r="V720" s="3"/>
      <c r="W720" s="3"/>
    </row>
    <row r="721" spans="1:23">
      <c r="A721" t="s">
        <v>1814</v>
      </c>
      <c r="B721" t="s">
        <v>1305</v>
      </c>
      <c r="C721" t="s">
        <v>22</v>
      </c>
      <c r="D721" s="2">
        <v>26181</v>
      </c>
      <c r="E721" s="2">
        <v>45559</v>
      </c>
      <c r="F721" s="2">
        <v>45564</v>
      </c>
      <c r="G721" t="s">
        <v>94</v>
      </c>
      <c r="H721" t="s">
        <v>113</v>
      </c>
      <c r="I721" t="s">
        <v>96</v>
      </c>
      <c r="J721" t="s">
        <v>179</v>
      </c>
      <c r="K721" t="s">
        <v>55</v>
      </c>
      <c r="L721">
        <v>19432.36</v>
      </c>
      <c r="M721">
        <v>15491.14</v>
      </c>
      <c r="N721" t="s">
        <v>73</v>
      </c>
      <c r="O721">
        <v>5</v>
      </c>
      <c r="P721" t="s">
        <v>1815</v>
      </c>
      <c r="Q721">
        <v>5</v>
      </c>
      <c r="R721" t="s">
        <v>1416</v>
      </c>
      <c r="S721">
        <v>148.1</v>
      </c>
      <c r="T721" t="s">
        <v>37</v>
      </c>
      <c r="U721" s="3"/>
      <c r="V721" s="3"/>
      <c r="W721" s="3"/>
    </row>
    <row r="722" spans="1:23">
      <c r="A722" t="s">
        <v>1816</v>
      </c>
      <c r="B722" t="s">
        <v>390</v>
      </c>
      <c r="C722" t="s">
        <v>60</v>
      </c>
      <c r="D722" s="2">
        <v>24800</v>
      </c>
      <c r="E722" s="2">
        <v>44959</v>
      </c>
      <c r="F722" s="2">
        <v>44964</v>
      </c>
      <c r="G722" t="s">
        <v>89</v>
      </c>
      <c r="H722" t="s">
        <v>52</v>
      </c>
      <c r="I722" t="s">
        <v>53</v>
      </c>
      <c r="J722" t="s">
        <v>97</v>
      </c>
      <c r="K722" t="s">
        <v>55</v>
      </c>
      <c r="L722">
        <v>164023.01999999999</v>
      </c>
      <c r="M722">
        <v>123118.85</v>
      </c>
      <c r="N722" t="s">
        <v>162</v>
      </c>
      <c r="O722">
        <v>5</v>
      </c>
      <c r="P722">
        <v>201</v>
      </c>
      <c r="Q722">
        <v>5</v>
      </c>
      <c r="R722">
        <v>90</v>
      </c>
      <c r="S722">
        <v>98.4</v>
      </c>
      <c r="T722" t="s">
        <v>37</v>
      </c>
      <c r="U722" s="3"/>
      <c r="V722" s="3"/>
      <c r="W722" s="3"/>
    </row>
    <row r="723" spans="1:23">
      <c r="A723" t="s">
        <v>1817</v>
      </c>
      <c r="B723" t="s">
        <v>1818</v>
      </c>
      <c r="C723" t="s">
        <v>816</v>
      </c>
      <c r="D723" s="2">
        <v>22018</v>
      </c>
      <c r="E723" s="2">
        <v>45857</v>
      </c>
      <c r="G723" t="s">
        <v>161</v>
      </c>
      <c r="H723" t="s">
        <v>124</v>
      </c>
      <c r="J723" t="s">
        <v>64</v>
      </c>
      <c r="K723" t="s">
        <v>72</v>
      </c>
      <c r="L723">
        <v>237728.4</v>
      </c>
      <c r="M723">
        <v>194777.84</v>
      </c>
      <c r="N723" t="s">
        <v>162</v>
      </c>
      <c r="O723">
        <v>1</v>
      </c>
      <c r="P723">
        <v>32</v>
      </c>
      <c r="R723">
        <v>104</v>
      </c>
      <c r="S723">
        <v>200.5</v>
      </c>
      <c r="T723" t="s">
        <v>37</v>
      </c>
      <c r="U723" s="3"/>
      <c r="V723" s="3"/>
      <c r="W723" s="3"/>
    </row>
    <row r="724" spans="1:23">
      <c r="A724" t="s">
        <v>1819</v>
      </c>
      <c r="B724" t="s">
        <v>444</v>
      </c>
      <c r="C724" t="s">
        <v>133</v>
      </c>
      <c r="D724" t="s">
        <v>1820</v>
      </c>
      <c r="E724" s="2">
        <v>45423</v>
      </c>
      <c r="F724" s="2">
        <v>45440</v>
      </c>
      <c r="G724" t="s">
        <v>161</v>
      </c>
      <c r="H724" t="s">
        <v>24</v>
      </c>
      <c r="I724" t="s">
        <v>33</v>
      </c>
      <c r="K724" t="s">
        <v>161</v>
      </c>
      <c r="L724" t="s">
        <v>1821</v>
      </c>
      <c r="M724">
        <v>45366.18</v>
      </c>
      <c r="N724" t="s">
        <v>35</v>
      </c>
      <c r="O724">
        <v>17</v>
      </c>
      <c r="P724" t="s">
        <v>1822</v>
      </c>
      <c r="Q724">
        <v>4</v>
      </c>
      <c r="R724">
        <v>98</v>
      </c>
      <c r="S724">
        <v>136.69999999999999</v>
      </c>
      <c r="T724" t="s">
        <v>47</v>
      </c>
      <c r="U724" s="3"/>
      <c r="V724" s="3"/>
      <c r="W724" s="3"/>
    </row>
    <row r="725" spans="1:23">
      <c r="A725" t="s">
        <v>1823</v>
      </c>
      <c r="B725" t="s">
        <v>1313</v>
      </c>
      <c r="C725" t="s">
        <v>30</v>
      </c>
      <c r="D725" s="2">
        <v>35074</v>
      </c>
      <c r="E725" s="2">
        <v>45290</v>
      </c>
      <c r="F725" s="2">
        <v>45295</v>
      </c>
      <c r="G725" t="s">
        <v>43</v>
      </c>
      <c r="H725" t="s">
        <v>86</v>
      </c>
      <c r="I725" t="s">
        <v>96</v>
      </c>
      <c r="J725" t="s">
        <v>34</v>
      </c>
      <c r="K725" t="s">
        <v>161</v>
      </c>
      <c r="L725">
        <v>206741.31</v>
      </c>
      <c r="M725">
        <v>151359.71</v>
      </c>
      <c r="N725" t="s">
        <v>91</v>
      </c>
      <c r="O725" t="s">
        <v>1036</v>
      </c>
      <c r="P725">
        <v>27</v>
      </c>
      <c r="Q725">
        <v>5</v>
      </c>
      <c r="R725">
        <v>120</v>
      </c>
      <c r="S725">
        <v>71.3</v>
      </c>
      <c r="T725" t="s">
        <v>37</v>
      </c>
      <c r="U725" s="3"/>
      <c r="V725" s="3"/>
      <c r="W725" s="3"/>
    </row>
    <row r="726" spans="1:23">
      <c r="A726" t="s">
        <v>1824</v>
      </c>
      <c r="B726" t="s">
        <v>1200</v>
      </c>
      <c r="C726" t="s">
        <v>60</v>
      </c>
      <c r="D726" s="2">
        <v>37490</v>
      </c>
      <c r="E726" s="2">
        <v>45302</v>
      </c>
      <c r="F726" s="2">
        <v>45315</v>
      </c>
      <c r="G726" t="s">
        <v>152</v>
      </c>
      <c r="H726" t="s">
        <v>95</v>
      </c>
      <c r="I726" t="s">
        <v>79</v>
      </c>
      <c r="J726" t="s">
        <v>34</v>
      </c>
      <c r="L726">
        <v>176639.11</v>
      </c>
      <c r="M726">
        <v>164532.26999999999</v>
      </c>
      <c r="N726" t="s">
        <v>73</v>
      </c>
      <c r="O726">
        <v>13</v>
      </c>
      <c r="P726">
        <v>183</v>
      </c>
      <c r="Q726">
        <v>4</v>
      </c>
      <c r="R726">
        <v>109</v>
      </c>
      <c r="S726">
        <v>232.6</v>
      </c>
      <c r="T726" t="s">
        <v>65</v>
      </c>
      <c r="U726" s="3"/>
      <c r="V726" s="3"/>
      <c r="W726" s="3"/>
    </row>
    <row r="727" spans="1:23">
      <c r="A727" t="s">
        <v>1825</v>
      </c>
      <c r="B727" t="s">
        <v>417</v>
      </c>
      <c r="C727" t="s">
        <v>133</v>
      </c>
      <c r="D727" s="2">
        <v>32975</v>
      </c>
      <c r="E727" s="2">
        <v>44957</v>
      </c>
      <c r="F727" s="2">
        <v>44959</v>
      </c>
      <c r="G727" t="s">
        <v>161</v>
      </c>
      <c r="H727" t="s">
        <v>78</v>
      </c>
      <c r="I727" t="s">
        <v>96</v>
      </c>
      <c r="J727" t="s">
        <v>64</v>
      </c>
      <c r="K727" t="s">
        <v>55</v>
      </c>
      <c r="L727">
        <v>142492.26</v>
      </c>
      <c r="M727">
        <v>141361.76999999999</v>
      </c>
      <c r="N727" t="s">
        <v>56</v>
      </c>
      <c r="O727">
        <v>2</v>
      </c>
      <c r="P727">
        <v>37</v>
      </c>
      <c r="Q727">
        <v>4</v>
      </c>
      <c r="R727">
        <v>130</v>
      </c>
      <c r="S727">
        <v>234.2</v>
      </c>
      <c r="T727" t="s">
        <v>47</v>
      </c>
      <c r="U727" s="3"/>
      <c r="V727" s="3"/>
      <c r="W727" s="3"/>
    </row>
    <row r="728" spans="1:23">
      <c r="A728" t="s">
        <v>1826</v>
      </c>
      <c r="B728" t="s">
        <v>277</v>
      </c>
      <c r="C728" t="s">
        <v>50</v>
      </c>
      <c r="D728" s="2">
        <v>22076</v>
      </c>
      <c r="E728" s="2">
        <v>45279</v>
      </c>
      <c r="F728" t="s">
        <v>1235</v>
      </c>
      <c r="G728" t="s">
        <v>141</v>
      </c>
      <c r="H728" t="s">
        <v>153</v>
      </c>
      <c r="J728" t="s">
        <v>71</v>
      </c>
      <c r="K728" t="s">
        <v>110</v>
      </c>
      <c r="L728">
        <v>161597.48000000001</v>
      </c>
      <c r="M728">
        <v>150273.45000000001</v>
      </c>
      <c r="N728" t="s">
        <v>73</v>
      </c>
      <c r="O728">
        <v>1</v>
      </c>
      <c r="P728">
        <v>30</v>
      </c>
      <c r="R728">
        <v>189</v>
      </c>
      <c r="S728">
        <v>107.2</v>
      </c>
      <c r="T728" t="s">
        <v>37</v>
      </c>
      <c r="U728" s="3"/>
      <c r="V728" s="3"/>
      <c r="W728" s="3"/>
    </row>
    <row r="729" spans="1:23">
      <c r="A729" t="s">
        <v>1827</v>
      </c>
      <c r="B729" t="s">
        <v>531</v>
      </c>
      <c r="C729" t="s">
        <v>40</v>
      </c>
      <c r="D729" s="2">
        <v>30568</v>
      </c>
      <c r="E729" s="2">
        <v>45786</v>
      </c>
      <c r="G729" t="s">
        <v>43</v>
      </c>
      <c r="H729" t="s">
        <v>134</v>
      </c>
      <c r="I729" t="s">
        <v>96</v>
      </c>
      <c r="J729" t="s">
        <v>179</v>
      </c>
      <c r="K729" t="s">
        <v>27</v>
      </c>
      <c r="L729">
        <v>88460.88</v>
      </c>
      <c r="M729">
        <v>83592.67</v>
      </c>
      <c r="N729" t="s">
        <v>56</v>
      </c>
      <c r="O729">
        <v>18</v>
      </c>
      <c r="P729">
        <v>16</v>
      </c>
      <c r="Q729">
        <v>3</v>
      </c>
      <c r="R729">
        <v>101</v>
      </c>
      <c r="S729">
        <v>100.6</v>
      </c>
      <c r="T729" t="s">
        <v>65</v>
      </c>
      <c r="U729" s="3"/>
      <c r="V729" s="3"/>
      <c r="W729" s="3"/>
    </row>
    <row r="730" spans="1:23">
      <c r="A730" t="s">
        <v>1828</v>
      </c>
      <c r="B730" t="s">
        <v>394</v>
      </c>
      <c r="C730" t="s">
        <v>133</v>
      </c>
      <c r="D730" s="2">
        <v>37362</v>
      </c>
      <c r="E730" s="2">
        <v>45218</v>
      </c>
      <c r="F730" s="2">
        <v>45222</v>
      </c>
      <c r="G730" t="s">
        <v>141</v>
      </c>
      <c r="I730" t="s">
        <v>79</v>
      </c>
      <c r="J730" t="s">
        <v>179</v>
      </c>
      <c r="K730" t="s">
        <v>120</v>
      </c>
      <c r="L730">
        <v>246894.94</v>
      </c>
      <c r="M730">
        <v>184911.15</v>
      </c>
      <c r="N730" t="s">
        <v>35</v>
      </c>
      <c r="O730">
        <v>4</v>
      </c>
      <c r="P730" t="s">
        <v>1260</v>
      </c>
      <c r="Q730">
        <v>4</v>
      </c>
      <c r="R730">
        <v>103</v>
      </c>
      <c r="S730">
        <v>183</v>
      </c>
      <c r="T730" t="s">
        <v>37</v>
      </c>
      <c r="U730" s="3"/>
      <c r="V730" s="3"/>
      <c r="W730" s="3"/>
    </row>
    <row r="731" spans="1:23">
      <c r="A731" t="s">
        <v>1829</v>
      </c>
      <c r="B731" t="s">
        <v>1830</v>
      </c>
      <c r="C731" t="s">
        <v>206</v>
      </c>
      <c r="D731" s="2">
        <v>36117</v>
      </c>
      <c r="E731" s="2">
        <v>45776</v>
      </c>
      <c r="F731" t="s">
        <v>1831</v>
      </c>
      <c r="G731" t="s">
        <v>161</v>
      </c>
      <c r="I731" t="s">
        <v>79</v>
      </c>
      <c r="J731" t="s">
        <v>97</v>
      </c>
      <c r="L731">
        <v>190738.51</v>
      </c>
      <c r="M731">
        <v>172641.79</v>
      </c>
      <c r="N731" t="s">
        <v>56</v>
      </c>
      <c r="O731">
        <v>2</v>
      </c>
      <c r="P731">
        <v>162</v>
      </c>
      <c r="Q731">
        <v>1</v>
      </c>
      <c r="R731">
        <v>182</v>
      </c>
      <c r="S731">
        <v>166.4</v>
      </c>
      <c r="T731" t="s">
        <v>37</v>
      </c>
      <c r="U731" s="3"/>
      <c r="V731" s="3"/>
      <c r="W731" s="3"/>
    </row>
    <row r="732" spans="1:23">
      <c r="A732" t="s">
        <v>1832</v>
      </c>
      <c r="B732" t="s">
        <v>21</v>
      </c>
      <c r="C732" t="s">
        <v>206</v>
      </c>
      <c r="D732" s="2">
        <v>39890</v>
      </c>
      <c r="E732" s="2">
        <v>46009</v>
      </c>
      <c r="F732" t="s">
        <v>1833</v>
      </c>
      <c r="G732" t="s">
        <v>1282</v>
      </c>
      <c r="H732" t="s">
        <v>32</v>
      </c>
      <c r="I732" t="s">
        <v>53</v>
      </c>
      <c r="J732" t="s">
        <v>34</v>
      </c>
      <c r="L732" t="s">
        <v>1834</v>
      </c>
      <c r="M732">
        <v>137807.94</v>
      </c>
      <c r="N732" t="s">
        <v>73</v>
      </c>
      <c r="O732">
        <v>15</v>
      </c>
      <c r="P732">
        <v>124</v>
      </c>
      <c r="Q732">
        <v>2</v>
      </c>
      <c r="R732">
        <v>143</v>
      </c>
      <c r="S732">
        <v>90.1</v>
      </c>
      <c r="T732" t="s">
        <v>37</v>
      </c>
      <c r="U732" s="3"/>
      <c r="V732" s="3"/>
      <c r="W732" s="3"/>
    </row>
    <row r="733" spans="1:23">
      <c r="A733" t="s">
        <v>1835</v>
      </c>
      <c r="B733" t="s">
        <v>324</v>
      </c>
      <c r="C733" t="s">
        <v>100</v>
      </c>
      <c r="D733" s="2">
        <v>29764</v>
      </c>
      <c r="E733" s="2">
        <v>45391</v>
      </c>
      <c r="F733" s="2">
        <v>45393</v>
      </c>
      <c r="G733" t="s">
        <v>43</v>
      </c>
      <c r="H733" t="s">
        <v>95</v>
      </c>
      <c r="I733" t="s">
        <v>33</v>
      </c>
      <c r="J733" t="s">
        <v>179</v>
      </c>
      <c r="K733" t="s">
        <v>55</v>
      </c>
      <c r="L733">
        <v>47560.14</v>
      </c>
      <c r="M733">
        <v>41097.14</v>
      </c>
      <c r="N733" t="s">
        <v>35</v>
      </c>
      <c r="O733">
        <v>2</v>
      </c>
      <c r="P733">
        <v>177</v>
      </c>
      <c r="R733">
        <v>136</v>
      </c>
      <c r="S733">
        <v>219</v>
      </c>
      <c r="T733" t="s">
        <v>37</v>
      </c>
      <c r="U733" s="3"/>
      <c r="V733" s="3"/>
      <c r="W733" s="3"/>
    </row>
    <row r="734" spans="1:23">
      <c r="A734" t="s">
        <v>1836</v>
      </c>
      <c r="B734" t="s">
        <v>613</v>
      </c>
      <c r="D734" s="2">
        <v>19195</v>
      </c>
      <c r="E734" s="2">
        <v>45710</v>
      </c>
      <c r="F734" t="s">
        <v>1837</v>
      </c>
      <c r="G734" t="s">
        <v>77</v>
      </c>
      <c r="H734" t="s">
        <v>44</v>
      </c>
      <c r="I734" t="s">
        <v>79</v>
      </c>
      <c r="J734" t="s">
        <v>34</v>
      </c>
      <c r="K734" t="s">
        <v>72</v>
      </c>
      <c r="L734">
        <v>7430.97</v>
      </c>
      <c r="M734">
        <v>6386.46</v>
      </c>
      <c r="N734" t="s">
        <v>91</v>
      </c>
      <c r="O734">
        <v>18</v>
      </c>
      <c r="P734">
        <v>96</v>
      </c>
      <c r="Q734">
        <v>2</v>
      </c>
      <c r="R734">
        <v>145</v>
      </c>
      <c r="S734">
        <v>187.8</v>
      </c>
      <c r="T734" t="s">
        <v>81</v>
      </c>
      <c r="U734" s="3"/>
      <c r="V734" s="3"/>
      <c r="W734" s="3"/>
    </row>
    <row r="735" spans="1:23">
      <c r="A735" t="s">
        <v>1838</v>
      </c>
      <c r="B735" t="s">
        <v>1839</v>
      </c>
      <c r="C735" t="s">
        <v>206</v>
      </c>
      <c r="D735" s="2">
        <v>39820</v>
      </c>
      <c r="E735" s="2">
        <v>45331</v>
      </c>
      <c r="I735" t="s">
        <v>96</v>
      </c>
      <c r="J735" t="s">
        <v>97</v>
      </c>
      <c r="K735" t="s">
        <v>161</v>
      </c>
      <c r="L735">
        <v>72312.149999999994</v>
      </c>
      <c r="M735">
        <v>65865.149999999994</v>
      </c>
      <c r="N735" t="s">
        <v>162</v>
      </c>
      <c r="O735">
        <v>12</v>
      </c>
      <c r="P735">
        <v>182</v>
      </c>
      <c r="Q735">
        <v>2</v>
      </c>
      <c r="R735">
        <v>169</v>
      </c>
      <c r="S735">
        <v>172.3</v>
      </c>
      <c r="T735" t="s">
        <v>47</v>
      </c>
      <c r="U735" s="3"/>
      <c r="V735" s="3"/>
      <c r="W735" s="3"/>
    </row>
    <row r="736" spans="1:23">
      <c r="A736" t="s">
        <v>1840</v>
      </c>
      <c r="B736" t="s">
        <v>383</v>
      </c>
      <c r="C736" t="s">
        <v>100</v>
      </c>
      <c r="D736" s="2">
        <v>19057</v>
      </c>
      <c r="E736" s="2">
        <v>45681</v>
      </c>
      <c r="F736" t="s">
        <v>1841</v>
      </c>
      <c r="G736" t="s">
        <v>31</v>
      </c>
      <c r="H736" t="s">
        <v>63</v>
      </c>
      <c r="I736" t="s">
        <v>79</v>
      </c>
      <c r="J736" t="s">
        <v>71</v>
      </c>
      <c r="K736" t="s">
        <v>55</v>
      </c>
      <c r="L736">
        <v>102559.27</v>
      </c>
      <c r="M736">
        <v>78901.570000000007</v>
      </c>
      <c r="N736" t="s">
        <v>73</v>
      </c>
      <c r="O736">
        <v>3</v>
      </c>
      <c r="P736">
        <v>227</v>
      </c>
      <c r="Q736">
        <v>5</v>
      </c>
      <c r="R736">
        <v>119</v>
      </c>
      <c r="S736">
        <v>128.9</v>
      </c>
      <c r="T736" t="s">
        <v>37</v>
      </c>
      <c r="U736" s="3"/>
      <c r="V736" s="3"/>
      <c r="W736" s="3"/>
    </row>
    <row r="737" spans="1:23">
      <c r="A737" t="s">
        <v>1842</v>
      </c>
      <c r="B737" t="s">
        <v>224</v>
      </c>
      <c r="C737" t="s">
        <v>30</v>
      </c>
      <c r="D737" s="2">
        <v>38028</v>
      </c>
      <c r="E737" s="2">
        <v>45894</v>
      </c>
      <c r="F737" t="s">
        <v>1843</v>
      </c>
      <c r="G737" t="s">
        <v>105</v>
      </c>
      <c r="H737" t="s">
        <v>153</v>
      </c>
      <c r="I737" t="s">
        <v>33</v>
      </c>
      <c r="J737" t="s">
        <v>97</v>
      </c>
      <c r="K737" t="s">
        <v>72</v>
      </c>
      <c r="L737">
        <v>137637.14000000001</v>
      </c>
      <c r="M737">
        <v>133748.87</v>
      </c>
      <c r="N737" t="s">
        <v>91</v>
      </c>
      <c r="O737">
        <v>8</v>
      </c>
      <c r="P737">
        <v>237</v>
      </c>
      <c r="R737">
        <v>132</v>
      </c>
      <c r="S737">
        <v>223.4</v>
      </c>
      <c r="T737" t="s">
        <v>47</v>
      </c>
      <c r="U737" s="3"/>
      <c r="V737" s="3"/>
      <c r="W737" s="3"/>
    </row>
    <row r="738" spans="1:23">
      <c r="A738" t="s">
        <v>1844</v>
      </c>
      <c r="B738" t="s">
        <v>1667</v>
      </c>
      <c r="C738" t="s">
        <v>100</v>
      </c>
      <c r="D738" t="s">
        <v>1845</v>
      </c>
      <c r="E738" s="2">
        <v>45241</v>
      </c>
      <c r="F738" s="2">
        <v>45251</v>
      </c>
      <c r="G738" t="s">
        <v>43</v>
      </c>
      <c r="H738" t="s">
        <v>78</v>
      </c>
      <c r="I738" t="s">
        <v>119</v>
      </c>
      <c r="J738" t="s">
        <v>71</v>
      </c>
      <c r="K738" t="s">
        <v>27</v>
      </c>
      <c r="L738">
        <v>107155.75</v>
      </c>
      <c r="M738">
        <v>85568.23</v>
      </c>
      <c r="O738">
        <v>10</v>
      </c>
      <c r="P738">
        <v>14</v>
      </c>
      <c r="Q738">
        <v>5</v>
      </c>
      <c r="R738">
        <v>98</v>
      </c>
      <c r="S738">
        <v>153.9</v>
      </c>
      <c r="T738" t="s">
        <v>81</v>
      </c>
      <c r="U738" s="3"/>
      <c r="V738" s="3"/>
      <c r="W738" s="3"/>
    </row>
    <row r="739" spans="1:23">
      <c r="A739" t="s">
        <v>1846</v>
      </c>
      <c r="B739" t="s">
        <v>1391</v>
      </c>
      <c r="C739" t="s">
        <v>40</v>
      </c>
      <c r="D739" s="2">
        <v>29747</v>
      </c>
      <c r="E739" t="s">
        <v>1847</v>
      </c>
      <c r="G739" t="s">
        <v>62</v>
      </c>
      <c r="H739" t="s">
        <v>32</v>
      </c>
      <c r="I739" t="s">
        <v>96</v>
      </c>
      <c r="J739" t="s">
        <v>197</v>
      </c>
      <c r="K739" t="s">
        <v>110</v>
      </c>
      <c r="L739">
        <v>210532.82</v>
      </c>
      <c r="M739">
        <v>180764.02</v>
      </c>
      <c r="N739" t="s">
        <v>192</v>
      </c>
      <c r="O739">
        <v>17</v>
      </c>
      <c r="P739">
        <v>185</v>
      </c>
      <c r="R739">
        <v>175</v>
      </c>
      <c r="S739">
        <v>104.4</v>
      </c>
      <c r="T739" t="s">
        <v>37</v>
      </c>
      <c r="U739" s="3"/>
      <c r="V739" s="3"/>
      <c r="W739" s="3"/>
    </row>
    <row r="740" spans="1:23">
      <c r="A740" t="s">
        <v>1848</v>
      </c>
      <c r="B740" t="s">
        <v>1849</v>
      </c>
      <c r="C740" t="s">
        <v>30</v>
      </c>
      <c r="D740" s="2">
        <v>28250</v>
      </c>
      <c r="E740" s="2">
        <v>44948</v>
      </c>
      <c r="F740" s="2">
        <v>44963</v>
      </c>
      <c r="G740" t="s">
        <v>43</v>
      </c>
      <c r="H740" t="s">
        <v>113</v>
      </c>
      <c r="I740" t="s">
        <v>45</v>
      </c>
      <c r="J740" t="s">
        <v>97</v>
      </c>
      <c r="L740">
        <v>120863.11</v>
      </c>
      <c r="M740">
        <v>115774.78</v>
      </c>
      <c r="N740" t="s">
        <v>192</v>
      </c>
      <c r="O740">
        <v>15</v>
      </c>
      <c r="P740">
        <v>185</v>
      </c>
      <c r="Q740">
        <v>4</v>
      </c>
      <c r="R740">
        <v>133</v>
      </c>
      <c r="S740">
        <v>109.6</v>
      </c>
      <c r="T740" t="s">
        <v>37</v>
      </c>
      <c r="U740" s="3"/>
      <c r="V740" s="3"/>
      <c r="W740" s="3"/>
    </row>
    <row r="741" spans="1:23">
      <c r="A741" t="s">
        <v>1850</v>
      </c>
      <c r="B741" t="s">
        <v>427</v>
      </c>
      <c r="C741" t="s">
        <v>22</v>
      </c>
      <c r="D741" t="s">
        <v>1851</v>
      </c>
      <c r="E741" s="2">
        <v>45405</v>
      </c>
      <c r="G741" t="s">
        <v>105</v>
      </c>
      <c r="H741" t="s">
        <v>78</v>
      </c>
      <c r="I741" t="s">
        <v>119</v>
      </c>
      <c r="J741" t="s">
        <v>80</v>
      </c>
      <c r="K741" t="s">
        <v>449</v>
      </c>
      <c r="L741">
        <v>66777.789999999994</v>
      </c>
      <c r="M741">
        <v>62534.86</v>
      </c>
      <c r="N741" t="s">
        <v>91</v>
      </c>
      <c r="O741" t="s">
        <v>934</v>
      </c>
      <c r="R741">
        <v>167</v>
      </c>
      <c r="S741">
        <v>216.7</v>
      </c>
      <c r="T741" t="s">
        <v>37</v>
      </c>
      <c r="U741" s="3"/>
      <c r="V741" s="3"/>
      <c r="W741" s="3"/>
    </row>
    <row r="742" spans="1:23">
      <c r="A742" t="s">
        <v>1852</v>
      </c>
      <c r="B742" t="s">
        <v>689</v>
      </c>
      <c r="C742" t="s">
        <v>459</v>
      </c>
      <c r="D742" s="2">
        <v>19709</v>
      </c>
      <c r="E742" t="s">
        <v>1853</v>
      </c>
      <c r="F742" s="2">
        <v>45966</v>
      </c>
      <c r="G742" t="s">
        <v>105</v>
      </c>
      <c r="H742" t="s">
        <v>63</v>
      </c>
      <c r="I742" t="s">
        <v>96</v>
      </c>
      <c r="J742" t="s">
        <v>97</v>
      </c>
      <c r="K742" t="s">
        <v>110</v>
      </c>
      <c r="L742">
        <v>110492.71</v>
      </c>
      <c r="M742">
        <v>96792.6</v>
      </c>
      <c r="N742" t="s">
        <v>794</v>
      </c>
      <c r="O742">
        <v>15</v>
      </c>
      <c r="P742">
        <v>225</v>
      </c>
      <c r="Q742">
        <v>1</v>
      </c>
      <c r="R742">
        <v>120</v>
      </c>
      <c r="S742">
        <v>227.9</v>
      </c>
      <c r="T742" t="s">
        <v>37</v>
      </c>
      <c r="U742" s="3"/>
      <c r="V742" s="3"/>
      <c r="W742" s="3"/>
    </row>
    <row r="743" spans="1:23">
      <c r="A743" t="s">
        <v>1854</v>
      </c>
      <c r="B743" t="s">
        <v>378</v>
      </c>
      <c r="C743" t="s">
        <v>40</v>
      </c>
      <c r="D743" t="s">
        <v>1855</v>
      </c>
      <c r="E743" s="2">
        <v>45878</v>
      </c>
      <c r="F743" s="2">
        <v>45890</v>
      </c>
      <c r="G743" t="s">
        <v>77</v>
      </c>
      <c r="H743" t="s">
        <v>134</v>
      </c>
      <c r="I743" t="s">
        <v>33</v>
      </c>
      <c r="J743" t="s">
        <v>34</v>
      </c>
      <c r="K743" t="s">
        <v>161</v>
      </c>
      <c r="L743">
        <v>28885.47</v>
      </c>
      <c r="M743">
        <v>20715.560000000001</v>
      </c>
      <c r="N743" t="s">
        <v>73</v>
      </c>
      <c r="O743">
        <v>12</v>
      </c>
      <c r="P743">
        <v>80</v>
      </c>
      <c r="Q743">
        <v>3</v>
      </c>
      <c r="S743">
        <v>237.8</v>
      </c>
      <c r="T743" t="s">
        <v>65</v>
      </c>
      <c r="U743" s="3"/>
      <c r="V743" s="3"/>
      <c r="W743" s="3"/>
    </row>
    <row r="744" spans="1:23">
      <c r="A744" t="s">
        <v>1856</v>
      </c>
      <c r="B744" t="s">
        <v>829</v>
      </c>
      <c r="C744" t="s">
        <v>60</v>
      </c>
      <c r="D744" s="2">
        <v>22287</v>
      </c>
      <c r="E744" s="2">
        <v>45773</v>
      </c>
      <c r="G744" t="s">
        <v>109</v>
      </c>
      <c r="H744" t="s">
        <v>124</v>
      </c>
      <c r="I744" t="s">
        <v>79</v>
      </c>
      <c r="J744" t="s">
        <v>663</v>
      </c>
      <c r="K744" t="s">
        <v>120</v>
      </c>
      <c r="L744">
        <v>125125.28</v>
      </c>
      <c r="N744" t="s">
        <v>1048</v>
      </c>
      <c r="O744" t="s">
        <v>1857</v>
      </c>
      <c r="Q744">
        <v>1</v>
      </c>
      <c r="R744">
        <v>99</v>
      </c>
      <c r="S744">
        <v>155.6</v>
      </c>
      <c r="T744" t="s">
        <v>37</v>
      </c>
      <c r="U744" s="3"/>
      <c r="V744" s="3"/>
      <c r="W744" s="3"/>
    </row>
    <row r="745" spans="1:23">
      <c r="A745" t="s">
        <v>1858</v>
      </c>
      <c r="B745" t="s">
        <v>126</v>
      </c>
      <c r="C745" t="s">
        <v>206</v>
      </c>
      <c r="D745" t="s">
        <v>1859</v>
      </c>
      <c r="E745" s="2">
        <v>45698</v>
      </c>
      <c r="F745" s="2">
        <v>45706</v>
      </c>
      <c r="G745" t="s">
        <v>106</v>
      </c>
      <c r="H745" t="s">
        <v>78</v>
      </c>
      <c r="J745" t="s">
        <v>97</v>
      </c>
      <c r="K745" t="s">
        <v>55</v>
      </c>
      <c r="L745">
        <v>141892.35</v>
      </c>
      <c r="M745">
        <v>111877.99</v>
      </c>
      <c r="N745" t="s">
        <v>326</v>
      </c>
      <c r="O745">
        <v>8</v>
      </c>
      <c r="P745">
        <v>66</v>
      </c>
      <c r="R745">
        <v>90</v>
      </c>
      <c r="S745">
        <v>172.6</v>
      </c>
      <c r="T745" t="s">
        <v>37</v>
      </c>
      <c r="U745" s="3"/>
      <c r="V745" s="3"/>
      <c r="W745" s="3"/>
    </row>
    <row r="746" spans="1:23">
      <c r="A746" t="s">
        <v>1860</v>
      </c>
      <c r="B746" t="s">
        <v>1861</v>
      </c>
      <c r="D746" s="2">
        <v>23451</v>
      </c>
      <c r="E746" s="2">
        <v>45250</v>
      </c>
      <c r="F746" s="2">
        <v>45266</v>
      </c>
      <c r="H746" t="s">
        <v>52</v>
      </c>
      <c r="I746" t="s">
        <v>53</v>
      </c>
      <c r="K746" t="s">
        <v>55</v>
      </c>
      <c r="L746">
        <v>31673.55</v>
      </c>
      <c r="M746">
        <v>23068.78</v>
      </c>
      <c r="N746" t="s">
        <v>192</v>
      </c>
      <c r="O746">
        <v>16</v>
      </c>
      <c r="P746">
        <v>171</v>
      </c>
      <c r="Q746">
        <v>1</v>
      </c>
      <c r="R746">
        <v>128</v>
      </c>
      <c r="S746">
        <v>255.2</v>
      </c>
      <c r="T746" t="s">
        <v>37</v>
      </c>
      <c r="U746" s="3"/>
      <c r="V746" s="3"/>
      <c r="W746" s="3"/>
    </row>
    <row r="747" spans="1:23">
      <c r="A747" t="s">
        <v>1862</v>
      </c>
      <c r="B747" t="s">
        <v>1471</v>
      </c>
      <c r="C747" t="s">
        <v>206</v>
      </c>
      <c r="D747" s="2">
        <v>24404</v>
      </c>
      <c r="E747" s="2">
        <v>45692</v>
      </c>
      <c r="F747" t="s">
        <v>1863</v>
      </c>
      <c r="G747" t="s">
        <v>152</v>
      </c>
      <c r="H747" t="s">
        <v>1500</v>
      </c>
      <c r="I747" t="s">
        <v>79</v>
      </c>
      <c r="J747" t="s">
        <v>663</v>
      </c>
      <c r="K747" t="s">
        <v>191</v>
      </c>
      <c r="L747">
        <v>204475.97</v>
      </c>
      <c r="M747">
        <v>179577.41</v>
      </c>
      <c r="N747" t="s">
        <v>35</v>
      </c>
      <c r="O747">
        <v>1</v>
      </c>
      <c r="P747">
        <v>98</v>
      </c>
      <c r="Q747">
        <v>4</v>
      </c>
      <c r="R747">
        <v>92</v>
      </c>
      <c r="S747">
        <v>102.2</v>
      </c>
      <c r="T747" t="s">
        <v>37</v>
      </c>
      <c r="U747" s="3"/>
      <c r="V747" s="3"/>
      <c r="W747" s="3"/>
    </row>
    <row r="748" spans="1:23">
      <c r="A748" t="s">
        <v>1864</v>
      </c>
      <c r="B748" t="s">
        <v>244</v>
      </c>
      <c r="C748" t="s">
        <v>133</v>
      </c>
      <c r="D748" t="s">
        <v>1865</v>
      </c>
      <c r="E748" s="2">
        <v>44997</v>
      </c>
      <c r="F748" s="2">
        <v>45005</v>
      </c>
      <c r="G748" t="s">
        <v>62</v>
      </c>
      <c r="H748" t="s">
        <v>63</v>
      </c>
      <c r="I748" t="s">
        <v>45</v>
      </c>
      <c r="J748" t="s">
        <v>80</v>
      </c>
      <c r="K748" t="s">
        <v>72</v>
      </c>
      <c r="L748">
        <v>53556.77</v>
      </c>
      <c r="M748">
        <v>52872.39</v>
      </c>
      <c r="N748" t="s">
        <v>73</v>
      </c>
      <c r="O748">
        <v>8</v>
      </c>
      <c r="P748">
        <v>67</v>
      </c>
      <c r="Q748">
        <v>5</v>
      </c>
      <c r="R748">
        <v>98</v>
      </c>
      <c r="S748">
        <v>77.7</v>
      </c>
      <c r="T748" t="s">
        <v>65</v>
      </c>
      <c r="U748" s="3"/>
      <c r="V748" s="3"/>
      <c r="W748" s="3"/>
    </row>
    <row r="749" spans="1:23">
      <c r="A749" t="s">
        <v>1866</v>
      </c>
      <c r="B749" t="s">
        <v>522</v>
      </c>
      <c r="C749" t="s">
        <v>84</v>
      </c>
      <c r="D749" s="2">
        <v>37525</v>
      </c>
      <c r="E749" s="2">
        <v>45510</v>
      </c>
      <c r="F749" s="2">
        <v>45517</v>
      </c>
      <c r="G749" t="s">
        <v>70</v>
      </c>
      <c r="H749" t="s">
        <v>78</v>
      </c>
      <c r="I749" t="s">
        <v>45</v>
      </c>
      <c r="J749" t="s">
        <v>80</v>
      </c>
      <c r="K749" t="s">
        <v>72</v>
      </c>
      <c r="L749" t="s">
        <v>1867</v>
      </c>
      <c r="M749">
        <v>209226.42</v>
      </c>
      <c r="N749" t="s">
        <v>35</v>
      </c>
      <c r="O749">
        <v>7</v>
      </c>
      <c r="P749">
        <v>105</v>
      </c>
      <c r="Q749">
        <v>3</v>
      </c>
      <c r="R749">
        <v>165</v>
      </c>
      <c r="S749">
        <v>151.1</v>
      </c>
      <c r="T749" t="s">
        <v>81</v>
      </c>
      <c r="U749" s="3"/>
      <c r="V749" s="3"/>
      <c r="W749" s="3"/>
    </row>
    <row r="750" spans="1:23">
      <c r="A750" t="s">
        <v>1868</v>
      </c>
      <c r="B750" t="s">
        <v>1869</v>
      </c>
      <c r="C750" t="s">
        <v>206</v>
      </c>
      <c r="D750" s="2">
        <v>36336</v>
      </c>
      <c r="E750" s="2">
        <v>45731</v>
      </c>
      <c r="F750" t="s">
        <v>1870</v>
      </c>
      <c r="G750" t="s">
        <v>117</v>
      </c>
      <c r="H750" t="s">
        <v>118</v>
      </c>
      <c r="I750" t="s">
        <v>53</v>
      </c>
      <c r="J750" t="s">
        <v>179</v>
      </c>
      <c r="K750" t="s">
        <v>161</v>
      </c>
      <c r="L750" t="s">
        <v>1871</v>
      </c>
      <c r="M750">
        <v>31367.51</v>
      </c>
      <c r="N750" t="s">
        <v>73</v>
      </c>
      <c r="O750">
        <v>11</v>
      </c>
      <c r="P750">
        <v>107</v>
      </c>
      <c r="Q750">
        <v>4</v>
      </c>
      <c r="R750">
        <v>99</v>
      </c>
      <c r="S750">
        <v>161.4</v>
      </c>
      <c r="T750" t="s">
        <v>65</v>
      </c>
      <c r="U750" s="3"/>
      <c r="V750" s="3"/>
      <c r="W750" s="3"/>
    </row>
    <row r="751" spans="1:23">
      <c r="A751" t="s">
        <v>1872</v>
      </c>
      <c r="B751" t="s">
        <v>1830</v>
      </c>
      <c r="C751" t="s">
        <v>1149</v>
      </c>
      <c r="D751" s="2">
        <v>22477</v>
      </c>
      <c r="E751" s="2">
        <v>45082</v>
      </c>
      <c r="F751" s="2">
        <v>45090</v>
      </c>
      <c r="G751" t="s">
        <v>105</v>
      </c>
      <c r="H751" t="s">
        <v>312</v>
      </c>
      <c r="I751" t="s">
        <v>79</v>
      </c>
      <c r="K751" t="s">
        <v>120</v>
      </c>
      <c r="L751">
        <v>236178.14</v>
      </c>
      <c r="M751">
        <v>198870.44</v>
      </c>
      <c r="N751" t="s">
        <v>192</v>
      </c>
      <c r="O751">
        <v>8</v>
      </c>
      <c r="P751">
        <v>43</v>
      </c>
      <c r="R751">
        <v>170</v>
      </c>
      <c r="T751" t="s">
        <v>65</v>
      </c>
      <c r="U751" s="3"/>
      <c r="V751" s="3"/>
      <c r="W751" s="3"/>
    </row>
    <row r="752" spans="1:23">
      <c r="A752" t="s">
        <v>1873</v>
      </c>
      <c r="B752" t="s">
        <v>591</v>
      </c>
      <c r="C752" t="s">
        <v>816</v>
      </c>
      <c r="D752" t="s">
        <v>1874</v>
      </c>
      <c r="E752" s="2">
        <v>45052</v>
      </c>
      <c r="F752" t="s">
        <v>1875</v>
      </c>
      <c r="G752" t="s">
        <v>114</v>
      </c>
      <c r="H752" t="s">
        <v>52</v>
      </c>
      <c r="I752" t="s">
        <v>119</v>
      </c>
      <c r="J752" t="s">
        <v>80</v>
      </c>
      <c r="K752" t="s">
        <v>120</v>
      </c>
      <c r="L752">
        <v>215364.81</v>
      </c>
      <c r="M752">
        <v>151397.14000000001</v>
      </c>
      <c r="N752" t="s">
        <v>990</v>
      </c>
      <c r="O752">
        <v>7</v>
      </c>
      <c r="P752">
        <v>29</v>
      </c>
      <c r="Q752">
        <v>5</v>
      </c>
      <c r="R752" t="s">
        <v>1876</v>
      </c>
      <c r="S752">
        <v>206.8</v>
      </c>
      <c r="T752" t="s">
        <v>721</v>
      </c>
      <c r="U752" s="3"/>
      <c r="V752" s="3"/>
      <c r="W752" s="3"/>
    </row>
    <row r="753" spans="1:23">
      <c r="A753" t="s">
        <v>1877</v>
      </c>
      <c r="B753" t="s">
        <v>1878</v>
      </c>
      <c r="C753" t="s">
        <v>816</v>
      </c>
      <c r="D753" s="2">
        <v>38416</v>
      </c>
      <c r="E753" s="2">
        <v>45118</v>
      </c>
      <c r="F753" s="2">
        <v>45135</v>
      </c>
      <c r="G753" t="s">
        <v>31</v>
      </c>
      <c r="I753" t="s">
        <v>96</v>
      </c>
      <c r="J753" t="s">
        <v>46</v>
      </c>
      <c r="L753" t="s">
        <v>1879</v>
      </c>
      <c r="M753">
        <v>148353.74</v>
      </c>
      <c r="N753" t="s">
        <v>56</v>
      </c>
      <c r="O753" t="s">
        <v>102</v>
      </c>
      <c r="P753">
        <v>156</v>
      </c>
      <c r="Q753">
        <v>3</v>
      </c>
      <c r="R753">
        <v>184</v>
      </c>
      <c r="S753">
        <v>246.3</v>
      </c>
      <c r="T753" t="s">
        <v>37</v>
      </c>
      <c r="U753" s="3"/>
      <c r="V753" s="3"/>
      <c r="W753" s="3"/>
    </row>
    <row r="754" spans="1:23">
      <c r="A754" t="s">
        <v>1880</v>
      </c>
      <c r="B754" t="s">
        <v>1408</v>
      </c>
      <c r="C754" t="s">
        <v>50</v>
      </c>
      <c r="D754" s="2">
        <v>20634</v>
      </c>
      <c r="E754" s="2">
        <v>45044</v>
      </c>
      <c r="F754" s="2">
        <v>45050</v>
      </c>
      <c r="G754" t="s">
        <v>31</v>
      </c>
      <c r="H754" t="s">
        <v>95</v>
      </c>
      <c r="I754" t="s">
        <v>96</v>
      </c>
      <c r="J754" t="s">
        <v>34</v>
      </c>
      <c r="K754" t="s">
        <v>72</v>
      </c>
      <c r="L754">
        <v>70546.94</v>
      </c>
      <c r="M754">
        <v>50797.8</v>
      </c>
      <c r="N754" t="s">
        <v>162</v>
      </c>
      <c r="O754">
        <v>6</v>
      </c>
      <c r="P754">
        <v>133</v>
      </c>
      <c r="Q754">
        <v>5</v>
      </c>
      <c r="R754" t="s">
        <v>1348</v>
      </c>
      <c r="S754">
        <v>170.2</v>
      </c>
      <c r="T754" t="s">
        <v>47</v>
      </c>
      <c r="U754" s="3"/>
      <c r="V754" s="3"/>
      <c r="W754" s="3"/>
    </row>
    <row r="755" spans="1:23">
      <c r="A755" t="s">
        <v>1881</v>
      </c>
      <c r="B755" t="s">
        <v>898</v>
      </c>
      <c r="C755" t="s">
        <v>22</v>
      </c>
      <c r="D755" s="2">
        <v>39931</v>
      </c>
      <c r="E755" s="2">
        <v>45580</v>
      </c>
      <c r="F755" s="2">
        <v>45592</v>
      </c>
      <c r="G755" t="s">
        <v>117</v>
      </c>
      <c r="H755" t="s">
        <v>134</v>
      </c>
      <c r="I755" t="s">
        <v>53</v>
      </c>
      <c r="J755" t="s">
        <v>64</v>
      </c>
      <c r="K755" t="s">
        <v>110</v>
      </c>
      <c r="L755">
        <v>41858.43</v>
      </c>
      <c r="M755">
        <v>40220.629999999997</v>
      </c>
      <c r="N755" t="s">
        <v>192</v>
      </c>
      <c r="O755">
        <v>12</v>
      </c>
      <c r="P755">
        <v>7</v>
      </c>
      <c r="Q755">
        <v>2</v>
      </c>
      <c r="R755">
        <v>158</v>
      </c>
      <c r="S755">
        <v>104.8</v>
      </c>
      <c r="U755" s="3"/>
      <c r="V755" s="3"/>
      <c r="W755" s="3"/>
    </row>
    <row r="756" spans="1:23">
      <c r="A756" t="s">
        <v>1882</v>
      </c>
      <c r="B756" t="s">
        <v>1017</v>
      </c>
      <c r="C756" t="s">
        <v>60</v>
      </c>
      <c r="D756" s="2">
        <v>23865</v>
      </c>
      <c r="E756" s="2">
        <v>45515</v>
      </c>
      <c r="F756" s="2">
        <v>45521</v>
      </c>
      <c r="G756" t="s">
        <v>70</v>
      </c>
      <c r="H756" t="s">
        <v>24</v>
      </c>
      <c r="I756" t="s">
        <v>79</v>
      </c>
      <c r="J756" t="s">
        <v>34</v>
      </c>
      <c r="K756" t="s">
        <v>72</v>
      </c>
      <c r="L756">
        <v>44634.63</v>
      </c>
      <c r="M756">
        <v>31604.13</v>
      </c>
      <c r="N756" t="s">
        <v>35</v>
      </c>
      <c r="O756">
        <v>6</v>
      </c>
      <c r="P756" t="s">
        <v>1883</v>
      </c>
      <c r="Q756">
        <v>4</v>
      </c>
      <c r="R756">
        <v>141</v>
      </c>
      <c r="S756">
        <v>70</v>
      </c>
      <c r="T756" t="s">
        <v>65</v>
      </c>
      <c r="U756" s="3"/>
      <c r="V756" s="3"/>
      <c r="W756" s="3"/>
    </row>
    <row r="757" spans="1:23">
      <c r="A757" t="s">
        <v>1884</v>
      </c>
      <c r="B757" t="s">
        <v>112</v>
      </c>
      <c r="C757" t="s">
        <v>100</v>
      </c>
      <c r="D757" s="2">
        <v>26772</v>
      </c>
      <c r="E757" s="2">
        <v>45290</v>
      </c>
      <c r="F757" s="2">
        <v>45295</v>
      </c>
      <c r="H757" t="s">
        <v>32</v>
      </c>
      <c r="I757" t="s">
        <v>33</v>
      </c>
      <c r="J757" t="s">
        <v>26</v>
      </c>
      <c r="L757">
        <v>237535.33</v>
      </c>
      <c r="M757">
        <v>193519.19</v>
      </c>
      <c r="N757" t="s">
        <v>192</v>
      </c>
      <c r="O757">
        <v>5</v>
      </c>
      <c r="P757">
        <v>6</v>
      </c>
      <c r="Q757">
        <v>1</v>
      </c>
      <c r="R757">
        <v>143</v>
      </c>
      <c r="S757">
        <v>253.4</v>
      </c>
      <c r="T757" t="s">
        <v>37</v>
      </c>
      <c r="U757" s="3"/>
      <c r="V757" s="3"/>
      <c r="W757" s="3"/>
    </row>
    <row r="758" spans="1:23">
      <c r="A758" t="s">
        <v>1885</v>
      </c>
      <c r="B758" t="s">
        <v>1622</v>
      </c>
      <c r="C758" t="s">
        <v>22</v>
      </c>
      <c r="D758" s="2">
        <v>23362</v>
      </c>
      <c r="E758" t="s">
        <v>1886</v>
      </c>
      <c r="G758" t="s">
        <v>105</v>
      </c>
      <c r="H758" t="s">
        <v>86</v>
      </c>
      <c r="J758" t="s">
        <v>97</v>
      </c>
      <c r="K758" t="s">
        <v>27</v>
      </c>
      <c r="L758">
        <v>51971.58</v>
      </c>
      <c r="M758">
        <v>35896.120000000003</v>
      </c>
      <c r="N758" t="s">
        <v>73</v>
      </c>
      <c r="O758">
        <v>1</v>
      </c>
      <c r="P758">
        <v>216</v>
      </c>
      <c r="Q758">
        <v>4</v>
      </c>
      <c r="R758">
        <v>174</v>
      </c>
      <c r="S758">
        <v>97.9</v>
      </c>
      <c r="T758" t="s">
        <v>47</v>
      </c>
      <c r="U758" s="3"/>
      <c r="V758" s="3"/>
      <c r="W758" s="3"/>
    </row>
    <row r="759" spans="1:23">
      <c r="A759" t="s">
        <v>1887</v>
      </c>
      <c r="B759" t="s">
        <v>1888</v>
      </c>
      <c r="C759" t="s">
        <v>100</v>
      </c>
      <c r="D759" t="s">
        <v>1889</v>
      </c>
      <c r="E759" s="2">
        <v>45641</v>
      </c>
      <c r="F759" t="s">
        <v>1890</v>
      </c>
      <c r="G759" t="s">
        <v>109</v>
      </c>
      <c r="H759" t="s">
        <v>52</v>
      </c>
      <c r="I759" t="s">
        <v>45</v>
      </c>
      <c r="J759" t="s">
        <v>34</v>
      </c>
      <c r="K759" t="s">
        <v>55</v>
      </c>
      <c r="L759">
        <v>46722.59</v>
      </c>
      <c r="M759">
        <v>39838.97</v>
      </c>
      <c r="N759" t="s">
        <v>35</v>
      </c>
      <c r="O759">
        <v>9</v>
      </c>
      <c r="P759">
        <v>104</v>
      </c>
      <c r="R759">
        <v>136</v>
      </c>
      <c r="S759">
        <v>160.6</v>
      </c>
      <c r="T759" t="s">
        <v>37</v>
      </c>
      <c r="U759" s="3"/>
      <c r="V759" s="3"/>
      <c r="W759" s="3"/>
    </row>
    <row r="760" spans="1:23">
      <c r="A760" t="s">
        <v>1891</v>
      </c>
      <c r="B760" t="s">
        <v>843</v>
      </c>
      <c r="C760" t="s">
        <v>50</v>
      </c>
      <c r="D760" t="s">
        <v>1892</v>
      </c>
      <c r="E760" s="2">
        <v>45830</v>
      </c>
      <c r="F760" t="s">
        <v>1893</v>
      </c>
      <c r="L760">
        <v>154835.21</v>
      </c>
      <c r="M760">
        <v>116394.37</v>
      </c>
      <c r="N760" t="s">
        <v>91</v>
      </c>
      <c r="O760">
        <v>1</v>
      </c>
      <c r="P760">
        <v>183</v>
      </c>
      <c r="Q760">
        <v>3</v>
      </c>
      <c r="R760">
        <v>95</v>
      </c>
      <c r="S760">
        <v>237.6</v>
      </c>
      <c r="T760" t="s">
        <v>65</v>
      </c>
      <c r="U760" s="3"/>
      <c r="V760" s="3"/>
      <c r="W760" s="3"/>
    </row>
    <row r="761" spans="1:23">
      <c r="A761" t="s">
        <v>1894</v>
      </c>
      <c r="B761" t="s">
        <v>522</v>
      </c>
      <c r="C761" t="s">
        <v>22</v>
      </c>
      <c r="D761" s="2">
        <v>28788</v>
      </c>
      <c r="E761" s="2">
        <v>44949</v>
      </c>
      <c r="F761" s="2">
        <v>44955</v>
      </c>
      <c r="G761" t="s">
        <v>109</v>
      </c>
      <c r="H761" t="s">
        <v>78</v>
      </c>
      <c r="I761" t="s">
        <v>119</v>
      </c>
      <c r="J761" t="s">
        <v>80</v>
      </c>
      <c r="K761" t="s">
        <v>55</v>
      </c>
      <c r="M761">
        <v>79386.63</v>
      </c>
      <c r="N761" t="s">
        <v>1048</v>
      </c>
      <c r="O761">
        <v>6</v>
      </c>
      <c r="P761">
        <v>150</v>
      </c>
      <c r="Q761">
        <v>1</v>
      </c>
      <c r="R761">
        <v>125</v>
      </c>
      <c r="S761">
        <v>200.8</v>
      </c>
      <c r="T761" t="s">
        <v>47</v>
      </c>
      <c r="U761" s="3"/>
      <c r="V761" s="3"/>
      <c r="W761" s="3"/>
    </row>
    <row r="762" spans="1:23">
      <c r="A762" t="s">
        <v>1895</v>
      </c>
      <c r="B762" t="s">
        <v>700</v>
      </c>
      <c r="C762" t="s">
        <v>22</v>
      </c>
      <c r="D762" s="2">
        <v>22325</v>
      </c>
      <c r="E762" s="2">
        <v>45497</v>
      </c>
      <c r="F762" s="2">
        <v>45505</v>
      </c>
      <c r="G762" t="s">
        <v>117</v>
      </c>
      <c r="H762" t="s">
        <v>118</v>
      </c>
      <c r="I762" t="s">
        <v>25</v>
      </c>
      <c r="J762" t="s">
        <v>179</v>
      </c>
      <c r="K762" t="s">
        <v>55</v>
      </c>
      <c r="L762">
        <v>146433.89000000001</v>
      </c>
      <c r="M762">
        <v>123456.46</v>
      </c>
      <c r="O762">
        <v>8</v>
      </c>
      <c r="P762">
        <v>24</v>
      </c>
      <c r="Q762">
        <v>5</v>
      </c>
      <c r="R762">
        <v>176</v>
      </c>
      <c r="S762">
        <v>151.19999999999999</v>
      </c>
      <c r="T762" t="s">
        <v>127</v>
      </c>
      <c r="U762" s="3"/>
      <c r="V762" s="3"/>
      <c r="W762" s="3"/>
    </row>
    <row r="763" spans="1:23">
      <c r="A763" t="s">
        <v>1896</v>
      </c>
      <c r="B763" t="s">
        <v>1140</v>
      </c>
      <c r="C763" t="s">
        <v>459</v>
      </c>
      <c r="D763" s="2">
        <v>37953</v>
      </c>
      <c r="E763" s="2">
        <v>45646</v>
      </c>
      <c r="F763" t="s">
        <v>1897</v>
      </c>
      <c r="G763" t="s">
        <v>43</v>
      </c>
      <c r="J763" t="s">
        <v>97</v>
      </c>
      <c r="K763" t="s">
        <v>120</v>
      </c>
      <c r="L763">
        <v>170660.56</v>
      </c>
      <c r="M763">
        <v>150212.04999999999</v>
      </c>
      <c r="N763" t="s">
        <v>56</v>
      </c>
      <c r="O763">
        <v>14</v>
      </c>
      <c r="P763">
        <v>108</v>
      </c>
      <c r="R763">
        <v>190</v>
      </c>
      <c r="S763">
        <v>82.8</v>
      </c>
      <c r="U763" s="3"/>
      <c r="V763" s="3"/>
      <c r="W763" s="3"/>
    </row>
    <row r="764" spans="1:23">
      <c r="A764" t="s">
        <v>1898</v>
      </c>
      <c r="B764" t="s">
        <v>21</v>
      </c>
      <c r="C764" t="s">
        <v>84</v>
      </c>
      <c r="D764" t="s">
        <v>1899</v>
      </c>
      <c r="E764" s="2">
        <v>45857</v>
      </c>
      <c r="F764" s="2">
        <v>45875</v>
      </c>
      <c r="G764" t="s">
        <v>109</v>
      </c>
      <c r="H764" t="s">
        <v>86</v>
      </c>
      <c r="I764" t="s">
        <v>119</v>
      </c>
      <c r="K764" t="s">
        <v>55</v>
      </c>
      <c r="L764">
        <v>188842.44</v>
      </c>
      <c r="M764">
        <v>127370.61</v>
      </c>
      <c r="N764" t="s">
        <v>56</v>
      </c>
      <c r="O764">
        <v>18</v>
      </c>
      <c r="P764">
        <v>235</v>
      </c>
      <c r="Q764">
        <v>1</v>
      </c>
      <c r="R764">
        <v>119</v>
      </c>
      <c r="S764">
        <v>204.1</v>
      </c>
      <c r="T764" t="s">
        <v>37</v>
      </c>
      <c r="U764" s="3"/>
      <c r="V764" s="3"/>
      <c r="W764" s="3"/>
    </row>
    <row r="765" spans="1:23">
      <c r="A765" t="s">
        <v>1900</v>
      </c>
      <c r="B765" t="s">
        <v>324</v>
      </c>
      <c r="C765" t="s">
        <v>60</v>
      </c>
      <c r="D765" s="2">
        <v>22621</v>
      </c>
      <c r="E765" t="s">
        <v>1901</v>
      </c>
      <c r="F765" s="2">
        <v>45802</v>
      </c>
      <c r="G765" t="s">
        <v>77</v>
      </c>
      <c r="H765" t="s">
        <v>118</v>
      </c>
      <c r="I765" t="s">
        <v>96</v>
      </c>
      <c r="J765" t="s">
        <v>26</v>
      </c>
      <c r="K765" t="s">
        <v>55</v>
      </c>
      <c r="L765">
        <v>154541.32</v>
      </c>
      <c r="M765">
        <v>116226.34</v>
      </c>
      <c r="N765" t="s">
        <v>73</v>
      </c>
      <c r="O765">
        <v>14</v>
      </c>
      <c r="P765">
        <v>170</v>
      </c>
      <c r="R765">
        <v>145</v>
      </c>
      <c r="S765">
        <v>132.5</v>
      </c>
      <c r="T765" t="s">
        <v>37</v>
      </c>
      <c r="U765" s="3"/>
      <c r="V765" s="3"/>
      <c r="W765" s="3"/>
    </row>
    <row r="766" spans="1:23">
      <c r="A766" t="s">
        <v>1902</v>
      </c>
      <c r="B766" t="s">
        <v>1393</v>
      </c>
      <c r="D766" s="2">
        <v>35607</v>
      </c>
      <c r="E766" s="2">
        <v>45587</v>
      </c>
      <c r="F766" s="2">
        <v>45588</v>
      </c>
      <c r="G766" t="s">
        <v>141</v>
      </c>
      <c r="H766" t="s">
        <v>44</v>
      </c>
      <c r="I766" t="s">
        <v>53</v>
      </c>
      <c r="J766" t="s">
        <v>97</v>
      </c>
      <c r="L766">
        <v>207537.87</v>
      </c>
      <c r="M766">
        <v>147586.38</v>
      </c>
      <c r="N766" t="s">
        <v>192</v>
      </c>
      <c r="O766">
        <v>1</v>
      </c>
      <c r="P766">
        <v>72</v>
      </c>
      <c r="R766">
        <v>144</v>
      </c>
      <c r="S766">
        <v>215.3</v>
      </c>
      <c r="T766" t="s">
        <v>37</v>
      </c>
      <c r="U766" s="3"/>
      <c r="V766" s="3"/>
      <c r="W766" s="3"/>
    </row>
    <row r="767" spans="1:23">
      <c r="A767" t="s">
        <v>1903</v>
      </c>
      <c r="B767" t="s">
        <v>218</v>
      </c>
      <c r="C767" t="s">
        <v>100</v>
      </c>
      <c r="D767" s="2">
        <v>40470</v>
      </c>
      <c r="E767" s="2">
        <v>45290</v>
      </c>
      <c r="F767" t="s">
        <v>1904</v>
      </c>
      <c r="G767" t="s">
        <v>161</v>
      </c>
      <c r="H767" t="s">
        <v>113</v>
      </c>
      <c r="I767" t="s">
        <v>53</v>
      </c>
      <c r="J767" t="s">
        <v>34</v>
      </c>
      <c r="L767">
        <v>32199.51</v>
      </c>
      <c r="M767">
        <v>26584.04</v>
      </c>
      <c r="N767" t="s">
        <v>73</v>
      </c>
      <c r="O767">
        <v>17</v>
      </c>
      <c r="P767">
        <v>87</v>
      </c>
      <c r="Q767">
        <v>4</v>
      </c>
      <c r="R767">
        <v>188</v>
      </c>
      <c r="S767">
        <v>222.8</v>
      </c>
      <c r="T767" t="s">
        <v>37</v>
      </c>
      <c r="U767" s="3"/>
      <c r="V767" s="3"/>
      <c r="W767" s="3"/>
    </row>
    <row r="768" spans="1:23">
      <c r="A768" t="s">
        <v>1905</v>
      </c>
      <c r="B768" t="s">
        <v>1480</v>
      </c>
      <c r="C768" t="s">
        <v>100</v>
      </c>
      <c r="D768" s="2">
        <v>38770</v>
      </c>
      <c r="E768" t="s">
        <v>1906</v>
      </c>
      <c r="F768" s="2">
        <v>45424</v>
      </c>
      <c r="G768" t="s">
        <v>141</v>
      </c>
      <c r="I768" t="s">
        <v>25</v>
      </c>
      <c r="J768" t="s">
        <v>26</v>
      </c>
      <c r="K768" t="s">
        <v>120</v>
      </c>
      <c r="L768">
        <v>72363.55</v>
      </c>
      <c r="M768">
        <v>57517</v>
      </c>
      <c r="N768" t="s">
        <v>192</v>
      </c>
      <c r="O768">
        <v>11</v>
      </c>
      <c r="P768">
        <v>112</v>
      </c>
      <c r="R768" t="s">
        <v>1907</v>
      </c>
      <c r="S768">
        <v>258.8</v>
      </c>
      <c r="T768" t="s">
        <v>37</v>
      </c>
      <c r="U768" s="3"/>
      <c r="V768" s="3"/>
      <c r="W768" s="3"/>
    </row>
    <row r="769" spans="1:23">
      <c r="A769" t="s">
        <v>1908</v>
      </c>
      <c r="B769" t="s">
        <v>1909</v>
      </c>
      <c r="C769" t="s">
        <v>22</v>
      </c>
      <c r="D769" s="2">
        <v>33720</v>
      </c>
      <c r="E769" s="2">
        <v>45038</v>
      </c>
      <c r="F769" s="2">
        <v>45043</v>
      </c>
      <c r="G769" t="s">
        <v>31</v>
      </c>
      <c r="H769" t="s">
        <v>113</v>
      </c>
      <c r="I769" t="s">
        <v>33</v>
      </c>
      <c r="J769" t="s">
        <v>34</v>
      </c>
      <c r="K769" t="s">
        <v>27</v>
      </c>
      <c r="L769">
        <v>181858.1</v>
      </c>
      <c r="M769">
        <v>149903.01</v>
      </c>
      <c r="N769" t="s">
        <v>56</v>
      </c>
      <c r="O769">
        <v>5</v>
      </c>
      <c r="P769">
        <v>133</v>
      </c>
      <c r="Q769">
        <v>1</v>
      </c>
      <c r="R769">
        <v>139</v>
      </c>
      <c r="S769">
        <v>190.5</v>
      </c>
      <c r="U769" s="3"/>
      <c r="V769" s="3"/>
      <c r="W769" s="3"/>
    </row>
    <row r="770" spans="1:23">
      <c r="A770" t="s">
        <v>1910</v>
      </c>
      <c r="B770" t="s">
        <v>679</v>
      </c>
      <c r="C770" t="s">
        <v>60</v>
      </c>
      <c r="D770" s="2">
        <v>39403</v>
      </c>
      <c r="E770" s="2">
        <v>45117</v>
      </c>
      <c r="G770" t="s">
        <v>77</v>
      </c>
      <c r="H770" t="s">
        <v>78</v>
      </c>
      <c r="I770" t="s">
        <v>25</v>
      </c>
      <c r="J770" t="s">
        <v>26</v>
      </c>
      <c r="K770" t="s">
        <v>55</v>
      </c>
      <c r="L770">
        <v>120298.61</v>
      </c>
      <c r="M770">
        <v>107532.3</v>
      </c>
      <c r="N770" t="s">
        <v>91</v>
      </c>
      <c r="O770">
        <v>11</v>
      </c>
      <c r="P770">
        <v>110</v>
      </c>
      <c r="Q770">
        <v>5</v>
      </c>
      <c r="R770">
        <v>95</v>
      </c>
      <c r="S770">
        <v>154.80000000000001</v>
      </c>
      <c r="T770" t="s">
        <v>37</v>
      </c>
      <c r="U770" s="3"/>
      <c r="V770" s="3"/>
      <c r="W770" s="3"/>
    </row>
    <row r="771" spans="1:23">
      <c r="A771" t="s">
        <v>1911</v>
      </c>
      <c r="B771" t="s">
        <v>841</v>
      </c>
      <c r="C771" t="s">
        <v>1149</v>
      </c>
      <c r="D771" s="2">
        <v>33385</v>
      </c>
      <c r="E771" s="2">
        <v>45539</v>
      </c>
      <c r="F771" s="2">
        <v>45556</v>
      </c>
      <c r="G771" t="s">
        <v>152</v>
      </c>
      <c r="H771" t="s">
        <v>113</v>
      </c>
      <c r="I771" t="s">
        <v>25</v>
      </c>
      <c r="J771" t="s">
        <v>34</v>
      </c>
      <c r="K771" t="s">
        <v>120</v>
      </c>
      <c r="L771">
        <v>38958.03</v>
      </c>
      <c r="M771">
        <v>31483.47</v>
      </c>
      <c r="N771" t="s">
        <v>56</v>
      </c>
      <c r="O771">
        <v>17</v>
      </c>
      <c r="P771">
        <v>91</v>
      </c>
      <c r="Q771">
        <v>3</v>
      </c>
      <c r="R771">
        <v>172</v>
      </c>
      <c r="S771">
        <v>192.9</v>
      </c>
      <c r="U771" s="3"/>
      <c r="V771" s="3"/>
      <c r="W771" s="3"/>
    </row>
    <row r="772" spans="1:23">
      <c r="A772" t="s">
        <v>1912</v>
      </c>
      <c r="B772" t="s">
        <v>1393</v>
      </c>
      <c r="C772" t="s">
        <v>307</v>
      </c>
      <c r="D772" t="s">
        <v>1913</v>
      </c>
      <c r="E772" t="s">
        <v>1914</v>
      </c>
      <c r="F772" s="2">
        <v>45011</v>
      </c>
      <c r="G772" t="s">
        <v>152</v>
      </c>
      <c r="H772" t="s">
        <v>86</v>
      </c>
      <c r="I772" t="s">
        <v>33</v>
      </c>
      <c r="J772" t="s">
        <v>645</v>
      </c>
      <c r="K772" t="s">
        <v>161</v>
      </c>
      <c r="L772">
        <v>16562.599999999999</v>
      </c>
      <c r="M772">
        <v>16534.11</v>
      </c>
      <c r="N772" t="s">
        <v>56</v>
      </c>
      <c r="O772">
        <v>17</v>
      </c>
      <c r="P772">
        <v>112</v>
      </c>
      <c r="Q772">
        <v>4</v>
      </c>
      <c r="R772">
        <v>176</v>
      </c>
      <c r="S772">
        <v>241.3</v>
      </c>
      <c r="T772" t="s">
        <v>65</v>
      </c>
      <c r="U772" s="3"/>
      <c r="V772" s="3"/>
      <c r="W772" s="3"/>
    </row>
    <row r="773" spans="1:23">
      <c r="A773" t="s">
        <v>1915</v>
      </c>
      <c r="B773" t="s">
        <v>147</v>
      </c>
      <c r="C773" t="s">
        <v>60</v>
      </c>
      <c r="D773" s="2">
        <v>18621</v>
      </c>
      <c r="E773" s="2">
        <v>45531</v>
      </c>
      <c r="F773" t="s">
        <v>1916</v>
      </c>
      <c r="G773" t="s">
        <v>141</v>
      </c>
      <c r="H773" t="s">
        <v>63</v>
      </c>
      <c r="I773" t="s">
        <v>45</v>
      </c>
      <c r="J773" t="s">
        <v>34</v>
      </c>
      <c r="K773" t="s">
        <v>161</v>
      </c>
      <c r="L773">
        <v>150176.01</v>
      </c>
      <c r="M773">
        <v>98261.17</v>
      </c>
      <c r="N773" t="s">
        <v>192</v>
      </c>
      <c r="O773">
        <v>5</v>
      </c>
      <c r="P773">
        <v>44</v>
      </c>
      <c r="Q773">
        <v>4</v>
      </c>
      <c r="R773">
        <v>148</v>
      </c>
      <c r="T773" t="s">
        <v>81</v>
      </c>
      <c r="U773" s="3"/>
      <c r="V773" s="3"/>
      <c r="W773" s="3"/>
    </row>
    <row r="774" spans="1:23">
      <c r="A774" t="s">
        <v>1917</v>
      </c>
      <c r="B774" t="s">
        <v>1918</v>
      </c>
      <c r="C774" t="s">
        <v>30</v>
      </c>
      <c r="D774" t="s">
        <v>1919</v>
      </c>
      <c r="E774" s="2">
        <v>45558</v>
      </c>
      <c r="F774" s="2">
        <v>45560</v>
      </c>
      <c r="G774" t="s">
        <v>94</v>
      </c>
      <c r="H774" t="s">
        <v>153</v>
      </c>
      <c r="I774" t="s">
        <v>79</v>
      </c>
      <c r="J774" t="s">
        <v>71</v>
      </c>
      <c r="K774" t="s">
        <v>27</v>
      </c>
      <c r="L774">
        <v>126554.96</v>
      </c>
      <c r="M774">
        <v>115161.68</v>
      </c>
      <c r="N774" t="s">
        <v>35</v>
      </c>
      <c r="O774">
        <v>2</v>
      </c>
      <c r="P774">
        <v>213</v>
      </c>
      <c r="R774">
        <v>137</v>
      </c>
      <c r="S774">
        <v>218</v>
      </c>
      <c r="T774" t="s">
        <v>65</v>
      </c>
      <c r="U774" s="3"/>
      <c r="V774" s="3"/>
      <c r="W774" s="3"/>
    </row>
    <row r="775" spans="1:23">
      <c r="A775" t="s">
        <v>1920</v>
      </c>
      <c r="B775" t="s">
        <v>280</v>
      </c>
      <c r="C775" t="s">
        <v>84</v>
      </c>
      <c r="D775" t="s">
        <v>1921</v>
      </c>
      <c r="E775" t="s">
        <v>1922</v>
      </c>
      <c r="F775" t="s">
        <v>1923</v>
      </c>
      <c r="G775" t="s">
        <v>94</v>
      </c>
      <c r="H775" t="s">
        <v>124</v>
      </c>
      <c r="I775" t="s">
        <v>45</v>
      </c>
      <c r="J775" t="s">
        <v>34</v>
      </c>
      <c r="K775" t="s">
        <v>72</v>
      </c>
      <c r="L775">
        <v>12013.99</v>
      </c>
      <c r="M775">
        <v>10751.77</v>
      </c>
      <c r="N775" t="s">
        <v>192</v>
      </c>
      <c r="O775">
        <v>14</v>
      </c>
      <c r="P775">
        <v>159</v>
      </c>
      <c r="R775">
        <v>142</v>
      </c>
      <c r="S775">
        <v>123.9</v>
      </c>
      <c r="T775" t="s">
        <v>37</v>
      </c>
      <c r="U775" s="3"/>
      <c r="V775" s="3"/>
      <c r="W775" s="3"/>
    </row>
    <row r="776" spans="1:23">
      <c r="A776" t="s">
        <v>1924</v>
      </c>
      <c r="B776" t="s">
        <v>1925</v>
      </c>
      <c r="C776" t="s">
        <v>30</v>
      </c>
      <c r="D776" s="2">
        <v>22354</v>
      </c>
      <c r="E776" s="2">
        <v>45190</v>
      </c>
      <c r="F776" s="2">
        <v>45191</v>
      </c>
      <c r="G776" t="s">
        <v>43</v>
      </c>
      <c r="H776" t="s">
        <v>52</v>
      </c>
      <c r="K776" t="s">
        <v>27</v>
      </c>
      <c r="L776">
        <v>146893.20000000001</v>
      </c>
      <c r="M776">
        <v>111160.42</v>
      </c>
      <c r="N776" t="s">
        <v>192</v>
      </c>
      <c r="O776">
        <v>1</v>
      </c>
      <c r="P776">
        <v>93</v>
      </c>
      <c r="Q776">
        <v>4</v>
      </c>
      <c r="R776">
        <v>168</v>
      </c>
      <c r="S776">
        <v>257.2</v>
      </c>
      <c r="T776" t="s">
        <v>37</v>
      </c>
      <c r="U776" s="3"/>
      <c r="V776" s="3"/>
      <c r="W776" s="3"/>
    </row>
    <row r="777" spans="1:23">
      <c r="A777" t="s">
        <v>1926</v>
      </c>
      <c r="B777" t="s">
        <v>1362</v>
      </c>
      <c r="C777" t="s">
        <v>22</v>
      </c>
      <c r="D777" s="2">
        <v>20919</v>
      </c>
      <c r="E777" s="2">
        <v>46002</v>
      </c>
      <c r="H777" t="s">
        <v>78</v>
      </c>
      <c r="I777" t="s">
        <v>96</v>
      </c>
      <c r="K777" t="s">
        <v>110</v>
      </c>
      <c r="L777">
        <v>203741.87</v>
      </c>
      <c r="M777">
        <v>162629.04</v>
      </c>
      <c r="N777" t="s">
        <v>73</v>
      </c>
      <c r="O777">
        <v>6</v>
      </c>
      <c r="P777">
        <v>159</v>
      </c>
      <c r="R777">
        <v>185</v>
      </c>
      <c r="S777">
        <v>106</v>
      </c>
      <c r="T777" t="s">
        <v>37</v>
      </c>
      <c r="U777" s="3"/>
      <c r="V777" s="3"/>
      <c r="W777" s="3"/>
    </row>
    <row r="778" spans="1:23">
      <c r="A778" t="s">
        <v>1927</v>
      </c>
      <c r="B778" t="s">
        <v>762</v>
      </c>
      <c r="D778" s="2">
        <v>35402</v>
      </c>
      <c r="E778" s="2">
        <v>45551</v>
      </c>
      <c r="F778" s="2">
        <v>45559</v>
      </c>
      <c r="H778" t="s">
        <v>44</v>
      </c>
      <c r="I778" t="s">
        <v>33</v>
      </c>
      <c r="J778" t="s">
        <v>80</v>
      </c>
      <c r="K778" t="s">
        <v>110</v>
      </c>
      <c r="L778">
        <v>76878.45</v>
      </c>
      <c r="M778">
        <v>58522.76</v>
      </c>
      <c r="N778" t="s">
        <v>106</v>
      </c>
      <c r="O778">
        <v>8</v>
      </c>
      <c r="P778">
        <v>212</v>
      </c>
      <c r="R778">
        <v>131</v>
      </c>
      <c r="S778">
        <v>98.9</v>
      </c>
      <c r="U778" s="3"/>
      <c r="V778" s="3"/>
      <c r="W778" s="3"/>
    </row>
    <row r="779" spans="1:23">
      <c r="A779" t="s">
        <v>1928</v>
      </c>
      <c r="B779" t="s">
        <v>1929</v>
      </c>
      <c r="C779" t="s">
        <v>133</v>
      </c>
      <c r="D779" t="s">
        <v>1930</v>
      </c>
      <c r="E779" t="s">
        <v>1931</v>
      </c>
      <c r="F779" s="2">
        <v>45238</v>
      </c>
      <c r="G779" t="s">
        <v>94</v>
      </c>
      <c r="H779" t="s">
        <v>63</v>
      </c>
      <c r="I779" t="s">
        <v>45</v>
      </c>
      <c r="J779" t="s">
        <v>179</v>
      </c>
      <c r="K779" t="s">
        <v>110</v>
      </c>
      <c r="L779">
        <v>143631.35999999999</v>
      </c>
      <c r="M779">
        <v>136176.6</v>
      </c>
      <c r="N779" t="s">
        <v>192</v>
      </c>
      <c r="O779">
        <v>2</v>
      </c>
      <c r="Q779">
        <v>2</v>
      </c>
      <c r="R779">
        <v>169</v>
      </c>
      <c r="S779">
        <v>249.2</v>
      </c>
      <c r="T779" t="s">
        <v>37</v>
      </c>
      <c r="U779" s="3"/>
      <c r="V779" s="3"/>
      <c r="W779" s="3"/>
    </row>
    <row r="780" spans="1:23">
      <c r="A780" t="s">
        <v>1932</v>
      </c>
      <c r="B780" t="s">
        <v>301</v>
      </c>
      <c r="C780" t="s">
        <v>133</v>
      </c>
      <c r="D780" s="2">
        <v>20323</v>
      </c>
      <c r="E780" s="2">
        <v>45673</v>
      </c>
      <c r="F780" s="2">
        <v>45681</v>
      </c>
      <c r="G780" t="s">
        <v>1282</v>
      </c>
      <c r="H780" t="s">
        <v>32</v>
      </c>
      <c r="I780" t="s">
        <v>79</v>
      </c>
      <c r="J780" t="s">
        <v>34</v>
      </c>
      <c r="K780" t="s">
        <v>55</v>
      </c>
      <c r="L780">
        <v>27374.75</v>
      </c>
      <c r="M780">
        <v>20428.830000000002</v>
      </c>
      <c r="N780" t="s">
        <v>56</v>
      </c>
      <c r="O780">
        <v>8</v>
      </c>
      <c r="P780" t="s">
        <v>1933</v>
      </c>
      <c r="R780">
        <v>109</v>
      </c>
      <c r="S780">
        <v>214</v>
      </c>
      <c r="U780" s="3"/>
      <c r="V780" s="3"/>
      <c r="W780" s="3"/>
    </row>
    <row r="781" spans="1:23">
      <c r="A781" t="s">
        <v>1934</v>
      </c>
      <c r="B781" t="s">
        <v>1935</v>
      </c>
      <c r="C781" t="s">
        <v>30</v>
      </c>
      <c r="D781" s="2">
        <v>20456</v>
      </c>
      <c r="E781" s="2">
        <v>45943</v>
      </c>
      <c r="F781" s="2">
        <v>45959</v>
      </c>
      <c r="G781" t="s">
        <v>141</v>
      </c>
      <c r="H781" t="s">
        <v>124</v>
      </c>
      <c r="I781" t="s">
        <v>33</v>
      </c>
      <c r="J781" t="s">
        <v>34</v>
      </c>
      <c r="K781" t="s">
        <v>55</v>
      </c>
      <c r="L781">
        <v>247668.39</v>
      </c>
      <c r="M781">
        <v>177982.67</v>
      </c>
      <c r="N781" t="s">
        <v>192</v>
      </c>
      <c r="O781">
        <v>16</v>
      </c>
      <c r="P781">
        <v>112</v>
      </c>
      <c r="Q781">
        <v>2</v>
      </c>
      <c r="R781">
        <v>186</v>
      </c>
      <c r="S781">
        <v>179.4</v>
      </c>
      <c r="U781" s="3"/>
      <c r="V781" s="3"/>
      <c r="W781" s="3"/>
    </row>
    <row r="782" spans="1:23">
      <c r="A782" t="s">
        <v>1936</v>
      </c>
      <c r="B782" t="s">
        <v>1391</v>
      </c>
      <c r="C782" t="s">
        <v>22</v>
      </c>
      <c r="D782" s="2">
        <v>35150</v>
      </c>
      <c r="E782" s="2">
        <v>45528</v>
      </c>
      <c r="F782" s="2">
        <v>45538</v>
      </c>
      <c r="G782" t="s">
        <v>77</v>
      </c>
      <c r="H782" t="s">
        <v>44</v>
      </c>
      <c r="I782" t="s">
        <v>25</v>
      </c>
      <c r="J782" t="s">
        <v>71</v>
      </c>
      <c r="K782" t="s">
        <v>286</v>
      </c>
      <c r="L782">
        <v>124612.12</v>
      </c>
      <c r="M782">
        <v>103824.26</v>
      </c>
      <c r="N782" t="s">
        <v>73</v>
      </c>
      <c r="O782">
        <v>10</v>
      </c>
      <c r="P782">
        <v>141</v>
      </c>
      <c r="Q782">
        <v>4</v>
      </c>
      <c r="R782">
        <v>106</v>
      </c>
      <c r="S782">
        <v>217.1</v>
      </c>
      <c r="T782" t="s">
        <v>65</v>
      </c>
      <c r="U782" s="3"/>
      <c r="V782" s="3"/>
      <c r="W782" s="3"/>
    </row>
    <row r="783" spans="1:23">
      <c r="A783" t="s">
        <v>1937</v>
      </c>
      <c r="B783" t="s">
        <v>607</v>
      </c>
      <c r="C783" t="s">
        <v>206</v>
      </c>
      <c r="D783" s="2">
        <v>34446</v>
      </c>
      <c r="E783" t="s">
        <v>1938</v>
      </c>
      <c r="F783" t="s">
        <v>1939</v>
      </c>
      <c r="G783" t="s">
        <v>161</v>
      </c>
      <c r="H783" t="s">
        <v>44</v>
      </c>
      <c r="I783" t="s">
        <v>119</v>
      </c>
      <c r="J783" t="s">
        <v>34</v>
      </c>
      <c r="K783" t="s">
        <v>72</v>
      </c>
      <c r="L783">
        <v>50164.95</v>
      </c>
      <c r="M783">
        <v>35672.89</v>
      </c>
      <c r="N783" t="s">
        <v>35</v>
      </c>
      <c r="O783">
        <v>18</v>
      </c>
      <c r="P783">
        <v>213</v>
      </c>
      <c r="Q783">
        <v>2</v>
      </c>
      <c r="R783">
        <v>161</v>
      </c>
      <c r="S783">
        <v>221</v>
      </c>
      <c r="T783" t="s">
        <v>37</v>
      </c>
      <c r="U783" s="3"/>
      <c r="V783" s="3"/>
      <c r="W783" s="3"/>
    </row>
    <row r="784" spans="1:23">
      <c r="A784" t="s">
        <v>1940</v>
      </c>
      <c r="B784" t="s">
        <v>403</v>
      </c>
      <c r="D784" s="2">
        <v>33647</v>
      </c>
      <c r="E784" t="s">
        <v>1941</v>
      </c>
      <c r="F784" t="s">
        <v>1942</v>
      </c>
      <c r="G784" t="s">
        <v>152</v>
      </c>
      <c r="H784" t="s">
        <v>24</v>
      </c>
      <c r="I784" t="s">
        <v>96</v>
      </c>
      <c r="K784" t="s">
        <v>110</v>
      </c>
      <c r="L784">
        <v>147988.47</v>
      </c>
      <c r="M784">
        <v>135416.46</v>
      </c>
      <c r="N784" t="s">
        <v>91</v>
      </c>
      <c r="O784">
        <v>16</v>
      </c>
      <c r="P784">
        <v>86</v>
      </c>
      <c r="Q784">
        <v>5</v>
      </c>
      <c r="R784">
        <v>105</v>
      </c>
      <c r="S784">
        <v>172.5</v>
      </c>
      <c r="T784" t="s">
        <v>37</v>
      </c>
      <c r="U784" s="3"/>
      <c r="V784" s="3"/>
      <c r="W784" s="3"/>
    </row>
    <row r="785" spans="1:23">
      <c r="A785" t="s">
        <v>1943</v>
      </c>
      <c r="B785" t="s">
        <v>658</v>
      </c>
      <c r="C785" t="s">
        <v>396</v>
      </c>
      <c r="D785" s="2">
        <v>31250</v>
      </c>
      <c r="E785" s="2">
        <v>45497</v>
      </c>
      <c r="F785" s="2">
        <v>45498</v>
      </c>
      <c r="G785" t="s">
        <v>89</v>
      </c>
      <c r="H785" t="s">
        <v>95</v>
      </c>
      <c r="I785" t="s">
        <v>25</v>
      </c>
      <c r="J785" t="s">
        <v>97</v>
      </c>
      <c r="K785" t="s">
        <v>27</v>
      </c>
      <c r="L785">
        <v>99456.18</v>
      </c>
      <c r="M785">
        <v>87762.53</v>
      </c>
      <c r="N785" t="s">
        <v>91</v>
      </c>
      <c r="O785">
        <v>1</v>
      </c>
      <c r="P785">
        <v>91</v>
      </c>
      <c r="Q785">
        <v>2</v>
      </c>
      <c r="S785">
        <v>123.7</v>
      </c>
      <c r="T785" t="s">
        <v>37</v>
      </c>
      <c r="U785" s="3"/>
      <c r="V785" s="3"/>
      <c r="W785" s="3"/>
    </row>
    <row r="786" spans="1:23">
      <c r="A786" t="s">
        <v>1944</v>
      </c>
      <c r="B786" t="s">
        <v>1734</v>
      </c>
      <c r="C786" t="s">
        <v>133</v>
      </c>
      <c r="D786" s="2">
        <v>35992</v>
      </c>
      <c r="E786" s="2">
        <v>45014</v>
      </c>
      <c r="F786" s="2">
        <v>45031</v>
      </c>
      <c r="G786" t="s">
        <v>117</v>
      </c>
      <c r="H786" t="s">
        <v>1500</v>
      </c>
      <c r="J786" t="s">
        <v>166</v>
      </c>
      <c r="K786" t="s">
        <v>27</v>
      </c>
      <c r="L786">
        <v>150153.76</v>
      </c>
      <c r="M786">
        <v>149209.95000000001</v>
      </c>
      <c r="N786" t="s">
        <v>56</v>
      </c>
      <c r="O786">
        <v>17</v>
      </c>
      <c r="P786">
        <v>188</v>
      </c>
      <c r="Q786">
        <v>2</v>
      </c>
      <c r="R786">
        <v>166</v>
      </c>
      <c r="S786">
        <v>202.9</v>
      </c>
      <c r="T786" t="s">
        <v>37</v>
      </c>
      <c r="U786" s="3"/>
      <c r="V786" s="3"/>
      <c r="W786" s="3"/>
    </row>
    <row r="787" spans="1:23">
      <c r="A787" t="s">
        <v>1945</v>
      </c>
      <c r="B787" t="s">
        <v>1364</v>
      </c>
      <c r="C787" t="s">
        <v>60</v>
      </c>
      <c r="D787" s="2">
        <v>37080</v>
      </c>
      <c r="E787" s="2">
        <v>45308</v>
      </c>
      <c r="F787" s="2">
        <v>45312</v>
      </c>
      <c r="G787" t="s">
        <v>141</v>
      </c>
      <c r="H787" t="s">
        <v>134</v>
      </c>
      <c r="I787" t="s">
        <v>25</v>
      </c>
      <c r="J787" t="s">
        <v>71</v>
      </c>
      <c r="K787" t="s">
        <v>286</v>
      </c>
      <c r="L787">
        <v>248563.26</v>
      </c>
      <c r="M787">
        <v>190503.88</v>
      </c>
      <c r="O787">
        <v>4</v>
      </c>
      <c r="P787">
        <v>45</v>
      </c>
      <c r="Q787">
        <v>3</v>
      </c>
      <c r="R787">
        <v>92</v>
      </c>
      <c r="S787">
        <v>129.6</v>
      </c>
      <c r="T787" t="s">
        <v>37</v>
      </c>
      <c r="U787" s="3"/>
      <c r="V787" s="3"/>
      <c r="W787" s="3"/>
    </row>
    <row r="788" spans="1:23">
      <c r="A788" t="s">
        <v>1946</v>
      </c>
      <c r="B788" t="s">
        <v>199</v>
      </c>
      <c r="C788" t="s">
        <v>100</v>
      </c>
      <c r="D788" s="2">
        <v>20326</v>
      </c>
      <c r="E788" s="2">
        <v>45057</v>
      </c>
      <c r="F788" s="2">
        <v>45067</v>
      </c>
      <c r="G788" t="s">
        <v>161</v>
      </c>
      <c r="I788" t="s">
        <v>119</v>
      </c>
      <c r="J788" t="s">
        <v>80</v>
      </c>
      <c r="K788" t="s">
        <v>27</v>
      </c>
      <c r="L788">
        <v>145203.32</v>
      </c>
      <c r="N788" t="s">
        <v>192</v>
      </c>
      <c r="O788">
        <v>10</v>
      </c>
      <c r="P788">
        <v>129</v>
      </c>
      <c r="Q788">
        <v>4</v>
      </c>
      <c r="R788">
        <v>142</v>
      </c>
      <c r="S788">
        <v>95.1</v>
      </c>
      <c r="T788" t="s">
        <v>37</v>
      </c>
      <c r="U788" s="3"/>
      <c r="V788" s="3"/>
      <c r="W788" s="3"/>
    </row>
    <row r="789" spans="1:23">
      <c r="A789" t="s">
        <v>1947</v>
      </c>
      <c r="B789" t="s">
        <v>1125</v>
      </c>
      <c r="C789" t="s">
        <v>50</v>
      </c>
      <c r="D789" s="2">
        <v>29844</v>
      </c>
      <c r="E789" t="s">
        <v>1948</v>
      </c>
      <c r="F789" s="2">
        <v>44946</v>
      </c>
      <c r="G789" t="s">
        <v>89</v>
      </c>
      <c r="H789" t="s">
        <v>1783</v>
      </c>
      <c r="I789" t="s">
        <v>25</v>
      </c>
      <c r="J789" t="s">
        <v>46</v>
      </c>
      <c r="K789" t="s">
        <v>55</v>
      </c>
      <c r="L789" t="s">
        <v>1949</v>
      </c>
      <c r="M789">
        <v>189951.42</v>
      </c>
      <c r="N789" t="s">
        <v>467</v>
      </c>
      <c r="O789">
        <v>7</v>
      </c>
      <c r="P789">
        <v>15</v>
      </c>
      <c r="Q789">
        <v>4</v>
      </c>
      <c r="S789">
        <v>115.4</v>
      </c>
      <c r="T789" t="s">
        <v>37</v>
      </c>
      <c r="U789" s="3"/>
      <c r="V789" s="3"/>
      <c r="W789" s="3"/>
    </row>
    <row r="790" spans="1:23">
      <c r="A790" t="s">
        <v>1950</v>
      </c>
      <c r="B790" t="s">
        <v>1471</v>
      </c>
      <c r="C790" t="s">
        <v>133</v>
      </c>
      <c r="D790" t="s">
        <v>1951</v>
      </c>
      <c r="E790" s="2">
        <v>45047</v>
      </c>
      <c r="F790" t="s">
        <v>1439</v>
      </c>
      <c r="G790" t="s">
        <v>62</v>
      </c>
      <c r="H790" t="s">
        <v>63</v>
      </c>
      <c r="I790" t="s">
        <v>53</v>
      </c>
      <c r="J790" t="s">
        <v>179</v>
      </c>
      <c r="K790" t="s">
        <v>27</v>
      </c>
      <c r="L790">
        <v>153056.74</v>
      </c>
      <c r="M790">
        <v>114398.26</v>
      </c>
      <c r="N790" t="s">
        <v>467</v>
      </c>
      <c r="O790">
        <v>8</v>
      </c>
      <c r="P790">
        <v>56</v>
      </c>
      <c r="R790">
        <v>186</v>
      </c>
      <c r="S790">
        <v>140.5</v>
      </c>
      <c r="T790" t="s">
        <v>37</v>
      </c>
      <c r="U790" s="3"/>
      <c r="V790" s="3"/>
      <c r="W790" s="3"/>
    </row>
    <row r="791" spans="1:23">
      <c r="A791" t="s">
        <v>1952</v>
      </c>
      <c r="B791" t="s">
        <v>108</v>
      </c>
      <c r="C791" t="s">
        <v>206</v>
      </c>
      <c r="D791" s="2">
        <v>39955</v>
      </c>
      <c r="E791" s="2">
        <v>45585</v>
      </c>
      <c r="F791" t="s">
        <v>1953</v>
      </c>
      <c r="G791" t="s">
        <v>141</v>
      </c>
      <c r="H791" t="s">
        <v>118</v>
      </c>
      <c r="J791" t="s">
        <v>179</v>
      </c>
      <c r="K791" t="s">
        <v>120</v>
      </c>
      <c r="L791">
        <v>81458.14</v>
      </c>
      <c r="M791">
        <v>60034.11</v>
      </c>
      <c r="N791" t="s">
        <v>91</v>
      </c>
      <c r="O791">
        <v>9</v>
      </c>
      <c r="P791">
        <v>159</v>
      </c>
      <c r="Q791">
        <v>5</v>
      </c>
      <c r="R791">
        <v>178</v>
      </c>
      <c r="S791">
        <v>124.2</v>
      </c>
      <c r="T791" t="s">
        <v>65</v>
      </c>
      <c r="U791" s="3"/>
      <c r="V791" s="3"/>
      <c r="W791" s="3"/>
    </row>
    <row r="792" spans="1:23">
      <c r="A792" t="s">
        <v>1954</v>
      </c>
      <c r="B792" t="s">
        <v>1460</v>
      </c>
      <c r="D792" s="2">
        <v>27581</v>
      </c>
      <c r="E792" s="2">
        <v>45270</v>
      </c>
      <c r="F792" s="2">
        <v>45282</v>
      </c>
      <c r="G792" t="s">
        <v>411</v>
      </c>
      <c r="H792" t="s">
        <v>118</v>
      </c>
      <c r="J792" t="s">
        <v>179</v>
      </c>
      <c r="K792" t="s">
        <v>55</v>
      </c>
      <c r="L792">
        <v>80437.09</v>
      </c>
      <c r="M792">
        <v>62199.39</v>
      </c>
      <c r="N792" t="s">
        <v>794</v>
      </c>
      <c r="O792">
        <v>12</v>
      </c>
      <c r="P792">
        <v>65</v>
      </c>
      <c r="Q792">
        <v>4</v>
      </c>
      <c r="R792">
        <v>103</v>
      </c>
      <c r="S792">
        <v>224.1</v>
      </c>
      <c r="T792" t="s">
        <v>47</v>
      </c>
      <c r="U792" s="3"/>
      <c r="V792" s="3"/>
      <c r="W792" s="3"/>
    </row>
    <row r="793" spans="1:23">
      <c r="A793" t="s">
        <v>1955</v>
      </c>
      <c r="B793" t="s">
        <v>1956</v>
      </c>
      <c r="C793" t="s">
        <v>84</v>
      </c>
      <c r="D793" s="2">
        <v>26667</v>
      </c>
      <c r="E793" s="2">
        <v>45693</v>
      </c>
      <c r="F793" s="2">
        <v>45700</v>
      </c>
      <c r="G793" t="s">
        <v>161</v>
      </c>
      <c r="H793" t="s">
        <v>32</v>
      </c>
      <c r="I793" t="s">
        <v>45</v>
      </c>
      <c r="J793" t="s">
        <v>26</v>
      </c>
      <c r="K793" t="s">
        <v>110</v>
      </c>
      <c r="L793">
        <v>107232.21</v>
      </c>
      <c r="M793">
        <v>85229.23</v>
      </c>
      <c r="N793" t="s">
        <v>73</v>
      </c>
      <c r="O793">
        <v>7</v>
      </c>
      <c r="P793">
        <v>18</v>
      </c>
      <c r="Q793">
        <v>5</v>
      </c>
      <c r="R793">
        <v>157</v>
      </c>
      <c r="S793">
        <v>153.6</v>
      </c>
      <c r="T793" t="s">
        <v>37</v>
      </c>
      <c r="U793" s="3"/>
      <c r="V793" s="3"/>
      <c r="W793" s="3"/>
    </row>
    <row r="794" spans="1:23">
      <c r="A794" t="s">
        <v>1957</v>
      </c>
      <c r="B794" t="s">
        <v>403</v>
      </c>
      <c r="C794" t="s">
        <v>40</v>
      </c>
      <c r="D794" t="s">
        <v>1958</v>
      </c>
      <c r="E794" s="2">
        <v>45884</v>
      </c>
      <c r="F794" s="2">
        <v>45886</v>
      </c>
      <c r="G794" t="s">
        <v>77</v>
      </c>
      <c r="H794" t="s">
        <v>52</v>
      </c>
      <c r="I794" t="s">
        <v>33</v>
      </c>
      <c r="J794" t="s">
        <v>186</v>
      </c>
      <c r="K794" t="s">
        <v>72</v>
      </c>
      <c r="L794">
        <v>160213.19</v>
      </c>
      <c r="M794">
        <v>118144.75</v>
      </c>
      <c r="N794" t="s">
        <v>192</v>
      </c>
      <c r="O794">
        <v>2</v>
      </c>
      <c r="P794">
        <v>195</v>
      </c>
      <c r="Q794">
        <v>5</v>
      </c>
      <c r="R794">
        <v>181</v>
      </c>
      <c r="S794">
        <v>146.9</v>
      </c>
      <c r="T794" t="s">
        <v>47</v>
      </c>
      <c r="U794" s="3"/>
      <c r="V794" s="3"/>
      <c r="W794" s="3"/>
    </row>
    <row r="795" spans="1:23">
      <c r="A795" t="s">
        <v>1959</v>
      </c>
      <c r="B795" t="s">
        <v>1960</v>
      </c>
      <c r="C795" t="s">
        <v>459</v>
      </c>
      <c r="D795" s="2">
        <v>19426</v>
      </c>
      <c r="E795" s="2">
        <v>45906</v>
      </c>
      <c r="F795" t="s">
        <v>1961</v>
      </c>
      <c r="G795" t="s">
        <v>161</v>
      </c>
      <c r="H795" t="s">
        <v>95</v>
      </c>
      <c r="I795" t="s">
        <v>96</v>
      </c>
      <c r="J795" t="s">
        <v>80</v>
      </c>
      <c r="K795" t="s">
        <v>27</v>
      </c>
      <c r="L795">
        <v>214245.82</v>
      </c>
      <c r="M795">
        <v>132953.82</v>
      </c>
      <c r="O795">
        <v>16</v>
      </c>
      <c r="P795">
        <v>52</v>
      </c>
      <c r="Q795">
        <v>3</v>
      </c>
      <c r="R795">
        <v>93</v>
      </c>
      <c r="S795">
        <v>184.7</v>
      </c>
      <c r="T795" t="s">
        <v>37</v>
      </c>
      <c r="U795" s="3"/>
      <c r="V795" s="3"/>
      <c r="W795" s="3"/>
    </row>
    <row r="796" spans="1:23">
      <c r="A796" t="s">
        <v>1962</v>
      </c>
      <c r="B796" t="s">
        <v>1963</v>
      </c>
      <c r="C796" t="s">
        <v>22</v>
      </c>
      <c r="D796" s="2">
        <v>19081</v>
      </c>
      <c r="E796" s="2">
        <v>45200</v>
      </c>
      <c r="F796" s="2">
        <v>45211</v>
      </c>
      <c r="G796" t="s">
        <v>62</v>
      </c>
      <c r="I796" t="s">
        <v>79</v>
      </c>
      <c r="J796" t="s">
        <v>34</v>
      </c>
      <c r="K796" t="s">
        <v>27</v>
      </c>
      <c r="L796">
        <v>95575.360000000001</v>
      </c>
      <c r="M796">
        <v>77056.679999999993</v>
      </c>
      <c r="N796" t="s">
        <v>192</v>
      </c>
      <c r="O796">
        <v>11</v>
      </c>
      <c r="P796">
        <v>71</v>
      </c>
      <c r="Q796">
        <v>3</v>
      </c>
      <c r="R796">
        <v>146</v>
      </c>
      <c r="S796">
        <v>159.9</v>
      </c>
      <c r="T796" t="s">
        <v>47</v>
      </c>
      <c r="U796" s="3"/>
      <c r="V796" s="3"/>
      <c r="W796" s="3"/>
    </row>
    <row r="797" spans="1:23">
      <c r="A797" t="s">
        <v>1964</v>
      </c>
      <c r="B797" t="s">
        <v>221</v>
      </c>
      <c r="D797" t="s">
        <v>1965</v>
      </c>
      <c r="E797" s="2">
        <v>45285</v>
      </c>
      <c r="F797" s="2">
        <v>45302</v>
      </c>
      <c r="G797" t="s">
        <v>62</v>
      </c>
      <c r="H797" t="s">
        <v>86</v>
      </c>
      <c r="I797" t="s">
        <v>96</v>
      </c>
      <c r="J797" t="s">
        <v>34</v>
      </c>
      <c r="K797" t="s">
        <v>72</v>
      </c>
      <c r="L797">
        <v>165811.12</v>
      </c>
      <c r="M797">
        <v>130919.02</v>
      </c>
      <c r="N797" t="s">
        <v>73</v>
      </c>
      <c r="O797">
        <v>17</v>
      </c>
      <c r="P797">
        <v>43</v>
      </c>
      <c r="Q797">
        <v>1</v>
      </c>
      <c r="R797">
        <v>176</v>
      </c>
      <c r="S797">
        <v>161.80000000000001</v>
      </c>
      <c r="T797" t="s">
        <v>65</v>
      </c>
      <c r="U797" s="3"/>
      <c r="V797" s="3"/>
      <c r="W797" s="3"/>
    </row>
    <row r="798" spans="1:23">
      <c r="A798" t="s">
        <v>1966</v>
      </c>
      <c r="B798" t="s">
        <v>350</v>
      </c>
      <c r="C798" t="s">
        <v>100</v>
      </c>
      <c r="D798" t="s">
        <v>1967</v>
      </c>
      <c r="E798" t="s">
        <v>1968</v>
      </c>
      <c r="F798" s="2">
        <v>45742</v>
      </c>
      <c r="G798" t="s">
        <v>94</v>
      </c>
      <c r="H798" t="s">
        <v>376</v>
      </c>
      <c r="I798" t="s">
        <v>53</v>
      </c>
      <c r="J798" t="s">
        <v>97</v>
      </c>
      <c r="K798" t="s">
        <v>27</v>
      </c>
      <c r="L798">
        <v>193930.56</v>
      </c>
      <c r="M798">
        <v>183841.35</v>
      </c>
      <c r="O798">
        <v>10</v>
      </c>
      <c r="P798">
        <v>190</v>
      </c>
      <c r="Q798">
        <v>3</v>
      </c>
      <c r="R798">
        <v>106</v>
      </c>
      <c r="S798">
        <v>163.6</v>
      </c>
      <c r="T798" t="s">
        <v>37</v>
      </c>
      <c r="U798" s="3"/>
      <c r="V798" s="3"/>
      <c r="W798" s="3"/>
    </row>
    <row r="799" spans="1:23">
      <c r="A799" t="s">
        <v>1969</v>
      </c>
      <c r="B799" t="s">
        <v>584</v>
      </c>
      <c r="C799" t="s">
        <v>100</v>
      </c>
      <c r="D799" s="2">
        <v>31200</v>
      </c>
      <c r="E799" t="s">
        <v>1970</v>
      </c>
      <c r="F799" s="2">
        <v>45427</v>
      </c>
      <c r="G799" t="s">
        <v>105</v>
      </c>
      <c r="I799" t="s">
        <v>119</v>
      </c>
      <c r="J799" t="s">
        <v>97</v>
      </c>
      <c r="K799" t="s">
        <v>161</v>
      </c>
      <c r="L799">
        <v>156916.47</v>
      </c>
      <c r="M799">
        <v>116209.45</v>
      </c>
      <c r="N799" t="s">
        <v>106</v>
      </c>
      <c r="O799">
        <v>13</v>
      </c>
      <c r="P799" t="s">
        <v>1971</v>
      </c>
      <c r="Q799">
        <v>2</v>
      </c>
      <c r="R799">
        <v>183</v>
      </c>
      <c r="S799">
        <v>226.6</v>
      </c>
      <c r="U799" s="3"/>
      <c r="V799" s="3"/>
      <c r="W799" s="3"/>
    </row>
    <row r="800" spans="1:23">
      <c r="A800" t="s">
        <v>1972</v>
      </c>
      <c r="B800" t="s">
        <v>1104</v>
      </c>
      <c r="C800" t="s">
        <v>60</v>
      </c>
      <c r="D800" s="2">
        <v>26938</v>
      </c>
      <c r="E800" s="2">
        <v>45807</v>
      </c>
      <c r="G800" t="s">
        <v>152</v>
      </c>
      <c r="H800" t="s">
        <v>86</v>
      </c>
      <c r="I800" t="s">
        <v>79</v>
      </c>
      <c r="J800" t="s">
        <v>80</v>
      </c>
      <c r="K800" t="s">
        <v>161</v>
      </c>
      <c r="L800">
        <v>201700.44</v>
      </c>
      <c r="M800">
        <v>170525.32</v>
      </c>
      <c r="N800" t="s">
        <v>73</v>
      </c>
      <c r="O800">
        <v>6</v>
      </c>
      <c r="P800">
        <v>167</v>
      </c>
      <c r="Q800">
        <v>4</v>
      </c>
      <c r="R800" t="s">
        <v>1401</v>
      </c>
      <c r="S800">
        <v>249.7</v>
      </c>
      <c r="U800" s="3"/>
      <c r="V800" s="3"/>
      <c r="W800" s="3"/>
    </row>
    <row r="801" spans="1:23">
      <c r="A801" t="s">
        <v>1973</v>
      </c>
      <c r="B801" t="s">
        <v>700</v>
      </c>
      <c r="D801" t="s">
        <v>1974</v>
      </c>
      <c r="E801" s="2">
        <v>45495</v>
      </c>
      <c r="F801" t="s">
        <v>1975</v>
      </c>
      <c r="G801" t="s">
        <v>31</v>
      </c>
      <c r="H801" t="s">
        <v>1500</v>
      </c>
      <c r="I801" t="s">
        <v>79</v>
      </c>
      <c r="J801" t="s">
        <v>179</v>
      </c>
      <c r="K801" t="s">
        <v>110</v>
      </c>
      <c r="L801">
        <v>148346.13</v>
      </c>
      <c r="M801">
        <v>129055.33</v>
      </c>
      <c r="N801" t="s">
        <v>91</v>
      </c>
      <c r="O801">
        <v>3</v>
      </c>
      <c r="P801">
        <v>213</v>
      </c>
      <c r="Q801">
        <v>5</v>
      </c>
      <c r="R801">
        <v>91</v>
      </c>
      <c r="S801">
        <v>234.7</v>
      </c>
      <c r="T801" t="s">
        <v>37</v>
      </c>
      <c r="U801" s="3"/>
      <c r="V801" s="3"/>
      <c r="W801" s="3"/>
    </row>
    <row r="802" spans="1:23">
      <c r="A802" t="s">
        <v>1976</v>
      </c>
      <c r="B802" t="s">
        <v>368</v>
      </c>
      <c r="C802" t="s">
        <v>84</v>
      </c>
      <c r="D802" s="2">
        <v>32129</v>
      </c>
      <c r="E802" s="2">
        <v>45079</v>
      </c>
      <c r="F802" t="s">
        <v>1977</v>
      </c>
      <c r="G802" t="s">
        <v>109</v>
      </c>
      <c r="H802" t="s">
        <v>95</v>
      </c>
      <c r="I802" t="s">
        <v>119</v>
      </c>
      <c r="J802" t="s">
        <v>80</v>
      </c>
      <c r="K802" t="s">
        <v>27</v>
      </c>
      <c r="L802">
        <v>64740.76</v>
      </c>
      <c r="M802">
        <v>58910.27</v>
      </c>
      <c r="N802" t="s">
        <v>192</v>
      </c>
      <c r="O802">
        <v>4</v>
      </c>
      <c r="P802">
        <v>51</v>
      </c>
      <c r="R802">
        <v>145</v>
      </c>
      <c r="S802">
        <v>210.8</v>
      </c>
      <c r="T802" t="s">
        <v>47</v>
      </c>
      <c r="U802" s="3"/>
      <c r="V802" s="3"/>
      <c r="W802" s="3"/>
    </row>
    <row r="803" spans="1:23">
      <c r="A803" t="s">
        <v>1978</v>
      </c>
      <c r="B803" t="s">
        <v>247</v>
      </c>
      <c r="C803" t="s">
        <v>84</v>
      </c>
      <c r="D803" s="2">
        <v>34549</v>
      </c>
      <c r="E803" s="2">
        <v>45978</v>
      </c>
      <c r="F803" s="2">
        <v>45995</v>
      </c>
      <c r="G803" t="s">
        <v>62</v>
      </c>
      <c r="H803" t="s">
        <v>86</v>
      </c>
      <c r="J803" t="s">
        <v>64</v>
      </c>
      <c r="K803" t="s">
        <v>55</v>
      </c>
      <c r="L803">
        <v>161632.60999999999</v>
      </c>
      <c r="M803">
        <v>116082.13</v>
      </c>
      <c r="N803" t="s">
        <v>35</v>
      </c>
      <c r="O803">
        <v>17</v>
      </c>
      <c r="P803">
        <v>89</v>
      </c>
      <c r="R803">
        <v>127</v>
      </c>
      <c r="S803">
        <v>82.8</v>
      </c>
      <c r="T803" t="s">
        <v>37</v>
      </c>
      <c r="U803" s="3"/>
      <c r="V803" s="3"/>
      <c r="W803" s="3"/>
    </row>
    <row r="804" spans="1:23">
      <c r="A804" t="s">
        <v>1979</v>
      </c>
      <c r="B804" t="s">
        <v>1980</v>
      </c>
      <c r="C804" t="s">
        <v>22</v>
      </c>
      <c r="D804" s="2">
        <v>27419</v>
      </c>
      <c r="E804" s="2">
        <v>45591</v>
      </c>
      <c r="F804" t="s">
        <v>1981</v>
      </c>
      <c r="G804" t="s">
        <v>77</v>
      </c>
      <c r="H804" t="s">
        <v>118</v>
      </c>
      <c r="I804" t="s">
        <v>96</v>
      </c>
      <c r="K804" t="s">
        <v>110</v>
      </c>
      <c r="L804" t="s">
        <v>1982</v>
      </c>
      <c r="M804">
        <v>139902.68</v>
      </c>
      <c r="O804">
        <v>17</v>
      </c>
      <c r="P804">
        <v>178</v>
      </c>
      <c r="S804">
        <v>254.5</v>
      </c>
      <c r="T804" t="s">
        <v>37</v>
      </c>
      <c r="U804" s="3"/>
      <c r="V804" s="3"/>
      <c r="W804" s="3"/>
    </row>
    <row r="805" spans="1:23">
      <c r="A805" t="s">
        <v>1983</v>
      </c>
      <c r="B805" t="s">
        <v>1101</v>
      </c>
      <c r="C805" t="s">
        <v>50</v>
      </c>
      <c r="D805" s="2">
        <v>39257</v>
      </c>
      <c r="E805" t="s">
        <v>1984</v>
      </c>
      <c r="F805" s="2">
        <v>45864</v>
      </c>
      <c r="G805" t="s">
        <v>190</v>
      </c>
      <c r="H805" t="s">
        <v>63</v>
      </c>
      <c r="J805" t="s">
        <v>64</v>
      </c>
      <c r="L805">
        <v>236887.93</v>
      </c>
      <c r="M805">
        <v>189115.57</v>
      </c>
      <c r="N805" t="s">
        <v>56</v>
      </c>
      <c r="O805">
        <v>17</v>
      </c>
      <c r="P805">
        <v>199</v>
      </c>
      <c r="Q805">
        <v>5</v>
      </c>
      <c r="R805">
        <v>153</v>
      </c>
      <c r="S805">
        <v>136.9</v>
      </c>
      <c r="T805" t="s">
        <v>47</v>
      </c>
      <c r="U805" s="3"/>
      <c r="V805" s="3"/>
      <c r="W805" s="3"/>
    </row>
    <row r="806" spans="1:23">
      <c r="A806" t="s">
        <v>1985</v>
      </c>
      <c r="B806" t="s">
        <v>1364</v>
      </c>
      <c r="C806" t="s">
        <v>40</v>
      </c>
      <c r="D806" t="s">
        <v>1986</v>
      </c>
      <c r="E806" s="2">
        <v>45449</v>
      </c>
      <c r="F806" t="s">
        <v>1987</v>
      </c>
      <c r="G806" t="s">
        <v>62</v>
      </c>
      <c r="H806" t="s">
        <v>44</v>
      </c>
      <c r="I806" t="s">
        <v>96</v>
      </c>
      <c r="K806" t="s">
        <v>449</v>
      </c>
      <c r="L806">
        <v>19506</v>
      </c>
      <c r="M806">
        <v>15389.39</v>
      </c>
      <c r="N806" t="s">
        <v>91</v>
      </c>
      <c r="O806">
        <v>11</v>
      </c>
      <c r="P806">
        <v>125</v>
      </c>
      <c r="Q806">
        <v>5</v>
      </c>
      <c r="R806">
        <v>90</v>
      </c>
      <c r="S806">
        <v>97.3</v>
      </c>
      <c r="T806" t="s">
        <v>47</v>
      </c>
      <c r="U806" s="3"/>
      <c r="V806" s="3"/>
      <c r="W806" s="3"/>
    </row>
    <row r="807" spans="1:23">
      <c r="A807" t="s">
        <v>1988</v>
      </c>
      <c r="B807" t="s">
        <v>936</v>
      </c>
      <c r="C807" t="s">
        <v>100</v>
      </c>
      <c r="D807" s="2">
        <v>19277</v>
      </c>
      <c r="E807" s="2">
        <v>45475</v>
      </c>
      <c r="F807" t="s">
        <v>1989</v>
      </c>
      <c r="G807" t="s">
        <v>89</v>
      </c>
      <c r="I807" t="s">
        <v>79</v>
      </c>
      <c r="J807" t="s">
        <v>179</v>
      </c>
      <c r="K807" t="s">
        <v>161</v>
      </c>
      <c r="L807" t="s">
        <v>1990</v>
      </c>
      <c r="M807">
        <v>30869.88</v>
      </c>
      <c r="N807" t="s">
        <v>326</v>
      </c>
      <c r="O807">
        <v>5</v>
      </c>
      <c r="P807">
        <v>17</v>
      </c>
      <c r="R807">
        <v>168</v>
      </c>
      <c r="S807">
        <v>209.8</v>
      </c>
      <c r="T807" t="s">
        <v>47</v>
      </c>
      <c r="U807" s="3"/>
      <c r="V807" s="3"/>
      <c r="W807" s="3"/>
    </row>
    <row r="808" spans="1:23">
      <c r="A808" t="s">
        <v>1991</v>
      </c>
      <c r="B808" t="s">
        <v>679</v>
      </c>
      <c r="C808" t="s">
        <v>206</v>
      </c>
      <c r="D808" t="s">
        <v>1992</v>
      </c>
      <c r="E808" s="2">
        <v>45240</v>
      </c>
      <c r="F808" s="2">
        <v>45258</v>
      </c>
      <c r="G808" t="s">
        <v>94</v>
      </c>
      <c r="H808" t="s">
        <v>63</v>
      </c>
      <c r="I808" t="s">
        <v>79</v>
      </c>
      <c r="K808" t="s">
        <v>114</v>
      </c>
      <c r="L808">
        <v>69399.7</v>
      </c>
      <c r="M808">
        <v>54801.279999999999</v>
      </c>
      <c r="O808">
        <v>18</v>
      </c>
      <c r="P808">
        <v>239</v>
      </c>
      <c r="Q808">
        <v>1</v>
      </c>
      <c r="R808">
        <v>149</v>
      </c>
      <c r="S808">
        <v>108.9</v>
      </c>
      <c r="T808" t="s">
        <v>37</v>
      </c>
      <c r="U808" s="3"/>
      <c r="V808" s="3"/>
      <c r="W808" s="3"/>
    </row>
    <row r="809" spans="1:23">
      <c r="A809" t="s">
        <v>1993</v>
      </c>
      <c r="B809" t="s">
        <v>829</v>
      </c>
      <c r="C809" t="s">
        <v>84</v>
      </c>
      <c r="D809" s="2">
        <v>19075</v>
      </c>
      <c r="E809" s="2">
        <v>45812</v>
      </c>
      <c r="F809" s="2">
        <v>45813</v>
      </c>
      <c r="G809" t="s">
        <v>117</v>
      </c>
      <c r="H809" t="s">
        <v>44</v>
      </c>
      <c r="I809" t="s">
        <v>96</v>
      </c>
      <c r="J809" t="s">
        <v>97</v>
      </c>
      <c r="K809" t="s">
        <v>161</v>
      </c>
      <c r="L809">
        <v>163541.72</v>
      </c>
      <c r="M809">
        <v>153799.41</v>
      </c>
      <c r="N809" t="s">
        <v>73</v>
      </c>
      <c r="O809">
        <v>1</v>
      </c>
      <c r="P809">
        <v>28</v>
      </c>
      <c r="Q809">
        <v>5</v>
      </c>
      <c r="R809">
        <v>157</v>
      </c>
      <c r="S809">
        <v>184.1</v>
      </c>
      <c r="T809" t="s">
        <v>47</v>
      </c>
      <c r="U809" s="3"/>
      <c r="V809" s="3"/>
      <c r="W809" s="3"/>
    </row>
    <row r="810" spans="1:23">
      <c r="A810" t="s">
        <v>1994</v>
      </c>
      <c r="B810" t="s">
        <v>1464</v>
      </c>
      <c r="C810" t="s">
        <v>30</v>
      </c>
      <c r="D810" t="s">
        <v>1995</v>
      </c>
      <c r="E810" t="s">
        <v>486</v>
      </c>
      <c r="F810" s="2">
        <v>45679</v>
      </c>
      <c r="G810" t="s">
        <v>161</v>
      </c>
      <c r="H810" t="s">
        <v>95</v>
      </c>
      <c r="I810" t="s">
        <v>79</v>
      </c>
      <c r="J810" t="s">
        <v>71</v>
      </c>
      <c r="K810" t="s">
        <v>72</v>
      </c>
      <c r="L810">
        <v>248373.88</v>
      </c>
      <c r="M810">
        <v>180886.63</v>
      </c>
      <c r="N810" t="s">
        <v>192</v>
      </c>
      <c r="O810">
        <v>4</v>
      </c>
      <c r="P810">
        <v>45</v>
      </c>
      <c r="Q810">
        <v>4</v>
      </c>
      <c r="R810">
        <v>90</v>
      </c>
      <c r="S810">
        <v>165.2</v>
      </c>
      <c r="U810" s="3"/>
      <c r="V810" s="3"/>
      <c r="W810" s="3"/>
    </row>
    <row r="811" spans="1:23">
      <c r="A811" t="s">
        <v>1996</v>
      </c>
      <c r="B811" t="s">
        <v>1526</v>
      </c>
      <c r="C811" t="s">
        <v>30</v>
      </c>
      <c r="D811" t="s">
        <v>1997</v>
      </c>
      <c r="E811" s="2">
        <v>45665</v>
      </c>
      <c r="F811" t="s">
        <v>1998</v>
      </c>
      <c r="G811" t="s">
        <v>117</v>
      </c>
      <c r="H811" t="s">
        <v>78</v>
      </c>
      <c r="I811" t="s">
        <v>96</v>
      </c>
      <c r="J811" t="s">
        <v>97</v>
      </c>
      <c r="K811" t="s">
        <v>55</v>
      </c>
      <c r="L811">
        <v>116163.54</v>
      </c>
      <c r="M811">
        <v>86933.61</v>
      </c>
      <c r="N811" t="s">
        <v>91</v>
      </c>
      <c r="O811" t="s">
        <v>1857</v>
      </c>
      <c r="P811">
        <v>137</v>
      </c>
      <c r="Q811">
        <v>4</v>
      </c>
      <c r="R811">
        <v>102</v>
      </c>
      <c r="S811">
        <v>231.4</v>
      </c>
      <c r="T811" t="s">
        <v>37</v>
      </c>
      <c r="U811" s="3"/>
      <c r="V811" s="3"/>
      <c r="W811" s="3"/>
    </row>
    <row r="812" spans="1:23">
      <c r="A812" t="s">
        <v>1999</v>
      </c>
      <c r="B812" t="s">
        <v>83</v>
      </c>
      <c r="C812" t="s">
        <v>84</v>
      </c>
      <c r="D812" s="2">
        <v>30020</v>
      </c>
      <c r="E812" s="2">
        <v>45227</v>
      </c>
      <c r="F812" s="2">
        <v>45240</v>
      </c>
      <c r="H812" t="s">
        <v>63</v>
      </c>
      <c r="I812" t="s">
        <v>96</v>
      </c>
      <c r="J812" t="s">
        <v>34</v>
      </c>
      <c r="K812" t="s">
        <v>27</v>
      </c>
      <c r="L812">
        <v>156657.24</v>
      </c>
      <c r="M812">
        <v>134053.70000000001</v>
      </c>
      <c r="N812" t="s">
        <v>192</v>
      </c>
      <c r="O812">
        <v>13</v>
      </c>
      <c r="P812">
        <v>112</v>
      </c>
      <c r="Q812">
        <v>3</v>
      </c>
      <c r="R812">
        <v>120</v>
      </c>
      <c r="S812">
        <v>95.4</v>
      </c>
      <c r="U812" s="3"/>
      <c r="V812" s="3"/>
      <c r="W812" s="3"/>
    </row>
    <row r="813" spans="1:23">
      <c r="A813" t="s">
        <v>2000</v>
      </c>
      <c r="B813" t="s">
        <v>771</v>
      </c>
      <c r="C813" t="s">
        <v>30</v>
      </c>
      <c r="D813" s="2">
        <v>25716</v>
      </c>
      <c r="E813" s="2">
        <v>45844</v>
      </c>
      <c r="F813" s="2">
        <v>45846</v>
      </c>
      <c r="G813" t="s">
        <v>89</v>
      </c>
      <c r="H813" t="s">
        <v>538</v>
      </c>
      <c r="J813" t="s">
        <v>34</v>
      </c>
      <c r="K813" t="s">
        <v>120</v>
      </c>
      <c r="L813">
        <v>146278.93</v>
      </c>
      <c r="M813">
        <v>96715.24</v>
      </c>
      <c r="N813" t="s">
        <v>91</v>
      </c>
      <c r="O813">
        <v>2</v>
      </c>
      <c r="P813">
        <v>165</v>
      </c>
      <c r="R813" t="s">
        <v>2001</v>
      </c>
      <c r="S813">
        <v>164.3</v>
      </c>
      <c r="T813" t="s">
        <v>65</v>
      </c>
      <c r="U813" s="3"/>
      <c r="V813" s="3"/>
      <c r="W813" s="3"/>
    </row>
    <row r="814" spans="1:23">
      <c r="A814" t="s">
        <v>2002</v>
      </c>
      <c r="B814" t="s">
        <v>1956</v>
      </c>
      <c r="C814" t="s">
        <v>206</v>
      </c>
      <c r="D814" s="2">
        <v>32160</v>
      </c>
      <c r="E814" s="2">
        <v>45546</v>
      </c>
      <c r="F814" s="2">
        <v>45558</v>
      </c>
      <c r="G814" t="s">
        <v>117</v>
      </c>
      <c r="H814" t="s">
        <v>278</v>
      </c>
      <c r="I814" t="s">
        <v>79</v>
      </c>
      <c r="J814" t="s">
        <v>54</v>
      </c>
      <c r="K814" t="s">
        <v>110</v>
      </c>
      <c r="L814">
        <v>102734.29</v>
      </c>
      <c r="M814">
        <v>70550.350000000006</v>
      </c>
      <c r="N814" t="s">
        <v>35</v>
      </c>
      <c r="O814">
        <v>12</v>
      </c>
      <c r="P814">
        <v>72</v>
      </c>
      <c r="R814">
        <v>155</v>
      </c>
      <c r="S814">
        <v>154.19999999999999</v>
      </c>
      <c r="T814" t="s">
        <v>47</v>
      </c>
      <c r="U814" s="3"/>
      <c r="V814" s="3"/>
      <c r="W814" s="3"/>
    </row>
    <row r="815" spans="1:23">
      <c r="A815" t="s">
        <v>2003</v>
      </c>
      <c r="B815" t="s">
        <v>345</v>
      </c>
      <c r="C815" t="s">
        <v>50</v>
      </c>
      <c r="D815" t="s">
        <v>2004</v>
      </c>
      <c r="E815" s="2">
        <v>45131</v>
      </c>
      <c r="F815" t="s">
        <v>379</v>
      </c>
      <c r="G815" t="s">
        <v>141</v>
      </c>
      <c r="H815" t="s">
        <v>78</v>
      </c>
      <c r="I815" t="s">
        <v>79</v>
      </c>
      <c r="J815" t="s">
        <v>26</v>
      </c>
      <c r="K815" t="s">
        <v>120</v>
      </c>
      <c r="L815">
        <v>128909.03</v>
      </c>
      <c r="M815">
        <v>121773.12</v>
      </c>
      <c r="N815" t="s">
        <v>35</v>
      </c>
      <c r="O815">
        <v>5</v>
      </c>
      <c r="P815">
        <v>11</v>
      </c>
      <c r="R815">
        <v>90</v>
      </c>
      <c r="S815">
        <v>243.9</v>
      </c>
      <c r="T815" t="s">
        <v>37</v>
      </c>
      <c r="U815" s="3"/>
      <c r="V815" s="3"/>
      <c r="W815" s="3"/>
    </row>
    <row r="816" spans="1:23">
      <c r="A816" t="s">
        <v>2005</v>
      </c>
      <c r="B816" t="s">
        <v>1050</v>
      </c>
      <c r="C816" t="s">
        <v>30</v>
      </c>
      <c r="D816" t="s">
        <v>2006</v>
      </c>
      <c r="E816" s="2">
        <v>45857</v>
      </c>
      <c r="F816" s="2">
        <v>45859</v>
      </c>
      <c r="G816" t="s">
        <v>105</v>
      </c>
      <c r="H816" t="s">
        <v>24</v>
      </c>
      <c r="I816" t="s">
        <v>79</v>
      </c>
      <c r="J816" t="s">
        <v>34</v>
      </c>
      <c r="K816" t="s">
        <v>72</v>
      </c>
      <c r="L816">
        <v>83656.149999999994</v>
      </c>
      <c r="M816">
        <v>66576.03</v>
      </c>
      <c r="N816" t="s">
        <v>91</v>
      </c>
      <c r="O816">
        <v>2</v>
      </c>
      <c r="P816">
        <v>225</v>
      </c>
      <c r="R816">
        <v>190</v>
      </c>
      <c r="S816">
        <v>208.6</v>
      </c>
      <c r="T816" t="s">
        <v>47</v>
      </c>
      <c r="U816" s="3"/>
      <c r="V816" s="3"/>
      <c r="W816" s="3"/>
    </row>
    <row r="817" spans="1:23">
      <c r="A817" t="s">
        <v>2007</v>
      </c>
      <c r="B817" t="s">
        <v>2008</v>
      </c>
      <c r="C817" t="s">
        <v>50</v>
      </c>
      <c r="D817" s="2">
        <v>26239</v>
      </c>
      <c r="E817" s="2">
        <v>45578</v>
      </c>
      <c r="F817" t="s">
        <v>2009</v>
      </c>
      <c r="G817" t="s">
        <v>152</v>
      </c>
      <c r="H817" t="s">
        <v>63</v>
      </c>
      <c r="I817" t="s">
        <v>53</v>
      </c>
      <c r="J817" t="s">
        <v>26</v>
      </c>
      <c r="K817" t="s">
        <v>286</v>
      </c>
      <c r="L817">
        <v>132387.41</v>
      </c>
      <c r="M817">
        <v>104976.08</v>
      </c>
      <c r="N817" t="s">
        <v>56</v>
      </c>
      <c r="O817">
        <v>15</v>
      </c>
      <c r="P817" t="s">
        <v>2010</v>
      </c>
      <c r="Q817">
        <v>4</v>
      </c>
      <c r="R817">
        <v>156</v>
      </c>
      <c r="S817">
        <v>122</v>
      </c>
      <c r="T817" t="s">
        <v>65</v>
      </c>
      <c r="U817" s="3"/>
      <c r="V817" s="3"/>
      <c r="W817" s="3"/>
    </row>
    <row r="818" spans="1:23">
      <c r="A818" t="s">
        <v>2011</v>
      </c>
      <c r="B818" t="s">
        <v>796</v>
      </c>
      <c r="C818" t="s">
        <v>60</v>
      </c>
      <c r="D818" t="s">
        <v>2012</v>
      </c>
      <c r="E818" t="s">
        <v>2013</v>
      </c>
      <c r="F818" s="2">
        <v>45589</v>
      </c>
      <c r="G818" t="s">
        <v>89</v>
      </c>
      <c r="H818" t="s">
        <v>32</v>
      </c>
      <c r="I818" t="s">
        <v>33</v>
      </c>
      <c r="J818" t="s">
        <v>204</v>
      </c>
      <c r="L818">
        <v>157876.84</v>
      </c>
      <c r="M818">
        <v>141845.01999999999</v>
      </c>
      <c r="O818">
        <v>2</v>
      </c>
      <c r="P818">
        <v>203</v>
      </c>
      <c r="R818">
        <v>167</v>
      </c>
      <c r="S818">
        <v>84.2</v>
      </c>
      <c r="T818" t="s">
        <v>81</v>
      </c>
      <c r="U818" s="3"/>
      <c r="V818" s="3"/>
      <c r="W818" s="3"/>
    </row>
    <row r="819" spans="1:23">
      <c r="A819" t="s">
        <v>2014</v>
      </c>
      <c r="B819" t="s">
        <v>1302</v>
      </c>
      <c r="C819" t="s">
        <v>307</v>
      </c>
      <c r="D819" s="2">
        <v>29520</v>
      </c>
      <c r="E819" t="s">
        <v>2015</v>
      </c>
      <c r="F819" t="s">
        <v>2016</v>
      </c>
      <c r="G819" t="s">
        <v>94</v>
      </c>
      <c r="I819" t="s">
        <v>79</v>
      </c>
      <c r="J819" t="s">
        <v>34</v>
      </c>
      <c r="K819" t="s">
        <v>27</v>
      </c>
      <c r="L819">
        <v>238560.26</v>
      </c>
      <c r="M819">
        <v>171743.85</v>
      </c>
      <c r="O819">
        <v>1</v>
      </c>
      <c r="P819">
        <v>60</v>
      </c>
      <c r="Q819">
        <v>3</v>
      </c>
      <c r="R819">
        <v>168</v>
      </c>
      <c r="S819">
        <v>130.69999999999999</v>
      </c>
      <c r="T819" t="s">
        <v>47</v>
      </c>
      <c r="U819" s="3"/>
      <c r="V819" s="3"/>
      <c r="W819" s="3"/>
    </row>
    <row r="820" spans="1:23">
      <c r="A820" t="s">
        <v>2017</v>
      </c>
      <c r="B820" t="s">
        <v>556</v>
      </c>
      <c r="C820" t="s">
        <v>84</v>
      </c>
      <c r="D820" s="2">
        <v>27662</v>
      </c>
      <c r="E820" s="2">
        <v>45353</v>
      </c>
      <c r="F820" s="2">
        <v>45355</v>
      </c>
      <c r="H820" t="s">
        <v>52</v>
      </c>
      <c r="I820" t="s">
        <v>119</v>
      </c>
      <c r="J820" t="s">
        <v>186</v>
      </c>
      <c r="K820" t="s">
        <v>55</v>
      </c>
      <c r="L820">
        <v>93651.47</v>
      </c>
      <c r="M820">
        <v>71529.27</v>
      </c>
      <c r="N820" t="s">
        <v>73</v>
      </c>
      <c r="O820">
        <v>2</v>
      </c>
      <c r="P820">
        <v>169</v>
      </c>
      <c r="Q820">
        <v>3</v>
      </c>
      <c r="S820">
        <v>113.1</v>
      </c>
      <c r="T820" t="s">
        <v>127</v>
      </c>
      <c r="U820" s="3"/>
      <c r="V820" s="3"/>
      <c r="W820" s="3"/>
    </row>
    <row r="821" spans="1:23">
      <c r="A821" t="s">
        <v>2018</v>
      </c>
      <c r="B821" t="s">
        <v>601</v>
      </c>
      <c r="C821" t="s">
        <v>100</v>
      </c>
      <c r="D821" t="s">
        <v>2019</v>
      </c>
      <c r="E821" s="2">
        <v>45714</v>
      </c>
      <c r="F821" s="2">
        <v>45730</v>
      </c>
      <c r="G821" t="s">
        <v>43</v>
      </c>
      <c r="H821" t="s">
        <v>124</v>
      </c>
      <c r="K821" t="s">
        <v>55</v>
      </c>
      <c r="L821">
        <v>186395.09</v>
      </c>
      <c r="M821">
        <v>135382.26999999999</v>
      </c>
      <c r="N821" t="s">
        <v>73</v>
      </c>
      <c r="O821">
        <v>16</v>
      </c>
      <c r="P821">
        <v>77</v>
      </c>
      <c r="Q821">
        <v>2</v>
      </c>
      <c r="R821">
        <v>170</v>
      </c>
      <c r="S821">
        <v>162.5</v>
      </c>
      <c r="U821" s="3"/>
      <c r="V821" s="3"/>
      <c r="W821" s="3"/>
    </row>
    <row r="822" spans="1:23">
      <c r="A822" t="s">
        <v>2020</v>
      </c>
      <c r="B822" t="s">
        <v>1108</v>
      </c>
      <c r="C822" t="s">
        <v>151</v>
      </c>
      <c r="D822" t="s">
        <v>2021</v>
      </c>
      <c r="E822" s="2">
        <v>45487</v>
      </c>
      <c r="F822" s="2">
        <v>45503</v>
      </c>
      <c r="G822" t="s">
        <v>152</v>
      </c>
      <c r="H822" t="s">
        <v>153</v>
      </c>
      <c r="I822" t="s">
        <v>96</v>
      </c>
      <c r="J822" t="s">
        <v>64</v>
      </c>
      <c r="K822" t="s">
        <v>55</v>
      </c>
      <c r="L822" t="s">
        <v>2022</v>
      </c>
      <c r="M822">
        <v>47350.07</v>
      </c>
      <c r="N822" t="s">
        <v>192</v>
      </c>
      <c r="O822">
        <v>16</v>
      </c>
      <c r="P822">
        <v>78</v>
      </c>
      <c r="Q822">
        <v>1</v>
      </c>
      <c r="R822">
        <v>184</v>
      </c>
      <c r="S822">
        <v>259.3</v>
      </c>
      <c r="T822" t="s">
        <v>37</v>
      </c>
      <c r="U822" s="3"/>
      <c r="V822" s="3"/>
      <c r="W822" s="3"/>
    </row>
    <row r="823" spans="1:23">
      <c r="A823" t="s">
        <v>2023</v>
      </c>
      <c r="B823" t="s">
        <v>517</v>
      </c>
      <c r="D823" s="2">
        <v>27390</v>
      </c>
      <c r="E823" t="s">
        <v>2024</v>
      </c>
      <c r="F823" s="2">
        <v>45314</v>
      </c>
      <c r="G823" t="s">
        <v>94</v>
      </c>
      <c r="H823" t="s">
        <v>134</v>
      </c>
      <c r="I823" t="s">
        <v>79</v>
      </c>
      <c r="J823" t="s">
        <v>34</v>
      </c>
      <c r="K823" t="s">
        <v>72</v>
      </c>
      <c r="L823">
        <v>116270.72</v>
      </c>
      <c r="M823">
        <v>96677.8</v>
      </c>
      <c r="N823" t="s">
        <v>192</v>
      </c>
      <c r="O823">
        <v>4</v>
      </c>
      <c r="P823">
        <v>111</v>
      </c>
      <c r="Q823">
        <v>4</v>
      </c>
      <c r="R823">
        <v>145</v>
      </c>
      <c r="S823">
        <v>251</v>
      </c>
      <c r="T823" t="s">
        <v>37</v>
      </c>
      <c r="U823" s="3"/>
      <c r="V823" s="3"/>
      <c r="W823" s="3"/>
    </row>
    <row r="824" spans="1:23">
      <c r="A824" t="s">
        <v>2025</v>
      </c>
      <c r="B824" t="s">
        <v>553</v>
      </c>
      <c r="D824" s="2">
        <v>32022</v>
      </c>
      <c r="E824" t="s">
        <v>2026</v>
      </c>
      <c r="F824" s="2">
        <v>45082</v>
      </c>
      <c r="G824" t="s">
        <v>23</v>
      </c>
      <c r="I824" t="s">
        <v>45</v>
      </c>
      <c r="J824" t="s">
        <v>34</v>
      </c>
      <c r="K824" t="s">
        <v>161</v>
      </c>
      <c r="L824">
        <v>123334.98</v>
      </c>
      <c r="M824">
        <v>102355.67</v>
      </c>
      <c r="N824" t="s">
        <v>192</v>
      </c>
      <c r="O824">
        <v>7</v>
      </c>
      <c r="P824">
        <v>29</v>
      </c>
      <c r="R824">
        <v>147</v>
      </c>
      <c r="S824">
        <v>186.7</v>
      </c>
      <c r="T824" t="s">
        <v>65</v>
      </c>
      <c r="U824" s="3"/>
      <c r="V824" s="3"/>
      <c r="W824" s="3"/>
    </row>
    <row r="825" spans="1:23">
      <c r="A825" t="s">
        <v>2027</v>
      </c>
      <c r="B825" t="s">
        <v>129</v>
      </c>
      <c r="C825" t="s">
        <v>50</v>
      </c>
      <c r="D825" s="2">
        <v>28250</v>
      </c>
      <c r="E825" s="2">
        <v>45698</v>
      </c>
      <c r="F825" s="2">
        <v>45700</v>
      </c>
      <c r="G825" t="s">
        <v>43</v>
      </c>
      <c r="H825" t="s">
        <v>86</v>
      </c>
      <c r="J825" t="s">
        <v>97</v>
      </c>
      <c r="K825" t="s">
        <v>72</v>
      </c>
      <c r="L825">
        <v>96453.49</v>
      </c>
      <c r="M825">
        <v>83941.88</v>
      </c>
      <c r="N825" t="s">
        <v>73</v>
      </c>
      <c r="O825">
        <v>2</v>
      </c>
      <c r="P825">
        <v>205</v>
      </c>
      <c r="Q825">
        <v>5</v>
      </c>
      <c r="R825">
        <v>184</v>
      </c>
      <c r="S825">
        <v>241.9</v>
      </c>
      <c r="T825" t="s">
        <v>37</v>
      </c>
      <c r="U825" s="3"/>
      <c r="V825" s="3"/>
      <c r="W825" s="3"/>
    </row>
    <row r="826" spans="1:23">
      <c r="A826" t="s">
        <v>2028</v>
      </c>
      <c r="B826" t="s">
        <v>2029</v>
      </c>
      <c r="C826" t="s">
        <v>84</v>
      </c>
      <c r="D826" s="2">
        <v>25574</v>
      </c>
      <c r="E826" t="s">
        <v>2030</v>
      </c>
      <c r="G826" t="s">
        <v>31</v>
      </c>
      <c r="H826" t="s">
        <v>86</v>
      </c>
      <c r="I826" t="s">
        <v>96</v>
      </c>
      <c r="J826" t="s">
        <v>71</v>
      </c>
      <c r="K826" t="s">
        <v>55</v>
      </c>
      <c r="L826" t="s">
        <v>2031</v>
      </c>
      <c r="M826">
        <v>222844.59</v>
      </c>
      <c r="N826" t="s">
        <v>91</v>
      </c>
      <c r="O826">
        <v>11</v>
      </c>
      <c r="P826">
        <v>107</v>
      </c>
      <c r="R826">
        <v>108</v>
      </c>
      <c r="S826">
        <v>104.3</v>
      </c>
      <c r="T826" t="s">
        <v>37</v>
      </c>
      <c r="U826" s="3"/>
      <c r="V826" s="3"/>
      <c r="W826" s="3"/>
    </row>
    <row r="827" spans="1:23">
      <c r="A827" t="s">
        <v>2032</v>
      </c>
      <c r="B827" t="s">
        <v>2033</v>
      </c>
      <c r="D827" t="s">
        <v>2034</v>
      </c>
      <c r="E827" s="2">
        <v>45659</v>
      </c>
      <c r="F827" t="s">
        <v>2035</v>
      </c>
      <c r="G827" t="s">
        <v>31</v>
      </c>
      <c r="H827" t="s">
        <v>78</v>
      </c>
      <c r="J827" t="s">
        <v>64</v>
      </c>
      <c r="K827" t="s">
        <v>55</v>
      </c>
      <c r="L827" t="s">
        <v>2036</v>
      </c>
      <c r="M827">
        <v>111221.24</v>
      </c>
      <c r="N827" t="s">
        <v>56</v>
      </c>
      <c r="O827">
        <v>3</v>
      </c>
      <c r="P827">
        <v>59</v>
      </c>
      <c r="Q827">
        <v>2</v>
      </c>
      <c r="R827">
        <v>107</v>
      </c>
      <c r="S827">
        <v>236.2</v>
      </c>
      <c r="T827" t="s">
        <v>37</v>
      </c>
      <c r="U827" s="3"/>
      <c r="V827" s="3"/>
      <c r="W827" s="3"/>
    </row>
    <row r="828" spans="1:23">
      <c r="A828" t="s">
        <v>2037</v>
      </c>
      <c r="B828" t="s">
        <v>771</v>
      </c>
      <c r="C828" t="s">
        <v>40</v>
      </c>
      <c r="D828" s="2">
        <v>35417</v>
      </c>
      <c r="E828" t="s">
        <v>2038</v>
      </c>
      <c r="F828" s="2">
        <v>45918</v>
      </c>
      <c r="G828" t="s">
        <v>94</v>
      </c>
      <c r="H828" t="s">
        <v>118</v>
      </c>
      <c r="I828" t="s">
        <v>33</v>
      </c>
      <c r="J828" t="s">
        <v>46</v>
      </c>
      <c r="K828" t="s">
        <v>55</v>
      </c>
      <c r="L828">
        <v>25294.55</v>
      </c>
      <c r="M828">
        <v>19604.57</v>
      </c>
      <c r="N828" t="s">
        <v>73</v>
      </c>
      <c r="O828">
        <v>8</v>
      </c>
      <c r="P828">
        <v>115</v>
      </c>
      <c r="R828">
        <v>158</v>
      </c>
      <c r="S828">
        <v>148.4</v>
      </c>
      <c r="U828" s="3"/>
      <c r="V828" s="3"/>
      <c r="W828" s="3"/>
    </row>
    <row r="829" spans="1:23">
      <c r="A829" t="s">
        <v>2039</v>
      </c>
      <c r="B829" t="s">
        <v>999</v>
      </c>
      <c r="C829" t="s">
        <v>133</v>
      </c>
      <c r="D829" s="2">
        <v>28082</v>
      </c>
      <c r="E829" s="2">
        <v>44931</v>
      </c>
      <c r="F829" t="s">
        <v>2040</v>
      </c>
      <c r="H829" t="s">
        <v>118</v>
      </c>
      <c r="I829" t="s">
        <v>45</v>
      </c>
      <c r="J829" t="s">
        <v>80</v>
      </c>
      <c r="K829" t="s">
        <v>55</v>
      </c>
      <c r="L829">
        <v>231313.19</v>
      </c>
      <c r="M829">
        <v>141884.26999999999</v>
      </c>
      <c r="N829" t="s">
        <v>192</v>
      </c>
      <c r="O829" t="s">
        <v>1036</v>
      </c>
      <c r="P829">
        <v>72</v>
      </c>
      <c r="Q829">
        <v>3</v>
      </c>
      <c r="R829">
        <v>180</v>
      </c>
      <c r="S829">
        <v>211.2</v>
      </c>
      <c r="T829" t="s">
        <v>37</v>
      </c>
      <c r="U829" s="3"/>
      <c r="V829" s="3"/>
      <c r="W829" s="3"/>
    </row>
    <row r="830" spans="1:23">
      <c r="A830" t="s">
        <v>2041</v>
      </c>
      <c r="B830" t="s">
        <v>911</v>
      </c>
      <c r="C830" t="s">
        <v>60</v>
      </c>
      <c r="D830" s="2">
        <v>22060</v>
      </c>
      <c r="E830" s="2">
        <v>45122</v>
      </c>
      <c r="F830" s="2">
        <v>45126</v>
      </c>
      <c r="G830" t="s">
        <v>62</v>
      </c>
      <c r="H830" t="s">
        <v>24</v>
      </c>
      <c r="I830" t="s">
        <v>79</v>
      </c>
      <c r="J830" t="s">
        <v>34</v>
      </c>
      <c r="K830" t="s">
        <v>120</v>
      </c>
      <c r="L830">
        <v>121398.91</v>
      </c>
      <c r="M830">
        <v>96452.78</v>
      </c>
      <c r="N830" t="s">
        <v>35</v>
      </c>
      <c r="O830">
        <v>4</v>
      </c>
      <c r="P830">
        <v>70</v>
      </c>
      <c r="Q830">
        <v>5</v>
      </c>
      <c r="R830">
        <v>184</v>
      </c>
      <c r="S830">
        <v>181.9</v>
      </c>
      <c r="T830" t="s">
        <v>47</v>
      </c>
      <c r="U830" s="3"/>
      <c r="V830" s="3"/>
      <c r="W830" s="3"/>
    </row>
    <row r="831" spans="1:23">
      <c r="A831" t="s">
        <v>2042</v>
      </c>
      <c r="B831" t="s">
        <v>202</v>
      </c>
      <c r="D831" t="s">
        <v>2043</v>
      </c>
      <c r="E831" s="2">
        <v>45287</v>
      </c>
      <c r="F831" s="2">
        <v>45289</v>
      </c>
      <c r="G831" t="s">
        <v>62</v>
      </c>
      <c r="H831" t="s">
        <v>113</v>
      </c>
      <c r="I831" t="s">
        <v>25</v>
      </c>
      <c r="J831" t="s">
        <v>197</v>
      </c>
      <c r="K831" t="s">
        <v>27</v>
      </c>
      <c r="L831">
        <v>240317.87</v>
      </c>
      <c r="M831">
        <v>180612.59</v>
      </c>
      <c r="N831" t="s">
        <v>56</v>
      </c>
      <c r="O831">
        <v>2</v>
      </c>
      <c r="P831">
        <v>16</v>
      </c>
      <c r="Q831">
        <v>2</v>
      </c>
      <c r="R831">
        <v>104</v>
      </c>
      <c r="S831">
        <v>214.1</v>
      </c>
      <c r="T831" t="s">
        <v>65</v>
      </c>
      <c r="U831" s="3"/>
      <c r="V831" s="3"/>
      <c r="W831" s="3"/>
    </row>
    <row r="832" spans="1:23">
      <c r="A832" t="s">
        <v>2044</v>
      </c>
      <c r="B832" t="s">
        <v>150</v>
      </c>
      <c r="C832" t="s">
        <v>50</v>
      </c>
      <c r="D832" s="2">
        <v>37824</v>
      </c>
      <c r="E832" s="2">
        <v>45507</v>
      </c>
      <c r="F832" s="2">
        <v>45518</v>
      </c>
      <c r="G832" t="s">
        <v>109</v>
      </c>
      <c r="H832" t="s">
        <v>124</v>
      </c>
      <c r="I832" t="s">
        <v>79</v>
      </c>
      <c r="J832" t="s">
        <v>663</v>
      </c>
      <c r="K832" t="s">
        <v>55</v>
      </c>
      <c r="L832">
        <v>193697.48</v>
      </c>
      <c r="M832">
        <v>171000.7</v>
      </c>
      <c r="N832" t="s">
        <v>192</v>
      </c>
      <c r="O832">
        <v>11</v>
      </c>
      <c r="P832">
        <v>114</v>
      </c>
      <c r="Q832">
        <v>1</v>
      </c>
      <c r="R832">
        <v>112</v>
      </c>
      <c r="S832">
        <v>120.1</v>
      </c>
      <c r="T832" t="s">
        <v>37</v>
      </c>
      <c r="U832" s="3"/>
      <c r="V832" s="3"/>
      <c r="W832" s="3"/>
    </row>
    <row r="833" spans="1:23">
      <c r="A833" t="s">
        <v>2045</v>
      </c>
      <c r="B833" t="s">
        <v>553</v>
      </c>
      <c r="D833" s="2">
        <v>31372</v>
      </c>
      <c r="E833" s="2">
        <v>45665</v>
      </c>
      <c r="F833" s="2">
        <v>45671</v>
      </c>
      <c r="H833" t="s">
        <v>86</v>
      </c>
      <c r="I833" t="s">
        <v>119</v>
      </c>
      <c r="J833" t="s">
        <v>34</v>
      </c>
      <c r="K833" t="s">
        <v>161</v>
      </c>
      <c r="L833">
        <v>209122.7</v>
      </c>
      <c r="M833">
        <v>167378.15</v>
      </c>
      <c r="N833" t="s">
        <v>73</v>
      </c>
      <c r="O833">
        <v>6</v>
      </c>
      <c r="P833">
        <v>50</v>
      </c>
      <c r="Q833">
        <v>4</v>
      </c>
      <c r="R833">
        <v>141</v>
      </c>
      <c r="S833">
        <v>140.5</v>
      </c>
      <c r="T833" t="s">
        <v>65</v>
      </c>
      <c r="U833" s="3"/>
      <c r="V833" s="3"/>
      <c r="W833" s="3"/>
    </row>
    <row r="834" spans="1:23">
      <c r="A834" t="s">
        <v>2046</v>
      </c>
      <c r="B834" t="s">
        <v>238</v>
      </c>
      <c r="C834" t="s">
        <v>206</v>
      </c>
      <c r="D834" s="2">
        <v>36685</v>
      </c>
      <c r="E834" s="2">
        <v>45437</v>
      </c>
      <c r="F834" t="s">
        <v>2047</v>
      </c>
      <c r="G834" t="s">
        <v>31</v>
      </c>
      <c r="H834" t="s">
        <v>63</v>
      </c>
      <c r="I834" t="s">
        <v>53</v>
      </c>
      <c r="J834" t="s">
        <v>71</v>
      </c>
      <c r="K834" t="s">
        <v>27</v>
      </c>
      <c r="L834">
        <v>219843.84</v>
      </c>
      <c r="M834">
        <v>214818.47</v>
      </c>
      <c r="N834" t="s">
        <v>73</v>
      </c>
      <c r="O834">
        <v>13</v>
      </c>
      <c r="P834">
        <v>105</v>
      </c>
      <c r="Q834">
        <v>4</v>
      </c>
      <c r="R834">
        <v>182</v>
      </c>
      <c r="S834">
        <v>130.4</v>
      </c>
      <c r="T834" t="s">
        <v>47</v>
      </c>
      <c r="U834" s="3"/>
      <c r="V834" s="3"/>
      <c r="W834" s="3"/>
    </row>
    <row r="835" spans="1:23">
      <c r="A835" t="s">
        <v>2048</v>
      </c>
      <c r="B835" t="s">
        <v>563</v>
      </c>
      <c r="C835" t="s">
        <v>100</v>
      </c>
      <c r="D835" t="s">
        <v>2049</v>
      </c>
      <c r="E835" s="2">
        <v>45722</v>
      </c>
      <c r="F835" s="2">
        <v>45738</v>
      </c>
      <c r="G835" t="s">
        <v>62</v>
      </c>
      <c r="H835" t="s">
        <v>44</v>
      </c>
      <c r="I835" t="s">
        <v>33</v>
      </c>
      <c r="J835" t="s">
        <v>46</v>
      </c>
      <c r="K835" t="s">
        <v>72</v>
      </c>
      <c r="L835">
        <v>120018.21</v>
      </c>
      <c r="M835">
        <v>107090.58</v>
      </c>
      <c r="N835" t="s">
        <v>91</v>
      </c>
      <c r="O835">
        <v>16</v>
      </c>
      <c r="P835">
        <v>226</v>
      </c>
      <c r="Q835">
        <v>4</v>
      </c>
      <c r="R835">
        <v>115</v>
      </c>
      <c r="T835" t="s">
        <v>37</v>
      </c>
      <c r="U835" s="3"/>
      <c r="V835" s="3"/>
      <c r="W835" s="3"/>
    </row>
    <row r="836" spans="1:23">
      <c r="A836" t="s">
        <v>2050</v>
      </c>
      <c r="B836" t="s">
        <v>249</v>
      </c>
      <c r="C836" t="s">
        <v>84</v>
      </c>
      <c r="D836" s="2">
        <v>21689</v>
      </c>
      <c r="E836" s="2">
        <v>45890</v>
      </c>
      <c r="F836" s="2">
        <v>45898</v>
      </c>
      <c r="G836" t="s">
        <v>70</v>
      </c>
      <c r="H836" t="s">
        <v>78</v>
      </c>
      <c r="I836" t="s">
        <v>33</v>
      </c>
      <c r="J836" t="s">
        <v>1381</v>
      </c>
      <c r="L836">
        <v>26304.92</v>
      </c>
      <c r="M836">
        <v>23730.81</v>
      </c>
      <c r="N836" t="s">
        <v>91</v>
      </c>
      <c r="O836">
        <v>8</v>
      </c>
      <c r="P836">
        <v>133</v>
      </c>
      <c r="Q836">
        <v>2</v>
      </c>
      <c r="R836">
        <v>102</v>
      </c>
      <c r="S836">
        <v>144.80000000000001</v>
      </c>
      <c r="T836" t="s">
        <v>37</v>
      </c>
      <c r="U836" s="3"/>
      <c r="V836" s="3"/>
      <c r="W836" s="3"/>
    </row>
    <row r="837" spans="1:23">
      <c r="A837" t="s">
        <v>2051</v>
      </c>
      <c r="B837" t="s">
        <v>238</v>
      </c>
      <c r="C837" t="s">
        <v>84</v>
      </c>
      <c r="D837" s="2">
        <v>32716</v>
      </c>
      <c r="E837" s="2">
        <v>45914</v>
      </c>
      <c r="F837" s="2">
        <v>45932</v>
      </c>
      <c r="G837" t="s">
        <v>1282</v>
      </c>
      <c r="H837" t="s">
        <v>95</v>
      </c>
      <c r="I837" t="s">
        <v>53</v>
      </c>
      <c r="J837" t="s">
        <v>34</v>
      </c>
      <c r="L837">
        <v>183649.08</v>
      </c>
      <c r="M837">
        <v>126012.97</v>
      </c>
      <c r="N837" t="s">
        <v>56</v>
      </c>
      <c r="O837">
        <v>18</v>
      </c>
      <c r="P837">
        <v>38</v>
      </c>
      <c r="Q837">
        <v>2</v>
      </c>
      <c r="R837">
        <v>126</v>
      </c>
      <c r="S837">
        <v>145.69999999999999</v>
      </c>
      <c r="T837" t="s">
        <v>47</v>
      </c>
      <c r="U837" s="3"/>
      <c r="V837" s="3"/>
      <c r="W837" s="3"/>
    </row>
    <row r="838" spans="1:23">
      <c r="A838" t="s">
        <v>2052</v>
      </c>
      <c r="B838" t="s">
        <v>922</v>
      </c>
      <c r="C838" t="s">
        <v>100</v>
      </c>
      <c r="D838" s="2">
        <v>32188</v>
      </c>
      <c r="E838" s="2">
        <v>45211</v>
      </c>
      <c r="G838" t="s">
        <v>23</v>
      </c>
      <c r="I838" t="s">
        <v>96</v>
      </c>
      <c r="J838" t="s">
        <v>186</v>
      </c>
      <c r="L838">
        <v>212003.94</v>
      </c>
      <c r="M838">
        <v>211589</v>
      </c>
      <c r="N838" t="s">
        <v>56</v>
      </c>
      <c r="O838">
        <v>10</v>
      </c>
      <c r="P838">
        <v>33</v>
      </c>
      <c r="Q838">
        <v>3</v>
      </c>
      <c r="R838">
        <v>172</v>
      </c>
      <c r="S838">
        <v>148.6</v>
      </c>
      <c r="T838" t="s">
        <v>37</v>
      </c>
      <c r="U838" s="3"/>
      <c r="V838" s="3"/>
      <c r="W838" s="3"/>
    </row>
    <row r="839" spans="1:23">
      <c r="A839" t="s">
        <v>2053</v>
      </c>
      <c r="B839" t="s">
        <v>613</v>
      </c>
      <c r="C839" t="s">
        <v>40</v>
      </c>
      <c r="D839" s="2">
        <v>22093</v>
      </c>
      <c r="E839" s="2">
        <v>44983</v>
      </c>
      <c r="F839" s="2">
        <v>44987</v>
      </c>
      <c r="G839" t="s">
        <v>31</v>
      </c>
      <c r="H839" t="s">
        <v>86</v>
      </c>
      <c r="I839" t="s">
        <v>96</v>
      </c>
      <c r="L839">
        <v>10887.12</v>
      </c>
      <c r="M839">
        <v>8256.86</v>
      </c>
      <c r="N839" t="s">
        <v>192</v>
      </c>
      <c r="O839">
        <v>4</v>
      </c>
      <c r="P839">
        <v>64</v>
      </c>
      <c r="Q839">
        <v>5</v>
      </c>
      <c r="R839" t="s">
        <v>1241</v>
      </c>
      <c r="S839">
        <v>110.9</v>
      </c>
      <c r="U839" s="3"/>
      <c r="V839" s="3"/>
      <c r="W839" s="3"/>
    </row>
    <row r="840" spans="1:23">
      <c r="A840" t="s">
        <v>2054</v>
      </c>
      <c r="B840" t="s">
        <v>1167</v>
      </c>
      <c r="C840" t="s">
        <v>307</v>
      </c>
      <c r="D840" s="2">
        <v>29866</v>
      </c>
      <c r="E840" s="2">
        <v>45004</v>
      </c>
      <c r="F840" t="s">
        <v>2055</v>
      </c>
      <c r="G840" t="s">
        <v>89</v>
      </c>
      <c r="H840" t="s">
        <v>52</v>
      </c>
      <c r="I840" t="s">
        <v>33</v>
      </c>
      <c r="J840" t="s">
        <v>34</v>
      </c>
      <c r="K840" t="s">
        <v>55</v>
      </c>
      <c r="L840">
        <v>5079.43</v>
      </c>
      <c r="M840">
        <v>4436.8999999999996</v>
      </c>
      <c r="N840" t="s">
        <v>192</v>
      </c>
      <c r="O840">
        <v>3</v>
      </c>
      <c r="P840">
        <v>186</v>
      </c>
      <c r="Q840">
        <v>2</v>
      </c>
      <c r="R840">
        <v>188</v>
      </c>
      <c r="T840" t="s">
        <v>65</v>
      </c>
      <c r="U840" s="3"/>
      <c r="V840" s="3"/>
      <c r="W840" s="3"/>
    </row>
    <row r="841" spans="1:23">
      <c r="A841" t="s">
        <v>2056</v>
      </c>
      <c r="B841" t="s">
        <v>356</v>
      </c>
      <c r="C841" t="s">
        <v>133</v>
      </c>
      <c r="D841" s="2">
        <v>23867</v>
      </c>
      <c r="E841" s="2">
        <v>45176</v>
      </c>
      <c r="F841" s="2">
        <v>45183</v>
      </c>
      <c r="G841" t="s">
        <v>31</v>
      </c>
      <c r="H841" t="s">
        <v>63</v>
      </c>
      <c r="I841" t="s">
        <v>96</v>
      </c>
      <c r="J841" t="s">
        <v>64</v>
      </c>
      <c r="K841" t="s">
        <v>120</v>
      </c>
      <c r="L841">
        <v>67130.45</v>
      </c>
      <c r="M841">
        <v>67058.210000000006</v>
      </c>
      <c r="O841" t="s">
        <v>74</v>
      </c>
      <c r="P841">
        <v>58</v>
      </c>
      <c r="Q841">
        <v>5</v>
      </c>
      <c r="R841">
        <v>115</v>
      </c>
      <c r="S841">
        <v>84.2</v>
      </c>
      <c r="T841" t="s">
        <v>37</v>
      </c>
      <c r="U841" s="3"/>
      <c r="V841" s="3"/>
      <c r="W841" s="3"/>
    </row>
    <row r="842" spans="1:23">
      <c r="A842" t="s">
        <v>2057</v>
      </c>
      <c r="B842" t="s">
        <v>850</v>
      </c>
      <c r="C842" t="s">
        <v>206</v>
      </c>
      <c r="D842" s="2">
        <v>20915</v>
      </c>
      <c r="E842" s="2">
        <v>45127</v>
      </c>
      <c r="F842" t="s">
        <v>2058</v>
      </c>
      <c r="H842" t="s">
        <v>24</v>
      </c>
      <c r="I842" t="s">
        <v>53</v>
      </c>
      <c r="J842" t="s">
        <v>71</v>
      </c>
      <c r="K842" t="s">
        <v>120</v>
      </c>
      <c r="L842">
        <v>226787.52</v>
      </c>
      <c r="M842">
        <v>185102.86</v>
      </c>
      <c r="N842" t="s">
        <v>56</v>
      </c>
      <c r="O842">
        <v>10</v>
      </c>
      <c r="P842">
        <v>46</v>
      </c>
      <c r="R842">
        <v>161</v>
      </c>
      <c r="S842">
        <v>222.6</v>
      </c>
      <c r="T842" t="s">
        <v>37</v>
      </c>
      <c r="U842" s="3"/>
      <c r="V842" s="3"/>
      <c r="W842" s="3"/>
    </row>
    <row r="843" spans="1:23">
      <c r="A843" t="s">
        <v>2059</v>
      </c>
      <c r="B843" t="s">
        <v>1818</v>
      </c>
      <c r="C843" t="s">
        <v>206</v>
      </c>
      <c r="D843" s="2">
        <v>38242</v>
      </c>
      <c r="E843" t="s">
        <v>2060</v>
      </c>
      <c r="F843" s="2">
        <v>45945</v>
      </c>
      <c r="G843" t="s">
        <v>43</v>
      </c>
      <c r="H843" t="s">
        <v>86</v>
      </c>
      <c r="I843" t="s">
        <v>33</v>
      </c>
      <c r="J843" t="s">
        <v>80</v>
      </c>
      <c r="K843" t="s">
        <v>120</v>
      </c>
      <c r="L843">
        <v>139641.67000000001</v>
      </c>
      <c r="M843">
        <v>99320.52</v>
      </c>
      <c r="N843" t="s">
        <v>192</v>
      </c>
      <c r="O843">
        <v>13</v>
      </c>
      <c r="P843">
        <v>168</v>
      </c>
      <c r="R843">
        <v>128</v>
      </c>
      <c r="S843">
        <v>186.8</v>
      </c>
      <c r="T843" t="s">
        <v>37</v>
      </c>
      <c r="U843" s="3"/>
      <c r="V843" s="3"/>
      <c r="W843" s="3"/>
    </row>
    <row r="844" spans="1:23">
      <c r="A844" t="s">
        <v>2061</v>
      </c>
      <c r="B844" t="s">
        <v>202</v>
      </c>
      <c r="C844" t="s">
        <v>50</v>
      </c>
      <c r="D844" t="s">
        <v>2062</v>
      </c>
      <c r="E844" s="2">
        <v>45814</v>
      </c>
      <c r="F844" s="2">
        <v>45820</v>
      </c>
      <c r="G844" t="s">
        <v>43</v>
      </c>
      <c r="H844" t="s">
        <v>95</v>
      </c>
      <c r="I844" t="s">
        <v>96</v>
      </c>
      <c r="J844" t="s">
        <v>46</v>
      </c>
      <c r="K844" t="s">
        <v>183</v>
      </c>
      <c r="L844" t="s">
        <v>2063</v>
      </c>
      <c r="M844">
        <v>64683.47</v>
      </c>
      <c r="N844" t="s">
        <v>35</v>
      </c>
      <c r="O844">
        <v>6</v>
      </c>
      <c r="P844">
        <v>172</v>
      </c>
      <c r="R844">
        <v>184</v>
      </c>
      <c r="S844">
        <v>129.30000000000001</v>
      </c>
      <c r="T844" t="s">
        <v>37</v>
      </c>
      <c r="U844" s="3"/>
      <c r="V844" s="3"/>
      <c r="W844" s="3"/>
    </row>
    <row r="845" spans="1:23">
      <c r="A845" t="s">
        <v>2064</v>
      </c>
      <c r="B845" t="s">
        <v>909</v>
      </c>
      <c r="C845" t="s">
        <v>30</v>
      </c>
      <c r="D845" s="2">
        <v>32280</v>
      </c>
      <c r="E845" s="2">
        <v>45379</v>
      </c>
      <c r="G845" t="s">
        <v>161</v>
      </c>
      <c r="H845" t="s">
        <v>118</v>
      </c>
      <c r="I845" t="s">
        <v>119</v>
      </c>
      <c r="J845" t="s">
        <v>34</v>
      </c>
      <c r="K845" t="s">
        <v>110</v>
      </c>
      <c r="L845">
        <v>114225.88</v>
      </c>
      <c r="M845">
        <v>94674.83</v>
      </c>
      <c r="N845" t="s">
        <v>192</v>
      </c>
      <c r="O845">
        <v>2</v>
      </c>
      <c r="P845">
        <v>58</v>
      </c>
      <c r="Q845">
        <v>5</v>
      </c>
      <c r="R845">
        <v>136</v>
      </c>
      <c r="T845" t="s">
        <v>65</v>
      </c>
      <c r="U845" s="3"/>
      <c r="V845" s="3"/>
      <c r="W845" s="3"/>
    </row>
    <row r="846" spans="1:23">
      <c r="A846" t="s">
        <v>2065</v>
      </c>
      <c r="B846" t="s">
        <v>218</v>
      </c>
      <c r="D846" s="2">
        <v>33606</v>
      </c>
      <c r="E846" s="2">
        <v>45529</v>
      </c>
      <c r="F846" s="2">
        <v>45538</v>
      </c>
      <c r="G846" t="s">
        <v>94</v>
      </c>
      <c r="H846" t="s">
        <v>24</v>
      </c>
      <c r="I846" t="s">
        <v>79</v>
      </c>
      <c r="J846" t="s">
        <v>64</v>
      </c>
      <c r="K846" t="s">
        <v>55</v>
      </c>
      <c r="L846">
        <v>162949.79</v>
      </c>
      <c r="M846">
        <v>148353.82</v>
      </c>
      <c r="N846" t="s">
        <v>73</v>
      </c>
      <c r="O846">
        <v>9</v>
      </c>
      <c r="P846">
        <v>71</v>
      </c>
      <c r="Q846">
        <v>1</v>
      </c>
      <c r="R846">
        <v>190</v>
      </c>
      <c r="S846">
        <v>203.1</v>
      </c>
      <c r="T846" t="s">
        <v>37</v>
      </c>
      <c r="U846" s="3"/>
      <c r="V846" s="3"/>
      <c r="W846" s="3"/>
    </row>
    <row r="847" spans="1:23">
      <c r="A847" t="s">
        <v>2066</v>
      </c>
      <c r="B847" t="s">
        <v>385</v>
      </c>
      <c r="C847" t="s">
        <v>60</v>
      </c>
      <c r="D847" t="s">
        <v>2067</v>
      </c>
      <c r="E847" s="2">
        <v>45272</v>
      </c>
      <c r="F847" t="s">
        <v>2068</v>
      </c>
      <c r="G847" t="s">
        <v>161</v>
      </c>
      <c r="H847" t="s">
        <v>52</v>
      </c>
      <c r="I847" t="s">
        <v>119</v>
      </c>
      <c r="J847" t="s">
        <v>97</v>
      </c>
      <c r="L847">
        <v>37151.730000000003</v>
      </c>
      <c r="M847">
        <v>32160.92</v>
      </c>
      <c r="N847" t="s">
        <v>56</v>
      </c>
      <c r="O847">
        <v>7</v>
      </c>
      <c r="Q847">
        <v>3</v>
      </c>
      <c r="R847">
        <v>161</v>
      </c>
      <c r="S847">
        <v>99.5</v>
      </c>
      <c r="T847" t="s">
        <v>37</v>
      </c>
      <c r="U847" s="3"/>
      <c r="V847" s="3"/>
      <c r="W847" s="3"/>
    </row>
    <row r="848" spans="1:23">
      <c r="A848" t="s">
        <v>2069</v>
      </c>
      <c r="B848" t="s">
        <v>1088</v>
      </c>
      <c r="C848" t="s">
        <v>206</v>
      </c>
      <c r="D848" t="s">
        <v>2070</v>
      </c>
      <c r="E848" s="2">
        <v>45690</v>
      </c>
      <c r="F848" s="2">
        <v>45694</v>
      </c>
      <c r="G848" t="s">
        <v>94</v>
      </c>
      <c r="H848" t="s">
        <v>63</v>
      </c>
      <c r="I848" t="s">
        <v>25</v>
      </c>
      <c r="J848" t="s">
        <v>46</v>
      </c>
      <c r="K848" t="s">
        <v>161</v>
      </c>
      <c r="L848">
        <v>50574.38</v>
      </c>
      <c r="M848">
        <v>47002.77</v>
      </c>
      <c r="N848" t="s">
        <v>192</v>
      </c>
      <c r="O848">
        <v>4</v>
      </c>
      <c r="P848">
        <v>47</v>
      </c>
      <c r="R848">
        <v>165</v>
      </c>
      <c r="S848">
        <v>94.9</v>
      </c>
      <c r="T848" t="s">
        <v>37</v>
      </c>
      <c r="U848" s="3"/>
      <c r="V848" s="3"/>
      <c r="W848" s="3"/>
    </row>
    <row r="849" spans="1:23">
      <c r="A849" t="s">
        <v>2071</v>
      </c>
      <c r="B849" t="s">
        <v>88</v>
      </c>
      <c r="C849" t="s">
        <v>40</v>
      </c>
      <c r="D849" s="2">
        <v>18752</v>
      </c>
      <c r="E849" s="2">
        <v>45516</v>
      </c>
      <c r="F849" s="2">
        <v>45527</v>
      </c>
      <c r="G849" t="s">
        <v>161</v>
      </c>
      <c r="H849" t="s">
        <v>118</v>
      </c>
      <c r="I849" t="s">
        <v>119</v>
      </c>
      <c r="J849" t="s">
        <v>54</v>
      </c>
      <c r="K849" t="s">
        <v>161</v>
      </c>
      <c r="L849">
        <v>197194.22</v>
      </c>
      <c r="M849">
        <v>164747.22</v>
      </c>
      <c r="O849">
        <v>11</v>
      </c>
      <c r="P849">
        <v>29</v>
      </c>
      <c r="Q849">
        <v>5</v>
      </c>
      <c r="R849">
        <v>126</v>
      </c>
      <c r="S849">
        <v>159.19999999999999</v>
      </c>
      <c r="T849" t="s">
        <v>348</v>
      </c>
      <c r="U849" s="3"/>
      <c r="V849" s="3"/>
      <c r="W849" s="3"/>
    </row>
    <row r="850" spans="1:23">
      <c r="A850" t="s">
        <v>2072</v>
      </c>
      <c r="B850" t="s">
        <v>697</v>
      </c>
      <c r="C850" t="s">
        <v>84</v>
      </c>
      <c r="D850" t="s">
        <v>2073</v>
      </c>
      <c r="E850" s="2">
        <v>45392</v>
      </c>
      <c r="F850" s="2">
        <v>45407</v>
      </c>
      <c r="G850" t="s">
        <v>70</v>
      </c>
      <c r="H850" t="s">
        <v>52</v>
      </c>
      <c r="I850" t="s">
        <v>53</v>
      </c>
      <c r="J850" t="s">
        <v>26</v>
      </c>
      <c r="K850" t="s">
        <v>286</v>
      </c>
      <c r="L850">
        <v>57424.86</v>
      </c>
      <c r="M850">
        <v>43254.94</v>
      </c>
      <c r="N850" t="s">
        <v>192</v>
      </c>
      <c r="O850">
        <v>15</v>
      </c>
      <c r="P850">
        <v>236</v>
      </c>
      <c r="S850">
        <v>246.9</v>
      </c>
      <c r="T850" t="s">
        <v>47</v>
      </c>
      <c r="U850" s="3"/>
      <c r="V850" s="3"/>
      <c r="W850" s="3"/>
    </row>
    <row r="851" spans="1:23">
      <c r="A851" t="s">
        <v>2074</v>
      </c>
      <c r="B851" t="s">
        <v>2075</v>
      </c>
      <c r="D851" s="2">
        <v>39417</v>
      </c>
      <c r="E851" s="2">
        <v>45785</v>
      </c>
      <c r="F851" s="2">
        <v>45799</v>
      </c>
      <c r="G851" t="s">
        <v>152</v>
      </c>
      <c r="H851" t="s">
        <v>153</v>
      </c>
      <c r="I851" t="s">
        <v>96</v>
      </c>
      <c r="J851" t="s">
        <v>46</v>
      </c>
      <c r="K851" t="s">
        <v>55</v>
      </c>
      <c r="L851">
        <v>223731.12</v>
      </c>
      <c r="M851">
        <v>177662.41</v>
      </c>
      <c r="N851" t="s">
        <v>35</v>
      </c>
      <c r="O851">
        <v>14</v>
      </c>
      <c r="P851">
        <v>144</v>
      </c>
      <c r="Q851">
        <v>4</v>
      </c>
      <c r="R851">
        <v>91</v>
      </c>
      <c r="S851">
        <v>141.69999999999999</v>
      </c>
      <c r="U851" s="3"/>
      <c r="V851" s="3"/>
      <c r="W851" s="3"/>
    </row>
    <row r="852" spans="1:23">
      <c r="A852" t="s">
        <v>2076</v>
      </c>
      <c r="B852" t="s">
        <v>524</v>
      </c>
      <c r="C852" t="s">
        <v>100</v>
      </c>
      <c r="D852" s="2">
        <v>28082</v>
      </c>
      <c r="E852" s="2">
        <v>45068</v>
      </c>
      <c r="F852" s="2">
        <v>45078</v>
      </c>
      <c r="G852" t="s">
        <v>89</v>
      </c>
      <c r="H852" t="s">
        <v>24</v>
      </c>
      <c r="I852" t="s">
        <v>53</v>
      </c>
      <c r="J852" t="s">
        <v>46</v>
      </c>
      <c r="K852" t="s">
        <v>55</v>
      </c>
      <c r="L852" t="s">
        <v>2077</v>
      </c>
      <c r="M852">
        <v>48602.86</v>
      </c>
      <c r="N852" t="s">
        <v>192</v>
      </c>
      <c r="O852">
        <v>10</v>
      </c>
      <c r="P852" t="s">
        <v>659</v>
      </c>
      <c r="R852">
        <v>182</v>
      </c>
      <c r="T852" t="s">
        <v>37</v>
      </c>
      <c r="U852" s="3"/>
      <c r="V852" s="3"/>
      <c r="W852" s="3"/>
    </row>
    <row r="853" spans="1:23">
      <c r="A853" t="s">
        <v>2078</v>
      </c>
      <c r="B853" t="s">
        <v>194</v>
      </c>
      <c r="C853" t="s">
        <v>60</v>
      </c>
      <c r="D853" s="2">
        <v>39208</v>
      </c>
      <c r="E853" s="2">
        <v>45362</v>
      </c>
      <c r="F853" t="s">
        <v>2079</v>
      </c>
      <c r="G853" t="s">
        <v>70</v>
      </c>
      <c r="H853" t="s">
        <v>24</v>
      </c>
      <c r="I853" t="s">
        <v>96</v>
      </c>
      <c r="J853" t="s">
        <v>26</v>
      </c>
      <c r="K853" t="s">
        <v>72</v>
      </c>
      <c r="L853">
        <v>114956.38</v>
      </c>
      <c r="M853">
        <v>91085.03</v>
      </c>
      <c r="N853" t="s">
        <v>990</v>
      </c>
      <c r="O853">
        <v>10</v>
      </c>
      <c r="P853">
        <v>189</v>
      </c>
      <c r="Q853">
        <v>5</v>
      </c>
      <c r="R853">
        <v>133</v>
      </c>
      <c r="S853">
        <v>116.9</v>
      </c>
      <c r="T853" t="s">
        <v>37</v>
      </c>
      <c r="U853" s="3"/>
      <c r="V853" s="3"/>
      <c r="W853" s="3"/>
    </row>
    <row r="854" spans="1:23">
      <c r="A854" t="s">
        <v>2080</v>
      </c>
      <c r="B854" t="s">
        <v>661</v>
      </c>
      <c r="C854" t="s">
        <v>60</v>
      </c>
      <c r="D854" s="2">
        <v>26878</v>
      </c>
      <c r="E854" s="2">
        <v>45416</v>
      </c>
      <c r="F854" t="s">
        <v>750</v>
      </c>
      <c r="G854" t="s">
        <v>62</v>
      </c>
      <c r="H854" t="s">
        <v>118</v>
      </c>
      <c r="K854" t="s">
        <v>27</v>
      </c>
      <c r="L854">
        <v>74551.37</v>
      </c>
      <c r="M854">
        <v>73006.31</v>
      </c>
      <c r="N854" t="s">
        <v>192</v>
      </c>
      <c r="O854">
        <v>7</v>
      </c>
      <c r="P854">
        <v>222</v>
      </c>
      <c r="Q854">
        <v>2</v>
      </c>
      <c r="R854">
        <v>131</v>
      </c>
      <c r="S854">
        <v>191.6</v>
      </c>
      <c r="T854" t="s">
        <v>47</v>
      </c>
      <c r="U854" s="3"/>
      <c r="V854" s="3"/>
      <c r="W854" s="3"/>
    </row>
    <row r="855" spans="1:23">
      <c r="A855" t="s">
        <v>2081</v>
      </c>
      <c r="B855" t="s">
        <v>511</v>
      </c>
      <c r="C855" t="s">
        <v>22</v>
      </c>
      <c r="D855" s="2">
        <v>40257</v>
      </c>
      <c r="E855" s="2">
        <v>45211</v>
      </c>
      <c r="G855" t="s">
        <v>161</v>
      </c>
      <c r="H855" t="s">
        <v>134</v>
      </c>
      <c r="K855" t="s">
        <v>27</v>
      </c>
      <c r="L855">
        <v>232083.77</v>
      </c>
      <c r="M855">
        <v>225481.4</v>
      </c>
      <c r="N855" t="s">
        <v>192</v>
      </c>
      <c r="O855">
        <v>5</v>
      </c>
      <c r="Q855">
        <v>4</v>
      </c>
      <c r="R855">
        <v>165</v>
      </c>
      <c r="S855">
        <v>103.5</v>
      </c>
      <c r="T855" t="s">
        <v>37</v>
      </c>
      <c r="U855" s="3"/>
      <c r="V855" s="3"/>
      <c r="W855" s="3"/>
    </row>
    <row r="856" spans="1:23">
      <c r="A856" t="s">
        <v>2082</v>
      </c>
      <c r="B856" t="s">
        <v>185</v>
      </c>
      <c r="C856" t="s">
        <v>84</v>
      </c>
      <c r="D856" t="s">
        <v>2083</v>
      </c>
      <c r="E856" s="2">
        <v>45660</v>
      </c>
      <c r="F856" t="s">
        <v>506</v>
      </c>
      <c r="G856" t="s">
        <v>152</v>
      </c>
      <c r="H856" t="s">
        <v>134</v>
      </c>
      <c r="K856" t="s">
        <v>120</v>
      </c>
      <c r="L856">
        <v>14565.36</v>
      </c>
      <c r="M856">
        <v>10117.49</v>
      </c>
      <c r="N856" t="s">
        <v>106</v>
      </c>
      <c r="O856">
        <v>1</v>
      </c>
      <c r="P856">
        <v>67</v>
      </c>
      <c r="Q856">
        <v>4</v>
      </c>
      <c r="R856" t="s">
        <v>2084</v>
      </c>
      <c r="S856">
        <v>187.6</v>
      </c>
      <c r="T856" t="s">
        <v>37</v>
      </c>
      <c r="U856" s="3"/>
      <c r="V856" s="3"/>
      <c r="W856" s="3"/>
    </row>
    <row r="857" spans="1:23">
      <c r="A857" t="s">
        <v>2085</v>
      </c>
      <c r="B857" t="s">
        <v>249</v>
      </c>
      <c r="C857" t="s">
        <v>22</v>
      </c>
      <c r="D857" t="s">
        <v>2086</v>
      </c>
      <c r="E857" s="2">
        <v>45979</v>
      </c>
      <c r="F857" s="2">
        <v>45991</v>
      </c>
      <c r="G857" t="s">
        <v>144</v>
      </c>
      <c r="H857" t="s">
        <v>44</v>
      </c>
      <c r="I857" t="s">
        <v>25</v>
      </c>
      <c r="J857" t="s">
        <v>34</v>
      </c>
      <c r="K857" t="s">
        <v>110</v>
      </c>
      <c r="L857">
        <v>145893.35999999999</v>
      </c>
      <c r="M857">
        <v>123894.36</v>
      </c>
      <c r="N857" t="s">
        <v>91</v>
      </c>
      <c r="O857">
        <v>12</v>
      </c>
      <c r="P857">
        <v>41</v>
      </c>
      <c r="Q857">
        <v>4</v>
      </c>
      <c r="R857">
        <v>90</v>
      </c>
      <c r="S857">
        <v>124.3</v>
      </c>
      <c r="T857" t="s">
        <v>65</v>
      </c>
      <c r="U857" s="3"/>
      <c r="V857" s="3"/>
      <c r="W857" s="3"/>
    </row>
    <row r="858" spans="1:23">
      <c r="A858" t="s">
        <v>2087</v>
      </c>
      <c r="B858" t="s">
        <v>2088</v>
      </c>
      <c r="C858" t="s">
        <v>22</v>
      </c>
      <c r="D858" t="s">
        <v>2089</v>
      </c>
      <c r="E858" t="s">
        <v>2090</v>
      </c>
      <c r="F858" t="s">
        <v>2091</v>
      </c>
      <c r="G858" t="s">
        <v>70</v>
      </c>
      <c r="H858" t="s">
        <v>63</v>
      </c>
      <c r="I858" t="s">
        <v>45</v>
      </c>
      <c r="K858" t="s">
        <v>401</v>
      </c>
      <c r="L858">
        <v>175576.65</v>
      </c>
      <c r="M858">
        <v>171362.64</v>
      </c>
      <c r="N858" t="s">
        <v>192</v>
      </c>
      <c r="O858">
        <v>4</v>
      </c>
      <c r="P858">
        <v>176</v>
      </c>
      <c r="R858">
        <v>153</v>
      </c>
      <c r="S858">
        <v>151.30000000000001</v>
      </c>
      <c r="T858" t="s">
        <v>37</v>
      </c>
      <c r="U858" s="3"/>
      <c r="V858" s="3"/>
      <c r="W858" s="3"/>
    </row>
    <row r="859" spans="1:23">
      <c r="A859" t="s">
        <v>2092</v>
      </c>
      <c r="B859" t="s">
        <v>2093</v>
      </c>
      <c r="C859" t="s">
        <v>84</v>
      </c>
      <c r="D859" s="2">
        <v>19562</v>
      </c>
      <c r="E859" s="2">
        <v>45078</v>
      </c>
      <c r="F859" t="s">
        <v>2094</v>
      </c>
      <c r="G859" t="s">
        <v>94</v>
      </c>
      <c r="H859" t="s">
        <v>52</v>
      </c>
      <c r="I859" t="s">
        <v>33</v>
      </c>
      <c r="J859" t="s">
        <v>1381</v>
      </c>
      <c r="K859" t="s">
        <v>27</v>
      </c>
      <c r="L859">
        <v>120918.96</v>
      </c>
      <c r="M859">
        <v>98371.59</v>
      </c>
      <c r="N859" t="s">
        <v>192</v>
      </c>
      <c r="O859">
        <v>2</v>
      </c>
      <c r="P859">
        <v>118</v>
      </c>
      <c r="Q859">
        <v>1</v>
      </c>
      <c r="R859">
        <v>139</v>
      </c>
      <c r="S859">
        <v>189.5</v>
      </c>
      <c r="T859" t="s">
        <v>37</v>
      </c>
      <c r="U859" s="3"/>
      <c r="V859" s="3"/>
      <c r="W859" s="3"/>
    </row>
    <row r="860" spans="1:23">
      <c r="A860" t="s">
        <v>2095</v>
      </c>
      <c r="B860" t="s">
        <v>1563</v>
      </c>
      <c r="C860" t="s">
        <v>22</v>
      </c>
      <c r="D860" s="2">
        <v>33493</v>
      </c>
      <c r="E860" s="2">
        <v>45775</v>
      </c>
      <c r="F860" t="s">
        <v>2096</v>
      </c>
      <c r="G860" t="s">
        <v>161</v>
      </c>
      <c r="H860" t="s">
        <v>52</v>
      </c>
      <c r="I860" t="s">
        <v>96</v>
      </c>
      <c r="J860" t="s">
        <v>97</v>
      </c>
      <c r="K860" t="s">
        <v>27</v>
      </c>
      <c r="L860">
        <v>152552.82</v>
      </c>
      <c r="M860">
        <v>107774.3</v>
      </c>
      <c r="N860" t="s">
        <v>192</v>
      </c>
      <c r="O860">
        <v>8</v>
      </c>
      <c r="P860">
        <v>12</v>
      </c>
      <c r="Q860">
        <v>4</v>
      </c>
      <c r="R860">
        <v>148</v>
      </c>
      <c r="S860">
        <v>227.7</v>
      </c>
      <c r="T860" t="s">
        <v>47</v>
      </c>
      <c r="U860" s="3"/>
      <c r="V860" s="3"/>
      <c r="W860" s="3"/>
    </row>
    <row r="861" spans="1:23">
      <c r="A861" t="s">
        <v>2097</v>
      </c>
      <c r="B861" t="s">
        <v>825</v>
      </c>
      <c r="C861" t="s">
        <v>84</v>
      </c>
      <c r="D861" s="2">
        <v>34823</v>
      </c>
      <c r="E861" s="2">
        <v>45932</v>
      </c>
      <c r="F861" s="2">
        <v>45950</v>
      </c>
      <c r="G861" t="s">
        <v>141</v>
      </c>
      <c r="H861" t="s">
        <v>32</v>
      </c>
      <c r="I861" t="s">
        <v>79</v>
      </c>
      <c r="J861" t="s">
        <v>46</v>
      </c>
      <c r="K861" t="s">
        <v>55</v>
      </c>
      <c r="L861">
        <v>143605.85999999999</v>
      </c>
      <c r="M861">
        <v>139104.54</v>
      </c>
      <c r="N861" t="s">
        <v>56</v>
      </c>
      <c r="O861">
        <v>18</v>
      </c>
      <c r="P861">
        <v>240</v>
      </c>
      <c r="R861">
        <v>107</v>
      </c>
      <c r="S861">
        <v>77.8</v>
      </c>
      <c r="T861" t="s">
        <v>37</v>
      </c>
      <c r="U861" s="3"/>
      <c r="V861" s="3"/>
      <c r="W861" s="3"/>
    </row>
    <row r="862" spans="1:23">
      <c r="A862" t="s">
        <v>2098</v>
      </c>
      <c r="B862" t="s">
        <v>607</v>
      </c>
      <c r="C862" t="s">
        <v>60</v>
      </c>
      <c r="D862" s="2">
        <v>29654</v>
      </c>
      <c r="E862" s="2">
        <v>45574</v>
      </c>
      <c r="F862" s="2">
        <v>45586</v>
      </c>
      <c r="G862" t="s">
        <v>70</v>
      </c>
      <c r="H862" t="s">
        <v>86</v>
      </c>
      <c r="J862" t="s">
        <v>46</v>
      </c>
      <c r="K862" t="s">
        <v>55</v>
      </c>
      <c r="L862">
        <v>168978.7</v>
      </c>
      <c r="M862">
        <v>165448.01</v>
      </c>
      <c r="N862" t="s">
        <v>56</v>
      </c>
      <c r="O862">
        <v>12</v>
      </c>
      <c r="P862">
        <v>103</v>
      </c>
      <c r="R862">
        <v>142</v>
      </c>
      <c r="S862">
        <v>119.4</v>
      </c>
      <c r="T862" t="s">
        <v>37</v>
      </c>
      <c r="U862" s="3"/>
      <c r="V862" s="3"/>
      <c r="W862" s="3"/>
    </row>
    <row r="863" spans="1:23">
      <c r="A863" t="s">
        <v>2099</v>
      </c>
      <c r="B863" t="s">
        <v>513</v>
      </c>
      <c r="C863" t="s">
        <v>60</v>
      </c>
      <c r="D863" s="2">
        <v>31604</v>
      </c>
      <c r="E863" t="s">
        <v>2100</v>
      </c>
      <c r="F863" s="2">
        <v>45729</v>
      </c>
      <c r="H863" t="s">
        <v>52</v>
      </c>
      <c r="I863" t="s">
        <v>53</v>
      </c>
      <c r="J863" t="s">
        <v>179</v>
      </c>
      <c r="K863" t="s">
        <v>72</v>
      </c>
      <c r="L863">
        <v>216926.07999999999</v>
      </c>
      <c r="M863">
        <v>200701.78</v>
      </c>
      <c r="N863" t="s">
        <v>91</v>
      </c>
      <c r="O863">
        <v>18</v>
      </c>
      <c r="P863">
        <v>229</v>
      </c>
      <c r="Q863">
        <v>4</v>
      </c>
      <c r="R863">
        <v>181</v>
      </c>
      <c r="S863">
        <v>163.5</v>
      </c>
      <c r="T863" t="s">
        <v>37</v>
      </c>
      <c r="U863" s="3"/>
      <c r="V863" s="3"/>
      <c r="W863" s="3"/>
    </row>
    <row r="864" spans="1:23">
      <c r="A864" t="s">
        <v>2101</v>
      </c>
      <c r="B864" t="s">
        <v>126</v>
      </c>
      <c r="C864" t="s">
        <v>50</v>
      </c>
      <c r="D864" s="2">
        <v>39088</v>
      </c>
      <c r="E864" s="2">
        <v>45228</v>
      </c>
      <c r="F864" s="2">
        <v>45235</v>
      </c>
      <c r="G864" t="s">
        <v>77</v>
      </c>
      <c r="H864" t="s">
        <v>32</v>
      </c>
      <c r="I864" t="s">
        <v>25</v>
      </c>
      <c r="J864" t="s">
        <v>71</v>
      </c>
      <c r="K864" t="s">
        <v>55</v>
      </c>
      <c r="L864">
        <v>227900.19</v>
      </c>
      <c r="M864">
        <v>198516.17</v>
      </c>
      <c r="N864" t="s">
        <v>56</v>
      </c>
      <c r="O864">
        <v>7</v>
      </c>
      <c r="P864">
        <v>123</v>
      </c>
      <c r="Q864">
        <v>3</v>
      </c>
      <c r="R864">
        <v>137</v>
      </c>
      <c r="S864">
        <v>92.1</v>
      </c>
      <c r="T864" t="s">
        <v>37</v>
      </c>
      <c r="U864" s="3"/>
      <c r="V864" s="3"/>
      <c r="W864" s="3"/>
    </row>
    <row r="865" spans="1:23">
      <c r="A865" t="s">
        <v>2102</v>
      </c>
      <c r="B865" t="s">
        <v>241</v>
      </c>
      <c r="C865" t="s">
        <v>100</v>
      </c>
      <c r="D865" s="2">
        <v>22879</v>
      </c>
      <c r="E865" t="s">
        <v>1142</v>
      </c>
      <c r="F865" s="2">
        <v>45248</v>
      </c>
      <c r="G865" t="s">
        <v>31</v>
      </c>
      <c r="H865" t="s">
        <v>153</v>
      </c>
      <c r="I865" t="s">
        <v>96</v>
      </c>
      <c r="J865" t="s">
        <v>46</v>
      </c>
      <c r="K865" t="s">
        <v>110</v>
      </c>
      <c r="M865">
        <v>14754.29</v>
      </c>
      <c r="N865" t="s">
        <v>91</v>
      </c>
      <c r="O865">
        <v>2</v>
      </c>
      <c r="P865">
        <v>201</v>
      </c>
      <c r="R865">
        <v>91</v>
      </c>
      <c r="S865">
        <v>145.1</v>
      </c>
      <c r="T865" t="s">
        <v>37</v>
      </c>
      <c r="U865" s="3"/>
      <c r="V865" s="3"/>
      <c r="W865" s="3"/>
    </row>
    <row r="866" spans="1:23">
      <c r="A866" t="s">
        <v>2103</v>
      </c>
      <c r="B866" t="s">
        <v>917</v>
      </c>
      <c r="C866" t="s">
        <v>84</v>
      </c>
      <c r="D866" t="s">
        <v>2104</v>
      </c>
      <c r="E866" s="2">
        <v>45186</v>
      </c>
      <c r="F866" s="2">
        <v>45199</v>
      </c>
      <c r="G866" t="s">
        <v>70</v>
      </c>
      <c r="I866" t="s">
        <v>45</v>
      </c>
      <c r="J866" t="s">
        <v>80</v>
      </c>
      <c r="K866" t="s">
        <v>55</v>
      </c>
      <c r="M866">
        <v>205251.5</v>
      </c>
      <c r="N866" t="s">
        <v>192</v>
      </c>
      <c r="O866">
        <v>13</v>
      </c>
      <c r="P866">
        <v>120</v>
      </c>
      <c r="Q866">
        <v>4</v>
      </c>
      <c r="R866">
        <v>92</v>
      </c>
      <c r="S866">
        <v>249.9</v>
      </c>
      <c r="T866" t="s">
        <v>37</v>
      </c>
      <c r="U866" s="3"/>
      <c r="V866" s="3"/>
      <c r="W866" s="3"/>
    </row>
    <row r="867" spans="1:23">
      <c r="A867" t="s">
        <v>2105</v>
      </c>
      <c r="B867" t="s">
        <v>852</v>
      </c>
      <c r="D867" t="s">
        <v>2106</v>
      </c>
      <c r="E867" t="s">
        <v>2107</v>
      </c>
      <c r="F867" s="2">
        <v>45699</v>
      </c>
      <c r="G867" t="s">
        <v>31</v>
      </c>
      <c r="I867" t="s">
        <v>25</v>
      </c>
      <c r="J867" t="s">
        <v>26</v>
      </c>
      <c r="K867" t="s">
        <v>55</v>
      </c>
      <c r="L867">
        <v>217104.02</v>
      </c>
      <c r="M867">
        <v>169007.94</v>
      </c>
      <c r="N867" t="s">
        <v>35</v>
      </c>
      <c r="O867">
        <v>14</v>
      </c>
      <c r="P867">
        <v>99</v>
      </c>
      <c r="Q867">
        <v>2</v>
      </c>
      <c r="R867" t="s">
        <v>2108</v>
      </c>
      <c r="S867">
        <v>246.8</v>
      </c>
      <c r="T867" t="s">
        <v>65</v>
      </c>
      <c r="U867" s="3"/>
      <c r="V867" s="3"/>
      <c r="W867" s="3"/>
    </row>
    <row r="868" spans="1:23">
      <c r="A868" t="s">
        <v>2109</v>
      </c>
      <c r="B868" t="s">
        <v>591</v>
      </c>
      <c r="C868" t="s">
        <v>133</v>
      </c>
      <c r="D868" t="s">
        <v>2110</v>
      </c>
      <c r="E868" s="2">
        <v>45970</v>
      </c>
      <c r="F868" s="2">
        <v>45972</v>
      </c>
      <c r="G868" t="s">
        <v>141</v>
      </c>
      <c r="H868" t="s">
        <v>52</v>
      </c>
      <c r="I868" t="s">
        <v>25</v>
      </c>
      <c r="J868" t="s">
        <v>71</v>
      </c>
      <c r="K868" t="s">
        <v>72</v>
      </c>
      <c r="L868" t="s">
        <v>2111</v>
      </c>
      <c r="M868">
        <v>12733.03</v>
      </c>
      <c r="N868" t="s">
        <v>91</v>
      </c>
      <c r="O868">
        <v>2</v>
      </c>
      <c r="P868">
        <v>108</v>
      </c>
      <c r="Q868">
        <v>4</v>
      </c>
      <c r="R868">
        <v>155</v>
      </c>
      <c r="S868">
        <v>134.6</v>
      </c>
      <c r="U868" s="3"/>
      <c r="V868" s="3"/>
      <c r="W868" s="3"/>
    </row>
    <row r="869" spans="1:23">
      <c r="A869" t="s">
        <v>2112</v>
      </c>
      <c r="B869" t="s">
        <v>666</v>
      </c>
      <c r="C869" t="s">
        <v>133</v>
      </c>
      <c r="D869" s="2">
        <v>20653</v>
      </c>
      <c r="E869" s="2">
        <v>45577</v>
      </c>
      <c r="F869" s="2">
        <v>45590</v>
      </c>
      <c r="G869" t="s">
        <v>161</v>
      </c>
      <c r="H869" t="s">
        <v>32</v>
      </c>
      <c r="J869" t="s">
        <v>64</v>
      </c>
      <c r="K869" t="s">
        <v>55</v>
      </c>
      <c r="L869">
        <v>67410.350000000006</v>
      </c>
      <c r="M869">
        <v>66643.22</v>
      </c>
      <c r="N869" t="s">
        <v>73</v>
      </c>
      <c r="O869">
        <v>13</v>
      </c>
      <c r="P869">
        <v>160</v>
      </c>
      <c r="Q869">
        <v>1</v>
      </c>
      <c r="R869" t="s">
        <v>2113</v>
      </c>
      <c r="S869">
        <v>238.8</v>
      </c>
      <c r="T869" t="s">
        <v>106</v>
      </c>
      <c r="U869" s="3"/>
      <c r="V869" s="3"/>
      <c r="W869" s="3"/>
    </row>
    <row r="870" spans="1:23">
      <c r="A870" t="s">
        <v>2114</v>
      </c>
      <c r="B870" t="s">
        <v>768</v>
      </c>
      <c r="C870" t="s">
        <v>84</v>
      </c>
      <c r="D870" s="2">
        <v>28159</v>
      </c>
      <c r="E870" s="2">
        <v>45889</v>
      </c>
      <c r="F870" s="2">
        <v>45902</v>
      </c>
      <c r="G870" t="s">
        <v>117</v>
      </c>
      <c r="H870" t="s">
        <v>153</v>
      </c>
      <c r="I870" t="s">
        <v>45</v>
      </c>
      <c r="J870" t="s">
        <v>80</v>
      </c>
      <c r="K870" t="s">
        <v>72</v>
      </c>
      <c r="L870">
        <v>42058.26</v>
      </c>
      <c r="M870">
        <v>35452.89</v>
      </c>
      <c r="N870" t="s">
        <v>91</v>
      </c>
      <c r="O870">
        <v>13</v>
      </c>
      <c r="P870">
        <v>15</v>
      </c>
      <c r="Q870">
        <v>5</v>
      </c>
      <c r="R870">
        <v>93</v>
      </c>
      <c r="S870">
        <v>133.19999999999999</v>
      </c>
      <c r="T870" t="s">
        <v>37</v>
      </c>
      <c r="U870" s="3"/>
      <c r="V870" s="3"/>
      <c r="W870" s="3"/>
    </row>
    <row r="871" spans="1:23">
      <c r="A871" t="s">
        <v>2115</v>
      </c>
      <c r="B871" t="s">
        <v>877</v>
      </c>
      <c r="D871" s="2">
        <v>33536</v>
      </c>
      <c r="E871" s="2">
        <v>45969</v>
      </c>
      <c r="F871" s="2">
        <v>45975</v>
      </c>
      <c r="G871" t="s">
        <v>43</v>
      </c>
      <c r="I871" t="s">
        <v>53</v>
      </c>
      <c r="J871" t="s">
        <v>26</v>
      </c>
      <c r="K871" t="s">
        <v>55</v>
      </c>
      <c r="L871">
        <v>118360.83</v>
      </c>
      <c r="M871">
        <v>84971.75</v>
      </c>
      <c r="N871" t="s">
        <v>56</v>
      </c>
      <c r="O871">
        <v>6</v>
      </c>
      <c r="P871">
        <v>148</v>
      </c>
      <c r="Q871">
        <v>1</v>
      </c>
      <c r="R871">
        <v>98</v>
      </c>
      <c r="S871">
        <v>199.5</v>
      </c>
      <c r="T871" t="s">
        <v>37</v>
      </c>
      <c r="U871" s="3"/>
      <c r="V871" s="3"/>
      <c r="W871" s="3"/>
    </row>
    <row r="872" spans="1:23">
      <c r="A872" t="s">
        <v>2116</v>
      </c>
      <c r="B872" t="s">
        <v>1667</v>
      </c>
      <c r="C872" t="s">
        <v>459</v>
      </c>
      <c r="D872" s="2">
        <v>35990</v>
      </c>
      <c r="E872" s="2">
        <v>45381</v>
      </c>
      <c r="F872" s="2">
        <v>45390</v>
      </c>
      <c r="G872" t="s">
        <v>141</v>
      </c>
      <c r="H872" t="s">
        <v>63</v>
      </c>
      <c r="J872" t="s">
        <v>97</v>
      </c>
      <c r="K872" t="s">
        <v>27</v>
      </c>
      <c r="L872">
        <v>81683.960000000006</v>
      </c>
      <c r="M872">
        <v>59634.720000000001</v>
      </c>
      <c r="O872">
        <v>9</v>
      </c>
      <c r="Q872">
        <v>4</v>
      </c>
      <c r="R872">
        <v>103</v>
      </c>
      <c r="S872">
        <v>254</v>
      </c>
      <c r="T872" t="s">
        <v>81</v>
      </c>
      <c r="U872" s="3"/>
      <c r="V872" s="3"/>
      <c r="W872" s="3"/>
    </row>
    <row r="873" spans="1:23">
      <c r="A873" t="s">
        <v>2117</v>
      </c>
      <c r="B873" t="s">
        <v>472</v>
      </c>
      <c r="D873" s="2">
        <v>40416</v>
      </c>
      <c r="E873" s="2">
        <v>45900</v>
      </c>
      <c r="F873" s="2">
        <v>45916</v>
      </c>
      <c r="G873" t="s">
        <v>31</v>
      </c>
      <c r="H873" t="s">
        <v>78</v>
      </c>
      <c r="I873" t="s">
        <v>33</v>
      </c>
      <c r="K873" t="s">
        <v>27</v>
      </c>
      <c r="L873">
        <v>220007.88</v>
      </c>
      <c r="M873">
        <v>155979.46</v>
      </c>
      <c r="N873" t="s">
        <v>192</v>
      </c>
      <c r="O873">
        <v>16</v>
      </c>
      <c r="P873">
        <v>86</v>
      </c>
      <c r="Q873">
        <v>3</v>
      </c>
      <c r="R873">
        <v>178</v>
      </c>
      <c r="S873">
        <v>209.2</v>
      </c>
      <c r="U873" s="3"/>
      <c r="V873" s="3"/>
      <c r="W873" s="3"/>
    </row>
    <row r="874" spans="1:23">
      <c r="A874" t="s">
        <v>2118</v>
      </c>
      <c r="B874" t="s">
        <v>1727</v>
      </c>
      <c r="C874" t="s">
        <v>22</v>
      </c>
      <c r="D874" s="2">
        <v>29698</v>
      </c>
      <c r="E874" s="2">
        <v>45033</v>
      </c>
      <c r="F874" s="2">
        <v>45045</v>
      </c>
      <c r="G874" t="s">
        <v>411</v>
      </c>
      <c r="J874" t="s">
        <v>34</v>
      </c>
      <c r="K874" t="s">
        <v>120</v>
      </c>
      <c r="L874">
        <v>25749.08</v>
      </c>
      <c r="M874">
        <v>22021.62</v>
      </c>
      <c r="O874">
        <v>12</v>
      </c>
      <c r="P874" t="s">
        <v>2119</v>
      </c>
      <c r="Q874">
        <v>4</v>
      </c>
      <c r="R874">
        <v>105</v>
      </c>
      <c r="S874">
        <v>198.8</v>
      </c>
      <c r="T874" t="s">
        <v>37</v>
      </c>
      <c r="U874" s="3"/>
      <c r="V874" s="3"/>
      <c r="W874" s="3"/>
    </row>
    <row r="875" spans="1:23">
      <c r="A875" t="s">
        <v>2120</v>
      </c>
      <c r="B875" t="s">
        <v>442</v>
      </c>
      <c r="C875" t="s">
        <v>296</v>
      </c>
      <c r="D875" s="2">
        <v>22791</v>
      </c>
      <c r="E875" s="2">
        <v>45471</v>
      </c>
      <c r="G875" t="s">
        <v>31</v>
      </c>
      <c r="H875" t="s">
        <v>63</v>
      </c>
      <c r="I875" t="s">
        <v>53</v>
      </c>
      <c r="J875" t="s">
        <v>54</v>
      </c>
      <c r="K875" t="s">
        <v>27</v>
      </c>
      <c r="L875">
        <v>234201.86</v>
      </c>
      <c r="M875">
        <v>230335.87</v>
      </c>
      <c r="O875">
        <v>1</v>
      </c>
      <c r="P875">
        <v>177</v>
      </c>
      <c r="Q875">
        <v>4</v>
      </c>
      <c r="T875" t="s">
        <v>721</v>
      </c>
      <c r="U875" s="3"/>
      <c r="V875" s="3"/>
      <c r="W875" s="3"/>
    </row>
    <row r="876" spans="1:23">
      <c r="A876" t="s">
        <v>2121</v>
      </c>
      <c r="B876" t="s">
        <v>93</v>
      </c>
      <c r="D876" s="2">
        <v>27784</v>
      </c>
      <c r="E876" s="2">
        <v>45160</v>
      </c>
      <c r="F876" s="2">
        <v>45171</v>
      </c>
      <c r="G876" t="s">
        <v>141</v>
      </c>
      <c r="H876" t="s">
        <v>118</v>
      </c>
      <c r="I876" t="s">
        <v>33</v>
      </c>
      <c r="J876" t="s">
        <v>26</v>
      </c>
      <c r="K876" t="s">
        <v>55</v>
      </c>
      <c r="L876">
        <v>227198.54</v>
      </c>
      <c r="M876">
        <v>161570.54999999999</v>
      </c>
      <c r="N876" t="s">
        <v>162</v>
      </c>
      <c r="O876">
        <v>11</v>
      </c>
      <c r="P876">
        <v>184</v>
      </c>
      <c r="Q876">
        <v>2</v>
      </c>
      <c r="R876">
        <v>95</v>
      </c>
      <c r="S876">
        <v>83.2</v>
      </c>
      <c r="U876" s="3"/>
      <c r="V876" s="3"/>
      <c r="W876" s="3"/>
    </row>
    <row r="877" spans="1:23">
      <c r="A877" t="s">
        <v>2122</v>
      </c>
      <c r="B877" t="s">
        <v>999</v>
      </c>
      <c r="C877" t="s">
        <v>84</v>
      </c>
      <c r="D877" s="2">
        <v>39546</v>
      </c>
      <c r="E877" s="2">
        <v>45579</v>
      </c>
      <c r="F877" s="2">
        <v>45589</v>
      </c>
      <c r="G877" t="s">
        <v>370</v>
      </c>
      <c r="H877" t="s">
        <v>86</v>
      </c>
      <c r="I877" t="s">
        <v>119</v>
      </c>
      <c r="J877" t="s">
        <v>34</v>
      </c>
      <c r="K877" t="s">
        <v>27</v>
      </c>
      <c r="L877">
        <v>223871.65</v>
      </c>
      <c r="M877">
        <v>152335.82999999999</v>
      </c>
      <c r="N877" t="s">
        <v>192</v>
      </c>
      <c r="O877">
        <v>10</v>
      </c>
      <c r="P877">
        <v>77</v>
      </c>
      <c r="Q877">
        <v>4</v>
      </c>
      <c r="S877">
        <v>178.3</v>
      </c>
      <c r="T877" t="s">
        <v>65</v>
      </c>
      <c r="U877" s="3"/>
      <c r="V877" s="3"/>
      <c r="W877" s="3"/>
    </row>
    <row r="878" spans="1:23">
      <c r="A878" t="s">
        <v>2123</v>
      </c>
      <c r="B878" t="s">
        <v>1068</v>
      </c>
      <c r="D878" s="2">
        <v>34420</v>
      </c>
      <c r="E878" s="2">
        <v>45761</v>
      </c>
      <c r="F878" s="2">
        <v>45775</v>
      </c>
      <c r="G878" t="s">
        <v>70</v>
      </c>
      <c r="H878" t="s">
        <v>95</v>
      </c>
      <c r="I878" t="s">
        <v>53</v>
      </c>
      <c r="J878" t="s">
        <v>71</v>
      </c>
      <c r="K878" t="s">
        <v>55</v>
      </c>
      <c r="L878">
        <v>99729.23</v>
      </c>
      <c r="M878">
        <v>77705.119999999995</v>
      </c>
      <c r="N878" t="s">
        <v>56</v>
      </c>
      <c r="O878" t="s">
        <v>2124</v>
      </c>
      <c r="P878" t="s">
        <v>2125</v>
      </c>
      <c r="Q878">
        <v>3</v>
      </c>
      <c r="R878">
        <v>182</v>
      </c>
      <c r="S878">
        <v>164.6</v>
      </c>
      <c r="T878" t="s">
        <v>47</v>
      </c>
      <c r="U878" s="3"/>
      <c r="V878" s="3"/>
      <c r="W878" s="3"/>
    </row>
    <row r="879" spans="1:23">
      <c r="A879" t="s">
        <v>2126</v>
      </c>
      <c r="B879" t="s">
        <v>560</v>
      </c>
      <c r="C879" t="s">
        <v>133</v>
      </c>
      <c r="D879" s="2">
        <v>25618</v>
      </c>
      <c r="E879" s="2">
        <v>44976</v>
      </c>
      <c r="F879" s="2">
        <v>44994</v>
      </c>
      <c r="G879" t="s">
        <v>109</v>
      </c>
      <c r="H879" t="s">
        <v>86</v>
      </c>
      <c r="I879" t="s">
        <v>53</v>
      </c>
      <c r="J879" t="s">
        <v>34</v>
      </c>
      <c r="K879" t="s">
        <v>72</v>
      </c>
      <c r="L879">
        <v>219659.38</v>
      </c>
      <c r="M879">
        <v>205819.12</v>
      </c>
      <c r="N879" t="s">
        <v>91</v>
      </c>
      <c r="O879">
        <v>18</v>
      </c>
      <c r="P879">
        <v>56</v>
      </c>
      <c r="Q879">
        <v>1</v>
      </c>
      <c r="R879">
        <v>172</v>
      </c>
      <c r="T879" t="s">
        <v>47</v>
      </c>
      <c r="U879" s="3"/>
      <c r="V879" s="3"/>
      <c r="W879" s="3"/>
    </row>
    <row r="880" spans="1:23">
      <c r="A880" t="s">
        <v>2127</v>
      </c>
      <c r="B880" t="s">
        <v>673</v>
      </c>
      <c r="C880" t="s">
        <v>133</v>
      </c>
      <c r="D880" s="2">
        <v>31794</v>
      </c>
      <c r="E880" s="2">
        <v>45407</v>
      </c>
      <c r="F880" s="2">
        <v>45410</v>
      </c>
      <c r="G880" t="s">
        <v>89</v>
      </c>
      <c r="H880" t="s">
        <v>52</v>
      </c>
      <c r="I880" t="s">
        <v>25</v>
      </c>
      <c r="J880" t="s">
        <v>71</v>
      </c>
      <c r="K880" t="s">
        <v>161</v>
      </c>
      <c r="L880">
        <v>213767.96</v>
      </c>
      <c r="M880">
        <v>190496.68</v>
      </c>
      <c r="N880" t="s">
        <v>73</v>
      </c>
      <c r="O880">
        <v>3</v>
      </c>
      <c r="P880">
        <v>49</v>
      </c>
      <c r="R880">
        <v>172</v>
      </c>
      <c r="S880">
        <v>256.7</v>
      </c>
      <c r="T880" t="s">
        <v>47</v>
      </c>
      <c r="U880" s="3"/>
      <c r="V880" s="3"/>
      <c r="W880" s="3"/>
    </row>
    <row r="881" spans="1:23">
      <c r="A881" t="s">
        <v>2128</v>
      </c>
      <c r="B881" t="s">
        <v>1598</v>
      </c>
      <c r="C881" t="s">
        <v>206</v>
      </c>
      <c r="D881" s="2">
        <v>27944</v>
      </c>
      <c r="E881" t="s">
        <v>2129</v>
      </c>
      <c r="F881" s="2">
        <v>45437</v>
      </c>
      <c r="G881" t="s">
        <v>89</v>
      </c>
      <c r="H881" t="s">
        <v>113</v>
      </c>
      <c r="I881" t="s">
        <v>25</v>
      </c>
      <c r="J881" t="s">
        <v>64</v>
      </c>
      <c r="L881">
        <v>197745.24</v>
      </c>
      <c r="M881">
        <v>146746.57999999999</v>
      </c>
      <c r="N881" t="s">
        <v>56</v>
      </c>
      <c r="O881" t="s">
        <v>2124</v>
      </c>
      <c r="P881">
        <v>40</v>
      </c>
      <c r="Q881">
        <v>4</v>
      </c>
      <c r="R881">
        <v>156</v>
      </c>
      <c r="S881">
        <v>82.7</v>
      </c>
      <c r="T881" t="s">
        <v>37</v>
      </c>
      <c r="U881" s="3"/>
      <c r="V881" s="3"/>
      <c r="W881" s="3"/>
    </row>
    <row r="882" spans="1:23">
      <c r="A882" t="s">
        <v>2130</v>
      </c>
      <c r="B882" t="s">
        <v>2131</v>
      </c>
      <c r="C882" t="s">
        <v>50</v>
      </c>
      <c r="D882" t="s">
        <v>2132</v>
      </c>
      <c r="E882" s="2">
        <v>45427</v>
      </c>
      <c r="F882" t="s">
        <v>2133</v>
      </c>
      <c r="G882" t="s">
        <v>43</v>
      </c>
      <c r="H882" t="s">
        <v>226</v>
      </c>
      <c r="I882" t="s">
        <v>45</v>
      </c>
      <c r="K882" t="s">
        <v>110</v>
      </c>
      <c r="L882">
        <v>113346.49</v>
      </c>
      <c r="M882">
        <v>80289.929999999993</v>
      </c>
      <c r="N882" t="s">
        <v>56</v>
      </c>
      <c r="O882">
        <v>1</v>
      </c>
      <c r="P882">
        <v>40</v>
      </c>
      <c r="Q882">
        <v>2</v>
      </c>
      <c r="R882">
        <v>161</v>
      </c>
      <c r="S882">
        <v>181.1</v>
      </c>
      <c r="T882" t="s">
        <v>37</v>
      </c>
      <c r="U882" s="3"/>
      <c r="V882" s="3"/>
      <c r="W882" s="3"/>
    </row>
    <row r="883" spans="1:23">
      <c r="A883" t="s">
        <v>2134</v>
      </c>
      <c r="B883" t="s">
        <v>451</v>
      </c>
      <c r="C883" t="s">
        <v>40</v>
      </c>
      <c r="D883" s="2">
        <v>30179</v>
      </c>
      <c r="E883" t="s">
        <v>2135</v>
      </c>
      <c r="F883" s="2">
        <v>45747</v>
      </c>
      <c r="G883" t="s">
        <v>89</v>
      </c>
      <c r="H883" t="s">
        <v>78</v>
      </c>
      <c r="I883" t="s">
        <v>45</v>
      </c>
      <c r="J883" t="s">
        <v>34</v>
      </c>
      <c r="K883" t="s">
        <v>110</v>
      </c>
      <c r="L883">
        <v>231892.14</v>
      </c>
      <c r="M883">
        <v>190210.2</v>
      </c>
      <c r="N883" t="s">
        <v>192</v>
      </c>
      <c r="O883">
        <v>5</v>
      </c>
      <c r="P883">
        <v>236</v>
      </c>
      <c r="Q883">
        <v>5</v>
      </c>
      <c r="R883">
        <v>93</v>
      </c>
      <c r="S883">
        <v>86.7</v>
      </c>
      <c r="U883" s="3"/>
      <c r="V883" s="3"/>
      <c r="W883" s="3"/>
    </row>
    <row r="884" spans="1:23">
      <c r="A884" t="s">
        <v>2136</v>
      </c>
      <c r="B884" t="s">
        <v>354</v>
      </c>
      <c r="C884" t="s">
        <v>30</v>
      </c>
      <c r="D884" s="2">
        <v>20297</v>
      </c>
      <c r="E884" t="s">
        <v>2137</v>
      </c>
      <c r="F884" t="s">
        <v>2138</v>
      </c>
      <c r="G884" t="s">
        <v>141</v>
      </c>
      <c r="H884" t="s">
        <v>634</v>
      </c>
      <c r="I884" t="s">
        <v>25</v>
      </c>
      <c r="J884" t="s">
        <v>34</v>
      </c>
      <c r="L884">
        <v>74629.899999999994</v>
      </c>
      <c r="O884">
        <v>6</v>
      </c>
      <c r="P884">
        <v>86</v>
      </c>
      <c r="R884">
        <v>103</v>
      </c>
      <c r="S884">
        <v>95.8</v>
      </c>
      <c r="T884" t="s">
        <v>65</v>
      </c>
      <c r="U884" s="3"/>
      <c r="V884" s="3"/>
      <c r="W884" s="3"/>
    </row>
    <row r="885" spans="1:23">
      <c r="A885" t="s">
        <v>2139</v>
      </c>
      <c r="B885" t="s">
        <v>88</v>
      </c>
      <c r="C885" t="s">
        <v>50</v>
      </c>
      <c r="D885" t="s">
        <v>2140</v>
      </c>
      <c r="E885" s="2">
        <v>45522</v>
      </c>
      <c r="F885" s="2">
        <v>45526</v>
      </c>
      <c r="G885" t="s">
        <v>161</v>
      </c>
      <c r="H885" t="s">
        <v>78</v>
      </c>
      <c r="I885" t="s">
        <v>79</v>
      </c>
      <c r="J885" t="s">
        <v>46</v>
      </c>
      <c r="K885" t="s">
        <v>401</v>
      </c>
      <c r="L885">
        <v>122004.37</v>
      </c>
      <c r="M885">
        <v>83071.210000000006</v>
      </c>
      <c r="N885" t="s">
        <v>192</v>
      </c>
      <c r="O885">
        <v>4</v>
      </c>
      <c r="P885">
        <v>22</v>
      </c>
      <c r="Q885">
        <v>3</v>
      </c>
      <c r="R885">
        <v>165</v>
      </c>
      <c r="S885">
        <v>251.9</v>
      </c>
      <c r="T885" t="s">
        <v>65</v>
      </c>
      <c r="U885" s="3"/>
      <c r="V885" s="3"/>
      <c r="W885" s="3"/>
    </row>
    <row r="886" spans="1:23">
      <c r="A886" t="s">
        <v>2141</v>
      </c>
      <c r="B886" t="s">
        <v>771</v>
      </c>
      <c r="D886" t="s">
        <v>1859</v>
      </c>
      <c r="E886" t="s">
        <v>2142</v>
      </c>
      <c r="F886" s="2">
        <v>45314</v>
      </c>
      <c r="G886" t="s">
        <v>89</v>
      </c>
      <c r="J886" t="s">
        <v>46</v>
      </c>
      <c r="K886" t="s">
        <v>120</v>
      </c>
      <c r="L886">
        <v>160764.37</v>
      </c>
      <c r="M886">
        <v>142748.76</v>
      </c>
      <c r="N886" t="s">
        <v>35</v>
      </c>
      <c r="O886">
        <v>17</v>
      </c>
      <c r="P886">
        <v>169</v>
      </c>
      <c r="Q886">
        <v>1</v>
      </c>
      <c r="R886">
        <v>189</v>
      </c>
      <c r="S886">
        <v>96.8</v>
      </c>
      <c r="T886" t="s">
        <v>47</v>
      </c>
      <c r="U886" s="3"/>
      <c r="V886" s="3"/>
      <c r="W886" s="3"/>
    </row>
    <row r="887" spans="1:23">
      <c r="A887" t="s">
        <v>2143</v>
      </c>
      <c r="B887" t="s">
        <v>833</v>
      </c>
      <c r="D887" s="2">
        <v>26364</v>
      </c>
      <c r="E887" s="2">
        <v>45258</v>
      </c>
      <c r="F887" s="2">
        <v>45266</v>
      </c>
      <c r="G887" t="s">
        <v>43</v>
      </c>
      <c r="H887" t="s">
        <v>118</v>
      </c>
      <c r="I887" t="s">
        <v>45</v>
      </c>
      <c r="J887" t="s">
        <v>26</v>
      </c>
      <c r="K887" t="s">
        <v>55</v>
      </c>
      <c r="L887">
        <v>159412.01</v>
      </c>
      <c r="M887">
        <v>129973.8</v>
      </c>
      <c r="N887" t="s">
        <v>91</v>
      </c>
      <c r="O887">
        <v>8</v>
      </c>
      <c r="P887">
        <v>231</v>
      </c>
      <c r="Q887">
        <v>1</v>
      </c>
      <c r="R887">
        <v>91</v>
      </c>
      <c r="S887">
        <v>218.7</v>
      </c>
      <c r="T887" t="s">
        <v>37</v>
      </c>
      <c r="U887" s="3"/>
      <c r="V887" s="3"/>
      <c r="W887" s="3"/>
    </row>
    <row r="888" spans="1:23">
      <c r="A888" t="s">
        <v>2144</v>
      </c>
      <c r="B888" t="s">
        <v>652</v>
      </c>
      <c r="C888" t="s">
        <v>22</v>
      </c>
      <c r="D888" t="s">
        <v>2145</v>
      </c>
      <c r="E888" s="2">
        <v>45595</v>
      </c>
      <c r="F888" s="2">
        <v>45611</v>
      </c>
      <c r="G888" t="s">
        <v>31</v>
      </c>
      <c r="H888" t="s">
        <v>52</v>
      </c>
      <c r="I888" t="s">
        <v>96</v>
      </c>
      <c r="J888" t="s">
        <v>71</v>
      </c>
      <c r="K888" t="s">
        <v>55</v>
      </c>
      <c r="L888" t="s">
        <v>2146</v>
      </c>
      <c r="M888">
        <v>83401.02</v>
      </c>
      <c r="N888" t="s">
        <v>56</v>
      </c>
      <c r="O888">
        <v>16</v>
      </c>
      <c r="P888">
        <v>99</v>
      </c>
      <c r="Q888">
        <v>4</v>
      </c>
      <c r="R888">
        <v>176</v>
      </c>
      <c r="S888">
        <v>217.6</v>
      </c>
      <c r="T888" t="s">
        <v>37</v>
      </c>
      <c r="U888" s="3"/>
      <c r="V888" s="3"/>
      <c r="W888" s="3"/>
    </row>
    <row r="889" spans="1:23">
      <c r="A889" t="s">
        <v>2147</v>
      </c>
      <c r="B889" t="s">
        <v>1263</v>
      </c>
      <c r="C889" t="s">
        <v>30</v>
      </c>
      <c r="D889" s="2">
        <v>39343</v>
      </c>
      <c r="E889" s="2">
        <v>45784</v>
      </c>
      <c r="F889" t="s">
        <v>2148</v>
      </c>
      <c r="G889" t="s">
        <v>89</v>
      </c>
      <c r="H889" t="s">
        <v>86</v>
      </c>
      <c r="I889" t="s">
        <v>96</v>
      </c>
      <c r="J889" t="s">
        <v>64</v>
      </c>
      <c r="K889" t="s">
        <v>110</v>
      </c>
      <c r="L889">
        <v>51579.040000000001</v>
      </c>
      <c r="M889">
        <v>44794.81</v>
      </c>
      <c r="N889" t="s">
        <v>192</v>
      </c>
      <c r="O889">
        <v>12</v>
      </c>
      <c r="P889">
        <v>224</v>
      </c>
      <c r="Q889">
        <v>4</v>
      </c>
      <c r="R889" t="s">
        <v>2149</v>
      </c>
      <c r="T889" t="s">
        <v>65</v>
      </c>
      <c r="U889" s="3"/>
      <c r="V889" s="3"/>
      <c r="W889" s="3"/>
    </row>
    <row r="890" spans="1:23">
      <c r="A890" t="s">
        <v>2150</v>
      </c>
      <c r="B890" t="s">
        <v>611</v>
      </c>
      <c r="C890" t="s">
        <v>50</v>
      </c>
      <c r="D890" t="s">
        <v>2151</v>
      </c>
      <c r="E890" s="2">
        <v>45967</v>
      </c>
      <c r="F890" t="s">
        <v>2152</v>
      </c>
      <c r="G890" t="s">
        <v>70</v>
      </c>
      <c r="H890" t="s">
        <v>113</v>
      </c>
      <c r="I890" t="s">
        <v>79</v>
      </c>
      <c r="K890" t="s">
        <v>72</v>
      </c>
      <c r="L890">
        <v>141311.04000000001</v>
      </c>
      <c r="M890">
        <v>113956.87</v>
      </c>
      <c r="N890" t="s">
        <v>192</v>
      </c>
      <c r="O890">
        <v>10</v>
      </c>
      <c r="P890">
        <v>69</v>
      </c>
      <c r="Q890">
        <v>5</v>
      </c>
      <c r="R890">
        <v>121</v>
      </c>
      <c r="S890">
        <v>235.5</v>
      </c>
      <c r="U890" s="3"/>
      <c r="V890" s="3"/>
      <c r="W890" s="3"/>
    </row>
    <row r="891" spans="1:23">
      <c r="A891" t="s">
        <v>2153</v>
      </c>
      <c r="B891" t="s">
        <v>1088</v>
      </c>
      <c r="C891" t="s">
        <v>30</v>
      </c>
      <c r="D891" s="2">
        <v>28938</v>
      </c>
      <c r="E891" s="2">
        <v>44943</v>
      </c>
      <c r="F891" s="2">
        <v>44945</v>
      </c>
      <c r="G891" t="s">
        <v>109</v>
      </c>
      <c r="H891" t="s">
        <v>124</v>
      </c>
      <c r="I891" t="s">
        <v>45</v>
      </c>
      <c r="K891" t="s">
        <v>161</v>
      </c>
      <c r="M891">
        <v>10938.69</v>
      </c>
      <c r="N891" t="s">
        <v>73</v>
      </c>
      <c r="O891">
        <v>2</v>
      </c>
      <c r="R891" t="s">
        <v>1191</v>
      </c>
      <c r="S891">
        <v>230.5</v>
      </c>
      <c r="T891" t="s">
        <v>37</v>
      </c>
      <c r="U891" s="3"/>
      <c r="V891" s="3"/>
      <c r="W891" s="3"/>
    </row>
    <row r="892" spans="1:23">
      <c r="A892" t="s">
        <v>2154</v>
      </c>
      <c r="B892" t="s">
        <v>607</v>
      </c>
      <c r="C892" t="s">
        <v>50</v>
      </c>
      <c r="D892" s="2">
        <v>19303</v>
      </c>
      <c r="E892" t="s">
        <v>2155</v>
      </c>
      <c r="F892" s="2">
        <v>44946</v>
      </c>
      <c r="G892" t="s">
        <v>152</v>
      </c>
      <c r="H892" t="s">
        <v>113</v>
      </c>
      <c r="I892" t="s">
        <v>53</v>
      </c>
      <c r="J892" t="s">
        <v>64</v>
      </c>
      <c r="K892" t="s">
        <v>388</v>
      </c>
      <c r="L892">
        <v>25817.78</v>
      </c>
      <c r="M892">
        <v>20732.330000000002</v>
      </c>
      <c r="N892" t="s">
        <v>56</v>
      </c>
      <c r="O892">
        <v>10</v>
      </c>
      <c r="P892">
        <v>231</v>
      </c>
      <c r="Q892">
        <v>2</v>
      </c>
      <c r="R892">
        <v>107</v>
      </c>
      <c r="S892">
        <v>242.7</v>
      </c>
      <c r="T892" t="s">
        <v>37</v>
      </c>
      <c r="U892" s="3"/>
      <c r="V892" s="3"/>
      <c r="W892" s="3"/>
    </row>
    <row r="893" spans="1:23">
      <c r="A893" t="s">
        <v>2156</v>
      </c>
      <c r="B893" t="s">
        <v>1598</v>
      </c>
      <c r="C893" t="s">
        <v>50</v>
      </c>
      <c r="D893" s="2">
        <v>31421</v>
      </c>
      <c r="E893" t="s">
        <v>2157</v>
      </c>
      <c r="F893" s="2">
        <v>45281</v>
      </c>
      <c r="G893" t="s">
        <v>77</v>
      </c>
      <c r="I893" t="s">
        <v>96</v>
      </c>
      <c r="J893" t="s">
        <v>97</v>
      </c>
      <c r="L893" t="s">
        <v>2158</v>
      </c>
      <c r="M893">
        <v>96158.42</v>
      </c>
      <c r="N893" t="s">
        <v>73</v>
      </c>
      <c r="O893">
        <v>13</v>
      </c>
      <c r="P893">
        <v>51</v>
      </c>
      <c r="Q893">
        <v>5</v>
      </c>
      <c r="R893">
        <v>104</v>
      </c>
      <c r="S893">
        <v>201.5</v>
      </c>
      <c r="T893" t="s">
        <v>37</v>
      </c>
      <c r="U893" s="3"/>
      <c r="V893" s="3"/>
      <c r="W893" s="3"/>
    </row>
    <row r="894" spans="1:23">
      <c r="A894" t="s">
        <v>2159</v>
      </c>
      <c r="B894" t="s">
        <v>867</v>
      </c>
      <c r="C894" t="s">
        <v>40</v>
      </c>
      <c r="D894" t="s">
        <v>2160</v>
      </c>
      <c r="E894" s="2">
        <v>45119</v>
      </c>
      <c r="F894" t="s">
        <v>2161</v>
      </c>
      <c r="G894" t="s">
        <v>109</v>
      </c>
      <c r="H894" t="s">
        <v>63</v>
      </c>
      <c r="I894" t="s">
        <v>119</v>
      </c>
      <c r="J894" t="s">
        <v>46</v>
      </c>
      <c r="K894" t="s">
        <v>191</v>
      </c>
      <c r="L894" t="s">
        <v>2162</v>
      </c>
      <c r="M894">
        <v>171853.65</v>
      </c>
      <c r="N894" t="s">
        <v>192</v>
      </c>
      <c r="O894">
        <v>3</v>
      </c>
      <c r="P894">
        <v>183</v>
      </c>
      <c r="Q894">
        <v>1</v>
      </c>
      <c r="R894">
        <v>187</v>
      </c>
      <c r="S894">
        <v>149.4</v>
      </c>
      <c r="T894" t="s">
        <v>37</v>
      </c>
      <c r="U894" s="3"/>
      <c r="V894" s="3"/>
      <c r="W894" s="3"/>
    </row>
    <row r="895" spans="1:23">
      <c r="A895" t="s">
        <v>2163</v>
      </c>
      <c r="B895" t="s">
        <v>455</v>
      </c>
      <c r="C895" t="s">
        <v>60</v>
      </c>
      <c r="D895" t="s">
        <v>2164</v>
      </c>
      <c r="E895" s="2">
        <v>45134</v>
      </c>
      <c r="F895" s="2">
        <v>45140</v>
      </c>
      <c r="G895" t="s">
        <v>152</v>
      </c>
      <c r="H895" t="s">
        <v>95</v>
      </c>
      <c r="I895" t="s">
        <v>96</v>
      </c>
      <c r="J895" t="s">
        <v>64</v>
      </c>
      <c r="K895" t="s">
        <v>27</v>
      </c>
      <c r="L895">
        <v>31835.75</v>
      </c>
      <c r="M895">
        <v>22531.09</v>
      </c>
      <c r="N895" t="s">
        <v>192</v>
      </c>
      <c r="O895">
        <v>6</v>
      </c>
      <c r="P895">
        <v>45</v>
      </c>
      <c r="Q895">
        <v>1</v>
      </c>
      <c r="R895">
        <v>165</v>
      </c>
      <c r="S895">
        <v>188.1</v>
      </c>
      <c r="T895" t="s">
        <v>37</v>
      </c>
      <c r="U895" s="3"/>
      <c r="V895" s="3"/>
      <c r="W895" s="3"/>
    </row>
    <row r="896" spans="1:23">
      <c r="A896" t="s">
        <v>2165</v>
      </c>
      <c r="B896" t="s">
        <v>104</v>
      </c>
      <c r="C896" t="s">
        <v>50</v>
      </c>
      <c r="D896" s="2">
        <v>19339</v>
      </c>
      <c r="E896" s="2">
        <v>45219</v>
      </c>
      <c r="F896" t="s">
        <v>2166</v>
      </c>
      <c r="G896" t="s">
        <v>31</v>
      </c>
      <c r="H896" t="s">
        <v>160</v>
      </c>
      <c r="I896" t="s">
        <v>79</v>
      </c>
      <c r="J896" t="s">
        <v>34</v>
      </c>
      <c r="K896" t="s">
        <v>161</v>
      </c>
      <c r="L896">
        <v>58822.09</v>
      </c>
      <c r="M896">
        <v>57898.16</v>
      </c>
      <c r="N896" t="s">
        <v>35</v>
      </c>
      <c r="O896">
        <v>5</v>
      </c>
      <c r="P896">
        <v>199</v>
      </c>
      <c r="Q896">
        <v>4</v>
      </c>
      <c r="R896">
        <v>125</v>
      </c>
      <c r="S896">
        <v>218.5</v>
      </c>
      <c r="T896" t="s">
        <v>37</v>
      </c>
      <c r="U896" s="3"/>
      <c r="V896" s="3"/>
      <c r="W896" s="3"/>
    </row>
    <row r="897" spans="1:23">
      <c r="A897" t="s">
        <v>2167</v>
      </c>
      <c r="B897" t="s">
        <v>752</v>
      </c>
      <c r="C897" t="s">
        <v>60</v>
      </c>
      <c r="D897" t="s">
        <v>2168</v>
      </c>
      <c r="E897" s="2">
        <v>45413</v>
      </c>
      <c r="F897" t="s">
        <v>2169</v>
      </c>
      <c r="G897" t="s">
        <v>62</v>
      </c>
      <c r="H897" t="s">
        <v>32</v>
      </c>
      <c r="I897" t="s">
        <v>119</v>
      </c>
      <c r="J897" t="s">
        <v>46</v>
      </c>
      <c r="K897" t="s">
        <v>161</v>
      </c>
      <c r="L897">
        <v>111786.95</v>
      </c>
      <c r="M897">
        <v>80226.09</v>
      </c>
      <c r="N897" t="s">
        <v>35</v>
      </c>
      <c r="O897">
        <v>4</v>
      </c>
      <c r="P897">
        <v>161</v>
      </c>
      <c r="Q897">
        <v>2</v>
      </c>
      <c r="R897">
        <v>104</v>
      </c>
      <c r="S897">
        <v>206.5</v>
      </c>
      <c r="T897" t="s">
        <v>65</v>
      </c>
      <c r="U897" s="3"/>
      <c r="V897" s="3"/>
      <c r="W897" s="3"/>
    </row>
    <row r="898" spans="1:23">
      <c r="A898" t="s">
        <v>2170</v>
      </c>
      <c r="B898" t="s">
        <v>524</v>
      </c>
      <c r="C898" t="s">
        <v>133</v>
      </c>
      <c r="D898" s="2">
        <v>34301</v>
      </c>
      <c r="E898" t="s">
        <v>2171</v>
      </c>
      <c r="F898" s="2">
        <v>45264</v>
      </c>
      <c r="G898" t="s">
        <v>754</v>
      </c>
      <c r="H898" t="s">
        <v>113</v>
      </c>
      <c r="I898" t="s">
        <v>33</v>
      </c>
      <c r="J898" t="s">
        <v>46</v>
      </c>
      <c r="K898" t="s">
        <v>106</v>
      </c>
      <c r="L898">
        <v>6410.41</v>
      </c>
      <c r="M898">
        <v>5801.4</v>
      </c>
      <c r="N898" t="s">
        <v>73</v>
      </c>
      <c r="O898">
        <v>16</v>
      </c>
      <c r="P898">
        <v>34</v>
      </c>
      <c r="R898">
        <v>167</v>
      </c>
      <c r="S898">
        <v>94</v>
      </c>
      <c r="T898" t="s">
        <v>127</v>
      </c>
      <c r="U898" s="3"/>
      <c r="V898" s="3"/>
      <c r="W898" s="3"/>
    </row>
    <row r="899" spans="1:23">
      <c r="A899" t="s">
        <v>2172</v>
      </c>
      <c r="B899" t="s">
        <v>338</v>
      </c>
      <c r="D899" s="2">
        <v>20746</v>
      </c>
      <c r="E899" s="2">
        <v>45431</v>
      </c>
      <c r="F899" s="2">
        <v>45444</v>
      </c>
      <c r="G899" t="s">
        <v>161</v>
      </c>
      <c r="H899" t="s">
        <v>78</v>
      </c>
      <c r="I899" t="s">
        <v>119</v>
      </c>
      <c r="J899" t="s">
        <v>34</v>
      </c>
      <c r="K899" t="s">
        <v>106</v>
      </c>
      <c r="L899">
        <v>56413.22</v>
      </c>
      <c r="M899">
        <v>44511.02</v>
      </c>
      <c r="O899">
        <v>13</v>
      </c>
      <c r="P899">
        <v>128</v>
      </c>
      <c r="Q899">
        <v>2</v>
      </c>
      <c r="R899">
        <v>188</v>
      </c>
      <c r="S899">
        <v>75.099999999999994</v>
      </c>
      <c r="T899" t="s">
        <v>721</v>
      </c>
      <c r="U899" s="3"/>
      <c r="V899" s="3"/>
      <c r="W899" s="3"/>
    </row>
    <row r="900" spans="1:23">
      <c r="A900" t="s">
        <v>2173</v>
      </c>
      <c r="B900" t="s">
        <v>1001</v>
      </c>
      <c r="C900" t="s">
        <v>133</v>
      </c>
      <c r="D900" s="2">
        <v>36951</v>
      </c>
      <c r="E900" s="2">
        <v>45195</v>
      </c>
      <c r="F900" s="2">
        <v>45208</v>
      </c>
      <c r="G900" t="s">
        <v>89</v>
      </c>
      <c r="H900" t="s">
        <v>86</v>
      </c>
      <c r="J900" t="s">
        <v>186</v>
      </c>
      <c r="M900">
        <v>142390.72</v>
      </c>
      <c r="N900" t="s">
        <v>192</v>
      </c>
      <c r="O900">
        <v>13</v>
      </c>
      <c r="P900">
        <v>84</v>
      </c>
      <c r="Q900">
        <v>5</v>
      </c>
      <c r="R900">
        <v>97</v>
      </c>
      <c r="S900">
        <v>102.3</v>
      </c>
      <c r="T900" t="s">
        <v>65</v>
      </c>
      <c r="U900" s="3"/>
      <c r="V900" s="3"/>
      <c r="W900" s="3"/>
    </row>
    <row r="901" spans="1:23">
      <c r="A901" t="s">
        <v>2174</v>
      </c>
      <c r="B901" t="s">
        <v>373</v>
      </c>
      <c r="C901" t="s">
        <v>196</v>
      </c>
      <c r="D901" s="2">
        <v>25510</v>
      </c>
      <c r="E901" s="2">
        <v>45226</v>
      </c>
      <c r="F901" t="s">
        <v>2175</v>
      </c>
      <c r="G901" t="s">
        <v>89</v>
      </c>
      <c r="H901" t="s">
        <v>95</v>
      </c>
      <c r="I901" t="s">
        <v>33</v>
      </c>
      <c r="J901" t="s">
        <v>179</v>
      </c>
      <c r="K901" t="s">
        <v>120</v>
      </c>
      <c r="L901">
        <v>21190.45</v>
      </c>
      <c r="N901" t="s">
        <v>73</v>
      </c>
      <c r="O901" t="s">
        <v>236</v>
      </c>
      <c r="P901">
        <v>175</v>
      </c>
      <c r="Q901">
        <v>3</v>
      </c>
      <c r="R901">
        <v>147</v>
      </c>
      <c r="S901">
        <v>102.8</v>
      </c>
      <c r="T901" t="s">
        <v>37</v>
      </c>
      <c r="U901" s="3"/>
      <c r="V901" s="3"/>
      <c r="W901" s="3"/>
    </row>
    <row r="902" spans="1:23">
      <c r="A902" t="s">
        <v>2176</v>
      </c>
      <c r="B902" t="s">
        <v>2177</v>
      </c>
      <c r="C902" t="s">
        <v>133</v>
      </c>
      <c r="D902" t="s">
        <v>2178</v>
      </c>
      <c r="E902" s="2">
        <v>45330</v>
      </c>
      <c r="F902" s="2">
        <v>45333</v>
      </c>
      <c r="G902" t="s">
        <v>141</v>
      </c>
      <c r="H902" t="s">
        <v>134</v>
      </c>
      <c r="I902" t="s">
        <v>33</v>
      </c>
      <c r="J902" t="s">
        <v>34</v>
      </c>
      <c r="K902" t="s">
        <v>55</v>
      </c>
      <c r="L902">
        <v>57510.25</v>
      </c>
      <c r="M902">
        <v>44355.8</v>
      </c>
      <c r="N902" t="s">
        <v>91</v>
      </c>
      <c r="O902">
        <v>3</v>
      </c>
      <c r="P902">
        <v>149</v>
      </c>
      <c r="Q902">
        <v>2</v>
      </c>
      <c r="R902" t="s">
        <v>1758</v>
      </c>
      <c r="S902">
        <v>248.3</v>
      </c>
      <c r="T902" t="s">
        <v>37</v>
      </c>
      <c r="U902" s="3"/>
      <c r="V902" s="3"/>
      <c r="W902" s="3"/>
    </row>
    <row r="903" spans="1:23">
      <c r="A903" t="s">
        <v>2179</v>
      </c>
      <c r="B903" t="s">
        <v>940</v>
      </c>
      <c r="C903" t="s">
        <v>40</v>
      </c>
      <c r="D903" t="s">
        <v>2180</v>
      </c>
      <c r="E903" s="2">
        <v>44945</v>
      </c>
      <c r="F903" s="2">
        <v>44960</v>
      </c>
      <c r="G903" t="s">
        <v>94</v>
      </c>
      <c r="H903" t="s">
        <v>538</v>
      </c>
      <c r="I903" t="s">
        <v>119</v>
      </c>
      <c r="J903" t="s">
        <v>179</v>
      </c>
      <c r="K903" t="s">
        <v>72</v>
      </c>
      <c r="L903" t="s">
        <v>2181</v>
      </c>
      <c r="M903">
        <v>145552.26</v>
      </c>
      <c r="N903" t="s">
        <v>35</v>
      </c>
      <c r="O903">
        <v>15</v>
      </c>
      <c r="P903">
        <v>160</v>
      </c>
      <c r="Q903">
        <v>5</v>
      </c>
      <c r="R903">
        <v>103</v>
      </c>
      <c r="S903">
        <v>104.3</v>
      </c>
      <c r="T903" t="s">
        <v>37</v>
      </c>
      <c r="U903" s="3"/>
      <c r="V903" s="3"/>
      <c r="W903" s="3"/>
    </row>
    <row r="904" spans="1:23">
      <c r="A904" t="s">
        <v>2182</v>
      </c>
      <c r="B904" t="s">
        <v>1678</v>
      </c>
      <c r="C904" t="s">
        <v>60</v>
      </c>
      <c r="D904" s="2">
        <v>32701</v>
      </c>
      <c r="E904" t="s">
        <v>2183</v>
      </c>
      <c r="F904" s="2">
        <v>45633</v>
      </c>
      <c r="G904" t="s">
        <v>117</v>
      </c>
      <c r="H904" t="s">
        <v>124</v>
      </c>
      <c r="J904" t="s">
        <v>34</v>
      </c>
      <c r="K904" t="s">
        <v>110</v>
      </c>
      <c r="L904">
        <v>125882.78</v>
      </c>
      <c r="M904">
        <v>104703.91</v>
      </c>
      <c r="N904" t="s">
        <v>192</v>
      </c>
      <c r="O904">
        <v>13</v>
      </c>
      <c r="P904">
        <v>192</v>
      </c>
      <c r="Q904">
        <v>2</v>
      </c>
      <c r="R904">
        <v>178</v>
      </c>
      <c r="S904">
        <v>213.5</v>
      </c>
      <c r="T904" t="s">
        <v>57</v>
      </c>
      <c r="U904" s="3"/>
      <c r="V904" s="3"/>
      <c r="W904" s="3"/>
    </row>
    <row r="905" spans="1:23">
      <c r="A905" t="s">
        <v>2184</v>
      </c>
      <c r="B905" t="s">
        <v>383</v>
      </c>
      <c r="C905" t="s">
        <v>50</v>
      </c>
      <c r="D905" s="2">
        <v>29691</v>
      </c>
      <c r="E905" s="2">
        <v>45128</v>
      </c>
      <c r="F905" t="s">
        <v>2185</v>
      </c>
      <c r="H905" t="s">
        <v>95</v>
      </c>
      <c r="J905" t="s">
        <v>71</v>
      </c>
      <c r="K905" t="s">
        <v>55</v>
      </c>
      <c r="L905">
        <v>206233.16</v>
      </c>
      <c r="M905">
        <v>154625.78</v>
      </c>
      <c r="N905" t="s">
        <v>56</v>
      </c>
      <c r="O905">
        <v>7</v>
      </c>
      <c r="P905">
        <v>40</v>
      </c>
      <c r="Q905">
        <v>4</v>
      </c>
      <c r="R905">
        <v>177</v>
      </c>
      <c r="U905" s="3"/>
      <c r="V905" s="3"/>
      <c r="W905" s="3"/>
    </row>
    <row r="906" spans="1:23">
      <c r="A906" t="s">
        <v>2186</v>
      </c>
      <c r="B906" t="s">
        <v>29</v>
      </c>
      <c r="D906" s="2">
        <v>27812</v>
      </c>
      <c r="E906" s="2">
        <v>45537</v>
      </c>
      <c r="F906" s="2">
        <v>45543</v>
      </c>
      <c r="G906" t="s">
        <v>161</v>
      </c>
      <c r="H906" t="s">
        <v>63</v>
      </c>
      <c r="I906" t="s">
        <v>53</v>
      </c>
      <c r="J906" t="s">
        <v>71</v>
      </c>
      <c r="L906">
        <v>129061.28</v>
      </c>
      <c r="M906">
        <v>113611.31</v>
      </c>
      <c r="N906" t="s">
        <v>56</v>
      </c>
      <c r="O906">
        <v>6</v>
      </c>
      <c r="P906">
        <v>141</v>
      </c>
      <c r="Q906">
        <v>4</v>
      </c>
      <c r="R906">
        <v>116</v>
      </c>
      <c r="S906">
        <v>238.6</v>
      </c>
      <c r="T906" t="s">
        <v>37</v>
      </c>
      <c r="U906" s="3"/>
      <c r="V906" s="3"/>
      <c r="W906" s="3"/>
    </row>
    <row r="907" spans="1:23">
      <c r="A907" t="s">
        <v>2187</v>
      </c>
      <c r="B907" t="s">
        <v>464</v>
      </c>
      <c r="C907" t="s">
        <v>100</v>
      </c>
      <c r="D907" s="2">
        <v>18272</v>
      </c>
      <c r="E907" t="s">
        <v>2188</v>
      </c>
      <c r="F907" s="2">
        <v>45393</v>
      </c>
      <c r="G907" t="s">
        <v>141</v>
      </c>
      <c r="H907" t="s">
        <v>86</v>
      </c>
      <c r="I907" t="s">
        <v>79</v>
      </c>
      <c r="J907" t="s">
        <v>80</v>
      </c>
      <c r="K907" t="s">
        <v>110</v>
      </c>
      <c r="L907">
        <v>173298.57</v>
      </c>
      <c r="M907">
        <v>161107.42000000001</v>
      </c>
      <c r="N907" t="s">
        <v>73</v>
      </c>
      <c r="O907">
        <v>16</v>
      </c>
      <c r="P907">
        <v>152</v>
      </c>
      <c r="Q907">
        <v>3</v>
      </c>
      <c r="R907">
        <v>185</v>
      </c>
      <c r="S907">
        <v>250.9</v>
      </c>
      <c r="U907" s="3"/>
      <c r="V907" s="3"/>
      <c r="W907" s="3"/>
    </row>
    <row r="908" spans="1:23">
      <c r="A908" t="s">
        <v>2189</v>
      </c>
      <c r="B908" t="s">
        <v>967</v>
      </c>
      <c r="C908" t="s">
        <v>40</v>
      </c>
      <c r="D908" s="2">
        <v>30900</v>
      </c>
      <c r="E908" s="2">
        <v>45189</v>
      </c>
      <c r="F908" s="2">
        <v>45206</v>
      </c>
      <c r="G908" t="s">
        <v>77</v>
      </c>
      <c r="H908" t="s">
        <v>52</v>
      </c>
      <c r="I908" t="s">
        <v>45</v>
      </c>
      <c r="J908" t="s">
        <v>179</v>
      </c>
      <c r="L908">
        <v>24157.52</v>
      </c>
      <c r="M908">
        <v>20145.080000000002</v>
      </c>
      <c r="N908" t="s">
        <v>73</v>
      </c>
      <c r="O908">
        <v>17</v>
      </c>
      <c r="P908">
        <v>154</v>
      </c>
      <c r="Q908">
        <v>4</v>
      </c>
      <c r="R908">
        <v>173</v>
      </c>
      <c r="S908">
        <v>80.2</v>
      </c>
      <c r="T908" t="s">
        <v>37</v>
      </c>
      <c r="U908" s="3"/>
      <c r="V908" s="3"/>
      <c r="W908" s="3"/>
    </row>
    <row r="909" spans="1:23">
      <c r="A909" t="s">
        <v>2190</v>
      </c>
      <c r="B909" t="s">
        <v>345</v>
      </c>
      <c r="C909" t="s">
        <v>50</v>
      </c>
      <c r="D909" s="2">
        <v>21979</v>
      </c>
      <c r="E909" s="2">
        <v>45931</v>
      </c>
      <c r="F909" s="2">
        <v>45935</v>
      </c>
      <c r="G909" t="s">
        <v>89</v>
      </c>
      <c r="I909" t="s">
        <v>79</v>
      </c>
      <c r="J909" t="s">
        <v>46</v>
      </c>
      <c r="K909" t="s">
        <v>55</v>
      </c>
      <c r="L909">
        <v>246991.58</v>
      </c>
      <c r="M909">
        <v>211186.47</v>
      </c>
      <c r="N909" t="s">
        <v>35</v>
      </c>
      <c r="O909">
        <v>4</v>
      </c>
      <c r="P909">
        <v>29</v>
      </c>
      <c r="R909">
        <v>169</v>
      </c>
      <c r="S909">
        <v>171.6</v>
      </c>
      <c r="T909" t="s">
        <v>37</v>
      </c>
      <c r="U909" s="3"/>
      <c r="V909" s="3"/>
      <c r="W909" s="3"/>
    </row>
    <row r="910" spans="1:23">
      <c r="A910" t="s">
        <v>2191</v>
      </c>
      <c r="B910" t="s">
        <v>368</v>
      </c>
      <c r="D910" s="2">
        <v>29033</v>
      </c>
      <c r="E910" s="2">
        <v>45648</v>
      </c>
      <c r="F910" s="2">
        <v>45663</v>
      </c>
      <c r="G910" t="s">
        <v>31</v>
      </c>
      <c r="I910" t="s">
        <v>79</v>
      </c>
      <c r="J910" t="s">
        <v>26</v>
      </c>
      <c r="K910" t="s">
        <v>55</v>
      </c>
      <c r="L910" t="s">
        <v>2192</v>
      </c>
      <c r="M910">
        <v>93640.87</v>
      </c>
      <c r="N910" t="s">
        <v>91</v>
      </c>
      <c r="O910">
        <v>15</v>
      </c>
      <c r="R910" t="s">
        <v>1573</v>
      </c>
      <c r="S910">
        <v>166.4</v>
      </c>
      <c r="T910" t="s">
        <v>81</v>
      </c>
      <c r="U910" s="3"/>
      <c r="V910" s="3"/>
      <c r="W910" s="3"/>
    </row>
    <row r="911" spans="1:23">
      <c r="A911" t="s">
        <v>2193</v>
      </c>
      <c r="B911" t="s">
        <v>2194</v>
      </c>
      <c r="C911" t="s">
        <v>60</v>
      </c>
      <c r="D911" t="s">
        <v>2195</v>
      </c>
      <c r="E911" s="2">
        <v>45325</v>
      </c>
      <c r="F911" s="2">
        <v>45339</v>
      </c>
      <c r="G911" t="s">
        <v>70</v>
      </c>
      <c r="I911" t="s">
        <v>45</v>
      </c>
      <c r="J911" t="s">
        <v>26</v>
      </c>
      <c r="K911" t="s">
        <v>27</v>
      </c>
      <c r="L911">
        <v>118876.09</v>
      </c>
      <c r="M911">
        <v>85465.27</v>
      </c>
      <c r="N911" t="s">
        <v>35</v>
      </c>
      <c r="O911">
        <v>14</v>
      </c>
      <c r="P911">
        <v>153</v>
      </c>
      <c r="Q911">
        <v>1</v>
      </c>
      <c r="R911">
        <v>186</v>
      </c>
      <c r="S911">
        <v>231.1</v>
      </c>
      <c r="T911" t="s">
        <v>65</v>
      </c>
      <c r="U911" s="3"/>
      <c r="V911" s="3"/>
      <c r="W911" s="3"/>
    </row>
    <row r="912" spans="1:23">
      <c r="A912" t="s">
        <v>2196</v>
      </c>
      <c r="B912" t="s">
        <v>1598</v>
      </c>
      <c r="D912" s="2">
        <v>39739</v>
      </c>
      <c r="E912" s="2">
        <v>45180</v>
      </c>
      <c r="F912" s="2">
        <v>45185</v>
      </c>
      <c r="G912" t="s">
        <v>109</v>
      </c>
      <c r="H912" t="s">
        <v>153</v>
      </c>
      <c r="I912" t="s">
        <v>45</v>
      </c>
      <c r="K912" t="s">
        <v>110</v>
      </c>
      <c r="L912">
        <v>158949.1</v>
      </c>
      <c r="M912">
        <v>154694.48000000001</v>
      </c>
      <c r="N912" t="s">
        <v>73</v>
      </c>
      <c r="O912">
        <v>5</v>
      </c>
      <c r="P912">
        <v>203</v>
      </c>
      <c r="Q912">
        <v>5</v>
      </c>
      <c r="R912">
        <v>103</v>
      </c>
      <c r="S912">
        <v>153.19999999999999</v>
      </c>
      <c r="T912" t="s">
        <v>65</v>
      </c>
      <c r="U912" s="3"/>
      <c r="V912" s="3"/>
      <c r="W912" s="3"/>
    </row>
    <row r="913" spans="1:23">
      <c r="A913" t="s">
        <v>2197</v>
      </c>
      <c r="B913" t="s">
        <v>1526</v>
      </c>
      <c r="C913" t="s">
        <v>40</v>
      </c>
      <c r="D913" s="2">
        <v>37596</v>
      </c>
      <c r="E913" t="s">
        <v>2198</v>
      </c>
      <c r="F913" s="2">
        <v>45324</v>
      </c>
      <c r="G913" t="s">
        <v>161</v>
      </c>
      <c r="H913" t="s">
        <v>153</v>
      </c>
      <c r="I913" t="s">
        <v>79</v>
      </c>
      <c r="J913" t="s">
        <v>80</v>
      </c>
      <c r="K913" t="s">
        <v>27</v>
      </c>
      <c r="M913">
        <v>116212.2</v>
      </c>
      <c r="N913" t="s">
        <v>73</v>
      </c>
      <c r="O913">
        <v>13</v>
      </c>
      <c r="P913">
        <v>30</v>
      </c>
      <c r="Q913">
        <v>4</v>
      </c>
      <c r="R913" t="s">
        <v>539</v>
      </c>
      <c r="S913">
        <v>216.8</v>
      </c>
      <c r="T913" t="s">
        <v>65</v>
      </c>
      <c r="U913" s="3"/>
      <c r="V913" s="3"/>
      <c r="W913" s="3"/>
    </row>
    <row r="914" spans="1:23">
      <c r="A914" t="s">
        <v>2199</v>
      </c>
      <c r="B914" t="s">
        <v>1182</v>
      </c>
      <c r="D914" s="2">
        <v>19317</v>
      </c>
      <c r="E914" s="2">
        <v>45804</v>
      </c>
      <c r="F914" s="2">
        <v>45814</v>
      </c>
      <c r="G914" t="s">
        <v>70</v>
      </c>
      <c r="H914" t="s">
        <v>118</v>
      </c>
      <c r="J914" t="s">
        <v>97</v>
      </c>
      <c r="K914" t="s">
        <v>72</v>
      </c>
      <c r="L914">
        <v>158335.34</v>
      </c>
      <c r="M914">
        <v>95506</v>
      </c>
      <c r="N914" t="s">
        <v>91</v>
      </c>
      <c r="O914">
        <v>10</v>
      </c>
      <c r="P914">
        <v>196</v>
      </c>
      <c r="Q914">
        <v>3</v>
      </c>
      <c r="R914">
        <v>179</v>
      </c>
      <c r="S914">
        <v>90.4</v>
      </c>
      <c r="T914" t="s">
        <v>37</v>
      </c>
      <c r="U914" s="3"/>
      <c r="V914" s="3"/>
      <c r="W914" s="3"/>
    </row>
    <row r="915" spans="1:23">
      <c r="A915" t="s">
        <v>2200</v>
      </c>
      <c r="B915" t="s">
        <v>451</v>
      </c>
      <c r="C915" t="s">
        <v>133</v>
      </c>
      <c r="D915" s="2">
        <v>29560</v>
      </c>
      <c r="E915" s="2">
        <v>45174</v>
      </c>
      <c r="F915" t="s">
        <v>2201</v>
      </c>
      <c r="G915" t="s">
        <v>31</v>
      </c>
      <c r="H915" t="s">
        <v>44</v>
      </c>
      <c r="I915" t="s">
        <v>25</v>
      </c>
      <c r="J915" t="s">
        <v>97</v>
      </c>
      <c r="K915" t="s">
        <v>55</v>
      </c>
      <c r="L915">
        <v>78143.399999999994</v>
      </c>
      <c r="M915">
        <v>49915.74</v>
      </c>
      <c r="N915" t="s">
        <v>91</v>
      </c>
      <c r="O915">
        <v>16</v>
      </c>
      <c r="P915">
        <v>48</v>
      </c>
      <c r="Q915">
        <v>5</v>
      </c>
      <c r="R915">
        <v>102</v>
      </c>
      <c r="S915">
        <v>200.8</v>
      </c>
      <c r="T915" t="s">
        <v>37</v>
      </c>
      <c r="U915" s="3"/>
      <c r="V915" s="3"/>
      <c r="W915" s="3"/>
    </row>
    <row r="916" spans="1:23">
      <c r="A916" t="s">
        <v>2202</v>
      </c>
      <c r="B916" t="s">
        <v>1302</v>
      </c>
      <c r="C916" t="s">
        <v>22</v>
      </c>
      <c r="D916" s="2">
        <v>22061</v>
      </c>
      <c r="E916" t="s">
        <v>2203</v>
      </c>
      <c r="F916" s="2">
        <v>45486</v>
      </c>
      <c r="G916" t="s">
        <v>141</v>
      </c>
      <c r="H916" t="s">
        <v>24</v>
      </c>
      <c r="I916" t="s">
        <v>53</v>
      </c>
      <c r="J916" t="s">
        <v>71</v>
      </c>
      <c r="K916" t="s">
        <v>120</v>
      </c>
      <c r="L916">
        <v>63051.06</v>
      </c>
      <c r="M916">
        <v>44274.26</v>
      </c>
      <c r="N916" t="s">
        <v>73</v>
      </c>
      <c r="O916">
        <v>5</v>
      </c>
      <c r="P916">
        <v>158</v>
      </c>
      <c r="Q916">
        <v>5</v>
      </c>
      <c r="R916">
        <v>146</v>
      </c>
      <c r="S916">
        <v>148.19999999999999</v>
      </c>
      <c r="U916" s="3"/>
      <c r="V916" s="3"/>
      <c r="W916" s="3"/>
    </row>
    <row r="917" spans="1:23">
      <c r="A917" t="s">
        <v>2204</v>
      </c>
      <c r="B917" t="s">
        <v>1580</v>
      </c>
      <c r="C917" t="s">
        <v>100</v>
      </c>
      <c r="D917" s="2">
        <v>32771</v>
      </c>
      <c r="E917" s="2">
        <v>45060</v>
      </c>
      <c r="F917" s="2">
        <v>45067</v>
      </c>
      <c r="G917" t="s">
        <v>105</v>
      </c>
      <c r="H917" t="s">
        <v>44</v>
      </c>
      <c r="I917" t="s">
        <v>53</v>
      </c>
      <c r="J917" t="s">
        <v>71</v>
      </c>
      <c r="K917" t="s">
        <v>120</v>
      </c>
      <c r="L917">
        <v>210095.75</v>
      </c>
      <c r="M917">
        <v>190202.45</v>
      </c>
      <c r="N917" t="s">
        <v>192</v>
      </c>
      <c r="O917">
        <v>7</v>
      </c>
      <c r="P917">
        <v>164</v>
      </c>
      <c r="Q917">
        <v>1</v>
      </c>
      <c r="R917">
        <v>155</v>
      </c>
      <c r="S917">
        <v>242.8</v>
      </c>
      <c r="T917" t="s">
        <v>47</v>
      </c>
      <c r="U917" s="3"/>
      <c r="V917" s="3"/>
      <c r="W917" s="3"/>
    </row>
    <row r="918" spans="1:23">
      <c r="A918" t="s">
        <v>2205</v>
      </c>
      <c r="B918" t="s">
        <v>1537</v>
      </c>
      <c r="C918" t="s">
        <v>60</v>
      </c>
      <c r="D918" s="2">
        <v>23967</v>
      </c>
      <c r="E918" s="2">
        <v>45708</v>
      </c>
      <c r="F918" t="s">
        <v>2206</v>
      </c>
      <c r="G918" t="s">
        <v>43</v>
      </c>
      <c r="H918" t="s">
        <v>118</v>
      </c>
      <c r="I918" t="s">
        <v>53</v>
      </c>
      <c r="J918" t="s">
        <v>97</v>
      </c>
      <c r="K918" t="s">
        <v>55</v>
      </c>
      <c r="L918">
        <v>143537.23000000001</v>
      </c>
      <c r="M918">
        <v>110453.89</v>
      </c>
      <c r="N918" t="s">
        <v>91</v>
      </c>
      <c r="O918" t="s">
        <v>2124</v>
      </c>
      <c r="P918">
        <v>103</v>
      </c>
      <c r="Q918">
        <v>2</v>
      </c>
      <c r="R918">
        <v>162</v>
      </c>
      <c r="T918" t="s">
        <v>37</v>
      </c>
      <c r="U918" s="3"/>
      <c r="V918" s="3"/>
      <c r="W918" s="3"/>
    </row>
    <row r="919" spans="1:23">
      <c r="A919" t="s">
        <v>2207</v>
      </c>
      <c r="B919" t="s">
        <v>986</v>
      </c>
      <c r="C919" t="s">
        <v>100</v>
      </c>
      <c r="D919" s="2">
        <v>24660</v>
      </c>
      <c r="E919" t="s">
        <v>2208</v>
      </c>
      <c r="F919" t="s">
        <v>2209</v>
      </c>
      <c r="G919" t="s">
        <v>89</v>
      </c>
      <c r="H919" t="s">
        <v>118</v>
      </c>
      <c r="I919" t="s">
        <v>45</v>
      </c>
      <c r="J919" t="s">
        <v>80</v>
      </c>
      <c r="K919" t="s">
        <v>55</v>
      </c>
      <c r="L919">
        <v>66195.179999999993</v>
      </c>
      <c r="M919">
        <v>51017.57</v>
      </c>
      <c r="N919" t="s">
        <v>56</v>
      </c>
      <c r="O919">
        <v>10</v>
      </c>
      <c r="P919">
        <v>193</v>
      </c>
      <c r="R919">
        <v>138</v>
      </c>
      <c r="S919">
        <v>152.9</v>
      </c>
      <c r="T919" t="s">
        <v>37</v>
      </c>
      <c r="U919" s="3"/>
      <c r="V919" s="3"/>
      <c r="W919" s="3"/>
    </row>
    <row r="920" spans="1:23">
      <c r="A920" t="s">
        <v>2210</v>
      </c>
      <c r="B920" t="s">
        <v>810</v>
      </c>
      <c r="C920" t="s">
        <v>50</v>
      </c>
      <c r="D920" s="2">
        <v>18849</v>
      </c>
      <c r="E920" t="s">
        <v>2211</v>
      </c>
      <c r="F920" s="2">
        <v>45356</v>
      </c>
      <c r="G920" t="s">
        <v>152</v>
      </c>
      <c r="H920" t="s">
        <v>118</v>
      </c>
      <c r="I920" t="s">
        <v>119</v>
      </c>
      <c r="J920" t="s">
        <v>97</v>
      </c>
      <c r="K920" t="s">
        <v>27</v>
      </c>
      <c r="L920">
        <v>243585.1</v>
      </c>
      <c r="M920">
        <v>195129.31</v>
      </c>
      <c r="N920" t="s">
        <v>35</v>
      </c>
      <c r="O920">
        <v>11</v>
      </c>
      <c r="P920">
        <v>138</v>
      </c>
      <c r="Q920">
        <v>5</v>
      </c>
      <c r="R920">
        <v>167</v>
      </c>
      <c r="S920">
        <v>121.7</v>
      </c>
      <c r="T920" t="s">
        <v>37</v>
      </c>
      <c r="U920" s="3"/>
      <c r="V920" s="3"/>
      <c r="W920" s="3"/>
    </row>
    <row r="921" spans="1:23">
      <c r="A921" t="s">
        <v>2212</v>
      </c>
      <c r="B921" t="s">
        <v>1001</v>
      </c>
      <c r="C921" t="s">
        <v>22</v>
      </c>
      <c r="D921" s="2">
        <v>28912</v>
      </c>
      <c r="E921" s="2">
        <v>45998</v>
      </c>
      <c r="G921" t="s">
        <v>902</v>
      </c>
      <c r="H921" t="s">
        <v>118</v>
      </c>
      <c r="I921" t="s">
        <v>119</v>
      </c>
      <c r="J921" t="s">
        <v>71</v>
      </c>
      <c r="K921" t="s">
        <v>449</v>
      </c>
      <c r="L921">
        <v>36252.620000000003</v>
      </c>
      <c r="M921">
        <v>32133.439999999999</v>
      </c>
      <c r="N921" t="s">
        <v>192</v>
      </c>
      <c r="O921">
        <v>7</v>
      </c>
      <c r="P921">
        <v>59</v>
      </c>
      <c r="Q921">
        <v>5</v>
      </c>
      <c r="R921">
        <v>126</v>
      </c>
      <c r="S921">
        <v>210.5</v>
      </c>
      <c r="T921" t="s">
        <v>37</v>
      </c>
      <c r="U921" s="3"/>
      <c r="V921" s="3"/>
      <c r="W921" s="3"/>
    </row>
    <row r="922" spans="1:23">
      <c r="A922" t="s">
        <v>2213</v>
      </c>
      <c r="B922" t="s">
        <v>503</v>
      </c>
      <c r="C922" t="s">
        <v>30</v>
      </c>
      <c r="D922" s="2">
        <v>31780</v>
      </c>
      <c r="E922" s="2">
        <v>45461</v>
      </c>
      <c r="F922" t="s">
        <v>2214</v>
      </c>
      <c r="G922" t="s">
        <v>161</v>
      </c>
      <c r="H922" t="s">
        <v>24</v>
      </c>
      <c r="J922" t="s">
        <v>64</v>
      </c>
      <c r="K922" t="s">
        <v>55</v>
      </c>
      <c r="L922">
        <v>67025.72</v>
      </c>
      <c r="M922">
        <v>55815.48</v>
      </c>
      <c r="N922" t="s">
        <v>192</v>
      </c>
      <c r="O922">
        <v>15</v>
      </c>
      <c r="P922">
        <v>119</v>
      </c>
      <c r="Q922">
        <v>2</v>
      </c>
      <c r="R922">
        <v>133</v>
      </c>
      <c r="S922">
        <v>144.5</v>
      </c>
      <c r="T922" t="s">
        <v>65</v>
      </c>
      <c r="U922" s="3"/>
      <c r="V922" s="3"/>
      <c r="W922" s="3"/>
    </row>
    <row r="923" spans="1:23">
      <c r="A923" t="s">
        <v>2215</v>
      </c>
      <c r="B923" t="s">
        <v>277</v>
      </c>
      <c r="C923" t="s">
        <v>60</v>
      </c>
      <c r="D923" t="s">
        <v>2216</v>
      </c>
      <c r="E923" t="s">
        <v>2217</v>
      </c>
      <c r="F923" s="2">
        <v>45363</v>
      </c>
      <c r="G923" t="s">
        <v>141</v>
      </c>
      <c r="H923" t="s">
        <v>134</v>
      </c>
      <c r="I923" t="s">
        <v>119</v>
      </c>
      <c r="J923" t="s">
        <v>179</v>
      </c>
      <c r="K923" t="s">
        <v>388</v>
      </c>
      <c r="L923">
        <v>221028.49</v>
      </c>
      <c r="M923">
        <v>176217.51</v>
      </c>
      <c r="N923" t="s">
        <v>192</v>
      </c>
      <c r="O923">
        <v>12</v>
      </c>
      <c r="P923">
        <v>237</v>
      </c>
      <c r="Q923">
        <v>1</v>
      </c>
      <c r="R923">
        <v>172</v>
      </c>
      <c r="S923">
        <v>133.69999999999999</v>
      </c>
      <c r="T923" t="s">
        <v>37</v>
      </c>
      <c r="U923" s="3"/>
      <c r="V923" s="3"/>
      <c r="W923" s="3"/>
    </row>
    <row r="924" spans="1:23">
      <c r="A924" t="s">
        <v>2218</v>
      </c>
      <c r="B924" t="s">
        <v>1119</v>
      </c>
      <c r="C924" t="s">
        <v>60</v>
      </c>
      <c r="D924" s="2">
        <v>39259</v>
      </c>
      <c r="E924" s="2">
        <v>45839</v>
      </c>
      <c r="F924" t="s">
        <v>2219</v>
      </c>
      <c r="G924" t="s">
        <v>152</v>
      </c>
      <c r="I924" t="s">
        <v>53</v>
      </c>
      <c r="J924" t="s">
        <v>46</v>
      </c>
      <c r="K924" t="s">
        <v>449</v>
      </c>
      <c r="L924">
        <v>16285.02</v>
      </c>
      <c r="M924">
        <v>13257.84</v>
      </c>
      <c r="N924" t="s">
        <v>192</v>
      </c>
      <c r="O924" t="s">
        <v>903</v>
      </c>
      <c r="P924">
        <v>142</v>
      </c>
      <c r="Q924">
        <v>5</v>
      </c>
      <c r="R924">
        <v>180</v>
      </c>
      <c r="S924">
        <v>259.8</v>
      </c>
      <c r="T924" t="s">
        <v>37</v>
      </c>
      <c r="U924" s="3"/>
      <c r="V924" s="3"/>
      <c r="W924" s="3"/>
    </row>
    <row r="925" spans="1:23">
      <c r="A925" t="s">
        <v>2220</v>
      </c>
      <c r="B925" t="s">
        <v>126</v>
      </c>
      <c r="C925" t="s">
        <v>396</v>
      </c>
      <c r="D925" s="2">
        <v>38374</v>
      </c>
      <c r="E925" s="2">
        <v>45716</v>
      </c>
      <c r="F925" t="s">
        <v>2221</v>
      </c>
      <c r="G925" t="s">
        <v>105</v>
      </c>
      <c r="H925" t="s">
        <v>86</v>
      </c>
      <c r="I925" t="s">
        <v>25</v>
      </c>
      <c r="J925" t="s">
        <v>26</v>
      </c>
      <c r="K925" t="s">
        <v>120</v>
      </c>
      <c r="L925">
        <v>7879.58</v>
      </c>
      <c r="M925">
        <v>7525.36</v>
      </c>
      <c r="N925" t="s">
        <v>73</v>
      </c>
      <c r="O925">
        <v>7</v>
      </c>
      <c r="P925">
        <v>41</v>
      </c>
      <c r="R925">
        <v>160</v>
      </c>
      <c r="S925">
        <v>179.8</v>
      </c>
      <c r="T925" t="s">
        <v>37</v>
      </c>
      <c r="U925" s="3"/>
      <c r="V925" s="3"/>
      <c r="W925" s="3"/>
    </row>
    <row r="926" spans="1:23">
      <c r="A926" t="s">
        <v>2222</v>
      </c>
      <c r="B926" t="s">
        <v>760</v>
      </c>
      <c r="C926" t="s">
        <v>196</v>
      </c>
      <c r="D926" t="s">
        <v>2223</v>
      </c>
      <c r="E926" s="2">
        <v>45899</v>
      </c>
      <c r="F926" s="2">
        <v>45901</v>
      </c>
      <c r="G926" t="s">
        <v>43</v>
      </c>
      <c r="H926" t="s">
        <v>63</v>
      </c>
      <c r="I926" t="s">
        <v>79</v>
      </c>
      <c r="J926" t="s">
        <v>97</v>
      </c>
      <c r="K926" t="s">
        <v>55</v>
      </c>
      <c r="L926">
        <v>15272.36</v>
      </c>
      <c r="M926">
        <v>14114.83</v>
      </c>
      <c r="N926" t="s">
        <v>56</v>
      </c>
      <c r="O926">
        <v>2</v>
      </c>
      <c r="P926">
        <v>60</v>
      </c>
      <c r="Q926">
        <v>5</v>
      </c>
      <c r="R926" t="s">
        <v>509</v>
      </c>
      <c r="S926">
        <v>199.2</v>
      </c>
      <c r="T926" t="s">
        <v>721</v>
      </c>
      <c r="U926" s="3"/>
      <c r="V926" s="3"/>
      <c r="W926" s="3"/>
    </row>
    <row r="927" spans="1:23">
      <c r="A927" t="s">
        <v>2224</v>
      </c>
      <c r="B927" t="s">
        <v>373</v>
      </c>
      <c r="C927" t="s">
        <v>30</v>
      </c>
      <c r="D927" s="2">
        <v>20324</v>
      </c>
      <c r="E927" s="2">
        <v>45024</v>
      </c>
      <c r="F927" s="2">
        <v>45039</v>
      </c>
      <c r="H927" t="s">
        <v>52</v>
      </c>
      <c r="J927" t="s">
        <v>663</v>
      </c>
      <c r="K927" t="s">
        <v>27</v>
      </c>
      <c r="L927">
        <v>71785.259999999995</v>
      </c>
      <c r="M927">
        <v>60177.24</v>
      </c>
      <c r="N927" t="s">
        <v>192</v>
      </c>
      <c r="O927">
        <v>15</v>
      </c>
      <c r="P927">
        <v>231</v>
      </c>
      <c r="Q927">
        <v>4</v>
      </c>
      <c r="R927">
        <v>112</v>
      </c>
      <c r="S927">
        <v>198.3</v>
      </c>
      <c r="T927" t="s">
        <v>47</v>
      </c>
      <c r="U927" s="3"/>
      <c r="V927" s="3"/>
      <c r="W927" s="3"/>
    </row>
    <row r="928" spans="1:23">
      <c r="A928" t="s">
        <v>2225</v>
      </c>
      <c r="B928" t="s">
        <v>173</v>
      </c>
      <c r="C928" t="s">
        <v>206</v>
      </c>
      <c r="D928" s="2">
        <v>36331</v>
      </c>
      <c r="E928" t="s">
        <v>2226</v>
      </c>
      <c r="F928" s="2">
        <v>45495</v>
      </c>
      <c r="G928" t="s">
        <v>109</v>
      </c>
      <c r="I928" t="s">
        <v>119</v>
      </c>
      <c r="J928" t="s">
        <v>97</v>
      </c>
      <c r="K928" t="s">
        <v>55</v>
      </c>
      <c r="L928">
        <v>147889.71</v>
      </c>
      <c r="M928">
        <v>123315.99</v>
      </c>
      <c r="O928">
        <v>10</v>
      </c>
      <c r="P928">
        <v>122</v>
      </c>
      <c r="Q928">
        <v>5</v>
      </c>
      <c r="R928">
        <v>93</v>
      </c>
      <c r="S928">
        <v>252.8</v>
      </c>
      <c r="T928" t="s">
        <v>47</v>
      </c>
      <c r="U928" s="3"/>
      <c r="V928" s="3"/>
      <c r="W928" s="3"/>
    </row>
    <row r="929" spans="1:23">
      <c r="A929" t="s">
        <v>2227</v>
      </c>
      <c r="B929" t="s">
        <v>1678</v>
      </c>
      <c r="C929" t="s">
        <v>196</v>
      </c>
      <c r="D929" s="2">
        <v>22769</v>
      </c>
      <c r="E929" s="2">
        <v>45082</v>
      </c>
      <c r="F929" s="2">
        <v>45093</v>
      </c>
      <c r="G929" t="s">
        <v>70</v>
      </c>
      <c r="H929" t="s">
        <v>86</v>
      </c>
      <c r="I929" t="s">
        <v>45</v>
      </c>
      <c r="J929" t="s">
        <v>166</v>
      </c>
      <c r="K929" t="s">
        <v>55</v>
      </c>
      <c r="L929" t="s">
        <v>2228</v>
      </c>
      <c r="M929">
        <v>146528.81</v>
      </c>
      <c r="N929" t="s">
        <v>35</v>
      </c>
      <c r="O929">
        <v>11</v>
      </c>
      <c r="P929">
        <v>169</v>
      </c>
      <c r="Q929">
        <v>1</v>
      </c>
      <c r="R929">
        <v>163</v>
      </c>
      <c r="S929">
        <v>231.7</v>
      </c>
      <c r="U929" s="3"/>
      <c r="V929" s="3"/>
      <c r="W929" s="3"/>
    </row>
    <row r="930" spans="1:23">
      <c r="A930" t="s">
        <v>2229</v>
      </c>
      <c r="B930" t="s">
        <v>1101</v>
      </c>
      <c r="C930" t="s">
        <v>100</v>
      </c>
      <c r="D930" s="2">
        <v>25999</v>
      </c>
      <c r="E930" t="s">
        <v>2230</v>
      </c>
      <c r="F930" s="2">
        <v>45207</v>
      </c>
      <c r="G930" t="s">
        <v>1282</v>
      </c>
      <c r="H930" t="s">
        <v>113</v>
      </c>
      <c r="I930" t="s">
        <v>25</v>
      </c>
      <c r="J930" t="s">
        <v>179</v>
      </c>
      <c r="K930" t="s">
        <v>72</v>
      </c>
      <c r="L930">
        <v>66906.53</v>
      </c>
      <c r="M930">
        <v>64005.47</v>
      </c>
      <c r="N930" t="s">
        <v>56</v>
      </c>
      <c r="O930">
        <v>14</v>
      </c>
      <c r="P930">
        <v>151</v>
      </c>
      <c r="Q930">
        <v>2</v>
      </c>
      <c r="R930" t="s">
        <v>682</v>
      </c>
      <c r="S930">
        <v>81.400000000000006</v>
      </c>
      <c r="T930" t="s">
        <v>721</v>
      </c>
      <c r="U930" s="3"/>
      <c r="V930" s="3"/>
      <c r="W930" s="3"/>
    </row>
    <row r="931" spans="1:23">
      <c r="A931" t="s">
        <v>2231</v>
      </c>
      <c r="B931" t="s">
        <v>159</v>
      </c>
      <c r="C931" t="s">
        <v>50</v>
      </c>
      <c r="D931" s="2">
        <v>30065</v>
      </c>
      <c r="E931" s="2">
        <v>45844</v>
      </c>
      <c r="F931" t="s">
        <v>2232</v>
      </c>
      <c r="G931" t="s">
        <v>161</v>
      </c>
      <c r="H931" t="s">
        <v>538</v>
      </c>
      <c r="I931" t="s">
        <v>96</v>
      </c>
      <c r="J931" t="s">
        <v>34</v>
      </c>
      <c r="L931" t="s">
        <v>2233</v>
      </c>
      <c r="M931">
        <v>96880.88</v>
      </c>
      <c r="N931" t="s">
        <v>56</v>
      </c>
      <c r="O931">
        <v>9</v>
      </c>
      <c r="P931">
        <v>200</v>
      </c>
      <c r="Q931">
        <v>4</v>
      </c>
      <c r="R931">
        <v>155</v>
      </c>
      <c r="S931">
        <v>162.5</v>
      </c>
      <c r="T931" t="s">
        <v>37</v>
      </c>
      <c r="U931" s="3"/>
      <c r="V931" s="3"/>
      <c r="W931" s="3"/>
    </row>
    <row r="932" spans="1:23">
      <c r="A932" t="s">
        <v>2234</v>
      </c>
      <c r="B932" t="s">
        <v>1256</v>
      </c>
      <c r="C932" t="s">
        <v>30</v>
      </c>
      <c r="D932" s="2">
        <v>26225</v>
      </c>
      <c r="E932" s="2">
        <v>45694</v>
      </c>
      <c r="F932" s="2">
        <v>45695</v>
      </c>
      <c r="G932" t="s">
        <v>117</v>
      </c>
      <c r="H932" t="s">
        <v>52</v>
      </c>
      <c r="I932" t="s">
        <v>96</v>
      </c>
      <c r="J932" t="s">
        <v>97</v>
      </c>
      <c r="K932" t="s">
        <v>161</v>
      </c>
      <c r="L932">
        <v>176092.45</v>
      </c>
      <c r="M932">
        <v>115172.76</v>
      </c>
      <c r="N932" t="s">
        <v>192</v>
      </c>
      <c r="O932">
        <v>1</v>
      </c>
      <c r="P932">
        <v>191</v>
      </c>
      <c r="Q932">
        <v>3</v>
      </c>
      <c r="R932">
        <v>163</v>
      </c>
      <c r="S932">
        <v>203.8</v>
      </c>
      <c r="T932" t="s">
        <v>37</v>
      </c>
      <c r="U932" s="3"/>
      <c r="V932" s="3"/>
      <c r="W932" s="3"/>
    </row>
    <row r="933" spans="1:23">
      <c r="A933" t="s">
        <v>2235</v>
      </c>
      <c r="B933" t="s">
        <v>972</v>
      </c>
      <c r="C933" t="s">
        <v>40</v>
      </c>
      <c r="D933" s="2">
        <v>30876</v>
      </c>
      <c r="E933" t="s">
        <v>2236</v>
      </c>
      <c r="F933" s="2">
        <v>45003</v>
      </c>
      <c r="G933" t="s">
        <v>77</v>
      </c>
      <c r="J933" t="s">
        <v>80</v>
      </c>
      <c r="K933" t="s">
        <v>114</v>
      </c>
      <c r="L933">
        <v>139061.42000000001</v>
      </c>
      <c r="M933">
        <v>107911.54</v>
      </c>
      <c r="N933" t="s">
        <v>56</v>
      </c>
      <c r="O933">
        <v>10</v>
      </c>
      <c r="P933">
        <v>192</v>
      </c>
      <c r="R933">
        <v>133</v>
      </c>
      <c r="S933">
        <v>101.9</v>
      </c>
      <c r="T933" t="s">
        <v>37</v>
      </c>
      <c r="U933" s="3"/>
      <c r="V933" s="3"/>
      <c r="W933" s="3"/>
    </row>
    <row r="934" spans="1:23">
      <c r="A934" t="s">
        <v>2237</v>
      </c>
      <c r="B934" t="s">
        <v>527</v>
      </c>
      <c r="D934" t="s">
        <v>2238</v>
      </c>
      <c r="E934" s="2">
        <v>45658</v>
      </c>
      <c r="F934" t="s">
        <v>506</v>
      </c>
      <c r="G934" t="s">
        <v>31</v>
      </c>
      <c r="H934" t="s">
        <v>113</v>
      </c>
      <c r="I934" t="s">
        <v>79</v>
      </c>
      <c r="J934" t="s">
        <v>34</v>
      </c>
      <c r="K934" t="s">
        <v>27</v>
      </c>
      <c r="L934">
        <v>79248.210000000006</v>
      </c>
      <c r="M934">
        <v>63520.12</v>
      </c>
      <c r="N934" t="s">
        <v>73</v>
      </c>
      <c r="O934">
        <v>3</v>
      </c>
      <c r="P934">
        <v>29</v>
      </c>
      <c r="Q934">
        <v>4</v>
      </c>
      <c r="R934">
        <v>101</v>
      </c>
      <c r="S934">
        <v>254.2</v>
      </c>
      <c r="T934" t="s">
        <v>65</v>
      </c>
      <c r="U934" s="3"/>
      <c r="V934" s="3"/>
      <c r="W934" s="3"/>
    </row>
    <row r="935" spans="1:23">
      <c r="A935" t="s">
        <v>2239</v>
      </c>
      <c r="B935" t="s">
        <v>604</v>
      </c>
      <c r="C935" t="s">
        <v>84</v>
      </c>
      <c r="D935" s="2">
        <v>36415</v>
      </c>
      <c r="E935" t="s">
        <v>2240</v>
      </c>
      <c r="F935" s="2">
        <v>45274</v>
      </c>
      <c r="G935" t="s">
        <v>117</v>
      </c>
      <c r="H935" t="s">
        <v>63</v>
      </c>
      <c r="I935" t="s">
        <v>119</v>
      </c>
      <c r="K935" t="s">
        <v>55</v>
      </c>
      <c r="L935">
        <v>202165.96</v>
      </c>
      <c r="M935">
        <v>190572.51</v>
      </c>
      <c r="N935" t="s">
        <v>192</v>
      </c>
      <c r="O935">
        <v>4</v>
      </c>
      <c r="P935">
        <v>138</v>
      </c>
      <c r="Q935">
        <v>5</v>
      </c>
      <c r="R935">
        <v>180</v>
      </c>
      <c r="S935">
        <v>238.4</v>
      </c>
      <c r="T935" t="s">
        <v>37</v>
      </c>
      <c r="U935" s="3"/>
      <c r="V935" s="3"/>
      <c r="W935" s="3"/>
    </row>
    <row r="936" spans="1:23">
      <c r="A936" t="s">
        <v>2241</v>
      </c>
      <c r="B936" t="s">
        <v>1830</v>
      </c>
      <c r="C936" t="s">
        <v>100</v>
      </c>
      <c r="D936" t="s">
        <v>2242</v>
      </c>
      <c r="E936" s="2">
        <v>45114</v>
      </c>
      <c r="F936" s="2">
        <v>45132</v>
      </c>
      <c r="G936" t="s">
        <v>70</v>
      </c>
      <c r="H936" t="s">
        <v>24</v>
      </c>
      <c r="I936" t="s">
        <v>25</v>
      </c>
      <c r="J936" t="s">
        <v>80</v>
      </c>
      <c r="K936" t="s">
        <v>161</v>
      </c>
      <c r="L936">
        <v>240228.04</v>
      </c>
      <c r="M936">
        <v>227192.61</v>
      </c>
      <c r="N936" t="s">
        <v>192</v>
      </c>
      <c r="O936">
        <v>18</v>
      </c>
      <c r="P936" t="s">
        <v>2243</v>
      </c>
      <c r="Q936">
        <v>4</v>
      </c>
      <c r="R936">
        <v>114</v>
      </c>
      <c r="S936">
        <v>119.2</v>
      </c>
      <c r="U936" s="3"/>
      <c r="V936" s="3"/>
      <c r="W936" s="3"/>
    </row>
    <row r="937" spans="1:23">
      <c r="A937" t="s">
        <v>2244</v>
      </c>
      <c r="B937" t="s">
        <v>368</v>
      </c>
      <c r="C937" t="s">
        <v>40</v>
      </c>
      <c r="D937" t="s">
        <v>2245</v>
      </c>
      <c r="E937" s="2">
        <v>45894</v>
      </c>
      <c r="F937" s="2">
        <v>45901</v>
      </c>
      <c r="G937" t="s">
        <v>114</v>
      </c>
      <c r="H937" t="s">
        <v>44</v>
      </c>
      <c r="I937" t="s">
        <v>79</v>
      </c>
      <c r="J937" t="s">
        <v>26</v>
      </c>
      <c r="K937" t="s">
        <v>72</v>
      </c>
      <c r="L937">
        <v>51168.85</v>
      </c>
      <c r="M937">
        <v>40919.83</v>
      </c>
      <c r="N937" t="s">
        <v>73</v>
      </c>
      <c r="O937">
        <v>7</v>
      </c>
      <c r="P937">
        <v>169</v>
      </c>
      <c r="Q937">
        <v>5</v>
      </c>
      <c r="R937">
        <v>136</v>
      </c>
      <c r="S937">
        <v>107.2</v>
      </c>
      <c r="T937" t="s">
        <v>37</v>
      </c>
      <c r="U937" s="3"/>
      <c r="V937" s="3"/>
      <c r="W937" s="3"/>
    </row>
    <row r="938" spans="1:23">
      <c r="A938" t="s">
        <v>2246</v>
      </c>
      <c r="B938" t="s">
        <v>1101</v>
      </c>
      <c r="D938" s="2">
        <v>31189</v>
      </c>
      <c r="E938" s="2">
        <v>45567</v>
      </c>
      <c r="F938" s="2">
        <v>45578</v>
      </c>
      <c r="G938" t="s">
        <v>31</v>
      </c>
      <c r="I938" t="s">
        <v>79</v>
      </c>
      <c r="J938" t="s">
        <v>80</v>
      </c>
      <c r="K938" t="s">
        <v>120</v>
      </c>
      <c r="L938">
        <v>187954.81</v>
      </c>
      <c r="M938">
        <v>149924.20000000001</v>
      </c>
      <c r="N938" t="s">
        <v>192</v>
      </c>
      <c r="O938">
        <v>11</v>
      </c>
      <c r="P938">
        <v>231</v>
      </c>
      <c r="Q938">
        <v>5</v>
      </c>
      <c r="R938">
        <v>105</v>
      </c>
      <c r="S938">
        <v>218.8</v>
      </c>
      <c r="T938" t="s">
        <v>106</v>
      </c>
      <c r="U938" s="3"/>
      <c r="V938" s="3"/>
      <c r="W938" s="3"/>
    </row>
    <row r="939" spans="1:23">
      <c r="A939" t="s">
        <v>2247</v>
      </c>
      <c r="B939" t="s">
        <v>21</v>
      </c>
      <c r="C939" t="s">
        <v>30</v>
      </c>
      <c r="D939" s="2">
        <v>20813</v>
      </c>
      <c r="E939" s="2">
        <v>45710</v>
      </c>
      <c r="F939" s="2">
        <v>45723</v>
      </c>
      <c r="G939" t="s">
        <v>161</v>
      </c>
      <c r="H939" t="s">
        <v>207</v>
      </c>
      <c r="I939" t="s">
        <v>25</v>
      </c>
      <c r="J939" t="s">
        <v>64</v>
      </c>
      <c r="K939" t="s">
        <v>183</v>
      </c>
      <c r="L939">
        <v>160020.94</v>
      </c>
      <c r="M939">
        <v>143898.21</v>
      </c>
      <c r="N939" t="s">
        <v>162</v>
      </c>
      <c r="O939">
        <v>13</v>
      </c>
      <c r="P939">
        <v>39</v>
      </c>
      <c r="Q939">
        <v>2</v>
      </c>
      <c r="R939">
        <v>141</v>
      </c>
      <c r="S939">
        <v>171.8</v>
      </c>
      <c r="T939" t="s">
        <v>37</v>
      </c>
      <c r="U939" s="3"/>
      <c r="V939" s="3"/>
      <c r="W939" s="3"/>
    </row>
    <row r="940" spans="1:23">
      <c r="A940" t="s">
        <v>2248</v>
      </c>
      <c r="B940" t="s">
        <v>2249</v>
      </c>
      <c r="C940" t="s">
        <v>84</v>
      </c>
      <c r="D940" s="2">
        <v>22959</v>
      </c>
      <c r="E940" s="2">
        <v>45943</v>
      </c>
      <c r="F940" s="2">
        <v>45946</v>
      </c>
      <c r="G940" t="s">
        <v>1282</v>
      </c>
      <c r="H940" t="s">
        <v>63</v>
      </c>
      <c r="I940" t="s">
        <v>45</v>
      </c>
      <c r="K940" t="s">
        <v>55</v>
      </c>
      <c r="L940">
        <v>166357.06</v>
      </c>
      <c r="M940">
        <v>125849.92</v>
      </c>
      <c r="O940">
        <v>3</v>
      </c>
      <c r="P940">
        <v>167</v>
      </c>
      <c r="Q940">
        <v>5</v>
      </c>
      <c r="R940">
        <v>153</v>
      </c>
      <c r="S940">
        <v>94.6</v>
      </c>
      <c r="T940" t="s">
        <v>47</v>
      </c>
      <c r="U940" s="3"/>
      <c r="V940" s="3"/>
      <c r="W940" s="3"/>
    </row>
    <row r="941" spans="1:23">
      <c r="A941" t="s">
        <v>2250</v>
      </c>
      <c r="B941" t="s">
        <v>563</v>
      </c>
      <c r="C941" t="s">
        <v>100</v>
      </c>
      <c r="D941" s="2">
        <v>31263</v>
      </c>
      <c r="E941" s="2">
        <v>45223</v>
      </c>
      <c r="F941" s="2">
        <v>45235</v>
      </c>
      <c r="G941" t="s">
        <v>105</v>
      </c>
      <c r="H941" t="s">
        <v>124</v>
      </c>
      <c r="I941" t="s">
        <v>25</v>
      </c>
      <c r="J941" t="s">
        <v>46</v>
      </c>
      <c r="K941" t="s">
        <v>55</v>
      </c>
      <c r="L941">
        <v>170030.63</v>
      </c>
      <c r="M941">
        <v>147729.01999999999</v>
      </c>
      <c r="N941" t="s">
        <v>192</v>
      </c>
      <c r="O941">
        <v>12</v>
      </c>
      <c r="Q941">
        <v>1</v>
      </c>
      <c r="R941">
        <v>180</v>
      </c>
      <c r="S941">
        <v>246.7</v>
      </c>
      <c r="U941" s="3"/>
      <c r="V941" s="3"/>
      <c r="W941" s="3"/>
    </row>
    <row r="942" spans="1:23">
      <c r="A942" t="s">
        <v>2251</v>
      </c>
      <c r="B942" t="s">
        <v>2033</v>
      </c>
      <c r="C942" t="s">
        <v>206</v>
      </c>
      <c r="D942" s="2">
        <v>37095</v>
      </c>
      <c r="E942" s="2">
        <v>45625</v>
      </c>
      <c r="F942" s="2">
        <v>45627</v>
      </c>
      <c r="G942" t="s">
        <v>152</v>
      </c>
      <c r="H942" t="s">
        <v>44</v>
      </c>
      <c r="I942" t="s">
        <v>33</v>
      </c>
      <c r="J942" t="s">
        <v>64</v>
      </c>
      <c r="K942" t="s">
        <v>55</v>
      </c>
      <c r="L942">
        <v>243082.96</v>
      </c>
      <c r="M942">
        <v>186290.53</v>
      </c>
      <c r="N942" t="s">
        <v>73</v>
      </c>
      <c r="O942">
        <v>2</v>
      </c>
      <c r="P942">
        <v>116</v>
      </c>
      <c r="Q942">
        <v>4</v>
      </c>
      <c r="R942">
        <v>178</v>
      </c>
      <c r="S942">
        <v>119.3</v>
      </c>
      <c r="T942" t="s">
        <v>37</v>
      </c>
      <c r="U942" s="3"/>
      <c r="V942" s="3"/>
      <c r="W942" s="3"/>
    </row>
    <row r="943" spans="1:23">
      <c r="A943" t="s">
        <v>2252</v>
      </c>
      <c r="B943" t="s">
        <v>2253</v>
      </c>
      <c r="C943" t="s">
        <v>30</v>
      </c>
      <c r="D943" t="s">
        <v>2254</v>
      </c>
      <c r="E943" s="2">
        <v>45413</v>
      </c>
      <c r="F943" s="2">
        <v>45416</v>
      </c>
      <c r="G943" t="s">
        <v>141</v>
      </c>
      <c r="H943" t="s">
        <v>24</v>
      </c>
      <c r="I943" t="s">
        <v>79</v>
      </c>
      <c r="J943" t="s">
        <v>97</v>
      </c>
      <c r="K943" t="s">
        <v>286</v>
      </c>
      <c r="L943">
        <v>221549.65</v>
      </c>
      <c r="M943">
        <v>211137.65</v>
      </c>
      <c r="N943" t="s">
        <v>192</v>
      </c>
      <c r="O943">
        <v>3</v>
      </c>
      <c r="P943">
        <v>10</v>
      </c>
      <c r="Q943">
        <v>2</v>
      </c>
      <c r="R943">
        <v>102</v>
      </c>
      <c r="S943">
        <v>221.9</v>
      </c>
      <c r="T943" t="s">
        <v>47</v>
      </c>
      <c r="U943" s="3"/>
      <c r="V943" s="3"/>
      <c r="W943" s="3"/>
    </row>
    <row r="944" spans="1:23">
      <c r="A944" t="s">
        <v>2255</v>
      </c>
      <c r="B944" t="s">
        <v>304</v>
      </c>
      <c r="C944" t="s">
        <v>50</v>
      </c>
      <c r="D944" s="2">
        <v>21178</v>
      </c>
      <c r="E944" t="s">
        <v>2256</v>
      </c>
      <c r="F944" s="2">
        <v>45469</v>
      </c>
      <c r="G944" t="s">
        <v>902</v>
      </c>
      <c r="H944" t="s">
        <v>63</v>
      </c>
      <c r="I944" t="s">
        <v>45</v>
      </c>
      <c r="J944" t="s">
        <v>64</v>
      </c>
      <c r="L944">
        <v>44200.89</v>
      </c>
      <c r="M944">
        <v>32718.92</v>
      </c>
      <c r="N944" t="s">
        <v>56</v>
      </c>
      <c r="O944" t="s">
        <v>102</v>
      </c>
      <c r="P944">
        <v>83</v>
      </c>
      <c r="Q944">
        <v>2</v>
      </c>
      <c r="R944">
        <v>165</v>
      </c>
      <c r="S944">
        <v>205.1</v>
      </c>
      <c r="T944" t="s">
        <v>37</v>
      </c>
      <c r="U944" s="3"/>
      <c r="V944" s="3"/>
      <c r="W944" s="3"/>
    </row>
    <row r="945" spans="1:23">
      <c r="A945" t="s">
        <v>2257</v>
      </c>
      <c r="B945" t="s">
        <v>451</v>
      </c>
      <c r="C945" t="s">
        <v>100</v>
      </c>
      <c r="D945" t="s">
        <v>2258</v>
      </c>
      <c r="E945" s="2">
        <v>45605</v>
      </c>
      <c r="F945" s="2">
        <v>45613</v>
      </c>
      <c r="G945" t="s">
        <v>31</v>
      </c>
      <c r="H945" t="s">
        <v>134</v>
      </c>
      <c r="J945" t="s">
        <v>179</v>
      </c>
      <c r="K945" t="s">
        <v>72</v>
      </c>
      <c r="L945">
        <v>202437.53</v>
      </c>
      <c r="M945">
        <v>194210.36</v>
      </c>
      <c r="N945" t="s">
        <v>192</v>
      </c>
      <c r="O945">
        <v>8</v>
      </c>
      <c r="P945">
        <v>199</v>
      </c>
      <c r="R945">
        <v>141</v>
      </c>
      <c r="S945">
        <v>224.8</v>
      </c>
      <c r="T945" t="s">
        <v>37</v>
      </c>
      <c r="U945" s="3"/>
      <c r="V945" s="3"/>
      <c r="W945" s="3"/>
    </row>
    <row r="946" spans="1:23">
      <c r="A946" t="s">
        <v>2259</v>
      </c>
      <c r="B946" t="s">
        <v>1734</v>
      </c>
      <c r="C946" t="s">
        <v>60</v>
      </c>
      <c r="D946" s="2">
        <v>34943</v>
      </c>
      <c r="E946" t="s">
        <v>2260</v>
      </c>
      <c r="F946" s="2">
        <v>45170</v>
      </c>
      <c r="G946" t="s">
        <v>94</v>
      </c>
      <c r="H946" t="s">
        <v>63</v>
      </c>
      <c r="I946" t="s">
        <v>45</v>
      </c>
      <c r="J946" t="s">
        <v>179</v>
      </c>
      <c r="K946" t="s">
        <v>55</v>
      </c>
      <c r="L946">
        <v>110605.42</v>
      </c>
      <c r="M946">
        <v>85038.38</v>
      </c>
      <c r="O946">
        <v>17</v>
      </c>
      <c r="P946">
        <v>114</v>
      </c>
      <c r="R946">
        <v>183</v>
      </c>
      <c r="S946">
        <v>126.6</v>
      </c>
      <c r="T946" t="s">
        <v>37</v>
      </c>
      <c r="U946" s="3"/>
      <c r="V946" s="3"/>
      <c r="W946" s="3"/>
    </row>
    <row r="947" spans="1:23">
      <c r="A947" t="s">
        <v>2261</v>
      </c>
      <c r="B947" t="s">
        <v>843</v>
      </c>
      <c r="D947" t="s">
        <v>2262</v>
      </c>
      <c r="E947" s="2">
        <v>45089</v>
      </c>
      <c r="F947" s="2">
        <v>45097</v>
      </c>
      <c r="G947" t="s">
        <v>94</v>
      </c>
      <c r="H947" t="s">
        <v>52</v>
      </c>
      <c r="J947" t="s">
        <v>46</v>
      </c>
      <c r="L947">
        <v>224562.72</v>
      </c>
      <c r="M947">
        <v>178697.89</v>
      </c>
      <c r="N947" t="s">
        <v>56</v>
      </c>
      <c r="O947">
        <v>8</v>
      </c>
      <c r="P947">
        <v>89</v>
      </c>
      <c r="Q947">
        <v>3</v>
      </c>
      <c r="R947">
        <v>154</v>
      </c>
      <c r="S947">
        <v>203</v>
      </c>
      <c r="T947" t="s">
        <v>37</v>
      </c>
      <c r="U947" s="3"/>
      <c r="V947" s="3"/>
      <c r="W947" s="3"/>
    </row>
    <row r="948" spans="1:23">
      <c r="A948" t="s">
        <v>2263</v>
      </c>
      <c r="B948" t="s">
        <v>108</v>
      </c>
      <c r="C948" t="s">
        <v>40</v>
      </c>
      <c r="D948" s="2">
        <v>37976</v>
      </c>
      <c r="E948" s="2">
        <v>45168</v>
      </c>
      <c r="F948" s="2">
        <v>45184</v>
      </c>
      <c r="G948" t="s">
        <v>105</v>
      </c>
      <c r="I948" t="s">
        <v>96</v>
      </c>
      <c r="L948">
        <v>103049.14</v>
      </c>
      <c r="M948">
        <v>74358.45</v>
      </c>
      <c r="N948" t="s">
        <v>192</v>
      </c>
      <c r="O948">
        <v>16</v>
      </c>
      <c r="P948">
        <v>96</v>
      </c>
      <c r="Q948">
        <v>4</v>
      </c>
      <c r="R948">
        <v>129</v>
      </c>
      <c r="S948">
        <v>238.5</v>
      </c>
      <c r="T948" t="s">
        <v>37</v>
      </c>
      <c r="U948" s="3"/>
      <c r="V948" s="3"/>
      <c r="W948" s="3"/>
    </row>
    <row r="949" spans="1:23">
      <c r="A949" t="s">
        <v>2264</v>
      </c>
      <c r="B949" t="s">
        <v>752</v>
      </c>
      <c r="C949" t="s">
        <v>151</v>
      </c>
      <c r="D949" t="s">
        <v>2265</v>
      </c>
      <c r="E949" s="2">
        <v>45004</v>
      </c>
      <c r="F949" s="2">
        <v>45007</v>
      </c>
      <c r="G949" t="s">
        <v>105</v>
      </c>
      <c r="H949" t="s">
        <v>118</v>
      </c>
      <c r="J949" t="s">
        <v>97</v>
      </c>
      <c r="K949" t="s">
        <v>161</v>
      </c>
      <c r="L949">
        <v>45206.61</v>
      </c>
      <c r="M949">
        <v>33605.47</v>
      </c>
      <c r="N949" t="s">
        <v>91</v>
      </c>
      <c r="O949">
        <v>3</v>
      </c>
      <c r="P949" t="s">
        <v>664</v>
      </c>
      <c r="Q949">
        <v>5</v>
      </c>
      <c r="R949">
        <v>187</v>
      </c>
      <c r="S949">
        <v>172.9</v>
      </c>
      <c r="T949" t="s">
        <v>106</v>
      </c>
      <c r="U949" s="3"/>
      <c r="V949" s="3"/>
      <c r="W949" s="3"/>
    </row>
    <row r="950" spans="1:23">
      <c r="A950" t="s">
        <v>2266</v>
      </c>
      <c r="B950" t="s">
        <v>850</v>
      </c>
      <c r="C950" t="s">
        <v>84</v>
      </c>
      <c r="D950" s="2">
        <v>19115</v>
      </c>
      <c r="E950" t="s">
        <v>2267</v>
      </c>
      <c r="F950" s="2">
        <v>45351</v>
      </c>
      <c r="G950" t="s">
        <v>2268</v>
      </c>
      <c r="H950" t="s">
        <v>24</v>
      </c>
      <c r="I950" t="s">
        <v>33</v>
      </c>
      <c r="J950" t="s">
        <v>46</v>
      </c>
      <c r="K950" t="s">
        <v>120</v>
      </c>
      <c r="L950">
        <v>217940.58</v>
      </c>
      <c r="M950">
        <v>191375.59</v>
      </c>
      <c r="O950">
        <v>7</v>
      </c>
      <c r="P950">
        <v>100</v>
      </c>
      <c r="R950">
        <v>141</v>
      </c>
      <c r="S950">
        <v>146</v>
      </c>
      <c r="U950" s="3"/>
      <c r="V950" s="3"/>
      <c r="W950" s="3"/>
    </row>
    <row r="951" spans="1:23">
      <c r="A951" t="s">
        <v>2269</v>
      </c>
      <c r="B951" t="s">
        <v>2270</v>
      </c>
      <c r="C951" t="s">
        <v>22</v>
      </c>
      <c r="D951" s="2">
        <v>40174</v>
      </c>
      <c r="E951" t="s">
        <v>1274</v>
      </c>
      <c r="F951" s="2">
        <v>45757</v>
      </c>
      <c r="G951" t="s">
        <v>1282</v>
      </c>
      <c r="H951" t="s">
        <v>113</v>
      </c>
      <c r="I951" t="s">
        <v>119</v>
      </c>
      <c r="J951" t="s">
        <v>80</v>
      </c>
      <c r="K951" t="s">
        <v>55</v>
      </c>
      <c r="L951">
        <v>100284.21</v>
      </c>
      <c r="M951">
        <v>81471.33</v>
      </c>
      <c r="N951" t="s">
        <v>73</v>
      </c>
      <c r="O951">
        <v>5</v>
      </c>
      <c r="P951">
        <v>81</v>
      </c>
      <c r="Q951">
        <v>2</v>
      </c>
      <c r="R951">
        <v>103</v>
      </c>
      <c r="S951">
        <v>183.9</v>
      </c>
      <c r="T951" t="s">
        <v>47</v>
      </c>
      <c r="U951" s="3"/>
      <c r="V951" s="3"/>
      <c r="W951" s="3"/>
    </row>
    <row r="952" spans="1:23">
      <c r="A952" t="s">
        <v>2271</v>
      </c>
      <c r="B952" t="s">
        <v>622</v>
      </c>
      <c r="C952" t="s">
        <v>100</v>
      </c>
      <c r="D952" s="2">
        <v>31165</v>
      </c>
      <c r="E952" s="2">
        <v>44967</v>
      </c>
      <c r="F952" t="s">
        <v>2272</v>
      </c>
      <c r="H952" t="s">
        <v>63</v>
      </c>
      <c r="J952" t="s">
        <v>26</v>
      </c>
      <c r="K952" t="s">
        <v>161</v>
      </c>
      <c r="M952">
        <v>164017.51</v>
      </c>
      <c r="N952" t="s">
        <v>56</v>
      </c>
      <c r="O952">
        <v>16</v>
      </c>
      <c r="P952">
        <v>71</v>
      </c>
      <c r="Q952">
        <v>4</v>
      </c>
      <c r="R952">
        <v>167</v>
      </c>
      <c r="S952">
        <v>140.4</v>
      </c>
      <c r="T952" t="s">
        <v>37</v>
      </c>
      <c r="U952" s="3"/>
      <c r="V952" s="3"/>
      <c r="W952" s="3"/>
    </row>
    <row r="953" spans="1:23">
      <c r="A953" t="s">
        <v>2273</v>
      </c>
      <c r="B953" t="s">
        <v>967</v>
      </c>
      <c r="D953" s="2">
        <v>29997</v>
      </c>
      <c r="E953" s="2">
        <v>45916</v>
      </c>
      <c r="F953" t="s">
        <v>862</v>
      </c>
      <c r="G953" t="s">
        <v>62</v>
      </c>
      <c r="H953" t="s">
        <v>118</v>
      </c>
      <c r="I953" t="s">
        <v>96</v>
      </c>
      <c r="J953" t="s">
        <v>71</v>
      </c>
      <c r="K953" t="s">
        <v>110</v>
      </c>
      <c r="L953">
        <v>26254.39</v>
      </c>
      <c r="M953">
        <v>23135.49</v>
      </c>
      <c r="N953" t="s">
        <v>56</v>
      </c>
      <c r="O953">
        <v>12</v>
      </c>
      <c r="P953">
        <v>47</v>
      </c>
      <c r="Q953">
        <v>5</v>
      </c>
      <c r="R953">
        <v>116</v>
      </c>
      <c r="S953">
        <v>197.7</v>
      </c>
      <c r="T953" t="s">
        <v>37</v>
      </c>
      <c r="U953" s="3"/>
      <c r="V953" s="3"/>
      <c r="W953" s="3"/>
    </row>
    <row r="954" spans="1:23">
      <c r="A954" t="s">
        <v>2274</v>
      </c>
      <c r="B954" t="s">
        <v>406</v>
      </c>
      <c r="C954" t="s">
        <v>133</v>
      </c>
      <c r="D954" s="2">
        <v>29232</v>
      </c>
      <c r="E954" s="2">
        <v>45594</v>
      </c>
      <c r="F954" s="2">
        <v>45604</v>
      </c>
      <c r="G954" t="s">
        <v>109</v>
      </c>
      <c r="H954" t="s">
        <v>113</v>
      </c>
      <c r="I954" t="s">
        <v>45</v>
      </c>
      <c r="J954" t="s">
        <v>71</v>
      </c>
      <c r="K954" t="s">
        <v>110</v>
      </c>
      <c r="L954">
        <v>57607.14</v>
      </c>
      <c r="M954">
        <v>47125.95</v>
      </c>
      <c r="N954" t="s">
        <v>192</v>
      </c>
      <c r="O954">
        <v>10</v>
      </c>
      <c r="P954">
        <v>173</v>
      </c>
      <c r="R954">
        <v>103</v>
      </c>
      <c r="S954">
        <v>133.9</v>
      </c>
      <c r="T954" t="s">
        <v>37</v>
      </c>
      <c r="U954" s="3"/>
      <c r="V954" s="3"/>
      <c r="W954" s="3"/>
    </row>
    <row r="955" spans="1:23">
      <c r="A955" t="s">
        <v>2275</v>
      </c>
      <c r="B955" t="s">
        <v>2008</v>
      </c>
      <c r="C955" t="s">
        <v>100</v>
      </c>
      <c r="D955" t="s">
        <v>2276</v>
      </c>
      <c r="E955" s="2">
        <v>45882</v>
      </c>
      <c r="F955" s="2">
        <v>45886</v>
      </c>
      <c r="G955" t="s">
        <v>141</v>
      </c>
      <c r="H955" t="s">
        <v>24</v>
      </c>
      <c r="I955" t="s">
        <v>33</v>
      </c>
      <c r="J955" t="s">
        <v>26</v>
      </c>
      <c r="K955" t="s">
        <v>120</v>
      </c>
      <c r="L955">
        <v>237562.29</v>
      </c>
      <c r="M955">
        <v>156631.13</v>
      </c>
      <c r="N955" t="s">
        <v>91</v>
      </c>
      <c r="O955" t="s">
        <v>903</v>
      </c>
      <c r="P955">
        <v>121</v>
      </c>
      <c r="Q955">
        <v>4</v>
      </c>
      <c r="R955">
        <v>188</v>
      </c>
      <c r="S955">
        <v>124.7</v>
      </c>
      <c r="T955" t="s">
        <v>127</v>
      </c>
      <c r="U955" s="3"/>
      <c r="V955" s="3"/>
      <c r="W955" s="3"/>
    </row>
    <row r="956" spans="1:23">
      <c r="A956" t="s">
        <v>2277</v>
      </c>
      <c r="B956" t="s">
        <v>1350</v>
      </c>
      <c r="C956" t="s">
        <v>50</v>
      </c>
      <c r="D956" s="2">
        <v>24800</v>
      </c>
      <c r="E956" s="2">
        <v>45926</v>
      </c>
      <c r="F956" s="2">
        <v>45936</v>
      </c>
      <c r="G956" t="s">
        <v>89</v>
      </c>
      <c r="H956" t="s">
        <v>63</v>
      </c>
      <c r="I956" t="s">
        <v>119</v>
      </c>
      <c r="J956" t="s">
        <v>645</v>
      </c>
      <c r="K956" t="s">
        <v>55</v>
      </c>
      <c r="L956">
        <v>55464.18</v>
      </c>
      <c r="M956">
        <v>37443.25</v>
      </c>
      <c r="N956" t="s">
        <v>73</v>
      </c>
      <c r="O956">
        <v>10</v>
      </c>
      <c r="P956">
        <v>65</v>
      </c>
      <c r="Q956">
        <v>3</v>
      </c>
      <c r="R956">
        <v>158</v>
      </c>
      <c r="S956">
        <v>139.69999999999999</v>
      </c>
      <c r="T956" t="s">
        <v>65</v>
      </c>
      <c r="U956" s="3"/>
      <c r="V956" s="3"/>
      <c r="W956" s="3"/>
    </row>
    <row r="957" spans="1:23">
      <c r="A957" t="s">
        <v>2278</v>
      </c>
      <c r="B957" t="s">
        <v>676</v>
      </c>
      <c r="C957" t="s">
        <v>307</v>
      </c>
      <c r="D957" s="2">
        <v>27399</v>
      </c>
      <c r="E957" s="2">
        <v>46014</v>
      </c>
      <c r="F957" s="2">
        <v>46023</v>
      </c>
      <c r="G957" t="s">
        <v>161</v>
      </c>
      <c r="H957" t="s">
        <v>78</v>
      </c>
      <c r="I957" t="s">
        <v>45</v>
      </c>
      <c r="J957" t="s">
        <v>34</v>
      </c>
      <c r="K957" t="s">
        <v>120</v>
      </c>
      <c r="L957">
        <v>43991.96</v>
      </c>
      <c r="M957">
        <v>40582.54</v>
      </c>
      <c r="O957">
        <v>9</v>
      </c>
      <c r="P957">
        <v>172</v>
      </c>
      <c r="Q957">
        <v>5</v>
      </c>
      <c r="R957">
        <v>146</v>
      </c>
      <c r="S957">
        <v>70.400000000000006</v>
      </c>
      <c r="T957" t="s">
        <v>81</v>
      </c>
      <c r="U957" s="3"/>
      <c r="V957" s="3"/>
      <c r="W957" s="3"/>
    </row>
    <row r="958" spans="1:23">
      <c r="A958" t="s">
        <v>2279</v>
      </c>
      <c r="B958" t="s">
        <v>553</v>
      </c>
      <c r="D958" s="2">
        <v>31221</v>
      </c>
      <c r="E958" s="2">
        <v>45581</v>
      </c>
      <c r="F958" s="2">
        <v>45592</v>
      </c>
      <c r="G958" t="s">
        <v>89</v>
      </c>
      <c r="H958" t="s">
        <v>153</v>
      </c>
      <c r="I958" t="s">
        <v>45</v>
      </c>
      <c r="J958" t="s">
        <v>34</v>
      </c>
      <c r="K958" t="s">
        <v>120</v>
      </c>
      <c r="L958">
        <v>234860.44</v>
      </c>
      <c r="M958">
        <v>214701.29</v>
      </c>
      <c r="N958" t="s">
        <v>192</v>
      </c>
      <c r="O958">
        <v>11</v>
      </c>
      <c r="P958">
        <v>108</v>
      </c>
      <c r="Q958">
        <v>1</v>
      </c>
      <c r="R958">
        <v>105</v>
      </c>
      <c r="T958" t="s">
        <v>47</v>
      </c>
      <c r="U958" s="3"/>
      <c r="V958" s="3"/>
      <c r="W958" s="3"/>
    </row>
    <row r="959" spans="1:23">
      <c r="A959" t="s">
        <v>2280</v>
      </c>
      <c r="B959" t="s">
        <v>224</v>
      </c>
      <c r="C959" t="s">
        <v>22</v>
      </c>
      <c r="D959" s="2">
        <v>31428</v>
      </c>
      <c r="E959" s="2">
        <v>45812</v>
      </c>
      <c r="F959" s="2">
        <v>45818</v>
      </c>
      <c r="G959" t="s">
        <v>105</v>
      </c>
      <c r="H959" t="s">
        <v>63</v>
      </c>
      <c r="I959" t="s">
        <v>33</v>
      </c>
      <c r="J959" t="s">
        <v>34</v>
      </c>
      <c r="L959">
        <v>226206.69</v>
      </c>
      <c r="M959">
        <v>165798.78</v>
      </c>
      <c r="N959" t="s">
        <v>192</v>
      </c>
      <c r="O959">
        <v>6</v>
      </c>
      <c r="P959">
        <v>209</v>
      </c>
      <c r="Q959">
        <v>5</v>
      </c>
      <c r="R959">
        <v>164</v>
      </c>
      <c r="S959">
        <v>224</v>
      </c>
      <c r="T959" t="s">
        <v>47</v>
      </c>
      <c r="U959" s="3"/>
      <c r="V959" s="3"/>
      <c r="W959" s="3"/>
    </row>
    <row r="960" spans="1:23">
      <c r="A960" t="s">
        <v>2281</v>
      </c>
      <c r="B960" t="s">
        <v>1293</v>
      </c>
      <c r="C960" t="s">
        <v>133</v>
      </c>
      <c r="D960" s="2">
        <v>29601</v>
      </c>
      <c r="E960" t="s">
        <v>2282</v>
      </c>
      <c r="F960" t="s">
        <v>2283</v>
      </c>
      <c r="G960" t="s">
        <v>94</v>
      </c>
      <c r="H960" t="s">
        <v>44</v>
      </c>
      <c r="I960" t="s">
        <v>33</v>
      </c>
      <c r="J960" t="s">
        <v>80</v>
      </c>
      <c r="K960" t="s">
        <v>55</v>
      </c>
      <c r="L960">
        <v>59544.77</v>
      </c>
      <c r="M960">
        <v>56334.23</v>
      </c>
      <c r="N960" t="s">
        <v>1048</v>
      </c>
      <c r="O960">
        <v>5</v>
      </c>
      <c r="P960">
        <v>197</v>
      </c>
      <c r="Q960">
        <v>4</v>
      </c>
      <c r="R960">
        <v>168</v>
      </c>
      <c r="S960">
        <v>71.400000000000006</v>
      </c>
      <c r="T960" t="s">
        <v>65</v>
      </c>
      <c r="U960" s="3"/>
      <c r="V960" s="3"/>
      <c r="W960" s="3"/>
    </row>
    <row r="961" spans="1:23">
      <c r="A961" t="s">
        <v>2284</v>
      </c>
      <c r="B961" t="s">
        <v>2093</v>
      </c>
      <c r="D961" s="2">
        <v>27997</v>
      </c>
      <c r="E961" s="2">
        <v>45055</v>
      </c>
      <c r="F961" t="s">
        <v>2285</v>
      </c>
      <c r="G961" t="s">
        <v>152</v>
      </c>
      <c r="H961" t="s">
        <v>86</v>
      </c>
      <c r="I961" t="s">
        <v>25</v>
      </c>
      <c r="J961" t="s">
        <v>179</v>
      </c>
      <c r="K961" t="s">
        <v>449</v>
      </c>
      <c r="L961">
        <v>228757.81</v>
      </c>
      <c r="M961">
        <v>178164.3</v>
      </c>
      <c r="N961" t="s">
        <v>192</v>
      </c>
      <c r="O961">
        <v>9</v>
      </c>
      <c r="P961">
        <v>210</v>
      </c>
      <c r="Q961">
        <v>5</v>
      </c>
      <c r="R961">
        <v>189</v>
      </c>
      <c r="S961">
        <v>189.5</v>
      </c>
      <c r="T961" t="s">
        <v>65</v>
      </c>
      <c r="U961" s="3"/>
      <c r="V961" s="3"/>
      <c r="W961" s="3"/>
    </row>
    <row r="962" spans="1:23">
      <c r="A962" t="s">
        <v>2286</v>
      </c>
      <c r="B962" t="s">
        <v>39</v>
      </c>
      <c r="C962" t="s">
        <v>151</v>
      </c>
      <c r="D962" s="2">
        <v>21821</v>
      </c>
      <c r="E962" s="2">
        <v>45998</v>
      </c>
      <c r="F962" s="2">
        <v>46011</v>
      </c>
      <c r="G962" t="s">
        <v>117</v>
      </c>
      <c r="H962" t="s">
        <v>52</v>
      </c>
      <c r="I962" t="s">
        <v>33</v>
      </c>
      <c r="J962" t="s">
        <v>97</v>
      </c>
      <c r="K962" t="s">
        <v>183</v>
      </c>
      <c r="L962">
        <v>168874.23999999999</v>
      </c>
      <c r="M962">
        <v>158577.84</v>
      </c>
      <c r="N962" t="s">
        <v>73</v>
      </c>
      <c r="O962">
        <v>13</v>
      </c>
      <c r="P962">
        <v>47</v>
      </c>
      <c r="Q962">
        <v>2</v>
      </c>
      <c r="R962">
        <v>123</v>
      </c>
      <c r="S962">
        <v>189.1</v>
      </c>
      <c r="T962" t="s">
        <v>47</v>
      </c>
      <c r="U962" s="3"/>
      <c r="V962" s="3"/>
      <c r="W962" s="3"/>
    </row>
    <row r="963" spans="1:23">
      <c r="A963" t="s">
        <v>2287</v>
      </c>
      <c r="B963" t="s">
        <v>864</v>
      </c>
      <c r="C963" t="s">
        <v>50</v>
      </c>
      <c r="D963" t="s">
        <v>2288</v>
      </c>
      <c r="E963" t="s">
        <v>2226</v>
      </c>
      <c r="F963" s="2">
        <v>45498</v>
      </c>
      <c r="G963" t="s">
        <v>31</v>
      </c>
      <c r="H963" t="s">
        <v>312</v>
      </c>
      <c r="I963" t="s">
        <v>53</v>
      </c>
      <c r="J963" t="s">
        <v>46</v>
      </c>
      <c r="K963" t="s">
        <v>120</v>
      </c>
      <c r="L963">
        <v>172394.1</v>
      </c>
      <c r="M963">
        <v>135165.46</v>
      </c>
      <c r="N963" t="s">
        <v>73</v>
      </c>
      <c r="O963">
        <v>13</v>
      </c>
      <c r="P963">
        <v>24</v>
      </c>
      <c r="Q963">
        <v>2</v>
      </c>
      <c r="R963">
        <v>156</v>
      </c>
      <c r="S963">
        <v>88.5</v>
      </c>
      <c r="T963" t="s">
        <v>106</v>
      </c>
      <c r="U963" s="3"/>
      <c r="V963" s="3"/>
      <c r="W963" s="3"/>
    </row>
    <row r="964" spans="1:23">
      <c r="A964" t="s">
        <v>2289</v>
      </c>
      <c r="B964" t="s">
        <v>1200</v>
      </c>
      <c r="D964" t="s">
        <v>2290</v>
      </c>
      <c r="E964" s="2">
        <v>45805</v>
      </c>
      <c r="F964" s="2">
        <v>45822</v>
      </c>
      <c r="G964" t="s">
        <v>161</v>
      </c>
      <c r="H964" t="s">
        <v>95</v>
      </c>
      <c r="I964" t="s">
        <v>96</v>
      </c>
      <c r="J964" t="s">
        <v>34</v>
      </c>
      <c r="K964" t="s">
        <v>27</v>
      </c>
      <c r="L964">
        <v>234927.16</v>
      </c>
      <c r="M964">
        <v>191371.79</v>
      </c>
      <c r="N964" t="s">
        <v>91</v>
      </c>
      <c r="O964">
        <v>17</v>
      </c>
      <c r="P964">
        <v>39</v>
      </c>
      <c r="Q964">
        <v>3</v>
      </c>
      <c r="R964">
        <v>93</v>
      </c>
      <c r="S964">
        <v>249.8</v>
      </c>
      <c r="T964" t="s">
        <v>65</v>
      </c>
      <c r="U964" s="3"/>
      <c r="V964" s="3"/>
      <c r="W964" s="3"/>
    </row>
    <row r="965" spans="1:23">
      <c r="A965" t="s">
        <v>2291</v>
      </c>
      <c r="B965" t="s">
        <v>288</v>
      </c>
      <c r="C965" t="s">
        <v>30</v>
      </c>
      <c r="D965" s="2">
        <v>39583</v>
      </c>
      <c r="E965" s="2">
        <v>45915</v>
      </c>
      <c r="F965" s="2">
        <v>45917</v>
      </c>
      <c r="G965" t="s">
        <v>152</v>
      </c>
      <c r="H965" t="s">
        <v>134</v>
      </c>
      <c r="J965" t="s">
        <v>34</v>
      </c>
      <c r="L965">
        <v>29330.83</v>
      </c>
      <c r="M965">
        <v>20357.189999999999</v>
      </c>
      <c r="N965" t="s">
        <v>35</v>
      </c>
      <c r="O965">
        <v>2</v>
      </c>
      <c r="P965">
        <v>124</v>
      </c>
      <c r="Q965">
        <v>4</v>
      </c>
      <c r="R965" t="s">
        <v>1191</v>
      </c>
      <c r="S965">
        <v>210.7</v>
      </c>
      <c r="T965" t="s">
        <v>65</v>
      </c>
      <c r="U965" s="3"/>
      <c r="V965" s="3"/>
      <c r="W965" s="3"/>
    </row>
    <row r="966" spans="1:23">
      <c r="A966" t="s">
        <v>2292</v>
      </c>
      <c r="B966" t="s">
        <v>2293</v>
      </c>
      <c r="C966" t="s">
        <v>84</v>
      </c>
      <c r="D966" s="2">
        <v>19673</v>
      </c>
      <c r="E966" s="2">
        <v>45137</v>
      </c>
      <c r="F966" t="s">
        <v>2294</v>
      </c>
      <c r="G966" t="s">
        <v>117</v>
      </c>
      <c r="H966" t="s">
        <v>86</v>
      </c>
      <c r="I966" t="s">
        <v>25</v>
      </c>
      <c r="J966" t="s">
        <v>80</v>
      </c>
      <c r="K966" t="s">
        <v>55</v>
      </c>
      <c r="L966">
        <v>221796.93</v>
      </c>
      <c r="M966">
        <v>141122.29</v>
      </c>
      <c r="N966" t="s">
        <v>56</v>
      </c>
      <c r="O966">
        <v>17</v>
      </c>
      <c r="P966">
        <v>221</v>
      </c>
      <c r="Q966">
        <v>5</v>
      </c>
      <c r="S966">
        <v>132.4</v>
      </c>
      <c r="T966" t="s">
        <v>37</v>
      </c>
      <c r="U966" s="3"/>
      <c r="V966" s="3"/>
      <c r="W966" s="3"/>
    </row>
    <row r="967" spans="1:23">
      <c r="A967" t="s">
        <v>2295</v>
      </c>
      <c r="B967" t="s">
        <v>173</v>
      </c>
      <c r="D967" s="2">
        <v>19291</v>
      </c>
      <c r="E967" s="2">
        <v>45923</v>
      </c>
      <c r="F967" s="2">
        <v>45924</v>
      </c>
      <c r="G967" t="s">
        <v>62</v>
      </c>
      <c r="H967" t="s">
        <v>63</v>
      </c>
      <c r="I967" t="s">
        <v>33</v>
      </c>
      <c r="K967" t="s">
        <v>110</v>
      </c>
      <c r="L967">
        <v>114030.57</v>
      </c>
      <c r="M967">
        <v>84042.22</v>
      </c>
      <c r="N967" t="s">
        <v>192</v>
      </c>
      <c r="O967">
        <v>1</v>
      </c>
      <c r="P967">
        <v>22</v>
      </c>
      <c r="Q967">
        <v>5</v>
      </c>
      <c r="R967">
        <v>161</v>
      </c>
      <c r="S967">
        <v>179</v>
      </c>
      <c r="T967" t="s">
        <v>47</v>
      </c>
      <c r="U967" s="3"/>
      <c r="V967" s="3"/>
      <c r="W967" s="3"/>
    </row>
    <row r="968" spans="1:23">
      <c r="A968" t="s">
        <v>2296</v>
      </c>
      <c r="B968" t="s">
        <v>249</v>
      </c>
      <c r="C968" t="s">
        <v>60</v>
      </c>
      <c r="D968" s="2">
        <v>36317</v>
      </c>
      <c r="E968" s="2">
        <v>45749</v>
      </c>
      <c r="F968" s="2">
        <v>45750</v>
      </c>
      <c r="G968" t="s">
        <v>161</v>
      </c>
      <c r="H968" t="s">
        <v>134</v>
      </c>
      <c r="I968" t="s">
        <v>25</v>
      </c>
      <c r="J968" t="s">
        <v>64</v>
      </c>
      <c r="K968" t="s">
        <v>27</v>
      </c>
      <c r="L968">
        <v>177690.15</v>
      </c>
      <c r="M968">
        <v>136741.26999999999</v>
      </c>
      <c r="N968" t="s">
        <v>91</v>
      </c>
      <c r="O968">
        <v>1</v>
      </c>
      <c r="P968">
        <v>75</v>
      </c>
      <c r="R968">
        <v>91</v>
      </c>
      <c r="S968">
        <v>96.9</v>
      </c>
      <c r="T968" t="s">
        <v>37</v>
      </c>
      <c r="U968" s="3"/>
      <c r="V968" s="3"/>
      <c r="W968" s="3"/>
    </row>
    <row r="969" spans="1:23">
      <c r="A969" t="s">
        <v>2297</v>
      </c>
      <c r="B969" t="s">
        <v>845</v>
      </c>
      <c r="C969" t="s">
        <v>50</v>
      </c>
      <c r="D969" t="s">
        <v>2298</v>
      </c>
      <c r="E969" t="s">
        <v>2299</v>
      </c>
      <c r="F969" s="2">
        <v>45575</v>
      </c>
      <c r="G969" t="s">
        <v>43</v>
      </c>
      <c r="H969" t="s">
        <v>118</v>
      </c>
      <c r="I969" t="s">
        <v>45</v>
      </c>
      <c r="J969" t="s">
        <v>46</v>
      </c>
      <c r="K969" t="s">
        <v>27</v>
      </c>
      <c r="L969">
        <v>32724.14</v>
      </c>
      <c r="M969">
        <v>30116.73</v>
      </c>
      <c r="N969" t="s">
        <v>91</v>
      </c>
      <c r="O969">
        <v>11</v>
      </c>
      <c r="Q969">
        <v>1</v>
      </c>
      <c r="R969">
        <v>187</v>
      </c>
      <c r="S969">
        <v>86.8</v>
      </c>
      <c r="T969" t="s">
        <v>37</v>
      </c>
      <c r="U969" s="3"/>
      <c r="V969" s="3"/>
      <c r="W969" s="3"/>
    </row>
    <row r="970" spans="1:23">
      <c r="A970" t="s">
        <v>2300</v>
      </c>
      <c r="B970" t="s">
        <v>1678</v>
      </c>
      <c r="C970" t="s">
        <v>40</v>
      </c>
      <c r="D970" s="2">
        <v>29801</v>
      </c>
      <c r="E970" s="2">
        <v>45922</v>
      </c>
      <c r="F970" s="2">
        <v>45923</v>
      </c>
      <c r="G970" t="s">
        <v>105</v>
      </c>
      <c r="H970" t="s">
        <v>134</v>
      </c>
      <c r="J970" t="s">
        <v>179</v>
      </c>
      <c r="K970" t="s">
        <v>27</v>
      </c>
      <c r="L970">
        <v>223579.8</v>
      </c>
      <c r="M970">
        <v>161450.14000000001</v>
      </c>
      <c r="N970" t="s">
        <v>56</v>
      </c>
      <c r="O970">
        <v>1</v>
      </c>
      <c r="P970">
        <v>69</v>
      </c>
      <c r="Q970">
        <v>4</v>
      </c>
      <c r="R970">
        <v>90</v>
      </c>
      <c r="S970">
        <v>132.69999999999999</v>
      </c>
      <c r="T970" t="s">
        <v>37</v>
      </c>
      <c r="U970" s="3"/>
      <c r="V970" s="3"/>
      <c r="W970" s="3"/>
    </row>
    <row r="971" spans="1:23">
      <c r="A971" t="s">
        <v>2301</v>
      </c>
      <c r="B971" t="s">
        <v>1153</v>
      </c>
      <c r="C971" t="s">
        <v>206</v>
      </c>
      <c r="D971" s="2">
        <v>38670</v>
      </c>
      <c r="E971" s="2">
        <v>45051</v>
      </c>
      <c r="F971" s="2">
        <v>45052</v>
      </c>
      <c r="G971" t="s">
        <v>94</v>
      </c>
      <c r="H971" t="s">
        <v>44</v>
      </c>
      <c r="I971" t="s">
        <v>119</v>
      </c>
      <c r="K971" t="s">
        <v>55</v>
      </c>
      <c r="L971">
        <v>200261.93</v>
      </c>
      <c r="M971">
        <v>171775.04</v>
      </c>
      <c r="N971" t="s">
        <v>91</v>
      </c>
      <c r="O971">
        <v>1</v>
      </c>
      <c r="P971" t="s">
        <v>1161</v>
      </c>
      <c r="Q971">
        <v>4</v>
      </c>
      <c r="R971">
        <v>100</v>
      </c>
      <c r="S971">
        <v>191.4</v>
      </c>
      <c r="T971" t="s">
        <v>37</v>
      </c>
      <c r="U971" s="3"/>
      <c r="V971" s="3"/>
      <c r="W971" s="3"/>
    </row>
    <row r="972" spans="1:23">
      <c r="A972" t="s">
        <v>2302</v>
      </c>
      <c r="B972" t="s">
        <v>2303</v>
      </c>
      <c r="C972" t="s">
        <v>196</v>
      </c>
      <c r="D972" s="2">
        <v>20830</v>
      </c>
      <c r="E972" s="2">
        <v>45502</v>
      </c>
      <c r="F972" t="s">
        <v>1332</v>
      </c>
      <c r="G972" t="s">
        <v>117</v>
      </c>
      <c r="H972" t="s">
        <v>44</v>
      </c>
      <c r="J972" t="s">
        <v>80</v>
      </c>
      <c r="L972">
        <v>211315.08</v>
      </c>
      <c r="M972">
        <v>138419.20000000001</v>
      </c>
      <c r="N972" t="s">
        <v>192</v>
      </c>
      <c r="O972">
        <v>18</v>
      </c>
      <c r="P972">
        <v>93</v>
      </c>
      <c r="Q972">
        <v>4</v>
      </c>
      <c r="R972">
        <v>92</v>
      </c>
      <c r="S972">
        <v>232.7</v>
      </c>
      <c r="T972" t="s">
        <v>65</v>
      </c>
      <c r="U972" s="3"/>
      <c r="V972" s="3"/>
      <c r="W972" s="3"/>
    </row>
    <row r="973" spans="1:23">
      <c r="A973" t="s">
        <v>2304</v>
      </c>
      <c r="B973" t="s">
        <v>29</v>
      </c>
      <c r="C973" t="s">
        <v>40</v>
      </c>
      <c r="D973" t="s">
        <v>2305</v>
      </c>
      <c r="E973" s="2">
        <v>45895</v>
      </c>
      <c r="F973" t="s">
        <v>2306</v>
      </c>
      <c r="G973" t="s">
        <v>77</v>
      </c>
      <c r="I973" t="s">
        <v>96</v>
      </c>
      <c r="J973" t="s">
        <v>46</v>
      </c>
      <c r="K973" t="s">
        <v>161</v>
      </c>
      <c r="L973">
        <v>106036.08</v>
      </c>
      <c r="N973" t="s">
        <v>91</v>
      </c>
      <c r="O973">
        <v>13</v>
      </c>
      <c r="P973">
        <v>149</v>
      </c>
      <c r="R973">
        <v>109</v>
      </c>
      <c r="S973">
        <v>101.6</v>
      </c>
      <c r="U973" s="3"/>
      <c r="V973" s="3"/>
      <c r="W973" s="3"/>
    </row>
    <row r="974" spans="1:23">
      <c r="A974" t="s">
        <v>2307</v>
      </c>
      <c r="B974" t="s">
        <v>1305</v>
      </c>
      <c r="C974" t="s">
        <v>30</v>
      </c>
      <c r="D974" s="2">
        <v>18457</v>
      </c>
      <c r="E974" s="2">
        <v>45299</v>
      </c>
      <c r="G974" t="s">
        <v>89</v>
      </c>
      <c r="H974" t="s">
        <v>124</v>
      </c>
      <c r="I974" t="s">
        <v>79</v>
      </c>
      <c r="J974" t="s">
        <v>186</v>
      </c>
      <c r="K974" t="s">
        <v>55</v>
      </c>
      <c r="L974">
        <v>120398.56</v>
      </c>
      <c r="M974">
        <v>100801.65</v>
      </c>
      <c r="O974">
        <v>14</v>
      </c>
      <c r="P974">
        <v>118</v>
      </c>
      <c r="R974">
        <v>148</v>
      </c>
      <c r="S974">
        <v>153.4</v>
      </c>
      <c r="T974" t="s">
        <v>65</v>
      </c>
      <c r="U974" s="3"/>
      <c r="V974" s="3"/>
      <c r="W974" s="3"/>
    </row>
    <row r="975" spans="1:23">
      <c r="A975" t="s">
        <v>2308</v>
      </c>
      <c r="B975" t="s">
        <v>728</v>
      </c>
      <c r="C975" t="s">
        <v>40</v>
      </c>
      <c r="D975" t="s">
        <v>2309</v>
      </c>
      <c r="E975" s="2">
        <v>45415</v>
      </c>
      <c r="F975" s="2">
        <v>45427</v>
      </c>
      <c r="G975" t="s">
        <v>89</v>
      </c>
      <c r="H975" t="s">
        <v>118</v>
      </c>
      <c r="I975" t="s">
        <v>79</v>
      </c>
      <c r="J975" t="s">
        <v>97</v>
      </c>
      <c r="K975" t="s">
        <v>27</v>
      </c>
      <c r="L975">
        <v>48889.26</v>
      </c>
      <c r="M975">
        <v>40189.9</v>
      </c>
      <c r="N975" t="s">
        <v>91</v>
      </c>
      <c r="O975">
        <v>12</v>
      </c>
      <c r="P975">
        <v>235</v>
      </c>
      <c r="Q975">
        <v>3</v>
      </c>
      <c r="R975">
        <v>126</v>
      </c>
      <c r="S975">
        <v>108.3</v>
      </c>
      <c r="T975" t="s">
        <v>47</v>
      </c>
      <c r="U975" s="3"/>
      <c r="V975" s="3"/>
      <c r="W975" s="3"/>
    </row>
    <row r="976" spans="1:23">
      <c r="A976" t="s">
        <v>2310</v>
      </c>
      <c r="B976" t="s">
        <v>522</v>
      </c>
      <c r="C976" t="s">
        <v>22</v>
      </c>
      <c r="D976" t="s">
        <v>2311</v>
      </c>
      <c r="E976" s="2">
        <v>44931</v>
      </c>
      <c r="F976" t="s">
        <v>2312</v>
      </c>
      <c r="G976" t="s">
        <v>141</v>
      </c>
      <c r="H976" t="s">
        <v>124</v>
      </c>
      <c r="I976" t="s">
        <v>45</v>
      </c>
      <c r="J976" t="s">
        <v>46</v>
      </c>
      <c r="L976">
        <v>110817.39</v>
      </c>
      <c r="M976">
        <v>83898.61</v>
      </c>
      <c r="N976" t="s">
        <v>91</v>
      </c>
      <c r="O976">
        <v>13</v>
      </c>
      <c r="P976">
        <v>40</v>
      </c>
      <c r="Q976">
        <v>5</v>
      </c>
      <c r="R976">
        <v>101</v>
      </c>
      <c r="S976">
        <v>95.9</v>
      </c>
      <c r="T976" t="s">
        <v>65</v>
      </c>
      <c r="U976" s="3"/>
      <c r="V976" s="3"/>
      <c r="W976" s="3"/>
    </row>
    <row r="977" spans="1:23">
      <c r="A977" t="s">
        <v>2313</v>
      </c>
      <c r="B977" t="s">
        <v>202</v>
      </c>
      <c r="C977" t="s">
        <v>40</v>
      </c>
      <c r="D977" s="2">
        <v>21114</v>
      </c>
      <c r="E977" s="2">
        <v>45992</v>
      </c>
      <c r="F977" s="2">
        <v>45993</v>
      </c>
      <c r="G977" t="s">
        <v>105</v>
      </c>
      <c r="H977" t="s">
        <v>63</v>
      </c>
      <c r="I977" t="s">
        <v>96</v>
      </c>
      <c r="J977" t="s">
        <v>97</v>
      </c>
      <c r="K977" t="s">
        <v>72</v>
      </c>
      <c r="L977">
        <v>133528.29999999999</v>
      </c>
      <c r="M977">
        <v>106448.1</v>
      </c>
      <c r="N977" t="s">
        <v>73</v>
      </c>
      <c r="O977">
        <v>1</v>
      </c>
      <c r="P977">
        <v>118</v>
      </c>
      <c r="Q977">
        <v>4</v>
      </c>
      <c r="R977" t="s">
        <v>1291</v>
      </c>
      <c r="S977">
        <v>258.7</v>
      </c>
      <c r="T977" t="s">
        <v>47</v>
      </c>
      <c r="U977" s="3"/>
      <c r="V977" s="3"/>
      <c r="W977" s="3"/>
    </row>
    <row r="978" spans="1:23">
      <c r="A978" t="s">
        <v>2314</v>
      </c>
      <c r="B978" t="s">
        <v>1391</v>
      </c>
      <c r="D978" s="2">
        <v>40243</v>
      </c>
      <c r="E978" s="2">
        <v>45177</v>
      </c>
      <c r="F978" s="2">
        <v>45185</v>
      </c>
      <c r="G978" t="s">
        <v>77</v>
      </c>
      <c r="H978" t="s">
        <v>24</v>
      </c>
      <c r="I978" t="s">
        <v>33</v>
      </c>
      <c r="L978">
        <v>242287.61</v>
      </c>
      <c r="M978">
        <v>210318.92</v>
      </c>
      <c r="N978" t="s">
        <v>192</v>
      </c>
      <c r="O978" t="s">
        <v>236</v>
      </c>
      <c r="P978">
        <v>111</v>
      </c>
      <c r="Q978">
        <v>4</v>
      </c>
      <c r="R978">
        <v>165</v>
      </c>
      <c r="S978">
        <v>217.4</v>
      </c>
      <c r="U978" s="3"/>
      <c r="V978" s="3"/>
      <c r="W978" s="3"/>
    </row>
    <row r="979" spans="1:23">
      <c r="A979" t="s">
        <v>2315</v>
      </c>
      <c r="B979" t="s">
        <v>99</v>
      </c>
      <c r="D979" s="2">
        <v>37078</v>
      </c>
      <c r="E979" t="s">
        <v>2316</v>
      </c>
      <c r="F979" s="2">
        <v>45174</v>
      </c>
      <c r="G979" t="s">
        <v>117</v>
      </c>
      <c r="H979" t="s">
        <v>134</v>
      </c>
      <c r="I979" t="s">
        <v>96</v>
      </c>
      <c r="J979" t="s">
        <v>71</v>
      </c>
      <c r="K979" t="s">
        <v>55</v>
      </c>
      <c r="L979">
        <v>30926.68</v>
      </c>
      <c r="M979">
        <v>23823.95</v>
      </c>
      <c r="O979">
        <v>16</v>
      </c>
      <c r="P979">
        <v>199</v>
      </c>
      <c r="Q979">
        <v>3</v>
      </c>
      <c r="R979">
        <v>159</v>
      </c>
      <c r="T979" t="s">
        <v>37</v>
      </c>
      <c r="U979" s="3"/>
      <c r="V979" s="3"/>
      <c r="W979" s="3"/>
    </row>
    <row r="980" spans="1:23">
      <c r="A980" t="s">
        <v>2317</v>
      </c>
      <c r="B980" t="s">
        <v>147</v>
      </c>
      <c r="C980" t="s">
        <v>206</v>
      </c>
      <c r="D980" s="2">
        <v>26796</v>
      </c>
      <c r="E980" s="2">
        <v>45483</v>
      </c>
      <c r="F980" t="s">
        <v>2318</v>
      </c>
      <c r="G980" t="s">
        <v>89</v>
      </c>
      <c r="H980" t="s">
        <v>32</v>
      </c>
      <c r="I980" t="s">
        <v>53</v>
      </c>
      <c r="J980" t="s">
        <v>26</v>
      </c>
      <c r="K980" t="s">
        <v>72</v>
      </c>
      <c r="L980">
        <v>16249.53</v>
      </c>
      <c r="M980">
        <v>13352.84</v>
      </c>
      <c r="N980" t="s">
        <v>990</v>
      </c>
      <c r="O980">
        <v>3</v>
      </c>
      <c r="P980">
        <v>38</v>
      </c>
      <c r="R980">
        <v>130</v>
      </c>
      <c r="S980">
        <v>193.5</v>
      </c>
      <c r="T980" t="s">
        <v>37</v>
      </c>
      <c r="U980" s="3"/>
      <c r="V980" s="3"/>
      <c r="W980" s="3"/>
    </row>
    <row r="981" spans="1:23">
      <c r="A981" t="s">
        <v>2319</v>
      </c>
      <c r="B981" t="s">
        <v>292</v>
      </c>
      <c r="C981" t="s">
        <v>84</v>
      </c>
      <c r="D981" t="s">
        <v>2320</v>
      </c>
      <c r="E981" s="2">
        <v>44954</v>
      </c>
      <c r="F981" s="2">
        <v>44966</v>
      </c>
      <c r="G981" t="s">
        <v>77</v>
      </c>
      <c r="H981" t="s">
        <v>124</v>
      </c>
      <c r="I981" t="s">
        <v>45</v>
      </c>
      <c r="J981" t="s">
        <v>64</v>
      </c>
      <c r="L981">
        <v>56001.43</v>
      </c>
      <c r="M981">
        <v>45974.31</v>
      </c>
      <c r="N981" t="s">
        <v>73</v>
      </c>
      <c r="O981" t="s">
        <v>1370</v>
      </c>
      <c r="P981">
        <v>7</v>
      </c>
      <c r="Q981">
        <v>4</v>
      </c>
      <c r="R981">
        <v>96</v>
      </c>
      <c r="S981">
        <v>221.2</v>
      </c>
      <c r="T981" t="s">
        <v>65</v>
      </c>
      <c r="U981" s="3"/>
      <c r="V981" s="3"/>
      <c r="W981" s="3"/>
    </row>
    <row r="982" spans="1:23">
      <c r="A982" t="s">
        <v>2321</v>
      </c>
      <c r="B982" t="s">
        <v>584</v>
      </c>
      <c r="C982" t="s">
        <v>40</v>
      </c>
      <c r="D982" s="2">
        <v>26688</v>
      </c>
      <c r="E982" s="2">
        <v>45145</v>
      </c>
      <c r="F982" t="s">
        <v>2322</v>
      </c>
      <c r="H982" t="s">
        <v>32</v>
      </c>
      <c r="I982" t="s">
        <v>53</v>
      </c>
      <c r="J982" t="s">
        <v>179</v>
      </c>
      <c r="K982" t="s">
        <v>110</v>
      </c>
      <c r="M982">
        <v>112148.87</v>
      </c>
      <c r="N982" t="s">
        <v>73</v>
      </c>
      <c r="O982">
        <v>14</v>
      </c>
      <c r="P982" t="s">
        <v>2323</v>
      </c>
      <c r="Q982">
        <v>1</v>
      </c>
      <c r="R982">
        <v>105</v>
      </c>
      <c r="S982">
        <v>231.2</v>
      </c>
      <c r="T982" t="s">
        <v>47</v>
      </c>
      <c r="U982" s="3"/>
      <c r="V982" s="3"/>
      <c r="W982" s="3"/>
    </row>
    <row r="983" spans="1:23">
      <c r="A983" t="s">
        <v>2324</v>
      </c>
      <c r="B983" t="s">
        <v>1094</v>
      </c>
      <c r="C983" t="s">
        <v>60</v>
      </c>
      <c r="D983" t="s">
        <v>2325</v>
      </c>
      <c r="E983" t="s">
        <v>2326</v>
      </c>
      <c r="F983" s="2">
        <v>45699</v>
      </c>
      <c r="G983" t="s">
        <v>161</v>
      </c>
      <c r="H983" t="s">
        <v>134</v>
      </c>
      <c r="I983" t="s">
        <v>45</v>
      </c>
      <c r="K983" t="s">
        <v>120</v>
      </c>
      <c r="L983">
        <v>162366.29999999999</v>
      </c>
      <c r="M983">
        <v>127413.17</v>
      </c>
      <c r="N983" t="s">
        <v>56</v>
      </c>
      <c r="O983">
        <v>11</v>
      </c>
      <c r="P983">
        <v>47</v>
      </c>
      <c r="Q983">
        <v>1</v>
      </c>
      <c r="R983">
        <v>190</v>
      </c>
      <c r="S983">
        <v>158.69999999999999</v>
      </c>
      <c r="T983" t="s">
        <v>348</v>
      </c>
      <c r="U983" s="3"/>
      <c r="V983" s="3"/>
      <c r="W983" s="3"/>
    </row>
    <row r="984" spans="1:23">
      <c r="A984" t="s">
        <v>2327</v>
      </c>
      <c r="B984" t="s">
        <v>1061</v>
      </c>
      <c r="C984" t="s">
        <v>84</v>
      </c>
      <c r="D984" s="2">
        <v>40064</v>
      </c>
      <c r="E984" s="2">
        <v>45070</v>
      </c>
      <c r="F984" s="2">
        <v>45076</v>
      </c>
      <c r="G984" t="s">
        <v>117</v>
      </c>
      <c r="H984" t="s">
        <v>78</v>
      </c>
      <c r="J984" t="s">
        <v>34</v>
      </c>
      <c r="K984" t="s">
        <v>27</v>
      </c>
      <c r="L984">
        <v>60819.519999999997</v>
      </c>
      <c r="M984">
        <v>42922.28</v>
      </c>
      <c r="N984" t="s">
        <v>56</v>
      </c>
      <c r="O984">
        <v>6</v>
      </c>
      <c r="P984">
        <v>207</v>
      </c>
      <c r="R984">
        <v>151</v>
      </c>
      <c r="S984">
        <v>102.7</v>
      </c>
      <c r="T984" t="s">
        <v>65</v>
      </c>
      <c r="U984" s="3"/>
      <c r="V984" s="3"/>
      <c r="W984" s="3"/>
    </row>
    <row r="985" spans="1:23">
      <c r="A985" t="s">
        <v>2328</v>
      </c>
      <c r="B985" t="s">
        <v>697</v>
      </c>
      <c r="C985" t="s">
        <v>40</v>
      </c>
      <c r="D985" t="s">
        <v>2329</v>
      </c>
      <c r="E985" t="s">
        <v>2330</v>
      </c>
      <c r="F985" t="s">
        <v>2299</v>
      </c>
      <c r="H985" t="s">
        <v>113</v>
      </c>
      <c r="I985" t="s">
        <v>25</v>
      </c>
      <c r="J985" t="s">
        <v>97</v>
      </c>
      <c r="K985" t="s">
        <v>161</v>
      </c>
      <c r="L985">
        <v>154312.38</v>
      </c>
      <c r="M985">
        <v>99169.83</v>
      </c>
      <c r="N985" t="s">
        <v>35</v>
      </c>
      <c r="O985">
        <v>8</v>
      </c>
      <c r="P985">
        <v>211</v>
      </c>
      <c r="Q985">
        <v>4</v>
      </c>
      <c r="R985">
        <v>124</v>
      </c>
      <c r="T985" t="s">
        <v>106</v>
      </c>
      <c r="U985" s="3"/>
      <c r="V985" s="3"/>
      <c r="W985" s="3"/>
    </row>
    <row r="986" spans="1:23">
      <c r="A986" t="s">
        <v>2331</v>
      </c>
      <c r="B986" t="s">
        <v>697</v>
      </c>
      <c r="C986" t="s">
        <v>100</v>
      </c>
      <c r="D986" s="2">
        <v>29407</v>
      </c>
      <c r="E986" s="2">
        <v>45516</v>
      </c>
      <c r="F986" t="s">
        <v>2332</v>
      </c>
      <c r="G986" t="s">
        <v>31</v>
      </c>
      <c r="H986" t="s">
        <v>78</v>
      </c>
      <c r="I986" t="s">
        <v>53</v>
      </c>
      <c r="J986" t="s">
        <v>97</v>
      </c>
      <c r="K986" t="s">
        <v>120</v>
      </c>
      <c r="L986" t="s">
        <v>2333</v>
      </c>
      <c r="M986">
        <v>62503.31</v>
      </c>
      <c r="N986" t="s">
        <v>35</v>
      </c>
      <c r="O986">
        <v>6</v>
      </c>
      <c r="P986" t="s">
        <v>580</v>
      </c>
      <c r="Q986">
        <v>4</v>
      </c>
      <c r="R986">
        <v>142</v>
      </c>
      <c r="S986">
        <v>218.6</v>
      </c>
      <c r="T986" t="s">
        <v>47</v>
      </c>
      <c r="U986" s="3"/>
      <c r="V986" s="3"/>
      <c r="W986" s="3"/>
    </row>
    <row r="987" spans="1:23">
      <c r="A987" t="s">
        <v>2334</v>
      </c>
      <c r="B987" t="s">
        <v>796</v>
      </c>
      <c r="C987" t="s">
        <v>206</v>
      </c>
      <c r="D987" s="2">
        <v>22353</v>
      </c>
      <c r="E987" s="2">
        <v>45563</v>
      </c>
      <c r="F987" s="2">
        <v>45566</v>
      </c>
      <c r="G987" t="s">
        <v>106</v>
      </c>
      <c r="H987" t="s">
        <v>63</v>
      </c>
      <c r="I987" t="s">
        <v>79</v>
      </c>
      <c r="K987" t="s">
        <v>27</v>
      </c>
      <c r="L987">
        <v>242490.46</v>
      </c>
      <c r="M987">
        <v>233673.65</v>
      </c>
      <c r="N987" t="s">
        <v>91</v>
      </c>
      <c r="O987">
        <v>3</v>
      </c>
      <c r="P987" t="s">
        <v>1723</v>
      </c>
      <c r="Q987">
        <v>2</v>
      </c>
      <c r="R987">
        <v>156</v>
      </c>
      <c r="S987">
        <v>120.5</v>
      </c>
      <c r="T987" t="s">
        <v>37</v>
      </c>
      <c r="U987" s="3"/>
      <c r="V987" s="3"/>
      <c r="W987" s="3"/>
    </row>
    <row r="988" spans="1:23">
      <c r="A988" t="s">
        <v>2335</v>
      </c>
      <c r="B988" t="s">
        <v>406</v>
      </c>
      <c r="C988" t="s">
        <v>30</v>
      </c>
      <c r="D988" s="2">
        <v>34173</v>
      </c>
      <c r="E988" s="2">
        <v>45912</v>
      </c>
      <c r="F988" s="2">
        <v>45928</v>
      </c>
      <c r="G988" t="s">
        <v>161</v>
      </c>
      <c r="H988" t="s">
        <v>63</v>
      </c>
      <c r="I988" t="s">
        <v>45</v>
      </c>
      <c r="K988" t="s">
        <v>55</v>
      </c>
      <c r="M988">
        <v>5563.93</v>
      </c>
      <c r="N988" t="s">
        <v>91</v>
      </c>
      <c r="O988">
        <v>16</v>
      </c>
      <c r="P988">
        <v>201</v>
      </c>
      <c r="Q988">
        <v>3</v>
      </c>
      <c r="R988">
        <v>184</v>
      </c>
      <c r="S988">
        <v>127.2</v>
      </c>
      <c r="U988" s="3"/>
      <c r="V988" s="3"/>
      <c r="W988" s="3"/>
    </row>
    <row r="989" spans="1:23">
      <c r="A989" t="s">
        <v>2336</v>
      </c>
      <c r="B989" t="s">
        <v>1104</v>
      </c>
      <c r="C989" t="s">
        <v>40</v>
      </c>
      <c r="D989" s="2">
        <v>38666</v>
      </c>
      <c r="E989" s="2">
        <v>45543</v>
      </c>
      <c r="F989" s="2">
        <v>45548</v>
      </c>
      <c r="G989" t="s">
        <v>77</v>
      </c>
      <c r="H989" t="s">
        <v>86</v>
      </c>
      <c r="I989" t="s">
        <v>119</v>
      </c>
      <c r="J989" t="s">
        <v>46</v>
      </c>
      <c r="K989" t="s">
        <v>110</v>
      </c>
      <c r="L989">
        <v>66802.38</v>
      </c>
      <c r="M989">
        <v>61078.720000000001</v>
      </c>
      <c r="O989">
        <v>5</v>
      </c>
      <c r="P989">
        <v>77</v>
      </c>
      <c r="Q989">
        <v>3</v>
      </c>
      <c r="R989">
        <v>172</v>
      </c>
      <c r="S989">
        <v>117.2</v>
      </c>
      <c r="T989" t="s">
        <v>37</v>
      </c>
      <c r="U989" s="3"/>
      <c r="V989" s="3"/>
      <c r="W989" s="3"/>
    </row>
    <row r="990" spans="1:23">
      <c r="A990" t="s">
        <v>2337</v>
      </c>
      <c r="B990" t="s">
        <v>1598</v>
      </c>
      <c r="C990" t="s">
        <v>106</v>
      </c>
      <c r="D990" s="2">
        <v>27668</v>
      </c>
      <c r="E990" s="2">
        <v>45494</v>
      </c>
      <c r="F990" s="2">
        <v>45505</v>
      </c>
      <c r="G990" t="s">
        <v>31</v>
      </c>
      <c r="H990" t="s">
        <v>78</v>
      </c>
      <c r="I990" t="s">
        <v>53</v>
      </c>
      <c r="J990" t="s">
        <v>46</v>
      </c>
      <c r="K990" t="s">
        <v>27</v>
      </c>
      <c r="L990" t="s">
        <v>2338</v>
      </c>
      <c r="M990">
        <v>37651.629999999997</v>
      </c>
      <c r="N990" t="s">
        <v>73</v>
      </c>
      <c r="O990" t="s">
        <v>227</v>
      </c>
      <c r="P990">
        <v>61</v>
      </c>
      <c r="Q990">
        <v>5</v>
      </c>
      <c r="R990" t="s">
        <v>1695</v>
      </c>
      <c r="S990">
        <v>107.6</v>
      </c>
      <c r="T990" t="s">
        <v>37</v>
      </c>
      <c r="U990" s="3"/>
      <c r="V990" s="3"/>
      <c r="W990" s="3"/>
    </row>
    <row r="991" spans="1:23">
      <c r="A991" t="s">
        <v>2339</v>
      </c>
      <c r="B991" t="s">
        <v>806</v>
      </c>
      <c r="C991" t="s">
        <v>60</v>
      </c>
      <c r="D991" s="2">
        <v>21695</v>
      </c>
      <c r="E991" s="2">
        <v>45901</v>
      </c>
      <c r="G991" t="s">
        <v>117</v>
      </c>
      <c r="H991" t="s">
        <v>95</v>
      </c>
      <c r="I991" t="s">
        <v>119</v>
      </c>
      <c r="J991" t="s">
        <v>80</v>
      </c>
      <c r="K991" t="s">
        <v>286</v>
      </c>
      <c r="L991">
        <v>179358.39</v>
      </c>
      <c r="M991">
        <v>127313.16</v>
      </c>
      <c r="N991" t="s">
        <v>192</v>
      </c>
      <c r="O991">
        <v>9</v>
      </c>
      <c r="P991">
        <v>66</v>
      </c>
      <c r="Q991">
        <v>4</v>
      </c>
      <c r="R991">
        <v>134</v>
      </c>
      <c r="S991">
        <v>78.5</v>
      </c>
      <c r="T991" t="s">
        <v>37</v>
      </c>
      <c r="U991" s="3"/>
      <c r="V991" s="3"/>
      <c r="W991" s="3"/>
    </row>
    <row r="992" spans="1:23">
      <c r="A992" t="s">
        <v>2340</v>
      </c>
      <c r="B992" t="s">
        <v>321</v>
      </c>
      <c r="D992" s="2">
        <v>24799</v>
      </c>
      <c r="E992" t="s">
        <v>2341</v>
      </c>
      <c r="F992" s="2">
        <v>45043</v>
      </c>
      <c r="G992" t="s">
        <v>141</v>
      </c>
      <c r="I992" t="s">
        <v>96</v>
      </c>
      <c r="J992" t="s">
        <v>46</v>
      </c>
      <c r="K992" t="s">
        <v>72</v>
      </c>
      <c r="L992">
        <v>99834.39</v>
      </c>
      <c r="M992">
        <v>72241.05</v>
      </c>
      <c r="N992" t="s">
        <v>192</v>
      </c>
      <c r="O992">
        <v>9</v>
      </c>
      <c r="P992">
        <v>163</v>
      </c>
      <c r="Q992">
        <v>3</v>
      </c>
      <c r="R992">
        <v>137</v>
      </c>
      <c r="S992">
        <v>224.5</v>
      </c>
      <c r="T992" t="s">
        <v>37</v>
      </c>
      <c r="U992" s="3"/>
      <c r="V992" s="3"/>
      <c r="W992" s="3"/>
    </row>
    <row r="993" spans="1:23">
      <c r="A993" t="s">
        <v>2342</v>
      </c>
      <c r="B993" t="s">
        <v>2343</v>
      </c>
      <c r="C993" t="s">
        <v>133</v>
      </c>
      <c r="D993" s="2">
        <v>26657</v>
      </c>
      <c r="E993" s="2">
        <v>45384</v>
      </c>
      <c r="F993" s="2">
        <v>45394</v>
      </c>
      <c r="G993" t="s">
        <v>109</v>
      </c>
      <c r="H993" t="s">
        <v>78</v>
      </c>
      <c r="I993" t="s">
        <v>33</v>
      </c>
      <c r="K993" t="s">
        <v>55</v>
      </c>
      <c r="L993">
        <v>178955.28</v>
      </c>
      <c r="M993">
        <v>124619.34</v>
      </c>
      <c r="N993" t="s">
        <v>73</v>
      </c>
      <c r="O993">
        <v>10</v>
      </c>
      <c r="P993">
        <v>182</v>
      </c>
      <c r="R993">
        <v>186</v>
      </c>
      <c r="S993">
        <v>129.69999999999999</v>
      </c>
      <c r="T993" t="s">
        <v>37</v>
      </c>
      <c r="U993" s="3"/>
      <c r="V993" s="3"/>
      <c r="W993" s="3"/>
    </row>
    <row r="994" spans="1:23">
      <c r="A994" t="s">
        <v>2344</v>
      </c>
      <c r="B994" t="s">
        <v>980</v>
      </c>
      <c r="C994" t="s">
        <v>40</v>
      </c>
      <c r="D994" s="2">
        <v>33936</v>
      </c>
      <c r="E994" s="2">
        <v>45673</v>
      </c>
      <c r="F994" t="s">
        <v>2345</v>
      </c>
      <c r="G994" t="s">
        <v>62</v>
      </c>
      <c r="H994" t="s">
        <v>24</v>
      </c>
      <c r="I994" t="s">
        <v>25</v>
      </c>
      <c r="J994" t="s">
        <v>34</v>
      </c>
      <c r="K994" t="s">
        <v>72</v>
      </c>
      <c r="L994">
        <v>110365.06</v>
      </c>
      <c r="M994">
        <v>87607.59</v>
      </c>
      <c r="N994" t="s">
        <v>192</v>
      </c>
      <c r="O994">
        <v>14</v>
      </c>
      <c r="P994">
        <v>79</v>
      </c>
      <c r="Q994">
        <v>3</v>
      </c>
      <c r="R994">
        <v>97</v>
      </c>
      <c r="S994">
        <v>129.69999999999999</v>
      </c>
      <c r="T994" t="s">
        <v>37</v>
      </c>
      <c r="U994" s="3"/>
      <c r="V994" s="3"/>
      <c r="W994" s="3"/>
    </row>
    <row r="995" spans="1:23">
      <c r="A995" t="s">
        <v>2346</v>
      </c>
      <c r="B995" t="s">
        <v>587</v>
      </c>
      <c r="C995" t="s">
        <v>106</v>
      </c>
      <c r="D995" s="2">
        <v>19026</v>
      </c>
      <c r="E995" t="s">
        <v>2347</v>
      </c>
      <c r="F995" s="2">
        <v>45098</v>
      </c>
      <c r="G995" t="s">
        <v>23</v>
      </c>
      <c r="H995" t="s">
        <v>153</v>
      </c>
      <c r="I995" t="s">
        <v>33</v>
      </c>
      <c r="J995" t="s">
        <v>179</v>
      </c>
      <c r="K995" t="s">
        <v>55</v>
      </c>
      <c r="L995">
        <v>183838.19</v>
      </c>
      <c r="M995">
        <v>123203.92</v>
      </c>
      <c r="N995" t="s">
        <v>91</v>
      </c>
      <c r="O995">
        <v>10</v>
      </c>
      <c r="P995" t="s">
        <v>2348</v>
      </c>
      <c r="R995">
        <v>157</v>
      </c>
      <c r="S995">
        <v>165.2</v>
      </c>
      <c r="T995" t="s">
        <v>81</v>
      </c>
      <c r="U995" s="3"/>
      <c r="V995" s="3"/>
      <c r="W995" s="3"/>
    </row>
    <row r="996" spans="1:23">
      <c r="A996" t="s">
        <v>2349</v>
      </c>
      <c r="B996" t="s">
        <v>541</v>
      </c>
      <c r="C996" t="s">
        <v>50</v>
      </c>
      <c r="D996" t="s">
        <v>2350</v>
      </c>
      <c r="E996" s="2">
        <v>45650</v>
      </c>
      <c r="F996" s="2">
        <v>45664</v>
      </c>
      <c r="G996" t="s">
        <v>152</v>
      </c>
      <c r="H996" t="s">
        <v>63</v>
      </c>
      <c r="I996" t="s">
        <v>25</v>
      </c>
      <c r="K996" t="s">
        <v>55</v>
      </c>
      <c r="L996">
        <v>96997.84</v>
      </c>
      <c r="M996">
        <v>85478.61</v>
      </c>
      <c r="N996" t="s">
        <v>35</v>
      </c>
      <c r="O996">
        <v>14</v>
      </c>
      <c r="P996">
        <v>142</v>
      </c>
      <c r="Q996">
        <v>3</v>
      </c>
      <c r="R996">
        <v>138</v>
      </c>
      <c r="S996">
        <v>160.9</v>
      </c>
      <c r="T996" t="s">
        <v>37</v>
      </c>
      <c r="U996" s="3"/>
      <c r="V996" s="3"/>
      <c r="W996" s="3"/>
    </row>
    <row r="997" spans="1:23">
      <c r="A997" t="s">
        <v>2351</v>
      </c>
      <c r="B997" t="s">
        <v>1667</v>
      </c>
      <c r="C997" t="s">
        <v>100</v>
      </c>
      <c r="D997" t="s">
        <v>2352</v>
      </c>
      <c r="E997" t="s">
        <v>2353</v>
      </c>
      <c r="G997" t="s">
        <v>89</v>
      </c>
      <c r="H997" t="s">
        <v>86</v>
      </c>
      <c r="I997" t="s">
        <v>25</v>
      </c>
      <c r="J997" t="s">
        <v>64</v>
      </c>
      <c r="K997" t="s">
        <v>120</v>
      </c>
      <c r="L997" t="s">
        <v>2354</v>
      </c>
      <c r="M997">
        <v>48072.57</v>
      </c>
      <c r="N997" t="s">
        <v>73</v>
      </c>
      <c r="O997">
        <v>10</v>
      </c>
      <c r="P997">
        <v>231</v>
      </c>
      <c r="R997">
        <v>187</v>
      </c>
      <c r="S997">
        <v>183.7</v>
      </c>
      <c r="U997" s="3"/>
      <c r="V997" s="3"/>
      <c r="W997" s="3"/>
    </row>
    <row r="998" spans="1:23">
      <c r="A998" t="s">
        <v>2355</v>
      </c>
      <c r="B998" t="s">
        <v>444</v>
      </c>
      <c r="C998" t="s">
        <v>84</v>
      </c>
      <c r="D998" s="2">
        <v>30299</v>
      </c>
      <c r="E998" s="2">
        <v>45847</v>
      </c>
      <c r="G998" t="s">
        <v>89</v>
      </c>
      <c r="H998" t="s">
        <v>1012</v>
      </c>
      <c r="J998" t="s">
        <v>26</v>
      </c>
      <c r="K998" t="s">
        <v>27</v>
      </c>
      <c r="L998">
        <v>23290.27</v>
      </c>
      <c r="M998">
        <v>18778.88</v>
      </c>
      <c r="N998" t="s">
        <v>192</v>
      </c>
      <c r="O998">
        <v>12</v>
      </c>
      <c r="P998">
        <v>16</v>
      </c>
      <c r="Q998">
        <v>5</v>
      </c>
      <c r="S998">
        <v>185.4</v>
      </c>
      <c r="T998" t="s">
        <v>65</v>
      </c>
      <c r="U998" s="3"/>
      <c r="V998" s="3"/>
      <c r="W998" s="3"/>
    </row>
    <row r="999" spans="1:23">
      <c r="A999" t="s">
        <v>2356</v>
      </c>
      <c r="B999" t="s">
        <v>926</v>
      </c>
      <c r="C999" t="s">
        <v>50</v>
      </c>
      <c r="D999" s="2">
        <v>30481</v>
      </c>
      <c r="E999" s="2">
        <v>45605</v>
      </c>
      <c r="F999" s="2">
        <v>45612</v>
      </c>
      <c r="G999" t="s">
        <v>77</v>
      </c>
      <c r="H999" t="s">
        <v>153</v>
      </c>
      <c r="J999" t="s">
        <v>34</v>
      </c>
      <c r="K999" t="s">
        <v>110</v>
      </c>
      <c r="L999">
        <v>199163.97</v>
      </c>
      <c r="M999">
        <v>179865.39</v>
      </c>
      <c r="N999" t="s">
        <v>73</v>
      </c>
      <c r="O999" t="s">
        <v>74</v>
      </c>
      <c r="P999">
        <v>30</v>
      </c>
      <c r="Q999">
        <v>4</v>
      </c>
      <c r="R999">
        <v>153</v>
      </c>
      <c r="S999">
        <v>200.6</v>
      </c>
      <c r="T999" t="s">
        <v>37</v>
      </c>
      <c r="U999" s="3"/>
      <c r="V999" s="3"/>
      <c r="W999" s="3"/>
    </row>
    <row r="1000" spans="1:23">
      <c r="A1000" t="s">
        <v>2357</v>
      </c>
      <c r="B1000" t="s">
        <v>1026</v>
      </c>
      <c r="C1000" t="s">
        <v>22</v>
      </c>
      <c r="D1000" s="2">
        <v>26085</v>
      </c>
      <c r="E1000" s="2">
        <v>45045</v>
      </c>
      <c r="F1000" s="2">
        <v>45056</v>
      </c>
      <c r="G1000" t="s">
        <v>152</v>
      </c>
      <c r="H1000" t="s">
        <v>95</v>
      </c>
      <c r="I1000" t="s">
        <v>25</v>
      </c>
      <c r="K1000" t="s">
        <v>110</v>
      </c>
      <c r="L1000" t="s">
        <v>2358</v>
      </c>
      <c r="M1000">
        <v>126556.41</v>
      </c>
      <c r="O1000">
        <v>11</v>
      </c>
      <c r="P1000">
        <v>150</v>
      </c>
      <c r="R1000">
        <v>141</v>
      </c>
      <c r="S1000">
        <v>189.9</v>
      </c>
      <c r="T1000" t="s">
        <v>47</v>
      </c>
      <c r="U1000" s="3"/>
      <c r="V1000" s="3"/>
      <c r="W1000" s="3"/>
    </row>
    <row r="1001" spans="1:23">
      <c r="A1001" t="s">
        <v>2359</v>
      </c>
      <c r="B1001" t="s">
        <v>517</v>
      </c>
      <c r="C1001" t="s">
        <v>40</v>
      </c>
      <c r="D1001" s="2">
        <v>24939</v>
      </c>
      <c r="E1001" s="2">
        <v>45249</v>
      </c>
      <c r="F1001" s="2">
        <v>45259</v>
      </c>
      <c r="G1001" t="s">
        <v>94</v>
      </c>
      <c r="H1001" t="s">
        <v>24</v>
      </c>
      <c r="J1001" t="s">
        <v>71</v>
      </c>
      <c r="K1001" t="s">
        <v>110</v>
      </c>
      <c r="L1001" t="s">
        <v>2360</v>
      </c>
      <c r="M1001">
        <v>22566.49</v>
      </c>
      <c r="N1001" t="s">
        <v>409</v>
      </c>
      <c r="O1001">
        <v>10</v>
      </c>
      <c r="P1001">
        <v>169</v>
      </c>
      <c r="Q1001">
        <v>4</v>
      </c>
      <c r="R1001">
        <v>130</v>
      </c>
      <c r="S1001">
        <v>258.2</v>
      </c>
      <c r="T1001" t="s">
        <v>37</v>
      </c>
      <c r="U1001" s="3"/>
      <c r="V1001" s="3"/>
      <c r="W1001" s="3"/>
    </row>
    <row r="1002" spans="1:23">
      <c r="A1002" t="s">
        <v>2361</v>
      </c>
      <c r="B1002" t="s">
        <v>1276</v>
      </c>
      <c r="C1002" t="s">
        <v>133</v>
      </c>
      <c r="D1002" s="2">
        <v>21983</v>
      </c>
      <c r="E1002" s="2">
        <v>45003</v>
      </c>
      <c r="F1002" s="2">
        <v>45008</v>
      </c>
      <c r="G1002" t="s">
        <v>109</v>
      </c>
      <c r="H1002" t="s">
        <v>24</v>
      </c>
      <c r="I1002" t="s">
        <v>119</v>
      </c>
      <c r="J1002" t="s">
        <v>34</v>
      </c>
      <c r="K1002" t="s">
        <v>161</v>
      </c>
      <c r="L1002">
        <v>186530.62</v>
      </c>
      <c r="M1002">
        <v>169395.53</v>
      </c>
      <c r="N1002" t="s">
        <v>35</v>
      </c>
      <c r="O1002">
        <v>5</v>
      </c>
      <c r="P1002">
        <v>31</v>
      </c>
      <c r="Q1002">
        <v>3</v>
      </c>
      <c r="R1002">
        <v>136</v>
      </c>
      <c r="S1002">
        <v>85</v>
      </c>
      <c r="T1002" t="s">
        <v>65</v>
      </c>
      <c r="U1002" s="3"/>
      <c r="V1002" s="3"/>
      <c r="W1002" s="3"/>
    </row>
    <row r="1003" spans="1:23">
      <c r="A1003" t="s">
        <v>2362</v>
      </c>
      <c r="B1003" t="s">
        <v>1140</v>
      </c>
      <c r="C1003" t="s">
        <v>40</v>
      </c>
      <c r="D1003" t="s">
        <v>2363</v>
      </c>
      <c r="E1003" s="2">
        <v>45187</v>
      </c>
      <c r="F1003" s="2">
        <v>45203</v>
      </c>
      <c r="G1003" t="s">
        <v>109</v>
      </c>
      <c r="H1003" t="s">
        <v>78</v>
      </c>
      <c r="I1003" t="s">
        <v>96</v>
      </c>
      <c r="J1003" t="s">
        <v>645</v>
      </c>
      <c r="K1003" t="s">
        <v>55</v>
      </c>
      <c r="L1003">
        <v>159634.19</v>
      </c>
      <c r="M1003">
        <v>139697.63</v>
      </c>
      <c r="O1003">
        <v>16</v>
      </c>
      <c r="Q1003">
        <v>4</v>
      </c>
      <c r="R1003">
        <v>143</v>
      </c>
      <c r="S1003">
        <v>85.8</v>
      </c>
      <c r="T1003" t="s">
        <v>47</v>
      </c>
      <c r="U1003" s="3"/>
      <c r="V1003" s="3"/>
      <c r="W1003" s="3"/>
    </row>
    <row r="1004" spans="1:23">
      <c r="A1004" t="s">
        <v>2364</v>
      </c>
      <c r="B1004" t="s">
        <v>301</v>
      </c>
      <c r="C1004" t="s">
        <v>22</v>
      </c>
      <c r="D1004" t="s">
        <v>2365</v>
      </c>
      <c r="E1004" s="2">
        <v>45731</v>
      </c>
      <c r="F1004" t="s">
        <v>2366</v>
      </c>
      <c r="G1004" t="s">
        <v>984</v>
      </c>
      <c r="J1004" t="s">
        <v>80</v>
      </c>
      <c r="K1004" t="s">
        <v>55</v>
      </c>
      <c r="L1004">
        <v>116850.84</v>
      </c>
      <c r="M1004">
        <v>94660.56</v>
      </c>
      <c r="N1004" t="s">
        <v>192</v>
      </c>
      <c r="O1004">
        <v>7</v>
      </c>
      <c r="P1004">
        <v>62</v>
      </c>
      <c r="Q1004">
        <v>2</v>
      </c>
      <c r="S1004">
        <v>243.5</v>
      </c>
      <c r="T1004" t="s">
        <v>81</v>
      </c>
      <c r="U1004" s="3"/>
      <c r="V1004" s="3"/>
      <c r="W1004" s="3"/>
    </row>
    <row r="1005" spans="1:23">
      <c r="A1005" t="s">
        <v>2367</v>
      </c>
      <c r="B1005" t="s">
        <v>1839</v>
      </c>
      <c r="C1005" t="s">
        <v>22</v>
      </c>
      <c r="D1005" s="2">
        <v>28914</v>
      </c>
      <c r="E1005" s="2">
        <v>45953</v>
      </c>
      <c r="F1005" s="2">
        <v>45957</v>
      </c>
      <c r="H1005" t="s">
        <v>118</v>
      </c>
      <c r="I1005" t="s">
        <v>53</v>
      </c>
      <c r="J1005" t="s">
        <v>46</v>
      </c>
      <c r="K1005" t="s">
        <v>161</v>
      </c>
      <c r="L1005">
        <v>212132.23</v>
      </c>
      <c r="M1005">
        <v>198890.45</v>
      </c>
      <c r="N1005" t="s">
        <v>91</v>
      </c>
      <c r="O1005">
        <v>4</v>
      </c>
      <c r="P1005">
        <v>178</v>
      </c>
      <c r="Q1005">
        <v>3</v>
      </c>
      <c r="R1005">
        <v>128</v>
      </c>
      <c r="S1005">
        <v>208</v>
      </c>
      <c r="T1005" t="s">
        <v>37</v>
      </c>
      <c r="U1005" s="3"/>
      <c r="V1005" s="3"/>
      <c r="W1005" s="3"/>
    </row>
    <row r="1006" spans="1:23">
      <c r="A1006" t="s">
        <v>2368</v>
      </c>
      <c r="B1006" t="s">
        <v>1452</v>
      </c>
      <c r="C1006" t="s">
        <v>40</v>
      </c>
      <c r="D1006" s="2">
        <v>25214</v>
      </c>
      <c r="E1006" s="2">
        <v>45102</v>
      </c>
      <c r="F1006" s="2">
        <v>45110</v>
      </c>
      <c r="G1006" t="s">
        <v>141</v>
      </c>
      <c r="H1006" t="s">
        <v>52</v>
      </c>
      <c r="K1006" t="s">
        <v>55</v>
      </c>
      <c r="L1006">
        <v>167957.82</v>
      </c>
      <c r="M1006">
        <v>133282.21</v>
      </c>
      <c r="N1006" t="s">
        <v>56</v>
      </c>
      <c r="O1006">
        <v>8</v>
      </c>
      <c r="P1006">
        <v>14</v>
      </c>
      <c r="R1006">
        <v>136</v>
      </c>
      <c r="T1006" t="s">
        <v>37</v>
      </c>
      <c r="U1006" s="3"/>
      <c r="V1006" s="3"/>
      <c r="W1006" s="3"/>
    </row>
    <row r="1007" spans="1:23">
      <c r="A1007" t="s">
        <v>2369</v>
      </c>
      <c r="B1007" t="s">
        <v>1079</v>
      </c>
      <c r="C1007" t="s">
        <v>307</v>
      </c>
      <c r="D1007" t="s">
        <v>2370</v>
      </c>
      <c r="E1007" s="2">
        <v>45183</v>
      </c>
      <c r="F1007" t="s">
        <v>2371</v>
      </c>
      <c r="G1007" t="s">
        <v>141</v>
      </c>
      <c r="H1007" t="s">
        <v>32</v>
      </c>
      <c r="I1007" t="s">
        <v>96</v>
      </c>
      <c r="J1007" t="s">
        <v>179</v>
      </c>
      <c r="K1007" t="s">
        <v>55</v>
      </c>
      <c r="L1007">
        <v>115111</v>
      </c>
      <c r="M1007">
        <v>81521.2</v>
      </c>
      <c r="O1007">
        <v>5</v>
      </c>
      <c r="P1007">
        <v>59</v>
      </c>
      <c r="R1007">
        <v>123</v>
      </c>
      <c r="S1007">
        <v>119.1</v>
      </c>
      <c r="U1007" s="3"/>
      <c r="V1007" s="3"/>
      <c r="W1007" s="3"/>
    </row>
    <row r="1008" spans="1:23">
      <c r="A1008" t="s">
        <v>2372</v>
      </c>
      <c r="B1008" t="s">
        <v>164</v>
      </c>
      <c r="C1008" t="s">
        <v>40</v>
      </c>
      <c r="D1008" t="s">
        <v>2373</v>
      </c>
      <c r="E1008" s="2">
        <v>45386</v>
      </c>
      <c r="F1008" s="2">
        <v>45392</v>
      </c>
      <c r="G1008" t="s">
        <v>70</v>
      </c>
      <c r="H1008" t="s">
        <v>32</v>
      </c>
      <c r="I1008" t="s">
        <v>119</v>
      </c>
      <c r="K1008" t="s">
        <v>120</v>
      </c>
      <c r="L1008">
        <v>235225.03</v>
      </c>
      <c r="M1008">
        <v>178701.74</v>
      </c>
      <c r="N1008" t="s">
        <v>91</v>
      </c>
      <c r="O1008">
        <v>6</v>
      </c>
      <c r="P1008">
        <v>16</v>
      </c>
      <c r="Q1008">
        <v>5</v>
      </c>
      <c r="R1008">
        <v>152</v>
      </c>
      <c r="S1008">
        <v>245.8</v>
      </c>
      <c r="T1008" t="s">
        <v>37</v>
      </c>
      <c r="U1008" s="3"/>
      <c r="V1008" s="3"/>
      <c r="W1008" s="3"/>
    </row>
    <row r="1009" spans="1:23">
      <c r="A1009" t="s">
        <v>2374</v>
      </c>
      <c r="B1009" t="s">
        <v>1276</v>
      </c>
      <c r="D1009" s="2">
        <v>39934</v>
      </c>
      <c r="E1009" s="2">
        <v>45052</v>
      </c>
      <c r="F1009" s="2">
        <v>45061</v>
      </c>
      <c r="G1009" t="s">
        <v>89</v>
      </c>
      <c r="H1009" t="s">
        <v>134</v>
      </c>
      <c r="L1009">
        <v>76827.62</v>
      </c>
      <c r="M1009">
        <v>56254.27</v>
      </c>
      <c r="N1009" t="s">
        <v>73</v>
      </c>
      <c r="O1009">
        <v>9</v>
      </c>
      <c r="P1009">
        <v>167</v>
      </c>
      <c r="R1009" t="s">
        <v>1822</v>
      </c>
      <c r="S1009">
        <v>121.6</v>
      </c>
      <c r="T1009" t="s">
        <v>65</v>
      </c>
      <c r="U1009" s="3"/>
      <c r="V1009" s="3"/>
      <c r="W1009" s="3"/>
    </row>
    <row r="1010" spans="1:23">
      <c r="A1010" t="s">
        <v>2375</v>
      </c>
      <c r="B1010" t="s">
        <v>611</v>
      </c>
      <c r="C1010" t="s">
        <v>100</v>
      </c>
      <c r="D1010" s="2">
        <v>33461</v>
      </c>
      <c r="E1010" s="2">
        <v>45561</v>
      </c>
      <c r="F1010" s="2">
        <v>45568</v>
      </c>
      <c r="G1010" t="s">
        <v>106</v>
      </c>
      <c r="H1010" t="s">
        <v>207</v>
      </c>
      <c r="J1010" t="s">
        <v>64</v>
      </c>
      <c r="K1010" t="s">
        <v>110</v>
      </c>
      <c r="L1010">
        <v>28057.7</v>
      </c>
      <c r="M1010">
        <v>23363.78</v>
      </c>
      <c r="N1010" t="s">
        <v>35</v>
      </c>
      <c r="O1010">
        <v>7</v>
      </c>
      <c r="P1010">
        <v>151</v>
      </c>
      <c r="Q1010">
        <v>4</v>
      </c>
      <c r="R1010" t="s">
        <v>2376</v>
      </c>
      <c r="S1010">
        <v>258.60000000000002</v>
      </c>
      <c r="T1010" t="s">
        <v>65</v>
      </c>
      <c r="U1010" s="3"/>
      <c r="V1010" s="3"/>
      <c r="W1010" s="3"/>
    </row>
    <row r="1011" spans="1:23">
      <c r="A1011" t="s">
        <v>2377</v>
      </c>
      <c r="B1011" t="s">
        <v>1598</v>
      </c>
      <c r="C1011" t="s">
        <v>84</v>
      </c>
      <c r="D1011" s="2">
        <v>25526</v>
      </c>
      <c r="E1011" t="s">
        <v>1923</v>
      </c>
      <c r="F1011" s="2">
        <v>45771</v>
      </c>
      <c r="G1011" t="s">
        <v>766</v>
      </c>
      <c r="H1011" t="s">
        <v>86</v>
      </c>
      <c r="I1011" t="s">
        <v>33</v>
      </c>
      <c r="J1011" t="s">
        <v>34</v>
      </c>
      <c r="K1011" t="s">
        <v>161</v>
      </c>
      <c r="L1011">
        <v>194598.34</v>
      </c>
      <c r="M1011">
        <v>184005</v>
      </c>
      <c r="N1011" t="s">
        <v>35</v>
      </c>
      <c r="O1011">
        <v>11</v>
      </c>
      <c r="P1011">
        <v>191</v>
      </c>
      <c r="Q1011">
        <v>4</v>
      </c>
      <c r="R1011">
        <v>136</v>
      </c>
      <c r="S1011">
        <v>116.3</v>
      </c>
      <c r="T1011" t="s">
        <v>37</v>
      </c>
      <c r="U1011" s="3"/>
      <c r="V1011" s="3"/>
      <c r="W1011" s="3"/>
    </row>
    <row r="1012" spans="1:23">
      <c r="A1012" t="s">
        <v>2378</v>
      </c>
      <c r="B1012" t="s">
        <v>1678</v>
      </c>
      <c r="C1012" t="s">
        <v>206</v>
      </c>
      <c r="D1012" s="2">
        <v>23788</v>
      </c>
      <c r="E1012" s="2">
        <v>45370</v>
      </c>
      <c r="F1012" t="s">
        <v>2379</v>
      </c>
      <c r="G1012" t="s">
        <v>31</v>
      </c>
      <c r="H1012" t="s">
        <v>124</v>
      </c>
      <c r="I1012" t="s">
        <v>96</v>
      </c>
      <c r="J1012" t="s">
        <v>64</v>
      </c>
      <c r="K1012" t="s">
        <v>72</v>
      </c>
      <c r="L1012">
        <v>125089.21</v>
      </c>
      <c r="M1012">
        <v>79284.08</v>
      </c>
      <c r="N1012" t="s">
        <v>192</v>
      </c>
      <c r="O1012">
        <v>10</v>
      </c>
      <c r="P1012">
        <v>240</v>
      </c>
      <c r="Q1012">
        <v>4</v>
      </c>
      <c r="R1012">
        <v>185</v>
      </c>
      <c r="S1012">
        <v>224.2</v>
      </c>
      <c r="T1012" t="s">
        <v>65</v>
      </c>
      <c r="U1012" s="3"/>
      <c r="V1012" s="3"/>
      <c r="W1012" s="3"/>
    </row>
    <row r="1013" spans="1:23">
      <c r="A1013" t="s">
        <v>2380</v>
      </c>
      <c r="B1013" t="s">
        <v>553</v>
      </c>
      <c r="D1013" s="2">
        <v>22702</v>
      </c>
      <c r="E1013" s="2">
        <v>45913</v>
      </c>
      <c r="F1013" t="s">
        <v>2381</v>
      </c>
      <c r="G1013" t="s">
        <v>152</v>
      </c>
      <c r="H1013" t="s">
        <v>134</v>
      </c>
      <c r="I1013" t="s">
        <v>25</v>
      </c>
      <c r="J1013" t="s">
        <v>46</v>
      </c>
      <c r="K1013" t="s">
        <v>120</v>
      </c>
      <c r="L1013">
        <v>92549.79</v>
      </c>
      <c r="M1013">
        <v>57457.07</v>
      </c>
      <c r="N1013" t="s">
        <v>73</v>
      </c>
      <c r="O1013">
        <v>13</v>
      </c>
      <c r="P1013">
        <v>228</v>
      </c>
      <c r="Q1013">
        <v>4</v>
      </c>
      <c r="R1013">
        <v>130</v>
      </c>
      <c r="S1013">
        <v>157.9</v>
      </c>
      <c r="T1013" t="s">
        <v>47</v>
      </c>
      <c r="U1013" s="3"/>
      <c r="V1013" s="3"/>
      <c r="W1013" s="3"/>
    </row>
    <row r="1014" spans="1:23">
      <c r="A1014" t="s">
        <v>2382</v>
      </c>
      <c r="B1014" t="s">
        <v>922</v>
      </c>
      <c r="D1014" s="2">
        <v>31036</v>
      </c>
      <c r="E1014" s="2">
        <v>45844</v>
      </c>
      <c r="F1014" t="s">
        <v>2383</v>
      </c>
      <c r="G1014" t="s">
        <v>109</v>
      </c>
      <c r="H1014" t="s">
        <v>113</v>
      </c>
      <c r="I1014" t="s">
        <v>119</v>
      </c>
      <c r="J1014" t="s">
        <v>46</v>
      </c>
      <c r="K1014" t="s">
        <v>55</v>
      </c>
      <c r="L1014">
        <v>122784.41</v>
      </c>
      <c r="M1014">
        <v>108024.49</v>
      </c>
      <c r="N1014" t="s">
        <v>73</v>
      </c>
      <c r="O1014">
        <v>1</v>
      </c>
      <c r="P1014">
        <v>65</v>
      </c>
      <c r="Q1014">
        <v>5</v>
      </c>
      <c r="R1014">
        <v>174</v>
      </c>
      <c r="S1014">
        <v>95.1</v>
      </c>
      <c r="U1014" s="3"/>
      <c r="V1014" s="3"/>
      <c r="W1014" s="3"/>
    </row>
    <row r="1015" spans="1:23">
      <c r="A1015" t="s">
        <v>2384</v>
      </c>
      <c r="B1015" t="s">
        <v>270</v>
      </c>
      <c r="C1015" t="s">
        <v>133</v>
      </c>
      <c r="D1015" s="2">
        <v>18285</v>
      </c>
      <c r="E1015" s="2">
        <v>45091</v>
      </c>
      <c r="F1015" s="2">
        <v>45095</v>
      </c>
      <c r="G1015" t="s">
        <v>31</v>
      </c>
      <c r="H1015" t="s">
        <v>24</v>
      </c>
      <c r="I1015" t="s">
        <v>33</v>
      </c>
      <c r="K1015" t="s">
        <v>110</v>
      </c>
      <c r="L1015">
        <v>107472.77</v>
      </c>
      <c r="M1015">
        <v>73626.13</v>
      </c>
      <c r="N1015" t="s">
        <v>73</v>
      </c>
      <c r="O1015">
        <v>4</v>
      </c>
      <c r="P1015">
        <v>154</v>
      </c>
      <c r="R1015">
        <v>114</v>
      </c>
      <c r="S1015">
        <v>176.8</v>
      </c>
      <c r="T1015" t="s">
        <v>127</v>
      </c>
      <c r="U1015" s="3"/>
      <c r="V1015" s="3"/>
      <c r="W1015" s="3"/>
    </row>
    <row r="1016" spans="1:23">
      <c r="A1016" t="s">
        <v>2385</v>
      </c>
      <c r="B1016" t="s">
        <v>1587</v>
      </c>
      <c r="D1016" t="s">
        <v>2386</v>
      </c>
      <c r="E1016" s="2">
        <v>45756</v>
      </c>
      <c r="F1016" s="2">
        <v>45772</v>
      </c>
      <c r="G1016" t="s">
        <v>141</v>
      </c>
      <c r="H1016" t="s">
        <v>86</v>
      </c>
      <c r="I1016" t="s">
        <v>33</v>
      </c>
      <c r="J1016" t="s">
        <v>179</v>
      </c>
      <c r="K1016" t="s">
        <v>72</v>
      </c>
      <c r="L1016">
        <v>67764.78</v>
      </c>
      <c r="M1016">
        <v>58194.2</v>
      </c>
      <c r="N1016" t="s">
        <v>73</v>
      </c>
      <c r="O1016">
        <v>16</v>
      </c>
      <c r="P1016">
        <v>131</v>
      </c>
      <c r="R1016">
        <v>170</v>
      </c>
      <c r="S1016">
        <v>116.6</v>
      </c>
      <c r="T1016" t="s">
        <v>37</v>
      </c>
      <c r="U1016" s="3"/>
      <c r="V1016" s="3"/>
      <c r="W1016" s="3"/>
    </row>
    <row r="1017" spans="1:23">
      <c r="A1017" t="s">
        <v>2387</v>
      </c>
      <c r="B1017" t="s">
        <v>332</v>
      </c>
      <c r="C1017" t="s">
        <v>30</v>
      </c>
      <c r="D1017" s="2">
        <v>37380</v>
      </c>
      <c r="E1017" s="2">
        <v>45911</v>
      </c>
      <c r="G1017" t="s">
        <v>141</v>
      </c>
      <c r="H1017" t="s">
        <v>113</v>
      </c>
      <c r="I1017" t="s">
        <v>45</v>
      </c>
      <c r="J1017" t="s">
        <v>179</v>
      </c>
      <c r="K1017" t="s">
        <v>72</v>
      </c>
      <c r="L1017">
        <v>40996.31</v>
      </c>
      <c r="N1017" t="s">
        <v>1048</v>
      </c>
      <c r="O1017">
        <v>13</v>
      </c>
      <c r="P1017">
        <v>34</v>
      </c>
      <c r="Q1017">
        <v>4</v>
      </c>
      <c r="R1017">
        <v>167</v>
      </c>
      <c r="S1017">
        <v>115.4</v>
      </c>
      <c r="T1017" t="s">
        <v>37</v>
      </c>
      <c r="U1017" s="3"/>
      <c r="V1017" s="3"/>
      <c r="W1017" s="3"/>
    </row>
    <row r="1018" spans="1:23">
      <c r="A1018" t="s">
        <v>2388</v>
      </c>
      <c r="B1018" t="s">
        <v>2389</v>
      </c>
      <c r="D1018" s="2">
        <v>35177</v>
      </c>
      <c r="E1018" s="2">
        <v>45294</v>
      </c>
      <c r="F1018" t="s">
        <v>2390</v>
      </c>
      <c r="G1018" t="s">
        <v>2268</v>
      </c>
      <c r="H1018" t="s">
        <v>124</v>
      </c>
      <c r="I1018" t="s">
        <v>79</v>
      </c>
      <c r="J1018" t="s">
        <v>34</v>
      </c>
      <c r="K1018" t="s">
        <v>110</v>
      </c>
      <c r="L1018">
        <v>228098.56</v>
      </c>
      <c r="M1018">
        <v>185708.79</v>
      </c>
      <c r="N1018" t="s">
        <v>73</v>
      </c>
      <c r="O1018">
        <v>11</v>
      </c>
      <c r="P1018">
        <v>159</v>
      </c>
      <c r="Q1018">
        <v>4</v>
      </c>
      <c r="R1018">
        <v>149</v>
      </c>
      <c r="S1018">
        <v>180.8</v>
      </c>
      <c r="T1018" t="s">
        <v>37</v>
      </c>
      <c r="U1018" s="3"/>
      <c r="V1018" s="3"/>
      <c r="W1018" s="3"/>
    </row>
    <row r="1019" spans="1:23">
      <c r="A1019" t="s">
        <v>2391</v>
      </c>
      <c r="B1019" t="s">
        <v>768</v>
      </c>
      <c r="C1019" t="s">
        <v>84</v>
      </c>
      <c r="D1019" s="2">
        <v>28372</v>
      </c>
      <c r="E1019" s="2">
        <v>45164</v>
      </c>
      <c r="F1019" s="2">
        <v>45167</v>
      </c>
      <c r="G1019" t="s">
        <v>94</v>
      </c>
      <c r="H1019" t="s">
        <v>86</v>
      </c>
      <c r="I1019" t="s">
        <v>25</v>
      </c>
      <c r="J1019" t="s">
        <v>34</v>
      </c>
      <c r="K1019" t="s">
        <v>72</v>
      </c>
      <c r="L1019">
        <v>66232.23</v>
      </c>
      <c r="M1019">
        <v>54378.9</v>
      </c>
      <c r="N1019" t="s">
        <v>73</v>
      </c>
      <c r="O1019">
        <v>3</v>
      </c>
      <c r="P1019">
        <v>11</v>
      </c>
      <c r="Q1019">
        <v>5</v>
      </c>
      <c r="R1019">
        <v>161</v>
      </c>
      <c r="S1019">
        <v>164.9</v>
      </c>
      <c r="T1019" t="s">
        <v>37</v>
      </c>
      <c r="U1019" s="3"/>
      <c r="V1019" s="3"/>
      <c r="W1019" s="3"/>
    </row>
    <row r="1020" spans="1:23">
      <c r="A1020" t="s">
        <v>2392</v>
      </c>
      <c r="B1020" t="s">
        <v>2393</v>
      </c>
      <c r="D1020" s="2">
        <v>19430</v>
      </c>
      <c r="E1020" s="2">
        <v>45127</v>
      </c>
      <c r="G1020" t="s">
        <v>31</v>
      </c>
      <c r="I1020" t="s">
        <v>79</v>
      </c>
      <c r="J1020" t="s">
        <v>80</v>
      </c>
      <c r="K1020" t="s">
        <v>27</v>
      </c>
      <c r="L1020">
        <v>118320.61</v>
      </c>
      <c r="M1020">
        <v>97465.05</v>
      </c>
      <c r="N1020" t="s">
        <v>192</v>
      </c>
      <c r="O1020">
        <v>5</v>
      </c>
      <c r="P1020">
        <v>231</v>
      </c>
      <c r="Q1020">
        <v>4</v>
      </c>
      <c r="R1020">
        <v>140</v>
      </c>
      <c r="S1020">
        <v>207.7</v>
      </c>
      <c r="T1020" t="s">
        <v>47</v>
      </c>
      <c r="U1020" s="3"/>
      <c r="V1020" s="3"/>
      <c r="W1020" s="3"/>
    </row>
    <row r="1021" spans="1:23">
      <c r="A1021" t="s">
        <v>2394</v>
      </c>
      <c r="B1021" t="s">
        <v>314</v>
      </c>
      <c r="C1021" t="s">
        <v>206</v>
      </c>
      <c r="D1021" t="s">
        <v>2395</v>
      </c>
      <c r="E1021" s="2">
        <v>45662</v>
      </c>
      <c r="F1021" s="2">
        <v>45678</v>
      </c>
      <c r="G1021" t="s">
        <v>105</v>
      </c>
      <c r="H1021" t="s">
        <v>78</v>
      </c>
      <c r="I1021" t="s">
        <v>119</v>
      </c>
      <c r="J1021" t="s">
        <v>26</v>
      </c>
      <c r="L1021">
        <v>142170.45000000001</v>
      </c>
      <c r="M1021">
        <v>114178.73</v>
      </c>
      <c r="N1021" t="s">
        <v>73</v>
      </c>
      <c r="O1021">
        <v>16</v>
      </c>
      <c r="P1021" t="s">
        <v>2396</v>
      </c>
      <c r="R1021">
        <v>124</v>
      </c>
      <c r="S1021">
        <v>199.6</v>
      </c>
      <c r="T1021" t="s">
        <v>37</v>
      </c>
      <c r="U1021" s="3"/>
      <c r="V1021" s="3"/>
      <c r="W1021" s="3"/>
    </row>
    <row r="1022" spans="1:23">
      <c r="A1022" t="s">
        <v>2397</v>
      </c>
      <c r="B1022" t="s">
        <v>999</v>
      </c>
      <c r="C1022" t="s">
        <v>30</v>
      </c>
      <c r="D1022" s="2">
        <v>20491</v>
      </c>
      <c r="E1022" s="2">
        <v>45674</v>
      </c>
      <c r="F1022" s="2">
        <v>45692</v>
      </c>
      <c r="H1022" t="s">
        <v>124</v>
      </c>
      <c r="I1022" t="s">
        <v>45</v>
      </c>
      <c r="J1022" t="s">
        <v>80</v>
      </c>
      <c r="K1022" t="s">
        <v>110</v>
      </c>
      <c r="L1022">
        <v>10080.73</v>
      </c>
      <c r="M1022">
        <v>8698.7800000000007</v>
      </c>
      <c r="N1022" t="s">
        <v>162</v>
      </c>
      <c r="O1022">
        <v>18</v>
      </c>
      <c r="P1022">
        <v>97</v>
      </c>
      <c r="Q1022">
        <v>4</v>
      </c>
      <c r="R1022">
        <v>121</v>
      </c>
      <c r="S1022">
        <v>76.099999999999994</v>
      </c>
      <c r="T1022" t="s">
        <v>37</v>
      </c>
      <c r="U1022" s="3"/>
      <c r="V1022" s="3"/>
      <c r="W1022" s="3"/>
    </row>
    <row r="1023" spans="1:23">
      <c r="A1023" t="s">
        <v>2398</v>
      </c>
      <c r="B1023" t="s">
        <v>732</v>
      </c>
      <c r="C1023" t="s">
        <v>84</v>
      </c>
      <c r="D1023" t="s">
        <v>2399</v>
      </c>
      <c r="E1023" s="2">
        <v>45278</v>
      </c>
      <c r="F1023" t="s">
        <v>2400</v>
      </c>
      <c r="G1023" t="s">
        <v>43</v>
      </c>
      <c r="H1023" t="s">
        <v>63</v>
      </c>
      <c r="I1023" t="s">
        <v>96</v>
      </c>
      <c r="J1023" t="s">
        <v>64</v>
      </c>
      <c r="K1023" t="s">
        <v>110</v>
      </c>
      <c r="L1023">
        <v>88861.59</v>
      </c>
      <c r="M1023">
        <v>62274.27</v>
      </c>
      <c r="N1023" t="s">
        <v>56</v>
      </c>
      <c r="O1023">
        <v>15</v>
      </c>
      <c r="P1023">
        <v>39</v>
      </c>
      <c r="Q1023">
        <v>1</v>
      </c>
      <c r="R1023">
        <v>98</v>
      </c>
      <c r="S1023">
        <v>187.3</v>
      </c>
      <c r="T1023" t="s">
        <v>37</v>
      </c>
      <c r="U1023" s="3"/>
      <c r="V1023" s="3"/>
      <c r="W1023" s="3"/>
    </row>
    <row r="1024" spans="1:23">
      <c r="A1024" t="s">
        <v>2401</v>
      </c>
      <c r="B1024" t="s">
        <v>253</v>
      </c>
      <c r="C1024" t="s">
        <v>40</v>
      </c>
      <c r="D1024" s="2">
        <v>22213</v>
      </c>
      <c r="E1024" s="2">
        <v>45597</v>
      </c>
      <c r="F1024" s="2">
        <v>45609</v>
      </c>
      <c r="G1024" t="s">
        <v>141</v>
      </c>
      <c r="I1024" t="s">
        <v>25</v>
      </c>
      <c r="J1024" t="s">
        <v>179</v>
      </c>
      <c r="K1024" t="s">
        <v>110</v>
      </c>
      <c r="L1024" t="s">
        <v>2402</v>
      </c>
      <c r="M1024">
        <v>169873.14</v>
      </c>
      <c r="N1024" t="s">
        <v>162</v>
      </c>
      <c r="O1024">
        <v>12</v>
      </c>
      <c r="P1024">
        <v>34</v>
      </c>
      <c r="Q1024">
        <v>5</v>
      </c>
      <c r="R1024">
        <v>178</v>
      </c>
      <c r="S1024">
        <v>172.2</v>
      </c>
      <c r="T1024" t="s">
        <v>65</v>
      </c>
      <c r="U1024" s="3"/>
      <c r="V1024" s="3"/>
      <c r="W1024" s="3"/>
    </row>
    <row r="1025" spans="1:23">
      <c r="A1025" t="s">
        <v>2403</v>
      </c>
      <c r="B1025" t="s">
        <v>76</v>
      </c>
      <c r="C1025" t="s">
        <v>133</v>
      </c>
      <c r="D1025" s="2">
        <v>34811</v>
      </c>
      <c r="E1025" s="2">
        <v>45483</v>
      </c>
      <c r="F1025" s="2">
        <v>45488</v>
      </c>
      <c r="G1025" t="s">
        <v>141</v>
      </c>
      <c r="H1025" t="s">
        <v>44</v>
      </c>
      <c r="I1025" t="s">
        <v>45</v>
      </c>
      <c r="J1025" t="s">
        <v>34</v>
      </c>
      <c r="K1025" t="s">
        <v>449</v>
      </c>
      <c r="L1025">
        <v>84396.27</v>
      </c>
      <c r="M1025">
        <v>73618.42</v>
      </c>
      <c r="N1025" t="s">
        <v>73</v>
      </c>
      <c r="O1025">
        <v>5</v>
      </c>
      <c r="P1025">
        <v>116</v>
      </c>
      <c r="Q1025">
        <v>3</v>
      </c>
      <c r="R1025" t="s">
        <v>1573</v>
      </c>
      <c r="S1025">
        <v>75.7</v>
      </c>
      <c r="T1025" t="s">
        <v>37</v>
      </c>
      <c r="U1025" s="3"/>
      <c r="V1025" s="3"/>
      <c r="W1025" s="3"/>
    </row>
    <row r="1026" spans="1:23">
      <c r="A1026" t="s">
        <v>2404</v>
      </c>
      <c r="B1026" t="s">
        <v>877</v>
      </c>
      <c r="C1026" t="s">
        <v>156</v>
      </c>
      <c r="D1026" s="2">
        <v>24267</v>
      </c>
      <c r="E1026" s="2">
        <v>45444</v>
      </c>
      <c r="F1026" s="2">
        <v>45447</v>
      </c>
      <c r="G1026" t="s">
        <v>43</v>
      </c>
      <c r="H1026" t="s">
        <v>52</v>
      </c>
      <c r="I1026" t="s">
        <v>79</v>
      </c>
      <c r="J1026" t="s">
        <v>34</v>
      </c>
      <c r="K1026" t="s">
        <v>55</v>
      </c>
      <c r="L1026">
        <v>67816.039999999994</v>
      </c>
      <c r="M1026">
        <v>45180.47</v>
      </c>
      <c r="N1026" t="s">
        <v>73</v>
      </c>
      <c r="O1026">
        <v>3</v>
      </c>
      <c r="P1026" t="s">
        <v>2405</v>
      </c>
      <c r="S1026">
        <v>125.1</v>
      </c>
      <c r="U1026" s="3"/>
      <c r="V1026" s="3"/>
      <c r="W1026" s="3"/>
    </row>
    <row r="1027" spans="1:23">
      <c r="A1027" t="s">
        <v>2406</v>
      </c>
      <c r="B1027" t="s">
        <v>563</v>
      </c>
      <c r="C1027" t="s">
        <v>151</v>
      </c>
      <c r="D1027" s="2">
        <v>20972</v>
      </c>
      <c r="E1027" s="2">
        <v>45577</v>
      </c>
      <c r="F1027" s="2">
        <v>45578</v>
      </c>
      <c r="G1027" t="s">
        <v>70</v>
      </c>
      <c r="H1027" t="s">
        <v>134</v>
      </c>
      <c r="I1027" t="s">
        <v>79</v>
      </c>
      <c r="J1027" t="s">
        <v>26</v>
      </c>
      <c r="K1027" t="s">
        <v>110</v>
      </c>
      <c r="L1027">
        <v>183374.95</v>
      </c>
      <c r="M1027">
        <v>135083.29</v>
      </c>
      <c r="N1027" t="s">
        <v>1048</v>
      </c>
      <c r="O1027">
        <v>1</v>
      </c>
      <c r="P1027">
        <v>219</v>
      </c>
      <c r="Q1027">
        <v>3</v>
      </c>
      <c r="R1027">
        <v>180</v>
      </c>
      <c r="S1027">
        <v>133</v>
      </c>
      <c r="T1027" t="s">
        <v>47</v>
      </c>
      <c r="U1027" s="3"/>
      <c r="V1027" s="3"/>
      <c r="W1027" s="3"/>
    </row>
    <row r="1028" spans="1:23">
      <c r="A1028" t="s">
        <v>2407</v>
      </c>
      <c r="B1028" t="s">
        <v>1097</v>
      </c>
      <c r="C1028" t="s">
        <v>22</v>
      </c>
      <c r="D1028" s="2">
        <v>35453</v>
      </c>
      <c r="E1028" s="2">
        <v>45553</v>
      </c>
      <c r="F1028" s="2">
        <v>45569</v>
      </c>
      <c r="G1028" t="s">
        <v>62</v>
      </c>
      <c r="H1028" t="s">
        <v>63</v>
      </c>
      <c r="I1028" t="s">
        <v>45</v>
      </c>
      <c r="K1028" t="s">
        <v>55</v>
      </c>
      <c r="L1028">
        <v>92622.77</v>
      </c>
      <c r="M1028">
        <v>67251.72</v>
      </c>
      <c r="N1028" t="s">
        <v>467</v>
      </c>
      <c r="O1028">
        <v>16</v>
      </c>
      <c r="P1028">
        <v>239</v>
      </c>
      <c r="Q1028">
        <v>5</v>
      </c>
      <c r="R1028">
        <v>189</v>
      </c>
      <c r="S1028">
        <v>100.2</v>
      </c>
      <c r="T1028" t="s">
        <v>65</v>
      </c>
      <c r="U1028" s="3"/>
      <c r="V1028" s="3"/>
      <c r="W1028" s="3"/>
    </row>
    <row r="1029" spans="1:23">
      <c r="A1029" t="s">
        <v>2408</v>
      </c>
      <c r="B1029" t="s">
        <v>304</v>
      </c>
      <c r="C1029" t="s">
        <v>133</v>
      </c>
      <c r="D1029" s="2">
        <v>24284</v>
      </c>
      <c r="E1029" s="2">
        <v>46019</v>
      </c>
      <c r="G1029" t="s">
        <v>70</v>
      </c>
      <c r="H1029" t="s">
        <v>118</v>
      </c>
      <c r="J1029" t="s">
        <v>26</v>
      </c>
      <c r="K1029" t="s">
        <v>72</v>
      </c>
      <c r="L1029">
        <v>209600.58</v>
      </c>
      <c r="M1029">
        <v>143411.01999999999</v>
      </c>
      <c r="N1029" t="s">
        <v>73</v>
      </c>
      <c r="O1029">
        <v>17</v>
      </c>
      <c r="P1029">
        <v>232</v>
      </c>
      <c r="Q1029">
        <v>5</v>
      </c>
      <c r="R1029" t="s">
        <v>2409</v>
      </c>
      <c r="S1029">
        <v>103.8</v>
      </c>
      <c r="T1029" t="s">
        <v>47</v>
      </c>
      <c r="U1029" s="3"/>
      <c r="V1029" s="3"/>
      <c r="W1029" s="3"/>
    </row>
    <row r="1030" spans="1:23">
      <c r="A1030" t="s">
        <v>2410</v>
      </c>
      <c r="B1030" t="s">
        <v>2093</v>
      </c>
      <c r="C1030" t="s">
        <v>206</v>
      </c>
      <c r="D1030" s="2">
        <v>32444</v>
      </c>
      <c r="E1030" s="2">
        <v>45107</v>
      </c>
      <c r="F1030" t="s">
        <v>2411</v>
      </c>
      <c r="G1030" t="s">
        <v>70</v>
      </c>
      <c r="H1030" t="s">
        <v>32</v>
      </c>
      <c r="J1030" t="s">
        <v>179</v>
      </c>
      <c r="K1030" t="s">
        <v>120</v>
      </c>
      <c r="L1030">
        <v>177888.7</v>
      </c>
      <c r="M1030">
        <v>149483.57</v>
      </c>
      <c r="N1030" t="s">
        <v>73</v>
      </c>
      <c r="O1030">
        <v>4</v>
      </c>
      <c r="P1030">
        <v>41</v>
      </c>
      <c r="R1030">
        <v>122</v>
      </c>
      <c r="S1030">
        <v>131.80000000000001</v>
      </c>
      <c r="U1030" s="3"/>
      <c r="V1030" s="3"/>
      <c r="W1030" s="3"/>
    </row>
    <row r="1031" spans="1:23">
      <c r="A1031" t="s">
        <v>2412</v>
      </c>
      <c r="B1031" t="s">
        <v>328</v>
      </c>
      <c r="C1031" t="s">
        <v>50</v>
      </c>
      <c r="D1031" s="2">
        <v>33669</v>
      </c>
      <c r="E1031" t="s">
        <v>2413</v>
      </c>
      <c r="F1031" s="2">
        <v>45172</v>
      </c>
      <c r="G1031" t="s">
        <v>31</v>
      </c>
      <c r="H1031" t="s">
        <v>95</v>
      </c>
      <c r="I1031" t="s">
        <v>79</v>
      </c>
      <c r="J1031" t="s">
        <v>179</v>
      </c>
      <c r="K1031" t="s">
        <v>55</v>
      </c>
      <c r="L1031">
        <v>4421.1899999999996</v>
      </c>
      <c r="M1031">
        <v>3019.03</v>
      </c>
      <c r="N1031" t="s">
        <v>91</v>
      </c>
      <c r="O1031" t="s">
        <v>74</v>
      </c>
      <c r="P1031">
        <v>122</v>
      </c>
      <c r="Q1031">
        <v>4</v>
      </c>
      <c r="R1031">
        <v>177</v>
      </c>
      <c r="S1031">
        <v>212.2</v>
      </c>
      <c r="T1031" t="s">
        <v>47</v>
      </c>
      <c r="U1031" s="3"/>
      <c r="V1031" s="3"/>
      <c r="W1031" s="3"/>
    </row>
    <row r="1032" spans="1:23">
      <c r="A1032" t="s">
        <v>2414</v>
      </c>
      <c r="B1032" t="s">
        <v>433</v>
      </c>
      <c r="D1032" s="2">
        <v>21401</v>
      </c>
      <c r="E1032" s="2">
        <v>45599</v>
      </c>
      <c r="F1032" s="2">
        <v>45612</v>
      </c>
      <c r="G1032" t="s">
        <v>70</v>
      </c>
      <c r="I1032" t="s">
        <v>45</v>
      </c>
      <c r="J1032" t="s">
        <v>80</v>
      </c>
      <c r="K1032" t="s">
        <v>55</v>
      </c>
      <c r="L1032">
        <v>131415.48000000001</v>
      </c>
      <c r="M1032">
        <v>115412.75</v>
      </c>
      <c r="N1032" t="s">
        <v>73</v>
      </c>
      <c r="O1032">
        <v>13</v>
      </c>
      <c r="P1032">
        <v>230</v>
      </c>
      <c r="R1032">
        <v>176</v>
      </c>
      <c r="S1032">
        <v>137</v>
      </c>
      <c r="T1032" t="s">
        <v>47</v>
      </c>
      <c r="U1032" s="3"/>
      <c r="V1032" s="3"/>
      <c r="W1032" s="3"/>
    </row>
    <row r="1033" spans="1:23">
      <c r="A1033" t="s">
        <v>2415</v>
      </c>
      <c r="B1033" t="s">
        <v>693</v>
      </c>
      <c r="C1033" t="s">
        <v>133</v>
      </c>
      <c r="D1033" s="2">
        <v>29327</v>
      </c>
      <c r="E1033" t="s">
        <v>2416</v>
      </c>
      <c r="F1033" s="2">
        <v>45519</v>
      </c>
      <c r="G1033" t="s">
        <v>105</v>
      </c>
      <c r="H1033" t="s">
        <v>32</v>
      </c>
      <c r="I1033" t="s">
        <v>96</v>
      </c>
      <c r="J1033" t="s">
        <v>71</v>
      </c>
      <c r="K1033" t="s">
        <v>161</v>
      </c>
      <c r="L1033">
        <v>71083.19</v>
      </c>
      <c r="M1033">
        <v>59394.97</v>
      </c>
      <c r="N1033" t="s">
        <v>73</v>
      </c>
      <c r="O1033">
        <v>10</v>
      </c>
      <c r="Q1033">
        <v>3</v>
      </c>
      <c r="R1033">
        <v>185</v>
      </c>
      <c r="S1033">
        <v>150.9</v>
      </c>
      <c r="T1033" t="s">
        <v>37</v>
      </c>
      <c r="U1033" s="3"/>
      <c r="V1033" s="3"/>
      <c r="W1033" s="3"/>
    </row>
    <row r="1034" spans="1:23">
      <c r="A1034" t="s">
        <v>2417</v>
      </c>
      <c r="B1034" t="s">
        <v>406</v>
      </c>
      <c r="C1034" t="s">
        <v>84</v>
      </c>
      <c r="D1034" s="2">
        <v>23301</v>
      </c>
      <c r="E1034" t="s">
        <v>2418</v>
      </c>
      <c r="F1034" s="2">
        <v>45603</v>
      </c>
      <c r="G1034" t="s">
        <v>117</v>
      </c>
      <c r="H1034" t="s">
        <v>153</v>
      </c>
      <c r="I1034" t="s">
        <v>79</v>
      </c>
      <c r="J1034" t="s">
        <v>46</v>
      </c>
      <c r="K1034" t="s">
        <v>55</v>
      </c>
      <c r="L1034">
        <v>127804.69</v>
      </c>
      <c r="M1034">
        <v>106733.77</v>
      </c>
      <c r="N1034" t="s">
        <v>73</v>
      </c>
      <c r="O1034">
        <v>2</v>
      </c>
      <c r="P1034">
        <v>198</v>
      </c>
      <c r="Q1034">
        <v>4</v>
      </c>
      <c r="R1034">
        <v>176</v>
      </c>
      <c r="S1034">
        <v>164.4</v>
      </c>
      <c r="T1034" t="s">
        <v>37</v>
      </c>
      <c r="U1034" s="3"/>
      <c r="V1034" s="3"/>
      <c r="W1034" s="3"/>
    </row>
    <row r="1035" spans="1:23">
      <c r="A1035" t="s">
        <v>2419</v>
      </c>
      <c r="B1035" t="s">
        <v>796</v>
      </c>
      <c r="D1035" t="s">
        <v>2420</v>
      </c>
      <c r="E1035" s="2">
        <v>45322</v>
      </c>
      <c r="F1035" s="2">
        <v>45333</v>
      </c>
      <c r="G1035" t="s">
        <v>141</v>
      </c>
      <c r="H1035" t="s">
        <v>113</v>
      </c>
      <c r="I1035" t="s">
        <v>25</v>
      </c>
      <c r="J1035" t="s">
        <v>645</v>
      </c>
      <c r="K1035" t="s">
        <v>161</v>
      </c>
      <c r="L1035">
        <v>128195.61</v>
      </c>
      <c r="M1035">
        <v>104655.21</v>
      </c>
      <c r="N1035" t="s">
        <v>73</v>
      </c>
      <c r="O1035">
        <v>11</v>
      </c>
      <c r="P1035">
        <v>45</v>
      </c>
      <c r="Q1035">
        <v>3</v>
      </c>
      <c r="R1035">
        <v>114</v>
      </c>
      <c r="S1035">
        <v>107.5</v>
      </c>
      <c r="U1035" s="3"/>
      <c r="V1035" s="3"/>
      <c r="W1035" s="3"/>
    </row>
    <row r="1036" spans="1:23">
      <c r="A1036" t="s">
        <v>2421</v>
      </c>
      <c r="B1036" t="s">
        <v>556</v>
      </c>
      <c r="C1036" t="s">
        <v>60</v>
      </c>
      <c r="D1036" t="s">
        <v>2422</v>
      </c>
      <c r="E1036" s="2">
        <v>45731</v>
      </c>
      <c r="F1036" t="s">
        <v>2423</v>
      </c>
      <c r="G1036" t="s">
        <v>77</v>
      </c>
      <c r="H1036" t="s">
        <v>86</v>
      </c>
      <c r="I1036" t="s">
        <v>119</v>
      </c>
      <c r="J1036" t="s">
        <v>46</v>
      </c>
      <c r="K1036" t="s">
        <v>110</v>
      </c>
      <c r="L1036">
        <v>202693.35</v>
      </c>
      <c r="M1036">
        <v>179772.92</v>
      </c>
      <c r="N1036" t="s">
        <v>192</v>
      </c>
      <c r="O1036">
        <v>11</v>
      </c>
      <c r="P1036">
        <v>44</v>
      </c>
      <c r="Q1036">
        <v>5</v>
      </c>
      <c r="R1036">
        <v>166</v>
      </c>
      <c r="S1036">
        <v>201.1</v>
      </c>
      <c r="T1036" t="s">
        <v>47</v>
      </c>
      <c r="U1036" s="3"/>
      <c r="V1036" s="3"/>
      <c r="W1036" s="3"/>
    </row>
    <row r="1037" spans="1:23">
      <c r="A1037" t="s">
        <v>2424</v>
      </c>
      <c r="B1037" t="s">
        <v>2425</v>
      </c>
      <c r="C1037" t="s">
        <v>206</v>
      </c>
      <c r="D1037" s="2">
        <v>19055</v>
      </c>
      <c r="E1037" s="2">
        <v>45010</v>
      </c>
      <c r="F1037" s="2">
        <v>45024</v>
      </c>
      <c r="G1037" t="s">
        <v>109</v>
      </c>
      <c r="H1037" t="s">
        <v>255</v>
      </c>
      <c r="I1037" t="s">
        <v>45</v>
      </c>
      <c r="J1037" t="s">
        <v>34</v>
      </c>
      <c r="K1037" t="s">
        <v>120</v>
      </c>
      <c r="L1037">
        <v>243657.82</v>
      </c>
      <c r="M1037">
        <v>239053.99</v>
      </c>
      <c r="N1037" t="s">
        <v>192</v>
      </c>
      <c r="O1037">
        <v>14</v>
      </c>
      <c r="P1037">
        <v>207</v>
      </c>
      <c r="Q1037">
        <v>5</v>
      </c>
      <c r="R1037">
        <v>162</v>
      </c>
      <c r="S1037">
        <v>122.1</v>
      </c>
      <c r="T1037" t="s">
        <v>37</v>
      </c>
      <c r="U1037" s="3"/>
      <c r="V1037" s="3"/>
      <c r="W1037" s="3"/>
    </row>
    <row r="1038" spans="1:23">
      <c r="A1038" t="s">
        <v>2426</v>
      </c>
      <c r="B1038" t="s">
        <v>503</v>
      </c>
      <c r="C1038" t="s">
        <v>30</v>
      </c>
      <c r="D1038" s="2">
        <v>25583</v>
      </c>
      <c r="E1038" s="2">
        <v>45756</v>
      </c>
      <c r="F1038" t="s">
        <v>2427</v>
      </c>
      <c r="G1038" t="s">
        <v>62</v>
      </c>
      <c r="I1038" t="s">
        <v>53</v>
      </c>
      <c r="J1038" t="s">
        <v>64</v>
      </c>
      <c r="K1038" t="s">
        <v>27</v>
      </c>
      <c r="L1038">
        <v>163154.07999999999</v>
      </c>
      <c r="M1038">
        <v>126619.25</v>
      </c>
      <c r="N1038" t="s">
        <v>73</v>
      </c>
      <c r="O1038">
        <v>4</v>
      </c>
      <c r="P1038">
        <v>11</v>
      </c>
      <c r="Q1038">
        <v>5</v>
      </c>
      <c r="R1038">
        <v>139</v>
      </c>
      <c r="S1038">
        <v>126.2</v>
      </c>
      <c r="T1038" t="s">
        <v>37</v>
      </c>
      <c r="U1038" s="3"/>
      <c r="V1038" s="3"/>
      <c r="W1038" s="3"/>
    </row>
    <row r="1039" spans="1:23">
      <c r="A1039" t="s">
        <v>2428</v>
      </c>
      <c r="B1039" t="s">
        <v>689</v>
      </c>
      <c r="C1039" t="s">
        <v>133</v>
      </c>
      <c r="D1039" t="s">
        <v>2429</v>
      </c>
      <c r="E1039" s="2">
        <v>45565</v>
      </c>
      <c r="F1039" s="2">
        <v>45572</v>
      </c>
      <c r="G1039" t="s">
        <v>62</v>
      </c>
      <c r="H1039" t="s">
        <v>32</v>
      </c>
      <c r="I1039" t="s">
        <v>79</v>
      </c>
      <c r="J1039" t="s">
        <v>80</v>
      </c>
      <c r="K1039" t="s">
        <v>55</v>
      </c>
      <c r="L1039">
        <v>145198.19</v>
      </c>
      <c r="M1039">
        <v>93894.36</v>
      </c>
      <c r="N1039" t="s">
        <v>91</v>
      </c>
      <c r="O1039">
        <v>7</v>
      </c>
      <c r="P1039">
        <v>178</v>
      </c>
      <c r="Q1039">
        <v>4</v>
      </c>
      <c r="R1039" t="s">
        <v>2430</v>
      </c>
      <c r="T1039" t="s">
        <v>47</v>
      </c>
      <c r="U1039" s="3"/>
      <c r="V1039" s="3"/>
      <c r="W1039" s="3"/>
    </row>
    <row r="1040" spans="1:23">
      <c r="A1040" t="s">
        <v>2431</v>
      </c>
      <c r="B1040" t="s">
        <v>871</v>
      </c>
      <c r="C1040" t="s">
        <v>133</v>
      </c>
      <c r="D1040" s="2">
        <v>31636</v>
      </c>
      <c r="E1040" t="s">
        <v>2432</v>
      </c>
      <c r="F1040" s="2">
        <v>45618</v>
      </c>
      <c r="G1040" t="s">
        <v>77</v>
      </c>
      <c r="H1040" t="s">
        <v>278</v>
      </c>
      <c r="I1040" t="s">
        <v>25</v>
      </c>
      <c r="J1040" t="s">
        <v>34</v>
      </c>
      <c r="K1040" t="s">
        <v>55</v>
      </c>
      <c r="L1040">
        <v>161720.46</v>
      </c>
      <c r="M1040">
        <v>108639.07</v>
      </c>
      <c r="N1040" t="s">
        <v>35</v>
      </c>
      <c r="O1040">
        <v>1</v>
      </c>
      <c r="P1040">
        <v>189</v>
      </c>
      <c r="Q1040">
        <v>2</v>
      </c>
      <c r="R1040">
        <v>133</v>
      </c>
      <c r="S1040">
        <v>198.9</v>
      </c>
      <c r="T1040" t="s">
        <v>47</v>
      </c>
      <c r="U1040" s="3"/>
      <c r="V1040" s="3"/>
      <c r="W1040" s="3"/>
    </row>
    <row r="1041" spans="1:23">
      <c r="A1041" t="s">
        <v>2433</v>
      </c>
      <c r="B1041" t="s">
        <v>332</v>
      </c>
      <c r="C1041" t="s">
        <v>100</v>
      </c>
      <c r="D1041" t="s">
        <v>2434</v>
      </c>
      <c r="E1041" s="2">
        <v>45400</v>
      </c>
      <c r="F1041" t="s">
        <v>2435</v>
      </c>
      <c r="G1041" t="s">
        <v>62</v>
      </c>
      <c r="H1041" t="s">
        <v>634</v>
      </c>
      <c r="I1041" t="s">
        <v>79</v>
      </c>
      <c r="K1041" t="s">
        <v>55</v>
      </c>
      <c r="L1041">
        <v>38809.72</v>
      </c>
      <c r="M1041">
        <v>37064.46</v>
      </c>
      <c r="N1041" t="s">
        <v>192</v>
      </c>
      <c r="O1041">
        <v>3</v>
      </c>
      <c r="P1041">
        <v>62</v>
      </c>
      <c r="Q1041">
        <v>1</v>
      </c>
      <c r="R1041">
        <v>151</v>
      </c>
      <c r="S1041">
        <v>86.2</v>
      </c>
      <c r="T1041" t="s">
        <v>47</v>
      </c>
      <c r="U1041" s="3"/>
      <c r="V1041" s="3"/>
      <c r="W1041" s="3"/>
    </row>
    <row r="1042" spans="1:23">
      <c r="A1042" t="s">
        <v>2436</v>
      </c>
      <c r="B1042" t="s">
        <v>2437</v>
      </c>
      <c r="D1042" s="2">
        <v>31214</v>
      </c>
      <c r="E1042" s="2">
        <v>45838</v>
      </c>
      <c r="F1042" s="2">
        <v>45844</v>
      </c>
      <c r="G1042" t="s">
        <v>766</v>
      </c>
      <c r="H1042" t="s">
        <v>24</v>
      </c>
      <c r="I1042" t="s">
        <v>79</v>
      </c>
      <c r="J1042" t="s">
        <v>80</v>
      </c>
      <c r="K1042" t="s">
        <v>286</v>
      </c>
      <c r="L1042">
        <v>39804.660000000003</v>
      </c>
      <c r="M1042">
        <v>30385.27</v>
      </c>
      <c r="N1042" t="s">
        <v>192</v>
      </c>
      <c r="O1042">
        <v>6</v>
      </c>
      <c r="P1042">
        <v>217</v>
      </c>
      <c r="Q1042">
        <v>1</v>
      </c>
      <c r="S1042">
        <v>256.39999999999998</v>
      </c>
      <c r="T1042" t="s">
        <v>47</v>
      </c>
      <c r="U1042" s="3"/>
      <c r="V1042" s="3"/>
      <c r="W1042" s="3"/>
    </row>
    <row r="1043" spans="1:23">
      <c r="A1043" t="s">
        <v>2438</v>
      </c>
      <c r="B1043" t="s">
        <v>2439</v>
      </c>
      <c r="C1043" t="s">
        <v>133</v>
      </c>
      <c r="D1043" s="2">
        <v>33446</v>
      </c>
      <c r="E1043" s="2">
        <v>45470</v>
      </c>
      <c r="F1043" s="2">
        <v>45485</v>
      </c>
      <c r="G1043" t="s">
        <v>141</v>
      </c>
      <c r="H1043" t="s">
        <v>44</v>
      </c>
      <c r="I1043" t="s">
        <v>119</v>
      </c>
      <c r="J1043" t="s">
        <v>97</v>
      </c>
      <c r="K1043" t="s">
        <v>55</v>
      </c>
      <c r="L1043">
        <v>92042.32</v>
      </c>
      <c r="M1043">
        <v>76939.520000000004</v>
      </c>
      <c r="N1043" t="s">
        <v>56</v>
      </c>
      <c r="O1043">
        <v>15</v>
      </c>
      <c r="P1043" t="s">
        <v>1241</v>
      </c>
      <c r="Q1043">
        <v>5</v>
      </c>
      <c r="R1043">
        <v>150</v>
      </c>
      <c r="S1043">
        <v>164</v>
      </c>
      <c r="T1043" t="s">
        <v>37</v>
      </c>
      <c r="U1043" s="3"/>
      <c r="V1043" s="3"/>
      <c r="W1043" s="3"/>
    </row>
    <row r="1044" spans="1:23">
      <c r="A1044" t="s">
        <v>2440</v>
      </c>
      <c r="B1044" t="s">
        <v>199</v>
      </c>
      <c r="C1044" t="s">
        <v>106</v>
      </c>
      <c r="D1044" s="2">
        <v>30214</v>
      </c>
      <c r="E1044" t="s">
        <v>2441</v>
      </c>
      <c r="F1044" s="2">
        <v>45861</v>
      </c>
      <c r="G1044" t="s">
        <v>62</v>
      </c>
      <c r="H1044" t="s">
        <v>134</v>
      </c>
      <c r="K1044" t="s">
        <v>120</v>
      </c>
      <c r="L1044">
        <v>36241.89</v>
      </c>
      <c r="M1044">
        <v>35084.839999999997</v>
      </c>
      <c r="N1044" t="s">
        <v>56</v>
      </c>
      <c r="O1044">
        <v>5</v>
      </c>
      <c r="Q1044">
        <v>2</v>
      </c>
      <c r="R1044">
        <v>180</v>
      </c>
      <c r="S1044">
        <v>192.3</v>
      </c>
      <c r="T1044" t="s">
        <v>37</v>
      </c>
      <c r="U1044" s="3"/>
      <c r="V1044" s="3"/>
      <c r="W1044" s="3"/>
    </row>
    <row r="1045" spans="1:23">
      <c r="A1045" t="s">
        <v>2442</v>
      </c>
      <c r="B1045" t="s">
        <v>464</v>
      </c>
      <c r="C1045" t="s">
        <v>133</v>
      </c>
      <c r="D1045" s="2">
        <v>36619</v>
      </c>
      <c r="E1045" s="2">
        <v>45749</v>
      </c>
      <c r="F1045" s="2">
        <v>45762</v>
      </c>
      <c r="G1045" t="s">
        <v>77</v>
      </c>
      <c r="I1045" t="s">
        <v>119</v>
      </c>
      <c r="J1045" t="s">
        <v>26</v>
      </c>
      <c r="K1045" t="s">
        <v>72</v>
      </c>
      <c r="L1045">
        <v>38225.449999999997</v>
      </c>
      <c r="N1045" t="s">
        <v>192</v>
      </c>
      <c r="O1045">
        <v>13</v>
      </c>
      <c r="P1045">
        <v>234</v>
      </c>
      <c r="Q1045">
        <v>2</v>
      </c>
      <c r="R1045">
        <v>112</v>
      </c>
      <c r="S1045">
        <v>214.6</v>
      </c>
      <c r="T1045" t="s">
        <v>127</v>
      </c>
      <c r="U1045" s="3"/>
      <c r="V1045" s="3"/>
      <c r="W1045" s="3"/>
    </row>
    <row r="1046" spans="1:23">
      <c r="A1046" t="s">
        <v>2443</v>
      </c>
      <c r="B1046" t="s">
        <v>59</v>
      </c>
      <c r="C1046" t="s">
        <v>133</v>
      </c>
      <c r="D1046" s="2">
        <v>30529</v>
      </c>
      <c r="E1046" s="2">
        <v>45169</v>
      </c>
      <c r="G1046" t="s">
        <v>89</v>
      </c>
      <c r="H1046" t="s">
        <v>78</v>
      </c>
      <c r="I1046" t="s">
        <v>79</v>
      </c>
      <c r="J1046" t="s">
        <v>34</v>
      </c>
      <c r="L1046">
        <v>218375.09</v>
      </c>
      <c r="M1046">
        <v>176906.91</v>
      </c>
      <c r="N1046" t="s">
        <v>35</v>
      </c>
      <c r="O1046">
        <v>16</v>
      </c>
      <c r="P1046">
        <v>15</v>
      </c>
      <c r="R1046">
        <v>149</v>
      </c>
      <c r="S1046">
        <v>193.3</v>
      </c>
      <c r="U1046" s="3"/>
      <c r="V1046" s="3"/>
      <c r="W1046" s="3"/>
    </row>
    <row r="1047" spans="1:23">
      <c r="A1047" t="s">
        <v>2444</v>
      </c>
      <c r="B1047" t="s">
        <v>864</v>
      </c>
      <c r="C1047" t="s">
        <v>40</v>
      </c>
      <c r="D1047" s="2">
        <v>33614</v>
      </c>
      <c r="E1047" s="2">
        <v>45064</v>
      </c>
      <c r="H1047" t="s">
        <v>118</v>
      </c>
      <c r="I1047" t="s">
        <v>25</v>
      </c>
      <c r="J1047" t="s">
        <v>179</v>
      </c>
      <c r="K1047" t="s">
        <v>286</v>
      </c>
      <c r="L1047">
        <v>169880.68</v>
      </c>
      <c r="M1047">
        <v>160464.64000000001</v>
      </c>
      <c r="N1047" t="s">
        <v>192</v>
      </c>
      <c r="O1047">
        <v>3</v>
      </c>
      <c r="P1047">
        <v>132</v>
      </c>
      <c r="R1047">
        <v>184</v>
      </c>
      <c r="S1047">
        <v>138.80000000000001</v>
      </c>
      <c r="U1047" s="3"/>
      <c r="V1047" s="3"/>
      <c r="W1047" s="3"/>
    </row>
    <row r="1048" spans="1:23">
      <c r="A1048" t="s">
        <v>2445</v>
      </c>
      <c r="B1048" t="s">
        <v>1167</v>
      </c>
      <c r="C1048" t="s">
        <v>133</v>
      </c>
      <c r="D1048" s="2">
        <v>34048</v>
      </c>
      <c r="E1048" s="2">
        <v>45890</v>
      </c>
      <c r="F1048" s="2">
        <v>45902</v>
      </c>
      <c r="G1048" t="s">
        <v>70</v>
      </c>
      <c r="H1048" t="s">
        <v>118</v>
      </c>
      <c r="J1048" t="s">
        <v>71</v>
      </c>
      <c r="K1048" t="s">
        <v>72</v>
      </c>
      <c r="L1048">
        <v>162984.5</v>
      </c>
      <c r="M1048">
        <v>125770.05</v>
      </c>
      <c r="N1048" t="s">
        <v>192</v>
      </c>
      <c r="O1048">
        <v>12</v>
      </c>
      <c r="P1048" t="s">
        <v>2149</v>
      </c>
      <c r="Q1048">
        <v>5</v>
      </c>
      <c r="R1048">
        <v>171</v>
      </c>
      <c r="S1048">
        <v>113.7</v>
      </c>
      <c r="T1048" t="s">
        <v>37</v>
      </c>
      <c r="U1048" s="3"/>
      <c r="V1048" s="3"/>
      <c r="W1048" s="3"/>
    </row>
    <row r="1049" spans="1:23">
      <c r="A1049" t="s">
        <v>2446</v>
      </c>
      <c r="B1049" t="s">
        <v>2447</v>
      </c>
      <c r="C1049" t="s">
        <v>60</v>
      </c>
      <c r="D1049" s="2">
        <v>19482</v>
      </c>
      <c r="E1049" t="s">
        <v>2448</v>
      </c>
      <c r="F1049" s="2">
        <v>45765</v>
      </c>
      <c r="G1049" t="s">
        <v>70</v>
      </c>
      <c r="H1049" t="s">
        <v>153</v>
      </c>
      <c r="I1049" t="s">
        <v>45</v>
      </c>
      <c r="J1049" t="s">
        <v>34</v>
      </c>
      <c r="L1049" t="s">
        <v>2449</v>
      </c>
      <c r="M1049">
        <v>60653.440000000002</v>
      </c>
      <c r="N1049" t="s">
        <v>91</v>
      </c>
      <c r="O1049">
        <v>10</v>
      </c>
      <c r="P1049">
        <v>28</v>
      </c>
      <c r="Q1049">
        <v>4</v>
      </c>
      <c r="R1049">
        <v>120</v>
      </c>
      <c r="S1049">
        <v>157.1</v>
      </c>
      <c r="T1049" t="s">
        <v>37</v>
      </c>
      <c r="U1049" s="3"/>
      <c r="V1049" s="3"/>
      <c r="W1049" s="3"/>
    </row>
    <row r="1050" spans="1:23">
      <c r="A1050" t="s">
        <v>2450</v>
      </c>
      <c r="B1050" t="s">
        <v>2451</v>
      </c>
      <c r="C1050" t="s">
        <v>156</v>
      </c>
      <c r="D1050" t="s">
        <v>2452</v>
      </c>
      <c r="E1050" s="2">
        <v>45630</v>
      </c>
      <c r="F1050" s="2">
        <v>45646</v>
      </c>
      <c r="G1050" t="s">
        <v>70</v>
      </c>
      <c r="H1050" t="s">
        <v>78</v>
      </c>
      <c r="J1050" t="s">
        <v>663</v>
      </c>
      <c r="K1050" t="s">
        <v>161</v>
      </c>
      <c r="L1050">
        <v>150681.14000000001</v>
      </c>
      <c r="M1050">
        <v>141637.49</v>
      </c>
      <c r="N1050" t="s">
        <v>990</v>
      </c>
      <c r="O1050">
        <v>16</v>
      </c>
      <c r="P1050">
        <v>138</v>
      </c>
      <c r="Q1050">
        <v>5</v>
      </c>
      <c r="R1050">
        <v>168</v>
      </c>
      <c r="S1050">
        <v>207.5</v>
      </c>
      <c r="T1050" t="s">
        <v>57</v>
      </c>
      <c r="U1050" s="3"/>
      <c r="V1050" s="3"/>
      <c r="W1050" s="3"/>
    </row>
    <row r="1051" spans="1:23">
      <c r="A1051" t="s">
        <v>2453</v>
      </c>
      <c r="B1051" t="s">
        <v>697</v>
      </c>
      <c r="C1051" t="s">
        <v>22</v>
      </c>
      <c r="D1051" t="s">
        <v>2454</v>
      </c>
      <c r="E1051" t="s">
        <v>2455</v>
      </c>
      <c r="F1051" s="2">
        <v>45828</v>
      </c>
      <c r="G1051" t="s">
        <v>105</v>
      </c>
      <c r="H1051" t="s">
        <v>78</v>
      </c>
      <c r="I1051" t="s">
        <v>45</v>
      </c>
      <c r="J1051" t="s">
        <v>204</v>
      </c>
      <c r="K1051" t="s">
        <v>191</v>
      </c>
      <c r="L1051">
        <v>38475.89</v>
      </c>
      <c r="M1051">
        <v>33664.160000000003</v>
      </c>
      <c r="N1051" t="s">
        <v>73</v>
      </c>
      <c r="O1051">
        <v>7</v>
      </c>
      <c r="P1051">
        <v>32</v>
      </c>
      <c r="Q1051">
        <v>2</v>
      </c>
      <c r="R1051">
        <v>104</v>
      </c>
      <c r="S1051">
        <v>87.2</v>
      </c>
      <c r="T1051" t="s">
        <v>37</v>
      </c>
      <c r="U1051" s="3"/>
      <c r="V1051" s="3"/>
      <c r="W1051" s="3"/>
    </row>
    <row r="1052" spans="1:23">
      <c r="A1052" t="s">
        <v>2456</v>
      </c>
      <c r="B1052" t="s">
        <v>972</v>
      </c>
      <c r="C1052" t="s">
        <v>50</v>
      </c>
      <c r="D1052" s="2">
        <v>37543</v>
      </c>
      <c r="E1052" s="2">
        <v>45168</v>
      </c>
      <c r="F1052" s="2">
        <v>45185</v>
      </c>
      <c r="G1052" t="s">
        <v>152</v>
      </c>
      <c r="J1052" t="s">
        <v>80</v>
      </c>
      <c r="K1052" t="s">
        <v>55</v>
      </c>
      <c r="L1052">
        <v>163581.51</v>
      </c>
      <c r="N1052" t="s">
        <v>192</v>
      </c>
      <c r="O1052">
        <v>17</v>
      </c>
      <c r="P1052">
        <v>141</v>
      </c>
      <c r="Q1052">
        <v>1</v>
      </c>
      <c r="R1052">
        <v>187</v>
      </c>
      <c r="S1052">
        <v>77.599999999999994</v>
      </c>
      <c r="T1052" t="s">
        <v>721</v>
      </c>
      <c r="U1052" s="3"/>
      <c r="V1052" s="3"/>
      <c r="W1052" s="3"/>
    </row>
    <row r="1053" spans="1:23">
      <c r="A1053" t="s">
        <v>2457</v>
      </c>
      <c r="B1053" t="s">
        <v>1480</v>
      </c>
      <c r="C1053" t="s">
        <v>206</v>
      </c>
      <c r="D1053" s="2">
        <v>39719</v>
      </c>
      <c r="E1053" s="2">
        <v>45135</v>
      </c>
      <c r="F1053" s="2">
        <v>45140</v>
      </c>
      <c r="H1053" t="s">
        <v>78</v>
      </c>
      <c r="I1053" t="s">
        <v>96</v>
      </c>
      <c r="J1053" t="s">
        <v>34</v>
      </c>
      <c r="K1053" t="s">
        <v>110</v>
      </c>
      <c r="L1053">
        <v>243006.34</v>
      </c>
      <c r="M1053">
        <v>214490.78</v>
      </c>
      <c r="N1053" t="s">
        <v>56</v>
      </c>
      <c r="O1053">
        <v>5</v>
      </c>
      <c r="P1053">
        <v>143</v>
      </c>
      <c r="Q1053">
        <v>5</v>
      </c>
      <c r="R1053">
        <v>147</v>
      </c>
      <c r="S1053">
        <v>128</v>
      </c>
      <c r="T1053" t="s">
        <v>37</v>
      </c>
      <c r="U1053" s="3"/>
      <c r="V1053" s="3"/>
      <c r="W1053" s="3"/>
    </row>
    <row r="1054" spans="1:23">
      <c r="A1054" t="s">
        <v>2458</v>
      </c>
      <c r="B1054" t="s">
        <v>1263</v>
      </c>
      <c r="C1054" t="s">
        <v>40</v>
      </c>
      <c r="D1054" s="2">
        <v>28930</v>
      </c>
      <c r="E1054" t="s">
        <v>271</v>
      </c>
      <c r="G1054" t="s">
        <v>109</v>
      </c>
      <c r="H1054" t="s">
        <v>63</v>
      </c>
      <c r="I1054" t="s">
        <v>53</v>
      </c>
      <c r="J1054" t="s">
        <v>106</v>
      </c>
      <c r="K1054" t="s">
        <v>106</v>
      </c>
      <c r="L1054">
        <v>208464.49</v>
      </c>
      <c r="M1054">
        <v>172430.77</v>
      </c>
      <c r="O1054" t="s">
        <v>1857</v>
      </c>
      <c r="P1054">
        <v>226</v>
      </c>
      <c r="Q1054">
        <v>4</v>
      </c>
      <c r="S1054">
        <v>244.7</v>
      </c>
      <c r="T1054" t="s">
        <v>37</v>
      </c>
      <c r="U1054" s="3"/>
      <c r="V1054" s="3"/>
      <c r="W1054" s="3"/>
    </row>
    <row r="1055" spans="1:23">
      <c r="A1055" t="s">
        <v>2459</v>
      </c>
      <c r="B1055" t="s">
        <v>604</v>
      </c>
      <c r="C1055" t="s">
        <v>60</v>
      </c>
      <c r="D1055" t="s">
        <v>2460</v>
      </c>
      <c r="E1055" t="s">
        <v>2461</v>
      </c>
      <c r="F1055" t="s">
        <v>1014</v>
      </c>
      <c r="G1055" t="s">
        <v>152</v>
      </c>
      <c r="H1055" t="s">
        <v>153</v>
      </c>
      <c r="K1055" t="s">
        <v>27</v>
      </c>
      <c r="L1055">
        <v>110153.64</v>
      </c>
      <c r="M1055">
        <v>78284.87</v>
      </c>
      <c r="N1055" t="s">
        <v>192</v>
      </c>
      <c r="O1055" t="s">
        <v>2124</v>
      </c>
      <c r="P1055">
        <v>174</v>
      </c>
      <c r="Q1055">
        <v>2</v>
      </c>
      <c r="R1055" t="s">
        <v>536</v>
      </c>
      <c r="S1055">
        <v>180.5</v>
      </c>
      <c r="T1055" t="s">
        <v>65</v>
      </c>
      <c r="U1055" s="3"/>
      <c r="V1055" s="3"/>
      <c r="W1055" s="3"/>
    </row>
    <row r="1056" spans="1:23">
      <c r="A1056" t="s">
        <v>2462</v>
      </c>
      <c r="B1056" t="s">
        <v>909</v>
      </c>
      <c r="C1056" t="s">
        <v>40</v>
      </c>
      <c r="D1056" t="s">
        <v>2463</v>
      </c>
      <c r="E1056" s="2">
        <v>45765</v>
      </c>
      <c r="F1056" s="2">
        <v>45783</v>
      </c>
      <c r="G1056" t="s">
        <v>62</v>
      </c>
      <c r="H1056" t="s">
        <v>153</v>
      </c>
      <c r="I1056" t="s">
        <v>53</v>
      </c>
      <c r="J1056" t="s">
        <v>80</v>
      </c>
      <c r="K1056" t="s">
        <v>55</v>
      </c>
      <c r="L1056">
        <v>217283.31</v>
      </c>
      <c r="M1056">
        <v>215072.75</v>
      </c>
      <c r="N1056" t="s">
        <v>56</v>
      </c>
      <c r="O1056">
        <v>18</v>
      </c>
      <c r="P1056">
        <v>212</v>
      </c>
      <c r="R1056">
        <v>93</v>
      </c>
      <c r="S1056">
        <v>194.9</v>
      </c>
      <c r="T1056" t="s">
        <v>65</v>
      </c>
      <c r="U1056" s="3"/>
      <c r="V1056" s="3"/>
      <c r="W1056" s="3"/>
    </row>
    <row r="1057" spans="1:23">
      <c r="A1057" t="s">
        <v>2464</v>
      </c>
      <c r="B1057" t="s">
        <v>373</v>
      </c>
      <c r="C1057" t="s">
        <v>60</v>
      </c>
      <c r="D1057" s="2">
        <v>37218</v>
      </c>
      <c r="E1057" s="2">
        <v>45934</v>
      </c>
      <c r="F1057" s="2">
        <v>45937</v>
      </c>
      <c r="G1057" t="s">
        <v>141</v>
      </c>
      <c r="H1057" t="s">
        <v>113</v>
      </c>
      <c r="I1057" t="s">
        <v>53</v>
      </c>
      <c r="J1057" t="s">
        <v>71</v>
      </c>
      <c r="K1057" t="s">
        <v>55</v>
      </c>
      <c r="L1057">
        <v>76317.240000000005</v>
      </c>
      <c r="M1057">
        <v>63000.72</v>
      </c>
      <c r="N1057" t="s">
        <v>91</v>
      </c>
      <c r="O1057">
        <v>3</v>
      </c>
      <c r="P1057">
        <v>225</v>
      </c>
      <c r="Q1057">
        <v>2</v>
      </c>
      <c r="R1057">
        <v>103</v>
      </c>
      <c r="S1057">
        <v>94.7</v>
      </c>
      <c r="T1057" t="s">
        <v>37</v>
      </c>
      <c r="U1057" s="3"/>
      <c r="V1057" s="3"/>
      <c r="W1057" s="3"/>
    </row>
    <row r="1058" spans="1:23">
      <c r="A1058" t="s">
        <v>2465</v>
      </c>
      <c r="B1058" t="s">
        <v>283</v>
      </c>
      <c r="D1058" s="2">
        <v>38606</v>
      </c>
      <c r="E1058" s="2">
        <v>45978</v>
      </c>
      <c r="F1058" s="2">
        <v>45991</v>
      </c>
      <c r="G1058" t="s">
        <v>105</v>
      </c>
      <c r="H1058" t="s">
        <v>134</v>
      </c>
      <c r="I1058" t="s">
        <v>119</v>
      </c>
      <c r="J1058" t="s">
        <v>71</v>
      </c>
      <c r="K1058" t="s">
        <v>120</v>
      </c>
      <c r="L1058">
        <v>22276.46</v>
      </c>
      <c r="M1058">
        <v>16697.86</v>
      </c>
      <c r="N1058" t="s">
        <v>192</v>
      </c>
      <c r="O1058">
        <v>13</v>
      </c>
      <c r="P1058">
        <v>223</v>
      </c>
      <c r="R1058">
        <v>177</v>
      </c>
      <c r="S1058">
        <v>169.2</v>
      </c>
      <c r="T1058" t="s">
        <v>65</v>
      </c>
      <c r="U1058" s="3"/>
      <c r="V1058" s="3"/>
      <c r="W1058" s="3"/>
    </row>
    <row r="1059" spans="1:23">
      <c r="A1059" t="s">
        <v>2466</v>
      </c>
      <c r="B1059" t="s">
        <v>522</v>
      </c>
      <c r="D1059" s="2">
        <v>30442</v>
      </c>
      <c r="E1059" s="2">
        <v>45954</v>
      </c>
      <c r="F1059" t="s">
        <v>2467</v>
      </c>
      <c r="H1059" t="s">
        <v>95</v>
      </c>
      <c r="I1059" t="s">
        <v>96</v>
      </c>
      <c r="J1059" t="s">
        <v>34</v>
      </c>
      <c r="L1059">
        <v>221148.51</v>
      </c>
      <c r="N1059" t="s">
        <v>192</v>
      </c>
      <c r="O1059" t="s">
        <v>934</v>
      </c>
      <c r="P1059">
        <v>67</v>
      </c>
      <c r="Q1059">
        <v>2</v>
      </c>
      <c r="R1059">
        <v>175</v>
      </c>
      <c r="S1059">
        <v>111.8</v>
      </c>
      <c r="U1059" s="3"/>
      <c r="V1059" s="3"/>
      <c r="W1059" s="3"/>
    </row>
    <row r="1060" spans="1:23">
      <c r="A1060" t="s">
        <v>2468</v>
      </c>
      <c r="B1060" t="s">
        <v>1888</v>
      </c>
      <c r="C1060" t="s">
        <v>206</v>
      </c>
      <c r="D1060" s="2">
        <v>40163</v>
      </c>
      <c r="E1060" s="2">
        <v>45724</v>
      </c>
      <c r="F1060" s="2">
        <v>45729</v>
      </c>
      <c r="G1060" t="s">
        <v>89</v>
      </c>
      <c r="H1060" t="s">
        <v>153</v>
      </c>
      <c r="I1060" t="s">
        <v>119</v>
      </c>
      <c r="J1060" t="s">
        <v>97</v>
      </c>
      <c r="L1060">
        <v>119121.57</v>
      </c>
      <c r="M1060">
        <v>89930.53</v>
      </c>
      <c r="O1060">
        <v>5</v>
      </c>
      <c r="P1060">
        <v>101</v>
      </c>
      <c r="Q1060">
        <v>1</v>
      </c>
      <c r="R1060">
        <v>182</v>
      </c>
      <c r="S1060">
        <v>116.2</v>
      </c>
      <c r="T1060" t="s">
        <v>37</v>
      </c>
      <c r="U1060" s="3"/>
      <c r="V1060" s="3"/>
      <c r="W1060" s="3"/>
    </row>
    <row r="1061" spans="1:23">
      <c r="A1061" t="s">
        <v>2469</v>
      </c>
      <c r="B1061" t="s">
        <v>1026</v>
      </c>
      <c r="C1061" t="s">
        <v>50</v>
      </c>
      <c r="D1061" s="2">
        <v>29322</v>
      </c>
      <c r="E1061" s="2">
        <v>45797</v>
      </c>
      <c r="F1061" s="2">
        <v>45803</v>
      </c>
      <c r="G1061" t="s">
        <v>141</v>
      </c>
      <c r="H1061" t="s">
        <v>124</v>
      </c>
      <c r="J1061" t="s">
        <v>34</v>
      </c>
      <c r="K1061" t="s">
        <v>27</v>
      </c>
      <c r="L1061">
        <v>161968.38</v>
      </c>
      <c r="M1061">
        <v>116095.76</v>
      </c>
      <c r="O1061">
        <v>6</v>
      </c>
      <c r="P1061">
        <v>89</v>
      </c>
      <c r="Q1061">
        <v>4</v>
      </c>
      <c r="R1061">
        <v>133</v>
      </c>
      <c r="S1061">
        <v>170.8</v>
      </c>
      <c r="U1061" s="3"/>
      <c r="V1061" s="3"/>
      <c r="W1061" s="3"/>
    </row>
    <row r="1062" spans="1:23">
      <c r="A1062" t="s">
        <v>2470</v>
      </c>
      <c r="B1062" t="s">
        <v>2471</v>
      </c>
      <c r="C1062" t="s">
        <v>60</v>
      </c>
      <c r="D1062" t="s">
        <v>2472</v>
      </c>
      <c r="E1062" s="2">
        <v>45239</v>
      </c>
      <c r="F1062" t="s">
        <v>1630</v>
      </c>
      <c r="G1062" t="s">
        <v>109</v>
      </c>
      <c r="H1062" t="s">
        <v>134</v>
      </c>
      <c r="I1062" t="s">
        <v>45</v>
      </c>
      <c r="K1062" t="s">
        <v>72</v>
      </c>
      <c r="L1062">
        <v>199451.54</v>
      </c>
      <c r="M1062">
        <v>169540.41</v>
      </c>
      <c r="N1062" t="s">
        <v>73</v>
      </c>
      <c r="O1062">
        <v>11</v>
      </c>
      <c r="P1062">
        <v>80</v>
      </c>
      <c r="Q1062">
        <v>2</v>
      </c>
      <c r="R1062">
        <v>103</v>
      </c>
      <c r="S1062">
        <v>149</v>
      </c>
      <c r="T1062" t="s">
        <v>57</v>
      </c>
      <c r="U1062" s="3"/>
      <c r="V1062" s="3"/>
      <c r="W1062" s="3"/>
    </row>
    <row r="1063" spans="1:23">
      <c r="A1063" t="s">
        <v>2473</v>
      </c>
      <c r="B1063" t="s">
        <v>689</v>
      </c>
      <c r="D1063" s="2">
        <v>18392</v>
      </c>
      <c r="E1063" t="s">
        <v>2474</v>
      </c>
      <c r="F1063" t="s">
        <v>2475</v>
      </c>
      <c r="G1063" t="s">
        <v>43</v>
      </c>
      <c r="H1063" t="s">
        <v>32</v>
      </c>
      <c r="I1063" t="s">
        <v>45</v>
      </c>
      <c r="L1063">
        <v>48884.55</v>
      </c>
      <c r="M1063">
        <v>43364.5</v>
      </c>
      <c r="N1063" t="s">
        <v>73</v>
      </c>
      <c r="O1063">
        <v>9</v>
      </c>
      <c r="P1063">
        <v>23</v>
      </c>
      <c r="Q1063">
        <v>3</v>
      </c>
      <c r="R1063">
        <v>126</v>
      </c>
      <c r="S1063">
        <v>173.4</v>
      </c>
      <c r="T1063" t="s">
        <v>65</v>
      </c>
      <c r="U1063" s="3"/>
      <c r="V1063" s="3"/>
      <c r="W1063" s="3"/>
    </row>
    <row r="1064" spans="1:23">
      <c r="A1064" t="s">
        <v>2476</v>
      </c>
      <c r="B1064" t="s">
        <v>458</v>
      </c>
      <c r="C1064" t="s">
        <v>22</v>
      </c>
      <c r="D1064" s="2">
        <v>22106</v>
      </c>
      <c r="E1064" s="2">
        <v>44992</v>
      </c>
      <c r="F1064" s="2">
        <v>45008</v>
      </c>
      <c r="G1064" t="s">
        <v>754</v>
      </c>
      <c r="H1064" t="s">
        <v>95</v>
      </c>
      <c r="I1064" t="s">
        <v>119</v>
      </c>
      <c r="J1064" t="s">
        <v>80</v>
      </c>
      <c r="K1064" t="s">
        <v>27</v>
      </c>
      <c r="L1064">
        <v>17141.330000000002</v>
      </c>
      <c r="M1064">
        <v>16853.64</v>
      </c>
      <c r="N1064" t="s">
        <v>73</v>
      </c>
      <c r="O1064">
        <v>16</v>
      </c>
      <c r="P1064">
        <v>17</v>
      </c>
      <c r="Q1064">
        <v>4</v>
      </c>
      <c r="R1064" t="s">
        <v>2477</v>
      </c>
      <c r="S1064">
        <v>179.4</v>
      </c>
      <c r="T1064" t="s">
        <v>37</v>
      </c>
      <c r="U1064" s="3"/>
      <c r="V1064" s="3"/>
      <c r="W1064" s="3"/>
    </row>
    <row r="1065" spans="1:23">
      <c r="A1065" t="s">
        <v>2478</v>
      </c>
      <c r="B1065" t="s">
        <v>1140</v>
      </c>
      <c r="C1065" t="s">
        <v>151</v>
      </c>
      <c r="D1065" s="2">
        <v>19259</v>
      </c>
      <c r="E1065" s="2">
        <v>44961</v>
      </c>
      <c r="F1065" s="2">
        <v>44965</v>
      </c>
      <c r="G1065" t="s">
        <v>94</v>
      </c>
      <c r="H1065" t="s">
        <v>86</v>
      </c>
      <c r="J1065" t="s">
        <v>71</v>
      </c>
      <c r="K1065" t="s">
        <v>110</v>
      </c>
      <c r="L1065">
        <v>209832.04</v>
      </c>
      <c r="M1065">
        <v>167408.87</v>
      </c>
      <c r="O1065">
        <v>4</v>
      </c>
      <c r="P1065">
        <v>122</v>
      </c>
      <c r="Q1065">
        <v>1</v>
      </c>
      <c r="R1065">
        <v>106</v>
      </c>
      <c r="S1065">
        <v>190.8</v>
      </c>
      <c r="T1065" t="s">
        <v>37</v>
      </c>
      <c r="U1065" s="3"/>
      <c r="V1065" s="3"/>
      <c r="W1065" s="3"/>
    </row>
    <row r="1066" spans="1:23">
      <c r="A1066" t="s">
        <v>2479</v>
      </c>
      <c r="B1066" t="s">
        <v>283</v>
      </c>
      <c r="C1066" t="s">
        <v>206</v>
      </c>
      <c r="D1066" s="2">
        <v>26217</v>
      </c>
      <c r="E1066" s="2">
        <v>45686</v>
      </c>
      <c r="G1066" t="s">
        <v>105</v>
      </c>
      <c r="H1066" t="s">
        <v>63</v>
      </c>
      <c r="I1066" t="s">
        <v>45</v>
      </c>
      <c r="J1066" t="s">
        <v>34</v>
      </c>
      <c r="K1066" t="s">
        <v>27</v>
      </c>
      <c r="L1066">
        <v>35665.93</v>
      </c>
      <c r="M1066">
        <v>26964.98</v>
      </c>
      <c r="N1066" t="s">
        <v>73</v>
      </c>
      <c r="O1066">
        <v>12</v>
      </c>
      <c r="P1066">
        <v>118</v>
      </c>
      <c r="Q1066">
        <v>2</v>
      </c>
      <c r="R1066">
        <v>128</v>
      </c>
      <c r="S1066">
        <v>167.6</v>
      </c>
      <c r="T1066" t="s">
        <v>65</v>
      </c>
      <c r="U1066" s="3"/>
      <c r="V1066" s="3"/>
      <c r="W1066" s="3"/>
    </row>
    <row r="1067" spans="1:23">
      <c r="A1067" t="s">
        <v>2480</v>
      </c>
      <c r="B1067" t="s">
        <v>1050</v>
      </c>
      <c r="C1067" t="s">
        <v>84</v>
      </c>
      <c r="D1067" s="2">
        <v>21959</v>
      </c>
      <c r="E1067" s="2">
        <v>45568</v>
      </c>
      <c r="F1067" s="2">
        <v>45572</v>
      </c>
      <c r="G1067" t="s">
        <v>117</v>
      </c>
      <c r="H1067" t="s">
        <v>113</v>
      </c>
      <c r="I1067" t="s">
        <v>53</v>
      </c>
      <c r="J1067" t="s">
        <v>26</v>
      </c>
      <c r="K1067" t="s">
        <v>110</v>
      </c>
      <c r="L1067" t="s">
        <v>2481</v>
      </c>
      <c r="M1067">
        <v>64907.83</v>
      </c>
      <c r="N1067" t="s">
        <v>35</v>
      </c>
      <c r="O1067">
        <v>4</v>
      </c>
      <c r="P1067">
        <v>186</v>
      </c>
      <c r="Q1067">
        <v>5</v>
      </c>
      <c r="R1067">
        <v>130</v>
      </c>
      <c r="S1067">
        <v>98.3</v>
      </c>
      <c r="T1067" t="s">
        <v>47</v>
      </c>
      <c r="U1067" s="3"/>
      <c r="V1067" s="3"/>
      <c r="W1067" s="3"/>
    </row>
    <row r="1068" spans="1:23">
      <c r="A1068" t="s">
        <v>2482</v>
      </c>
      <c r="B1068" t="s">
        <v>2483</v>
      </c>
      <c r="C1068" t="s">
        <v>50</v>
      </c>
      <c r="D1068" s="2">
        <v>34065</v>
      </c>
      <c r="E1068" s="2">
        <v>45114</v>
      </c>
      <c r="F1068" s="2">
        <v>45120</v>
      </c>
      <c r="G1068" t="s">
        <v>109</v>
      </c>
      <c r="H1068" t="s">
        <v>44</v>
      </c>
      <c r="I1068" t="s">
        <v>25</v>
      </c>
      <c r="J1068" t="s">
        <v>97</v>
      </c>
      <c r="K1068" t="s">
        <v>55</v>
      </c>
      <c r="L1068">
        <v>146730.51</v>
      </c>
      <c r="M1068">
        <v>107342.5</v>
      </c>
      <c r="N1068" t="s">
        <v>73</v>
      </c>
      <c r="O1068">
        <v>6</v>
      </c>
      <c r="P1068">
        <v>169</v>
      </c>
      <c r="Q1068">
        <v>1</v>
      </c>
      <c r="R1068">
        <v>163</v>
      </c>
      <c r="S1068">
        <v>117.6</v>
      </c>
      <c r="T1068" t="s">
        <v>47</v>
      </c>
      <c r="U1068" s="3"/>
      <c r="V1068" s="3"/>
      <c r="W1068" s="3"/>
    </row>
    <row r="1069" spans="1:23">
      <c r="A1069" t="s">
        <v>2484</v>
      </c>
      <c r="B1069" t="s">
        <v>604</v>
      </c>
      <c r="C1069" t="s">
        <v>816</v>
      </c>
      <c r="D1069" s="2">
        <v>20174</v>
      </c>
      <c r="E1069" s="2">
        <v>45411</v>
      </c>
      <c r="F1069" s="2">
        <v>45416</v>
      </c>
      <c r="G1069" t="s">
        <v>43</v>
      </c>
      <c r="H1069" t="s">
        <v>207</v>
      </c>
      <c r="I1069" t="s">
        <v>33</v>
      </c>
      <c r="J1069" t="s">
        <v>64</v>
      </c>
      <c r="K1069" t="s">
        <v>161</v>
      </c>
      <c r="L1069">
        <v>225260.99</v>
      </c>
      <c r="M1069">
        <v>222207.25</v>
      </c>
      <c r="N1069" t="s">
        <v>91</v>
      </c>
      <c r="O1069">
        <v>5</v>
      </c>
      <c r="P1069">
        <v>205</v>
      </c>
      <c r="Q1069">
        <v>2</v>
      </c>
      <c r="R1069" t="s">
        <v>1876</v>
      </c>
      <c r="S1069">
        <v>222</v>
      </c>
      <c r="U1069" s="3"/>
      <c r="V1069" s="3"/>
      <c r="W1069" s="3"/>
    </row>
    <row r="1070" spans="1:23">
      <c r="A1070" t="s">
        <v>2485</v>
      </c>
      <c r="B1070" t="s">
        <v>1408</v>
      </c>
      <c r="C1070" t="s">
        <v>40</v>
      </c>
      <c r="D1070" s="2">
        <v>22501</v>
      </c>
      <c r="E1070" s="2">
        <v>45521</v>
      </c>
      <c r="F1070" s="2">
        <v>45526</v>
      </c>
      <c r="G1070" t="s">
        <v>114</v>
      </c>
      <c r="H1070" t="s">
        <v>124</v>
      </c>
      <c r="I1070" t="s">
        <v>25</v>
      </c>
      <c r="J1070" t="s">
        <v>97</v>
      </c>
      <c r="K1070" t="s">
        <v>55</v>
      </c>
      <c r="L1070">
        <v>155763.34</v>
      </c>
      <c r="M1070">
        <v>120790.75</v>
      </c>
      <c r="N1070" t="s">
        <v>56</v>
      </c>
      <c r="O1070">
        <v>5</v>
      </c>
      <c r="P1070">
        <v>133</v>
      </c>
      <c r="Q1070">
        <v>2</v>
      </c>
      <c r="R1070">
        <v>118</v>
      </c>
      <c r="S1070">
        <v>77.5</v>
      </c>
      <c r="T1070" t="s">
        <v>65</v>
      </c>
      <c r="U1070" s="3"/>
      <c r="V1070" s="3"/>
      <c r="W1070" s="3"/>
    </row>
    <row r="1071" spans="1:23">
      <c r="A1071" t="s">
        <v>2486</v>
      </c>
      <c r="B1071" t="s">
        <v>576</v>
      </c>
      <c r="C1071" t="s">
        <v>100</v>
      </c>
      <c r="D1071" s="2">
        <v>21097</v>
      </c>
      <c r="E1071" s="2">
        <v>45000</v>
      </c>
      <c r="F1071" t="s">
        <v>2487</v>
      </c>
      <c r="G1071" t="s">
        <v>141</v>
      </c>
      <c r="H1071" t="s">
        <v>86</v>
      </c>
      <c r="I1071" t="s">
        <v>45</v>
      </c>
      <c r="J1071" t="s">
        <v>46</v>
      </c>
      <c r="K1071" t="s">
        <v>55</v>
      </c>
      <c r="L1071">
        <v>99657.38</v>
      </c>
      <c r="M1071">
        <v>82347.509999999995</v>
      </c>
      <c r="N1071" t="s">
        <v>91</v>
      </c>
      <c r="O1071">
        <v>17</v>
      </c>
      <c r="P1071">
        <v>183</v>
      </c>
      <c r="Q1071">
        <v>4</v>
      </c>
      <c r="R1071">
        <v>102</v>
      </c>
      <c r="S1071">
        <v>154</v>
      </c>
      <c r="T1071" t="s">
        <v>47</v>
      </c>
      <c r="U1071" s="3"/>
      <c r="V1071" s="3"/>
      <c r="W1071" s="3"/>
    </row>
    <row r="1072" spans="1:23">
      <c r="A1072" t="s">
        <v>2488</v>
      </c>
      <c r="B1072" t="s">
        <v>503</v>
      </c>
      <c r="C1072" t="s">
        <v>100</v>
      </c>
      <c r="D1072" s="2">
        <v>34596</v>
      </c>
      <c r="E1072" t="s">
        <v>2489</v>
      </c>
      <c r="F1072" s="2">
        <v>45119</v>
      </c>
      <c r="G1072" t="s">
        <v>70</v>
      </c>
      <c r="H1072" t="s">
        <v>78</v>
      </c>
      <c r="J1072" t="s">
        <v>71</v>
      </c>
      <c r="K1072" t="s">
        <v>114</v>
      </c>
      <c r="L1072">
        <v>11351.77</v>
      </c>
      <c r="M1072">
        <v>8327.7099999999991</v>
      </c>
      <c r="N1072" t="s">
        <v>56</v>
      </c>
      <c r="O1072">
        <v>4</v>
      </c>
      <c r="P1072">
        <v>189</v>
      </c>
      <c r="Q1072">
        <v>4</v>
      </c>
      <c r="R1072">
        <v>190</v>
      </c>
      <c r="S1072">
        <v>100.2</v>
      </c>
      <c r="T1072" t="s">
        <v>47</v>
      </c>
      <c r="U1072" s="3"/>
      <c r="V1072" s="3"/>
      <c r="W1072" s="3"/>
    </row>
    <row r="1073" spans="1:23">
      <c r="A1073" t="s">
        <v>2490</v>
      </c>
      <c r="B1073" t="s">
        <v>108</v>
      </c>
      <c r="C1073" t="s">
        <v>60</v>
      </c>
      <c r="D1073" s="2">
        <v>26661</v>
      </c>
      <c r="E1073" s="2">
        <v>45867</v>
      </c>
      <c r="F1073" s="2">
        <v>45872</v>
      </c>
      <c r="H1073" t="s">
        <v>134</v>
      </c>
      <c r="I1073" t="s">
        <v>45</v>
      </c>
      <c r="J1073" t="s">
        <v>26</v>
      </c>
      <c r="K1073" t="s">
        <v>72</v>
      </c>
      <c r="L1073">
        <v>100107.55</v>
      </c>
      <c r="M1073">
        <v>89960.76</v>
      </c>
      <c r="N1073" t="s">
        <v>35</v>
      </c>
      <c r="O1073" t="s">
        <v>1036</v>
      </c>
      <c r="P1073">
        <v>169</v>
      </c>
      <c r="R1073">
        <v>183</v>
      </c>
      <c r="S1073">
        <v>84.6</v>
      </c>
      <c r="U1073" s="3"/>
      <c r="V1073" s="3"/>
      <c r="W1073" s="3"/>
    </row>
    <row r="1074" spans="1:23">
      <c r="A1074" t="s">
        <v>2491</v>
      </c>
      <c r="B1074" t="s">
        <v>891</v>
      </c>
      <c r="C1074" t="s">
        <v>30</v>
      </c>
      <c r="D1074" s="2">
        <v>27607</v>
      </c>
      <c r="E1074" s="2">
        <v>44954</v>
      </c>
      <c r="F1074" s="2">
        <v>44966</v>
      </c>
      <c r="G1074" t="s">
        <v>109</v>
      </c>
      <c r="I1074" t="s">
        <v>79</v>
      </c>
      <c r="J1074" t="s">
        <v>34</v>
      </c>
      <c r="L1074" t="s">
        <v>2492</v>
      </c>
      <c r="M1074">
        <v>165215.41</v>
      </c>
      <c r="N1074" t="s">
        <v>35</v>
      </c>
      <c r="O1074">
        <v>12</v>
      </c>
      <c r="P1074">
        <v>40</v>
      </c>
      <c r="Q1074">
        <v>4</v>
      </c>
      <c r="R1074">
        <v>117</v>
      </c>
      <c r="S1074">
        <v>201.1</v>
      </c>
      <c r="T1074" t="s">
        <v>81</v>
      </c>
      <c r="U1074" s="3"/>
      <c r="V1074" s="3"/>
      <c r="W1074" s="3"/>
    </row>
    <row r="1075" spans="1:23">
      <c r="A1075" t="s">
        <v>2493</v>
      </c>
      <c r="B1075" t="s">
        <v>756</v>
      </c>
      <c r="C1075" t="s">
        <v>100</v>
      </c>
      <c r="D1075" s="2">
        <v>22381</v>
      </c>
      <c r="E1075" s="2">
        <v>45368</v>
      </c>
      <c r="F1075" t="s">
        <v>2494</v>
      </c>
      <c r="G1075" t="s">
        <v>43</v>
      </c>
      <c r="H1075" t="s">
        <v>63</v>
      </c>
      <c r="K1075" t="s">
        <v>27</v>
      </c>
      <c r="L1075">
        <v>73115.259999999995</v>
      </c>
      <c r="M1075">
        <v>53603.46</v>
      </c>
      <c r="N1075" t="s">
        <v>192</v>
      </c>
      <c r="O1075">
        <v>1</v>
      </c>
      <c r="P1075">
        <v>139</v>
      </c>
      <c r="R1075">
        <v>114</v>
      </c>
      <c r="S1075">
        <v>188.4</v>
      </c>
      <c r="U1075" s="3"/>
      <c r="V1075" s="3"/>
      <c r="W1075" s="3"/>
    </row>
    <row r="1076" spans="1:23">
      <c r="A1076" t="s">
        <v>2495</v>
      </c>
      <c r="B1076" t="s">
        <v>785</v>
      </c>
      <c r="C1076" t="s">
        <v>50</v>
      </c>
      <c r="D1076" s="2">
        <v>31222</v>
      </c>
      <c r="E1076" s="2">
        <v>45488</v>
      </c>
      <c r="F1076" s="2">
        <v>45500</v>
      </c>
      <c r="H1076" t="s">
        <v>255</v>
      </c>
      <c r="I1076" t="s">
        <v>45</v>
      </c>
      <c r="K1076" t="s">
        <v>27</v>
      </c>
      <c r="L1076">
        <v>192900.75</v>
      </c>
      <c r="M1076">
        <v>171257.31</v>
      </c>
      <c r="N1076" t="s">
        <v>192</v>
      </c>
      <c r="O1076">
        <v>12</v>
      </c>
      <c r="P1076">
        <v>205</v>
      </c>
      <c r="Q1076">
        <v>1</v>
      </c>
      <c r="R1076">
        <v>117</v>
      </c>
      <c r="S1076">
        <v>244.7</v>
      </c>
      <c r="T1076" t="s">
        <v>37</v>
      </c>
      <c r="U1076" s="3"/>
      <c r="V1076" s="3"/>
      <c r="W1076" s="3"/>
    </row>
    <row r="1077" spans="1:23">
      <c r="A1077" t="s">
        <v>2496</v>
      </c>
      <c r="B1077" t="s">
        <v>1748</v>
      </c>
      <c r="C1077" t="s">
        <v>133</v>
      </c>
      <c r="D1077" s="2">
        <v>19137</v>
      </c>
      <c r="E1077" s="2">
        <v>45409</v>
      </c>
      <c r="F1077" s="2">
        <v>45423</v>
      </c>
      <c r="G1077" t="s">
        <v>105</v>
      </c>
      <c r="H1077" t="s">
        <v>95</v>
      </c>
      <c r="I1077" t="s">
        <v>96</v>
      </c>
      <c r="J1077" t="s">
        <v>34</v>
      </c>
      <c r="L1077">
        <v>106720.18</v>
      </c>
      <c r="M1077">
        <v>91264.77</v>
      </c>
      <c r="N1077" t="s">
        <v>91</v>
      </c>
      <c r="O1077">
        <v>14</v>
      </c>
      <c r="P1077">
        <v>193</v>
      </c>
      <c r="R1077">
        <v>181</v>
      </c>
      <c r="S1077">
        <v>120.5</v>
      </c>
      <c r="T1077" t="s">
        <v>37</v>
      </c>
      <c r="U1077" s="3"/>
      <c r="V1077" s="3"/>
      <c r="W1077" s="3"/>
    </row>
    <row r="1078" spans="1:23">
      <c r="A1078" t="s">
        <v>2497</v>
      </c>
      <c r="B1078" t="s">
        <v>143</v>
      </c>
      <c r="C1078" t="s">
        <v>84</v>
      </c>
      <c r="D1078" s="2">
        <v>25220</v>
      </c>
      <c r="E1078" s="2">
        <v>45138</v>
      </c>
      <c r="F1078" s="2">
        <v>45142</v>
      </c>
      <c r="G1078" t="s">
        <v>109</v>
      </c>
      <c r="H1078" t="s">
        <v>44</v>
      </c>
      <c r="I1078" t="s">
        <v>33</v>
      </c>
      <c r="J1078" t="s">
        <v>46</v>
      </c>
      <c r="K1078" t="s">
        <v>55</v>
      </c>
      <c r="L1078">
        <v>111254.56</v>
      </c>
      <c r="M1078">
        <v>73476.929999999993</v>
      </c>
      <c r="N1078" t="s">
        <v>73</v>
      </c>
      <c r="O1078">
        <v>4</v>
      </c>
      <c r="P1078">
        <v>84</v>
      </c>
      <c r="Q1078">
        <v>4</v>
      </c>
      <c r="R1078" t="s">
        <v>536</v>
      </c>
      <c r="S1078">
        <v>142.1</v>
      </c>
      <c r="T1078" t="s">
        <v>37</v>
      </c>
      <c r="U1078" s="3"/>
      <c r="V1078" s="3"/>
      <c r="W1078" s="3"/>
    </row>
    <row r="1079" spans="1:23">
      <c r="A1079" t="s">
        <v>2498</v>
      </c>
      <c r="B1079" t="s">
        <v>427</v>
      </c>
      <c r="C1079" t="s">
        <v>50</v>
      </c>
      <c r="D1079" t="s">
        <v>2499</v>
      </c>
      <c r="E1079" s="2">
        <v>45479</v>
      </c>
      <c r="F1079" s="2">
        <v>45492</v>
      </c>
      <c r="G1079" t="s">
        <v>109</v>
      </c>
      <c r="H1079" t="s">
        <v>124</v>
      </c>
      <c r="I1079" t="s">
        <v>79</v>
      </c>
      <c r="J1079" t="s">
        <v>64</v>
      </c>
      <c r="K1079" t="s">
        <v>388</v>
      </c>
      <c r="L1079">
        <v>242519.72</v>
      </c>
      <c r="M1079">
        <v>196287.89</v>
      </c>
      <c r="N1079" t="s">
        <v>35</v>
      </c>
      <c r="O1079">
        <v>13</v>
      </c>
      <c r="P1079">
        <v>70</v>
      </c>
      <c r="Q1079">
        <v>4</v>
      </c>
      <c r="R1079" t="s">
        <v>2500</v>
      </c>
      <c r="S1079">
        <v>155.9</v>
      </c>
      <c r="T1079" t="s">
        <v>65</v>
      </c>
      <c r="U1079" s="3"/>
      <c r="V1079" s="3"/>
      <c r="W1079" s="3"/>
    </row>
    <row r="1080" spans="1:23">
      <c r="A1080" t="s">
        <v>2501</v>
      </c>
      <c r="B1080" t="s">
        <v>875</v>
      </c>
      <c r="C1080" t="s">
        <v>100</v>
      </c>
      <c r="D1080" s="2">
        <v>18297</v>
      </c>
      <c r="E1080" t="s">
        <v>2502</v>
      </c>
      <c r="F1080" t="s">
        <v>1576</v>
      </c>
      <c r="G1080" t="s">
        <v>70</v>
      </c>
      <c r="H1080" t="s">
        <v>124</v>
      </c>
      <c r="I1080" t="s">
        <v>45</v>
      </c>
      <c r="J1080" t="s">
        <v>186</v>
      </c>
      <c r="K1080" t="s">
        <v>27</v>
      </c>
      <c r="L1080">
        <v>95660.800000000003</v>
      </c>
      <c r="M1080">
        <v>72446.38</v>
      </c>
      <c r="N1080" t="s">
        <v>106</v>
      </c>
      <c r="O1080">
        <v>5</v>
      </c>
      <c r="P1080" t="s">
        <v>2503</v>
      </c>
      <c r="Q1080">
        <v>3</v>
      </c>
      <c r="R1080">
        <v>178</v>
      </c>
      <c r="S1080">
        <v>88.8</v>
      </c>
      <c r="U1080" s="3"/>
      <c r="V1080" s="3"/>
      <c r="W1080" s="3"/>
    </row>
    <row r="1081" spans="1:23">
      <c r="A1081" t="s">
        <v>2504</v>
      </c>
      <c r="B1081" t="s">
        <v>112</v>
      </c>
      <c r="C1081" t="s">
        <v>22</v>
      </c>
      <c r="D1081" s="2">
        <v>18982</v>
      </c>
      <c r="E1081" s="2">
        <v>45101</v>
      </c>
      <c r="F1081" s="2">
        <v>45115</v>
      </c>
      <c r="G1081" t="s">
        <v>105</v>
      </c>
      <c r="H1081" t="s">
        <v>24</v>
      </c>
      <c r="I1081" t="s">
        <v>33</v>
      </c>
      <c r="J1081" t="s">
        <v>26</v>
      </c>
      <c r="K1081" t="s">
        <v>161</v>
      </c>
      <c r="M1081">
        <v>39251.370000000003</v>
      </c>
      <c r="N1081" t="s">
        <v>794</v>
      </c>
      <c r="O1081">
        <v>14</v>
      </c>
      <c r="P1081">
        <v>224</v>
      </c>
      <c r="Q1081">
        <v>1</v>
      </c>
      <c r="R1081">
        <v>120</v>
      </c>
      <c r="S1081">
        <v>122.3</v>
      </c>
      <c r="T1081" t="s">
        <v>37</v>
      </c>
      <c r="U1081" s="3"/>
      <c r="V1081" s="3"/>
      <c r="W1081" s="3"/>
    </row>
    <row r="1082" spans="1:23">
      <c r="A1082" t="s">
        <v>2505</v>
      </c>
      <c r="B1082" t="s">
        <v>684</v>
      </c>
      <c r="C1082" t="s">
        <v>40</v>
      </c>
      <c r="D1082" s="2">
        <v>25282</v>
      </c>
      <c r="E1082" s="2">
        <v>45654</v>
      </c>
      <c r="F1082" s="2">
        <v>45663</v>
      </c>
      <c r="G1082" t="s">
        <v>31</v>
      </c>
      <c r="I1082" t="s">
        <v>79</v>
      </c>
      <c r="K1082" t="s">
        <v>110</v>
      </c>
      <c r="L1082">
        <v>84002.51</v>
      </c>
      <c r="M1082">
        <v>79852.12</v>
      </c>
      <c r="N1082" t="s">
        <v>192</v>
      </c>
      <c r="O1082">
        <v>9</v>
      </c>
      <c r="P1082">
        <v>194</v>
      </c>
      <c r="R1082">
        <v>179</v>
      </c>
      <c r="S1082">
        <v>202.7</v>
      </c>
      <c r="T1082" t="s">
        <v>65</v>
      </c>
      <c r="U1082" s="3"/>
      <c r="V1082" s="3"/>
      <c r="W1082" s="3"/>
    </row>
    <row r="1083" spans="1:23">
      <c r="A1083" t="s">
        <v>2506</v>
      </c>
      <c r="B1083" t="s">
        <v>2507</v>
      </c>
      <c r="C1083" t="s">
        <v>206</v>
      </c>
      <c r="D1083" s="2">
        <v>23141</v>
      </c>
      <c r="E1083" s="2">
        <v>45871</v>
      </c>
      <c r="F1083" t="s">
        <v>2508</v>
      </c>
      <c r="G1083" t="s">
        <v>105</v>
      </c>
      <c r="H1083" t="s">
        <v>634</v>
      </c>
      <c r="I1083" t="s">
        <v>53</v>
      </c>
      <c r="J1083" t="s">
        <v>80</v>
      </c>
      <c r="K1083" t="s">
        <v>161</v>
      </c>
      <c r="L1083">
        <v>79978.52</v>
      </c>
      <c r="M1083">
        <v>75566.460000000006</v>
      </c>
      <c r="N1083" t="s">
        <v>192</v>
      </c>
      <c r="O1083">
        <v>10</v>
      </c>
      <c r="P1083">
        <v>187</v>
      </c>
      <c r="Q1083">
        <v>4</v>
      </c>
      <c r="R1083">
        <v>160</v>
      </c>
      <c r="S1083">
        <v>113.3</v>
      </c>
      <c r="T1083" t="s">
        <v>47</v>
      </c>
      <c r="U1083" s="3"/>
      <c r="V1083" s="3"/>
      <c r="W1083" s="3"/>
    </row>
    <row r="1084" spans="1:23">
      <c r="A1084" t="s">
        <v>2509</v>
      </c>
      <c r="B1084" t="s">
        <v>368</v>
      </c>
      <c r="D1084" s="2">
        <v>25163</v>
      </c>
      <c r="E1084" s="2">
        <v>45618</v>
      </c>
      <c r="F1084" s="2">
        <v>45633</v>
      </c>
      <c r="G1084" t="s">
        <v>161</v>
      </c>
      <c r="H1084" t="s">
        <v>153</v>
      </c>
      <c r="I1084" t="s">
        <v>45</v>
      </c>
      <c r="J1084" t="s">
        <v>166</v>
      </c>
      <c r="K1084" t="s">
        <v>27</v>
      </c>
      <c r="L1084" t="s">
        <v>2510</v>
      </c>
      <c r="M1084">
        <v>152586.99</v>
      </c>
      <c r="N1084" t="s">
        <v>192</v>
      </c>
      <c r="O1084">
        <v>15</v>
      </c>
      <c r="P1084">
        <v>77</v>
      </c>
      <c r="Q1084">
        <v>2</v>
      </c>
      <c r="R1084">
        <v>179</v>
      </c>
      <c r="S1084">
        <v>245</v>
      </c>
      <c r="T1084" t="s">
        <v>65</v>
      </c>
      <c r="U1084" s="3"/>
      <c r="V1084" s="3"/>
      <c r="W1084" s="3"/>
    </row>
    <row r="1085" spans="1:23">
      <c r="A1085" t="s">
        <v>2511</v>
      </c>
      <c r="B1085" t="s">
        <v>700</v>
      </c>
      <c r="C1085" t="s">
        <v>50</v>
      </c>
      <c r="D1085" s="2">
        <v>38555</v>
      </c>
      <c r="E1085" s="2">
        <v>45934</v>
      </c>
      <c r="F1085" s="2">
        <v>45952</v>
      </c>
      <c r="G1085" t="s">
        <v>94</v>
      </c>
      <c r="H1085" t="s">
        <v>24</v>
      </c>
      <c r="I1085" t="s">
        <v>53</v>
      </c>
      <c r="J1085" t="s">
        <v>34</v>
      </c>
      <c r="K1085" t="s">
        <v>120</v>
      </c>
      <c r="L1085">
        <v>221601.93</v>
      </c>
      <c r="M1085">
        <v>164665.04999999999</v>
      </c>
      <c r="N1085" t="s">
        <v>162</v>
      </c>
      <c r="O1085">
        <v>18</v>
      </c>
      <c r="P1085">
        <v>121</v>
      </c>
      <c r="R1085">
        <v>102</v>
      </c>
      <c r="S1085">
        <v>227.3</v>
      </c>
      <c r="T1085" t="s">
        <v>65</v>
      </c>
      <c r="U1085" s="3"/>
      <c r="V1085" s="3"/>
      <c r="W1085" s="3"/>
    </row>
    <row r="1086" spans="1:23">
      <c r="A1086" t="s">
        <v>2512</v>
      </c>
      <c r="B1086" t="s">
        <v>218</v>
      </c>
      <c r="D1086" s="2">
        <v>20865</v>
      </c>
      <c r="E1086" s="2">
        <v>45171</v>
      </c>
      <c r="F1086" t="s">
        <v>2513</v>
      </c>
      <c r="G1086" t="s">
        <v>43</v>
      </c>
      <c r="H1086" t="s">
        <v>44</v>
      </c>
      <c r="I1086" t="s">
        <v>96</v>
      </c>
      <c r="J1086" t="s">
        <v>34</v>
      </c>
      <c r="K1086" t="s">
        <v>72</v>
      </c>
      <c r="L1086">
        <v>178859.59</v>
      </c>
      <c r="M1086">
        <v>177133.78</v>
      </c>
      <c r="O1086">
        <v>3</v>
      </c>
      <c r="P1086">
        <v>154</v>
      </c>
      <c r="R1086">
        <v>120</v>
      </c>
      <c r="S1086">
        <v>81.5</v>
      </c>
      <c r="T1086" t="s">
        <v>37</v>
      </c>
      <c r="U1086" s="3"/>
      <c r="V1086" s="3"/>
      <c r="W1086" s="3"/>
    </row>
    <row r="1087" spans="1:23">
      <c r="A1087" t="s">
        <v>2514</v>
      </c>
      <c r="B1087" t="s">
        <v>622</v>
      </c>
      <c r="C1087" t="s">
        <v>60</v>
      </c>
      <c r="D1087" s="2">
        <v>23978</v>
      </c>
      <c r="E1087" t="s">
        <v>2515</v>
      </c>
      <c r="F1087" s="2">
        <v>45925</v>
      </c>
      <c r="G1087" t="s">
        <v>106</v>
      </c>
      <c r="H1087" t="s">
        <v>153</v>
      </c>
      <c r="J1087" t="s">
        <v>34</v>
      </c>
      <c r="K1087" t="s">
        <v>72</v>
      </c>
      <c r="L1087">
        <v>3671.14</v>
      </c>
      <c r="M1087">
        <v>3027.55</v>
      </c>
      <c r="N1087" t="s">
        <v>192</v>
      </c>
      <c r="O1087">
        <v>10</v>
      </c>
      <c r="P1087">
        <v>232</v>
      </c>
      <c r="Q1087">
        <v>2</v>
      </c>
      <c r="R1087">
        <v>170</v>
      </c>
      <c r="S1087">
        <v>97.9</v>
      </c>
      <c r="T1087" t="s">
        <v>721</v>
      </c>
      <c r="U1087" s="3"/>
      <c r="V1087" s="3"/>
      <c r="W1087" s="3"/>
    </row>
    <row r="1088" spans="1:23">
      <c r="A1088" t="s">
        <v>2516</v>
      </c>
      <c r="B1088" t="s">
        <v>132</v>
      </c>
      <c r="C1088" t="s">
        <v>133</v>
      </c>
      <c r="D1088" s="2">
        <v>32711</v>
      </c>
      <c r="E1088" s="2">
        <v>45758</v>
      </c>
      <c r="F1088" s="2">
        <v>45772</v>
      </c>
      <c r="G1088" t="s">
        <v>62</v>
      </c>
      <c r="I1088" t="s">
        <v>79</v>
      </c>
      <c r="K1088" t="s">
        <v>110</v>
      </c>
      <c r="L1088" t="s">
        <v>2517</v>
      </c>
      <c r="M1088">
        <v>197056.07</v>
      </c>
      <c r="N1088" t="s">
        <v>192</v>
      </c>
      <c r="O1088">
        <v>14</v>
      </c>
      <c r="Q1088">
        <v>5</v>
      </c>
      <c r="R1088">
        <v>148</v>
      </c>
      <c r="S1088">
        <v>82</v>
      </c>
      <c r="T1088" t="s">
        <v>65</v>
      </c>
      <c r="U1088" s="3"/>
      <c r="V1088" s="3"/>
      <c r="W1088" s="3"/>
    </row>
    <row r="1089" spans="1:23">
      <c r="A1089" t="s">
        <v>2518</v>
      </c>
      <c r="B1089" t="s">
        <v>218</v>
      </c>
      <c r="C1089" t="s">
        <v>133</v>
      </c>
      <c r="D1089" s="2">
        <v>36997</v>
      </c>
      <c r="E1089" s="2">
        <v>45992</v>
      </c>
      <c r="F1089" t="s">
        <v>2519</v>
      </c>
      <c r="G1089" t="s">
        <v>89</v>
      </c>
      <c r="H1089" t="s">
        <v>78</v>
      </c>
      <c r="I1089" t="s">
        <v>79</v>
      </c>
      <c r="J1089" t="s">
        <v>34</v>
      </c>
      <c r="K1089" t="s">
        <v>161</v>
      </c>
      <c r="L1089">
        <v>188486.38</v>
      </c>
      <c r="M1089">
        <v>130186.6</v>
      </c>
      <c r="N1089" t="s">
        <v>91</v>
      </c>
      <c r="O1089">
        <v>2</v>
      </c>
      <c r="P1089">
        <v>14</v>
      </c>
      <c r="R1089">
        <v>186</v>
      </c>
      <c r="S1089">
        <v>204.2</v>
      </c>
      <c r="T1089" t="s">
        <v>57</v>
      </c>
      <c r="U1089" s="3"/>
      <c r="V1089" s="3"/>
      <c r="W1089" s="3"/>
    </row>
    <row r="1090" spans="1:23">
      <c r="A1090" t="s">
        <v>2520</v>
      </c>
      <c r="B1090" t="s">
        <v>1293</v>
      </c>
      <c r="C1090" t="s">
        <v>50</v>
      </c>
      <c r="D1090" s="2">
        <v>19597</v>
      </c>
      <c r="E1090" s="2">
        <v>45513</v>
      </c>
      <c r="F1090" s="2">
        <v>45522</v>
      </c>
      <c r="G1090" t="s">
        <v>43</v>
      </c>
      <c r="H1090" t="s">
        <v>63</v>
      </c>
      <c r="J1090" t="s">
        <v>97</v>
      </c>
      <c r="L1090">
        <v>108199.95</v>
      </c>
      <c r="M1090">
        <v>83068.179999999993</v>
      </c>
      <c r="N1090" t="s">
        <v>73</v>
      </c>
      <c r="O1090">
        <v>9</v>
      </c>
      <c r="P1090">
        <v>75</v>
      </c>
      <c r="Q1090">
        <v>2</v>
      </c>
      <c r="R1090">
        <v>188</v>
      </c>
      <c r="S1090">
        <v>183.6</v>
      </c>
      <c r="T1090" t="s">
        <v>47</v>
      </c>
      <c r="U1090" s="3"/>
      <c r="V1090" s="3"/>
      <c r="W1090" s="3"/>
    </row>
    <row r="1091" spans="1:23">
      <c r="A1091" t="s">
        <v>2521</v>
      </c>
      <c r="B1091" t="s">
        <v>2249</v>
      </c>
      <c r="C1091" t="s">
        <v>60</v>
      </c>
      <c r="D1091" t="s">
        <v>2522</v>
      </c>
      <c r="E1091" s="2">
        <v>45389</v>
      </c>
      <c r="F1091" s="2">
        <v>45391</v>
      </c>
      <c r="G1091" t="s">
        <v>106</v>
      </c>
      <c r="H1091" t="s">
        <v>153</v>
      </c>
      <c r="I1091" t="s">
        <v>79</v>
      </c>
      <c r="J1091" t="s">
        <v>71</v>
      </c>
      <c r="L1091">
        <v>87965.03</v>
      </c>
      <c r="M1091">
        <v>86710.12</v>
      </c>
      <c r="N1091" t="s">
        <v>35</v>
      </c>
      <c r="O1091">
        <v>2</v>
      </c>
      <c r="P1091" t="s">
        <v>2523</v>
      </c>
      <c r="Q1091">
        <v>4</v>
      </c>
      <c r="R1091">
        <v>91</v>
      </c>
      <c r="S1091">
        <v>186.2</v>
      </c>
      <c r="U1091" s="3"/>
      <c r="V1091" s="3"/>
      <c r="W1091" s="3"/>
    </row>
    <row r="1092" spans="1:23">
      <c r="A1092" t="s">
        <v>2524</v>
      </c>
      <c r="B1092" t="s">
        <v>992</v>
      </c>
      <c r="C1092" t="s">
        <v>30</v>
      </c>
      <c r="D1092" t="s">
        <v>2525</v>
      </c>
      <c r="E1092" t="s">
        <v>2526</v>
      </c>
      <c r="F1092" s="2">
        <v>45182</v>
      </c>
      <c r="G1092" t="s">
        <v>89</v>
      </c>
      <c r="H1092" t="s">
        <v>86</v>
      </c>
      <c r="K1092" t="s">
        <v>27</v>
      </c>
      <c r="L1092">
        <v>149404.79</v>
      </c>
      <c r="M1092">
        <v>107355.5</v>
      </c>
      <c r="N1092" t="s">
        <v>91</v>
      </c>
      <c r="O1092">
        <v>5</v>
      </c>
      <c r="P1092" t="s">
        <v>2527</v>
      </c>
      <c r="Q1092">
        <v>5</v>
      </c>
      <c r="R1092">
        <v>116</v>
      </c>
      <c r="S1092">
        <v>145.9</v>
      </c>
      <c r="T1092" t="s">
        <v>37</v>
      </c>
      <c r="U1092" s="3"/>
      <c r="V1092" s="3"/>
      <c r="W1092" s="3"/>
    </row>
    <row r="1093" spans="1:23">
      <c r="A1093" t="s">
        <v>2528</v>
      </c>
      <c r="B1093" t="s">
        <v>76</v>
      </c>
      <c r="C1093" t="s">
        <v>206</v>
      </c>
      <c r="D1093" s="2">
        <v>21291</v>
      </c>
      <c r="E1093" s="2">
        <v>45288</v>
      </c>
      <c r="F1093" s="2">
        <v>45294</v>
      </c>
      <c r="G1093" t="s">
        <v>117</v>
      </c>
      <c r="H1093" t="s">
        <v>86</v>
      </c>
      <c r="I1093" t="s">
        <v>33</v>
      </c>
      <c r="J1093" t="s">
        <v>179</v>
      </c>
      <c r="K1093" t="s">
        <v>110</v>
      </c>
      <c r="L1093">
        <v>60186.71</v>
      </c>
      <c r="M1093">
        <v>55085.18</v>
      </c>
      <c r="N1093" t="s">
        <v>56</v>
      </c>
      <c r="O1093">
        <v>6</v>
      </c>
      <c r="P1093">
        <v>216</v>
      </c>
      <c r="Q1093">
        <v>1</v>
      </c>
      <c r="R1093">
        <v>90</v>
      </c>
      <c r="S1093">
        <v>173.2</v>
      </c>
      <c r="T1093" t="s">
        <v>37</v>
      </c>
      <c r="U1093" s="3"/>
      <c r="V1093" s="3"/>
      <c r="W1093" s="3"/>
    </row>
    <row r="1094" spans="1:23">
      <c r="A1094" t="s">
        <v>2529</v>
      </c>
      <c r="B1094" t="s">
        <v>676</v>
      </c>
      <c r="C1094" t="s">
        <v>84</v>
      </c>
      <c r="D1094" t="s">
        <v>2530</v>
      </c>
      <c r="E1094" t="s">
        <v>818</v>
      </c>
      <c r="F1094" s="2">
        <v>46028</v>
      </c>
      <c r="G1094" t="s">
        <v>141</v>
      </c>
      <c r="H1094" t="s">
        <v>78</v>
      </c>
      <c r="I1094" t="s">
        <v>33</v>
      </c>
      <c r="J1094" t="s">
        <v>97</v>
      </c>
      <c r="K1094" t="s">
        <v>72</v>
      </c>
      <c r="L1094">
        <v>91611.72</v>
      </c>
      <c r="M1094">
        <v>84181.35</v>
      </c>
      <c r="N1094" t="s">
        <v>73</v>
      </c>
      <c r="O1094">
        <v>9</v>
      </c>
      <c r="Q1094">
        <v>1</v>
      </c>
      <c r="R1094">
        <v>124</v>
      </c>
      <c r="S1094">
        <v>158.30000000000001</v>
      </c>
      <c r="T1094" t="s">
        <v>37</v>
      </c>
      <c r="U1094" s="3"/>
      <c r="V1094" s="3"/>
      <c r="W1094" s="3"/>
    </row>
    <row r="1095" spans="1:23">
      <c r="A1095" t="s">
        <v>2531</v>
      </c>
      <c r="B1095" t="s">
        <v>283</v>
      </c>
      <c r="C1095" t="s">
        <v>50</v>
      </c>
      <c r="D1095" s="2">
        <v>25347</v>
      </c>
      <c r="E1095" s="2">
        <v>45222</v>
      </c>
      <c r="F1095" s="2">
        <v>45226</v>
      </c>
      <c r="G1095" t="s">
        <v>141</v>
      </c>
      <c r="H1095" t="s">
        <v>153</v>
      </c>
      <c r="I1095" t="s">
        <v>45</v>
      </c>
      <c r="J1095" t="s">
        <v>34</v>
      </c>
      <c r="K1095" t="s">
        <v>27</v>
      </c>
      <c r="L1095">
        <v>156129.20000000001</v>
      </c>
      <c r="M1095">
        <v>129668.87</v>
      </c>
      <c r="O1095">
        <v>4</v>
      </c>
      <c r="P1095">
        <v>12</v>
      </c>
      <c r="Q1095">
        <v>5</v>
      </c>
      <c r="R1095">
        <v>116</v>
      </c>
      <c r="S1095">
        <v>205.5</v>
      </c>
      <c r="U1095" s="3"/>
      <c r="V1095" s="3"/>
      <c r="W1095" s="3"/>
    </row>
    <row r="1096" spans="1:23">
      <c r="A1096" t="s">
        <v>2532</v>
      </c>
      <c r="B1096" t="s">
        <v>1230</v>
      </c>
      <c r="D1096" s="2">
        <v>19104</v>
      </c>
      <c r="E1096" s="2">
        <v>45862</v>
      </c>
      <c r="F1096" s="2">
        <v>45877</v>
      </c>
      <c r="G1096" t="s">
        <v>141</v>
      </c>
      <c r="H1096" t="s">
        <v>376</v>
      </c>
      <c r="I1096" t="s">
        <v>45</v>
      </c>
      <c r="J1096" t="s">
        <v>80</v>
      </c>
      <c r="K1096" t="s">
        <v>72</v>
      </c>
      <c r="L1096">
        <v>22374.91</v>
      </c>
      <c r="N1096" t="s">
        <v>192</v>
      </c>
      <c r="O1096">
        <v>15</v>
      </c>
      <c r="P1096" t="s">
        <v>2533</v>
      </c>
      <c r="Q1096">
        <v>2</v>
      </c>
      <c r="R1096">
        <v>166</v>
      </c>
      <c r="S1096">
        <v>166.9</v>
      </c>
      <c r="T1096" t="s">
        <v>37</v>
      </c>
      <c r="U1096" s="3"/>
      <c r="V1096" s="3"/>
      <c r="W1096" s="3"/>
    </row>
    <row r="1097" spans="1:23">
      <c r="A1097" t="s">
        <v>2534</v>
      </c>
      <c r="B1097" t="s">
        <v>2293</v>
      </c>
      <c r="C1097" t="s">
        <v>133</v>
      </c>
      <c r="D1097" s="2">
        <v>27713</v>
      </c>
      <c r="E1097" s="2">
        <v>45384</v>
      </c>
      <c r="F1097" t="s">
        <v>2535</v>
      </c>
      <c r="G1097" t="s">
        <v>77</v>
      </c>
      <c r="H1097" t="s">
        <v>52</v>
      </c>
      <c r="I1097" t="s">
        <v>96</v>
      </c>
      <c r="K1097" t="s">
        <v>55</v>
      </c>
      <c r="L1097">
        <v>145309</v>
      </c>
      <c r="M1097">
        <v>108358.63</v>
      </c>
      <c r="N1097" t="s">
        <v>73</v>
      </c>
      <c r="O1097">
        <v>10</v>
      </c>
      <c r="P1097">
        <v>41</v>
      </c>
      <c r="R1097">
        <v>164</v>
      </c>
      <c r="S1097">
        <v>138.1</v>
      </c>
      <c r="T1097" t="s">
        <v>37</v>
      </c>
      <c r="U1097" s="3"/>
      <c r="V1097" s="3"/>
      <c r="W1097" s="3"/>
    </row>
    <row r="1098" spans="1:23">
      <c r="A1098" t="s">
        <v>2536</v>
      </c>
      <c r="B1098" t="s">
        <v>550</v>
      </c>
      <c r="C1098" t="s">
        <v>100</v>
      </c>
      <c r="D1098" t="s">
        <v>2537</v>
      </c>
      <c r="E1098" s="2">
        <v>45393</v>
      </c>
      <c r="F1098" s="2">
        <v>45402</v>
      </c>
      <c r="G1098" t="s">
        <v>117</v>
      </c>
      <c r="H1098" t="s">
        <v>44</v>
      </c>
      <c r="I1098" t="s">
        <v>25</v>
      </c>
      <c r="J1098" t="s">
        <v>80</v>
      </c>
      <c r="K1098" t="s">
        <v>27</v>
      </c>
      <c r="L1098">
        <v>140192.03</v>
      </c>
      <c r="M1098">
        <v>111609.05</v>
      </c>
      <c r="N1098" t="s">
        <v>73</v>
      </c>
      <c r="O1098">
        <v>9</v>
      </c>
      <c r="Q1098">
        <v>5</v>
      </c>
      <c r="R1098">
        <v>143</v>
      </c>
      <c r="S1098">
        <v>138.80000000000001</v>
      </c>
      <c r="U1098" s="3"/>
      <c r="V1098" s="3"/>
      <c r="W1098" s="3"/>
    </row>
    <row r="1099" spans="1:23">
      <c r="A1099" t="s">
        <v>2538</v>
      </c>
      <c r="B1099" t="s">
        <v>845</v>
      </c>
      <c r="C1099" t="s">
        <v>30</v>
      </c>
      <c r="D1099" t="s">
        <v>2539</v>
      </c>
      <c r="E1099" s="2">
        <v>45270</v>
      </c>
      <c r="F1099" s="2">
        <v>45282</v>
      </c>
      <c r="G1099" t="s">
        <v>141</v>
      </c>
      <c r="J1099" t="s">
        <v>80</v>
      </c>
      <c r="K1099" t="s">
        <v>388</v>
      </c>
      <c r="L1099">
        <v>180654.56</v>
      </c>
      <c r="M1099">
        <v>135672.22</v>
      </c>
      <c r="N1099" t="s">
        <v>56</v>
      </c>
      <c r="O1099">
        <v>12</v>
      </c>
      <c r="P1099">
        <v>191</v>
      </c>
      <c r="Q1099">
        <v>4</v>
      </c>
      <c r="R1099">
        <v>126</v>
      </c>
      <c r="S1099">
        <v>244.4</v>
      </c>
      <c r="T1099" t="s">
        <v>37</v>
      </c>
      <c r="U1099" s="3"/>
      <c r="V1099" s="3"/>
      <c r="W1099" s="3"/>
    </row>
    <row r="1100" spans="1:23">
      <c r="A1100" t="s">
        <v>2540</v>
      </c>
      <c r="B1100" t="s">
        <v>249</v>
      </c>
      <c r="C1100" t="s">
        <v>156</v>
      </c>
      <c r="D1100" t="s">
        <v>2541</v>
      </c>
      <c r="E1100" s="2">
        <v>45242</v>
      </c>
      <c r="F1100" s="2">
        <v>45256</v>
      </c>
      <c r="G1100" t="s">
        <v>902</v>
      </c>
      <c r="H1100" t="s">
        <v>32</v>
      </c>
      <c r="I1100" t="s">
        <v>45</v>
      </c>
      <c r="J1100" t="s">
        <v>34</v>
      </c>
      <c r="K1100" t="s">
        <v>27</v>
      </c>
      <c r="L1100">
        <v>129739.26</v>
      </c>
      <c r="M1100">
        <v>94453.84</v>
      </c>
      <c r="N1100" t="s">
        <v>35</v>
      </c>
      <c r="O1100" t="s">
        <v>2124</v>
      </c>
      <c r="P1100">
        <v>76</v>
      </c>
      <c r="Q1100">
        <v>2</v>
      </c>
      <c r="S1100">
        <v>258.39999999999998</v>
      </c>
      <c r="T1100" t="s">
        <v>37</v>
      </c>
      <c r="U1100" s="3"/>
      <c r="V1100" s="3"/>
      <c r="W1100" s="3"/>
    </row>
    <row r="1101" spans="1:23">
      <c r="A1101" t="s">
        <v>2542</v>
      </c>
      <c r="B1101" t="s">
        <v>1079</v>
      </c>
      <c r="C1101" t="s">
        <v>206</v>
      </c>
      <c r="D1101" s="2">
        <v>37369</v>
      </c>
      <c r="E1101" s="2">
        <v>45483</v>
      </c>
      <c r="F1101" s="2">
        <v>45497</v>
      </c>
      <c r="G1101" t="s">
        <v>117</v>
      </c>
      <c r="I1101" t="s">
        <v>96</v>
      </c>
      <c r="J1101" t="s">
        <v>71</v>
      </c>
      <c r="K1101" t="s">
        <v>110</v>
      </c>
      <c r="L1101">
        <v>228756.23</v>
      </c>
      <c r="M1101">
        <v>207390.36</v>
      </c>
      <c r="N1101" t="s">
        <v>73</v>
      </c>
      <c r="O1101">
        <v>14</v>
      </c>
      <c r="P1101">
        <v>64</v>
      </c>
      <c r="R1101">
        <v>146</v>
      </c>
      <c r="S1101">
        <v>215.9</v>
      </c>
      <c r="T1101" t="s">
        <v>37</v>
      </c>
      <c r="U1101" s="3"/>
      <c r="V1101" s="3"/>
      <c r="W1101" s="3"/>
    </row>
    <row r="1102" spans="1:23">
      <c r="A1102" t="s">
        <v>2543</v>
      </c>
      <c r="B1102" t="s">
        <v>436</v>
      </c>
      <c r="C1102" t="s">
        <v>206</v>
      </c>
      <c r="D1102" s="2">
        <v>28540</v>
      </c>
      <c r="E1102" s="2">
        <v>46009</v>
      </c>
      <c r="F1102" s="2">
        <v>46027</v>
      </c>
      <c r="G1102" t="s">
        <v>77</v>
      </c>
      <c r="H1102" t="s">
        <v>44</v>
      </c>
      <c r="I1102" t="s">
        <v>45</v>
      </c>
      <c r="J1102" t="s">
        <v>663</v>
      </c>
      <c r="K1102" t="s">
        <v>110</v>
      </c>
      <c r="L1102">
        <v>90303.15</v>
      </c>
      <c r="M1102">
        <v>76869.740000000005</v>
      </c>
      <c r="N1102" t="s">
        <v>192</v>
      </c>
      <c r="O1102">
        <v>18</v>
      </c>
      <c r="P1102">
        <v>135</v>
      </c>
      <c r="Q1102">
        <v>5</v>
      </c>
      <c r="R1102">
        <v>169</v>
      </c>
      <c r="S1102">
        <v>110.7</v>
      </c>
      <c r="T1102" t="s">
        <v>37</v>
      </c>
      <c r="U1102" s="3"/>
      <c r="V1102" s="3"/>
      <c r="W1102" s="3"/>
    </row>
    <row r="1103" spans="1:23">
      <c r="A1103" t="s">
        <v>2544</v>
      </c>
      <c r="B1103" t="s">
        <v>661</v>
      </c>
      <c r="C1103" t="s">
        <v>100</v>
      </c>
      <c r="D1103" t="s">
        <v>2545</v>
      </c>
      <c r="E1103" s="2">
        <v>45441</v>
      </c>
      <c r="F1103" s="2">
        <v>45458</v>
      </c>
      <c r="G1103" t="s">
        <v>105</v>
      </c>
      <c r="H1103" t="s">
        <v>124</v>
      </c>
      <c r="I1103" t="s">
        <v>33</v>
      </c>
      <c r="J1103" t="s">
        <v>97</v>
      </c>
      <c r="K1103" t="s">
        <v>27</v>
      </c>
      <c r="M1103">
        <v>140918.21</v>
      </c>
      <c r="N1103" t="s">
        <v>35</v>
      </c>
      <c r="O1103">
        <v>17</v>
      </c>
      <c r="P1103">
        <v>13</v>
      </c>
      <c r="Q1103">
        <v>4</v>
      </c>
      <c r="R1103">
        <v>154</v>
      </c>
      <c r="S1103">
        <v>155.9</v>
      </c>
      <c r="T1103" t="s">
        <v>37</v>
      </c>
      <c r="U1103" s="3"/>
      <c r="V1103" s="3"/>
      <c r="W1103" s="3"/>
    </row>
    <row r="1104" spans="1:23">
      <c r="A1104" t="s">
        <v>2546</v>
      </c>
      <c r="B1104" t="s">
        <v>550</v>
      </c>
      <c r="C1104" t="s">
        <v>206</v>
      </c>
      <c r="D1104" s="2">
        <v>28478</v>
      </c>
      <c r="E1104" s="2">
        <v>45177</v>
      </c>
      <c r="F1104" t="s">
        <v>2547</v>
      </c>
      <c r="G1104" t="s">
        <v>62</v>
      </c>
      <c r="H1104" t="s">
        <v>124</v>
      </c>
      <c r="I1104" t="s">
        <v>33</v>
      </c>
      <c r="J1104" t="s">
        <v>46</v>
      </c>
      <c r="K1104" t="s">
        <v>120</v>
      </c>
      <c r="L1104">
        <v>13459.23</v>
      </c>
      <c r="M1104">
        <v>12357.02</v>
      </c>
      <c r="N1104" t="s">
        <v>192</v>
      </c>
      <c r="O1104" t="s">
        <v>713</v>
      </c>
      <c r="P1104">
        <v>213</v>
      </c>
      <c r="Q1104">
        <v>4</v>
      </c>
      <c r="R1104">
        <v>179</v>
      </c>
      <c r="S1104">
        <v>129.5</v>
      </c>
      <c r="T1104" t="s">
        <v>65</v>
      </c>
      <c r="U1104" s="3"/>
      <c r="V1104" s="3"/>
      <c r="W1104" s="3"/>
    </row>
    <row r="1105" spans="1:23">
      <c r="A1105" t="s">
        <v>2548</v>
      </c>
      <c r="B1105" t="s">
        <v>1408</v>
      </c>
      <c r="C1105" t="s">
        <v>30</v>
      </c>
      <c r="D1105" s="2">
        <v>18321</v>
      </c>
      <c r="E1105" s="2">
        <v>45384</v>
      </c>
      <c r="F1105" s="2">
        <v>45401</v>
      </c>
      <c r="G1105" t="s">
        <v>31</v>
      </c>
      <c r="H1105" t="s">
        <v>24</v>
      </c>
      <c r="I1105" t="s">
        <v>25</v>
      </c>
      <c r="J1105" t="s">
        <v>97</v>
      </c>
      <c r="K1105" t="s">
        <v>110</v>
      </c>
      <c r="L1105">
        <v>147564.94</v>
      </c>
      <c r="M1105">
        <v>106248.46</v>
      </c>
      <c r="N1105" t="s">
        <v>73</v>
      </c>
      <c r="O1105">
        <v>17</v>
      </c>
      <c r="P1105">
        <v>137</v>
      </c>
      <c r="Q1105">
        <v>1</v>
      </c>
      <c r="R1105" t="s">
        <v>2549</v>
      </c>
      <c r="S1105">
        <v>258.39999999999998</v>
      </c>
      <c r="T1105" t="s">
        <v>37</v>
      </c>
      <c r="U1105" s="3"/>
      <c r="V1105" s="3"/>
      <c r="W1105" s="3"/>
    </row>
    <row r="1106" spans="1:23">
      <c r="A1106" t="s">
        <v>2550</v>
      </c>
      <c r="B1106" t="s">
        <v>155</v>
      </c>
      <c r="C1106" t="s">
        <v>22</v>
      </c>
      <c r="D1106" s="2">
        <v>32441</v>
      </c>
      <c r="E1106" s="2">
        <v>45164</v>
      </c>
      <c r="F1106" t="s">
        <v>2551</v>
      </c>
      <c r="G1106" t="s">
        <v>141</v>
      </c>
      <c r="H1106" t="s">
        <v>78</v>
      </c>
      <c r="I1106" t="s">
        <v>119</v>
      </c>
      <c r="J1106" t="s">
        <v>179</v>
      </c>
      <c r="K1106" t="s">
        <v>55</v>
      </c>
      <c r="L1106" t="s">
        <v>2552</v>
      </c>
      <c r="M1106">
        <v>161663.82999999999</v>
      </c>
      <c r="N1106" t="s">
        <v>73</v>
      </c>
      <c r="O1106">
        <v>7</v>
      </c>
      <c r="P1106" t="s">
        <v>674</v>
      </c>
      <c r="Q1106">
        <v>4</v>
      </c>
      <c r="R1106">
        <v>163</v>
      </c>
      <c r="S1106">
        <v>148.19999999999999</v>
      </c>
      <c r="T1106" t="s">
        <v>37</v>
      </c>
      <c r="U1106" s="3"/>
      <c r="V1106" s="3"/>
      <c r="W1106" s="3"/>
    </row>
    <row r="1107" spans="1:23">
      <c r="A1107" t="s">
        <v>2553</v>
      </c>
      <c r="B1107" t="s">
        <v>591</v>
      </c>
      <c r="C1107" t="s">
        <v>50</v>
      </c>
      <c r="D1107" s="2">
        <v>18863</v>
      </c>
      <c r="E1107" s="2">
        <v>45134</v>
      </c>
      <c r="F1107" s="2">
        <v>45148</v>
      </c>
      <c r="G1107" t="s">
        <v>117</v>
      </c>
      <c r="H1107" t="s">
        <v>86</v>
      </c>
      <c r="I1107" t="s">
        <v>45</v>
      </c>
      <c r="J1107" t="s">
        <v>97</v>
      </c>
      <c r="K1107" t="s">
        <v>55</v>
      </c>
      <c r="L1107">
        <v>20870.88</v>
      </c>
      <c r="M1107">
        <v>16359.32</v>
      </c>
      <c r="N1107" t="s">
        <v>35</v>
      </c>
      <c r="O1107">
        <v>14</v>
      </c>
      <c r="P1107">
        <v>95</v>
      </c>
      <c r="Q1107">
        <v>3</v>
      </c>
      <c r="R1107">
        <v>107</v>
      </c>
      <c r="S1107">
        <v>78</v>
      </c>
      <c r="T1107" t="s">
        <v>65</v>
      </c>
      <c r="U1107" s="3"/>
      <c r="V1107" s="3"/>
      <c r="W1107" s="3"/>
    </row>
    <row r="1108" spans="1:23">
      <c r="A1108" t="s">
        <v>2554</v>
      </c>
      <c r="B1108" t="s">
        <v>550</v>
      </c>
      <c r="C1108" t="s">
        <v>84</v>
      </c>
      <c r="D1108" s="2">
        <v>18457</v>
      </c>
      <c r="E1108" s="2">
        <v>45144</v>
      </c>
      <c r="F1108" s="2">
        <v>45147</v>
      </c>
      <c r="G1108" t="s">
        <v>62</v>
      </c>
      <c r="H1108" t="s">
        <v>1783</v>
      </c>
      <c r="I1108" t="s">
        <v>53</v>
      </c>
      <c r="J1108" t="s">
        <v>179</v>
      </c>
      <c r="K1108" t="s">
        <v>183</v>
      </c>
      <c r="L1108">
        <v>163292.47</v>
      </c>
      <c r="M1108">
        <v>163031.72</v>
      </c>
      <c r="N1108" t="s">
        <v>73</v>
      </c>
      <c r="O1108">
        <v>3</v>
      </c>
      <c r="P1108">
        <v>156</v>
      </c>
      <c r="Q1108">
        <v>5</v>
      </c>
      <c r="R1108">
        <v>99</v>
      </c>
      <c r="S1108">
        <v>151.6</v>
      </c>
      <c r="T1108" t="s">
        <v>37</v>
      </c>
      <c r="U1108" s="3"/>
      <c r="V1108" s="3"/>
      <c r="W1108" s="3"/>
    </row>
    <row r="1109" spans="1:23">
      <c r="A1109" t="s">
        <v>2555</v>
      </c>
      <c r="B1109" t="s">
        <v>1509</v>
      </c>
      <c r="D1109" s="2">
        <v>38268</v>
      </c>
      <c r="E1109" s="2">
        <v>45327</v>
      </c>
      <c r="F1109" t="s">
        <v>1415</v>
      </c>
      <c r="G1109" t="s">
        <v>105</v>
      </c>
      <c r="H1109" t="s">
        <v>118</v>
      </c>
      <c r="K1109" t="s">
        <v>55</v>
      </c>
      <c r="L1109">
        <v>180859.22</v>
      </c>
      <c r="M1109">
        <v>129833.46</v>
      </c>
      <c r="N1109" t="s">
        <v>73</v>
      </c>
      <c r="O1109">
        <v>2</v>
      </c>
      <c r="P1109">
        <v>206</v>
      </c>
      <c r="Q1109">
        <v>3</v>
      </c>
      <c r="R1109">
        <v>118</v>
      </c>
      <c r="S1109">
        <v>91.9</v>
      </c>
      <c r="T1109" t="s">
        <v>65</v>
      </c>
      <c r="U1109" s="3"/>
      <c r="V1109" s="3"/>
      <c r="W1109" s="3"/>
    </row>
    <row r="1110" spans="1:23">
      <c r="A1110" t="s">
        <v>2556</v>
      </c>
      <c r="B1110" t="s">
        <v>224</v>
      </c>
      <c r="C1110" t="s">
        <v>30</v>
      </c>
      <c r="D1110" t="s">
        <v>2557</v>
      </c>
      <c r="E1110" t="s">
        <v>2558</v>
      </c>
      <c r="G1110" t="s">
        <v>62</v>
      </c>
      <c r="H1110" t="s">
        <v>52</v>
      </c>
      <c r="I1110" t="s">
        <v>33</v>
      </c>
      <c r="J1110" t="s">
        <v>54</v>
      </c>
      <c r="K1110" t="s">
        <v>55</v>
      </c>
      <c r="L1110">
        <v>189247.26</v>
      </c>
      <c r="M1110">
        <v>177472.67</v>
      </c>
      <c r="N1110" t="s">
        <v>73</v>
      </c>
      <c r="O1110">
        <v>12</v>
      </c>
      <c r="P1110">
        <v>6</v>
      </c>
      <c r="R1110">
        <v>105</v>
      </c>
      <c r="S1110">
        <v>146.9</v>
      </c>
      <c r="T1110" t="s">
        <v>65</v>
      </c>
      <c r="U1110" s="3"/>
      <c r="V1110" s="3"/>
      <c r="W1110" s="3"/>
    </row>
    <row r="1111" spans="1:23">
      <c r="A1111" t="s">
        <v>2559</v>
      </c>
      <c r="B1111" t="s">
        <v>321</v>
      </c>
      <c r="C1111" t="s">
        <v>84</v>
      </c>
      <c r="D1111" s="2">
        <v>37720</v>
      </c>
      <c r="E1111" t="s">
        <v>2560</v>
      </c>
      <c r="F1111" s="2">
        <v>45808</v>
      </c>
      <c r="G1111" t="s">
        <v>117</v>
      </c>
      <c r="H1111" t="s">
        <v>63</v>
      </c>
      <c r="I1111" t="s">
        <v>25</v>
      </c>
      <c r="J1111" t="s">
        <v>34</v>
      </c>
      <c r="K1111" t="s">
        <v>161</v>
      </c>
      <c r="L1111" t="s">
        <v>2561</v>
      </c>
      <c r="M1111">
        <v>4298.3</v>
      </c>
      <c r="O1111">
        <v>11</v>
      </c>
      <c r="P1111">
        <v>194</v>
      </c>
      <c r="Q1111">
        <v>5</v>
      </c>
      <c r="R1111">
        <v>154</v>
      </c>
      <c r="S1111">
        <v>76.599999999999994</v>
      </c>
      <c r="T1111" t="s">
        <v>47</v>
      </c>
      <c r="U1111" s="3"/>
      <c r="V1111" s="3"/>
      <c r="W1111" s="3"/>
    </row>
    <row r="1112" spans="1:23">
      <c r="A1112" t="s">
        <v>2562</v>
      </c>
      <c r="B1112" t="s">
        <v>1099</v>
      </c>
      <c r="C1112" t="s">
        <v>22</v>
      </c>
      <c r="D1112" t="s">
        <v>2563</v>
      </c>
      <c r="E1112" t="s">
        <v>2564</v>
      </c>
      <c r="F1112" s="2">
        <v>44969</v>
      </c>
      <c r="G1112" t="s">
        <v>77</v>
      </c>
      <c r="J1112" t="s">
        <v>34</v>
      </c>
      <c r="K1112" t="s">
        <v>72</v>
      </c>
      <c r="L1112">
        <v>46837.54</v>
      </c>
      <c r="M1112">
        <v>42263.61</v>
      </c>
      <c r="N1112" t="s">
        <v>73</v>
      </c>
      <c r="O1112">
        <v>10</v>
      </c>
      <c r="P1112">
        <v>165</v>
      </c>
      <c r="R1112">
        <v>126</v>
      </c>
      <c r="S1112">
        <v>156.30000000000001</v>
      </c>
      <c r="T1112" t="s">
        <v>37</v>
      </c>
      <c r="U1112" s="3"/>
      <c r="V1112" s="3"/>
      <c r="W1112" s="3"/>
    </row>
    <row r="1113" spans="1:23">
      <c r="A1113" t="s">
        <v>2565</v>
      </c>
      <c r="B1113" t="s">
        <v>129</v>
      </c>
      <c r="C1113" t="s">
        <v>84</v>
      </c>
      <c r="D1113" t="s">
        <v>2566</v>
      </c>
      <c r="E1113" s="2">
        <v>45202</v>
      </c>
      <c r="F1113" t="s">
        <v>2567</v>
      </c>
      <c r="G1113" t="s">
        <v>70</v>
      </c>
      <c r="H1113" t="s">
        <v>32</v>
      </c>
      <c r="I1113" t="s">
        <v>79</v>
      </c>
      <c r="J1113" t="s">
        <v>26</v>
      </c>
      <c r="K1113" t="s">
        <v>110</v>
      </c>
      <c r="L1113">
        <v>32437.53</v>
      </c>
      <c r="M1113">
        <v>25148.16</v>
      </c>
      <c r="N1113" t="s">
        <v>56</v>
      </c>
      <c r="O1113">
        <v>13</v>
      </c>
      <c r="P1113">
        <v>201</v>
      </c>
      <c r="R1113">
        <v>141</v>
      </c>
      <c r="S1113">
        <v>152.69999999999999</v>
      </c>
      <c r="T1113" t="s">
        <v>47</v>
      </c>
      <c r="U1113" s="3"/>
      <c r="V1113" s="3"/>
      <c r="W1113" s="3"/>
    </row>
    <row r="1114" spans="1:23">
      <c r="A1114" t="s">
        <v>2568</v>
      </c>
      <c r="B1114" t="s">
        <v>909</v>
      </c>
      <c r="C1114" t="s">
        <v>1149</v>
      </c>
      <c r="D1114" s="2">
        <v>37857</v>
      </c>
      <c r="E1114" s="2">
        <v>45932</v>
      </c>
      <c r="G1114" t="s">
        <v>161</v>
      </c>
      <c r="J1114" t="s">
        <v>97</v>
      </c>
      <c r="K1114" t="s">
        <v>110</v>
      </c>
      <c r="L1114">
        <v>53554.73</v>
      </c>
      <c r="M1114">
        <v>44672.25</v>
      </c>
      <c r="N1114" t="s">
        <v>73</v>
      </c>
      <c r="O1114">
        <v>10</v>
      </c>
      <c r="P1114">
        <v>87</v>
      </c>
      <c r="Q1114">
        <v>3</v>
      </c>
      <c r="R1114">
        <v>125</v>
      </c>
      <c r="S1114">
        <v>104.1</v>
      </c>
      <c r="T1114" t="s">
        <v>47</v>
      </c>
      <c r="U1114" s="3"/>
      <c r="V1114" s="3"/>
      <c r="W1114" s="3"/>
    </row>
    <row r="1115" spans="1:23">
      <c r="A1115" t="s">
        <v>2569</v>
      </c>
      <c r="B1115" t="s">
        <v>83</v>
      </c>
      <c r="C1115" t="s">
        <v>60</v>
      </c>
      <c r="D1115" s="2">
        <v>20634</v>
      </c>
      <c r="E1115" t="s">
        <v>2570</v>
      </c>
      <c r="F1115" s="2">
        <v>45053</v>
      </c>
      <c r="G1115" t="s">
        <v>152</v>
      </c>
      <c r="H1115" t="s">
        <v>113</v>
      </c>
      <c r="I1115" t="s">
        <v>119</v>
      </c>
      <c r="J1115" t="s">
        <v>80</v>
      </c>
      <c r="K1115" t="s">
        <v>72</v>
      </c>
      <c r="L1115">
        <v>84288.34</v>
      </c>
      <c r="M1115">
        <v>63766.27</v>
      </c>
      <c r="N1115" t="s">
        <v>35</v>
      </c>
      <c r="O1115">
        <v>11</v>
      </c>
      <c r="P1115">
        <v>35</v>
      </c>
      <c r="R1115">
        <v>124</v>
      </c>
      <c r="S1115">
        <v>140.6</v>
      </c>
      <c r="T1115" t="s">
        <v>37</v>
      </c>
      <c r="U1115" s="3"/>
      <c r="V1115" s="3"/>
      <c r="W1115" s="3"/>
    </row>
    <row r="1116" spans="1:23">
      <c r="A1116" t="s">
        <v>2571</v>
      </c>
      <c r="B1116" t="s">
        <v>199</v>
      </c>
      <c r="D1116" s="2">
        <v>24616</v>
      </c>
      <c r="E1116" t="s">
        <v>2572</v>
      </c>
      <c r="F1116" s="2">
        <v>45394</v>
      </c>
      <c r="G1116" t="s">
        <v>109</v>
      </c>
      <c r="H1116" t="s">
        <v>153</v>
      </c>
      <c r="I1116" t="s">
        <v>33</v>
      </c>
      <c r="J1116" t="s">
        <v>71</v>
      </c>
      <c r="K1116" t="s">
        <v>106</v>
      </c>
      <c r="L1116" t="s">
        <v>2573</v>
      </c>
      <c r="M1116">
        <v>189987.83</v>
      </c>
      <c r="O1116">
        <v>4</v>
      </c>
      <c r="P1116">
        <v>129</v>
      </c>
      <c r="R1116">
        <v>118</v>
      </c>
      <c r="S1116">
        <v>120.4</v>
      </c>
      <c r="T1116" t="s">
        <v>47</v>
      </c>
      <c r="U1116" s="3"/>
      <c r="V1116" s="3"/>
      <c r="W1116" s="3"/>
    </row>
    <row r="1117" spans="1:23">
      <c r="A1117" t="s">
        <v>2574</v>
      </c>
      <c r="B1117" t="s">
        <v>972</v>
      </c>
      <c r="C1117" t="s">
        <v>206</v>
      </c>
      <c r="D1117" s="2">
        <v>32809</v>
      </c>
      <c r="E1117" s="2">
        <v>45985</v>
      </c>
      <c r="F1117" s="2">
        <v>45988</v>
      </c>
      <c r="G1117" t="s">
        <v>141</v>
      </c>
      <c r="H1117" t="s">
        <v>24</v>
      </c>
      <c r="I1117" t="s">
        <v>25</v>
      </c>
      <c r="K1117" t="s">
        <v>27</v>
      </c>
      <c r="L1117">
        <v>97259.42</v>
      </c>
      <c r="M1117">
        <v>72826.63</v>
      </c>
      <c r="N1117" t="s">
        <v>192</v>
      </c>
      <c r="O1117">
        <v>3</v>
      </c>
      <c r="P1117">
        <v>109</v>
      </c>
      <c r="Q1117">
        <v>5</v>
      </c>
      <c r="R1117">
        <v>149</v>
      </c>
      <c r="S1117">
        <v>168.7</v>
      </c>
      <c r="T1117" t="s">
        <v>37</v>
      </c>
      <c r="U1117" s="3"/>
      <c r="V1117" s="3"/>
      <c r="W1117" s="3"/>
    </row>
    <row r="1118" spans="1:23">
      <c r="A1118" t="s">
        <v>2575</v>
      </c>
      <c r="B1118" t="s">
        <v>1464</v>
      </c>
      <c r="C1118" t="s">
        <v>84</v>
      </c>
      <c r="D1118" s="2">
        <v>40426</v>
      </c>
      <c r="E1118" t="s">
        <v>2576</v>
      </c>
      <c r="F1118" s="2">
        <v>45343</v>
      </c>
      <c r="G1118" t="s">
        <v>62</v>
      </c>
      <c r="H1118" t="s">
        <v>63</v>
      </c>
      <c r="I1118" t="s">
        <v>96</v>
      </c>
      <c r="J1118" t="s">
        <v>71</v>
      </c>
      <c r="K1118" t="s">
        <v>55</v>
      </c>
      <c r="L1118">
        <v>187593.38</v>
      </c>
      <c r="M1118">
        <v>167299.22</v>
      </c>
      <c r="N1118" t="s">
        <v>192</v>
      </c>
      <c r="O1118">
        <v>16</v>
      </c>
      <c r="P1118">
        <v>56</v>
      </c>
      <c r="Q1118">
        <v>5</v>
      </c>
      <c r="S1118">
        <v>82.8</v>
      </c>
      <c r="T1118" t="s">
        <v>37</v>
      </c>
      <c r="U1118" s="3"/>
      <c r="V1118" s="3"/>
      <c r="W1118" s="3"/>
    </row>
    <row r="1119" spans="1:23">
      <c r="A1119" t="s">
        <v>2577</v>
      </c>
      <c r="B1119" t="s">
        <v>992</v>
      </c>
      <c r="C1119" t="s">
        <v>30</v>
      </c>
      <c r="D1119" s="2">
        <v>29415</v>
      </c>
      <c r="E1119" s="2">
        <v>45702</v>
      </c>
      <c r="F1119" s="2">
        <v>45704</v>
      </c>
      <c r="G1119" t="s">
        <v>89</v>
      </c>
      <c r="H1119" t="s">
        <v>95</v>
      </c>
      <c r="J1119" t="s">
        <v>71</v>
      </c>
      <c r="K1119" t="s">
        <v>72</v>
      </c>
      <c r="L1119">
        <v>81935.839999999997</v>
      </c>
      <c r="M1119">
        <v>66047.490000000005</v>
      </c>
      <c r="O1119">
        <v>2</v>
      </c>
      <c r="P1119">
        <v>119</v>
      </c>
      <c r="Q1119">
        <v>2</v>
      </c>
      <c r="R1119">
        <v>182</v>
      </c>
      <c r="S1119">
        <v>196.4</v>
      </c>
      <c r="T1119" t="s">
        <v>37</v>
      </c>
      <c r="U1119" s="3"/>
      <c r="V1119" s="3"/>
      <c r="W1119" s="3"/>
    </row>
    <row r="1120" spans="1:23">
      <c r="A1120" t="s">
        <v>2578</v>
      </c>
      <c r="B1120" t="s">
        <v>1622</v>
      </c>
      <c r="C1120" t="s">
        <v>60</v>
      </c>
      <c r="D1120" s="2">
        <v>20780</v>
      </c>
      <c r="E1120" s="2">
        <v>44997</v>
      </c>
      <c r="F1120" s="2">
        <v>45013</v>
      </c>
      <c r="G1120" t="s">
        <v>31</v>
      </c>
      <c r="H1120" t="s">
        <v>52</v>
      </c>
      <c r="I1120" t="s">
        <v>96</v>
      </c>
      <c r="J1120" t="s">
        <v>71</v>
      </c>
      <c r="K1120" t="s">
        <v>110</v>
      </c>
      <c r="L1120" t="s">
        <v>2579</v>
      </c>
      <c r="M1120">
        <v>45753.22</v>
      </c>
      <c r="N1120" t="s">
        <v>73</v>
      </c>
      <c r="O1120">
        <v>16</v>
      </c>
      <c r="P1120">
        <v>8</v>
      </c>
      <c r="Q1120">
        <v>4</v>
      </c>
      <c r="R1120">
        <v>100</v>
      </c>
      <c r="S1120">
        <v>122.7</v>
      </c>
      <c r="T1120" t="s">
        <v>65</v>
      </c>
      <c r="U1120" s="3"/>
      <c r="V1120" s="3"/>
      <c r="W1120" s="3"/>
    </row>
    <row r="1121" spans="1:23">
      <c r="A1121" t="s">
        <v>2580</v>
      </c>
      <c r="B1121" t="s">
        <v>867</v>
      </c>
      <c r="C1121" t="s">
        <v>206</v>
      </c>
      <c r="D1121" t="s">
        <v>2581</v>
      </c>
      <c r="E1121" s="2">
        <v>45669</v>
      </c>
      <c r="F1121" s="2">
        <v>45677</v>
      </c>
      <c r="G1121" t="s">
        <v>94</v>
      </c>
      <c r="H1121" t="s">
        <v>538</v>
      </c>
      <c r="J1121" t="s">
        <v>54</v>
      </c>
      <c r="K1121" t="s">
        <v>27</v>
      </c>
      <c r="L1121">
        <v>156499.76</v>
      </c>
      <c r="M1121">
        <v>118344.94</v>
      </c>
      <c r="N1121" t="s">
        <v>56</v>
      </c>
      <c r="O1121">
        <v>8</v>
      </c>
      <c r="P1121">
        <v>28</v>
      </c>
      <c r="Q1121">
        <v>1</v>
      </c>
      <c r="R1121">
        <v>186</v>
      </c>
      <c r="S1121">
        <v>78.7</v>
      </c>
      <c r="T1121" t="s">
        <v>47</v>
      </c>
      <c r="U1121" s="3"/>
      <c r="V1121" s="3"/>
      <c r="W1121" s="3"/>
    </row>
    <row r="1122" spans="1:23">
      <c r="A1122" t="s">
        <v>2582</v>
      </c>
      <c r="B1122" t="s">
        <v>1505</v>
      </c>
      <c r="C1122" t="s">
        <v>84</v>
      </c>
      <c r="D1122" t="s">
        <v>2583</v>
      </c>
      <c r="E1122" s="2">
        <v>45753</v>
      </c>
      <c r="F1122" s="2">
        <v>45755</v>
      </c>
      <c r="G1122" t="s">
        <v>70</v>
      </c>
      <c r="H1122" t="s">
        <v>124</v>
      </c>
      <c r="I1122" t="s">
        <v>33</v>
      </c>
      <c r="J1122" t="s">
        <v>46</v>
      </c>
      <c r="L1122">
        <v>144240.17000000001</v>
      </c>
      <c r="M1122">
        <v>122566.98</v>
      </c>
      <c r="N1122" t="s">
        <v>192</v>
      </c>
      <c r="O1122">
        <v>2</v>
      </c>
      <c r="P1122">
        <v>70</v>
      </c>
      <c r="Q1122">
        <v>4</v>
      </c>
      <c r="R1122">
        <v>148</v>
      </c>
      <c r="S1122">
        <v>153</v>
      </c>
      <c r="T1122" t="s">
        <v>47</v>
      </c>
      <c r="U1122" s="3"/>
      <c r="V1122" s="3"/>
      <c r="W1122" s="3"/>
    </row>
    <row r="1123" spans="1:23">
      <c r="A1123" t="s">
        <v>2584</v>
      </c>
      <c r="B1123" t="s">
        <v>88</v>
      </c>
      <c r="C1123" t="s">
        <v>206</v>
      </c>
      <c r="D1123" s="2">
        <v>18398</v>
      </c>
      <c r="E1123" t="s">
        <v>2585</v>
      </c>
      <c r="F1123" t="s">
        <v>2586</v>
      </c>
      <c r="G1123" t="s">
        <v>31</v>
      </c>
      <c r="H1123" t="s">
        <v>153</v>
      </c>
      <c r="I1123" t="s">
        <v>45</v>
      </c>
      <c r="J1123" t="s">
        <v>34</v>
      </c>
      <c r="K1123" t="s">
        <v>55</v>
      </c>
      <c r="M1123">
        <v>117317.08</v>
      </c>
      <c r="N1123" t="s">
        <v>91</v>
      </c>
      <c r="O1123">
        <v>4</v>
      </c>
      <c r="P1123">
        <v>190</v>
      </c>
      <c r="R1123">
        <v>122</v>
      </c>
      <c r="S1123">
        <v>71.2</v>
      </c>
      <c r="T1123" t="s">
        <v>81</v>
      </c>
      <c r="U1123" s="3"/>
      <c r="V1123" s="3"/>
      <c r="W1123" s="3"/>
    </row>
    <row r="1124" spans="1:23">
      <c r="A1124" t="s">
        <v>2587</v>
      </c>
      <c r="B1124" t="s">
        <v>472</v>
      </c>
      <c r="C1124" t="s">
        <v>60</v>
      </c>
      <c r="D1124" t="s">
        <v>2588</v>
      </c>
      <c r="E1124" s="2">
        <v>45187</v>
      </c>
      <c r="F1124" t="s">
        <v>2589</v>
      </c>
      <c r="G1124" t="s">
        <v>94</v>
      </c>
      <c r="J1124" t="s">
        <v>64</v>
      </c>
      <c r="K1124" t="s">
        <v>27</v>
      </c>
      <c r="L1124">
        <v>43345.68</v>
      </c>
      <c r="M1124">
        <v>36555.01</v>
      </c>
      <c r="N1124" t="s">
        <v>91</v>
      </c>
      <c r="O1124">
        <v>4</v>
      </c>
      <c r="P1124">
        <v>200</v>
      </c>
      <c r="R1124" t="s">
        <v>2590</v>
      </c>
      <c r="S1124">
        <v>151.1</v>
      </c>
      <c r="T1124" t="s">
        <v>106</v>
      </c>
      <c r="U1124" s="3"/>
      <c r="V1124" s="3"/>
      <c r="W1124" s="3"/>
    </row>
    <row r="1125" spans="1:23">
      <c r="A1125" t="s">
        <v>2591</v>
      </c>
      <c r="B1125" t="s">
        <v>857</v>
      </c>
      <c r="C1125" t="s">
        <v>30</v>
      </c>
      <c r="D1125" s="2">
        <v>19132</v>
      </c>
      <c r="E1125" t="s">
        <v>2592</v>
      </c>
      <c r="F1125" s="2">
        <v>45656</v>
      </c>
      <c r="G1125" t="s">
        <v>94</v>
      </c>
      <c r="H1125" t="s">
        <v>44</v>
      </c>
      <c r="I1125" t="s">
        <v>96</v>
      </c>
      <c r="J1125" t="s">
        <v>80</v>
      </c>
      <c r="K1125" t="s">
        <v>55</v>
      </c>
      <c r="L1125">
        <v>249624.12</v>
      </c>
      <c r="M1125">
        <v>211948.49</v>
      </c>
      <c r="N1125" t="s">
        <v>56</v>
      </c>
      <c r="O1125">
        <v>8</v>
      </c>
      <c r="P1125">
        <v>75</v>
      </c>
      <c r="R1125">
        <v>101</v>
      </c>
      <c r="S1125">
        <v>91.4</v>
      </c>
      <c r="T1125" t="s">
        <v>37</v>
      </c>
      <c r="U1125" s="3"/>
      <c r="V1125" s="3"/>
      <c r="W1125" s="3"/>
    </row>
    <row r="1126" spans="1:23">
      <c r="A1126" t="s">
        <v>2593</v>
      </c>
      <c r="B1126" t="s">
        <v>2594</v>
      </c>
      <c r="C1126" t="s">
        <v>84</v>
      </c>
      <c r="D1126" t="s">
        <v>2595</v>
      </c>
      <c r="E1126" s="2">
        <v>45697</v>
      </c>
      <c r="F1126" s="2">
        <v>45706</v>
      </c>
      <c r="G1126" t="s">
        <v>89</v>
      </c>
      <c r="H1126" t="s">
        <v>52</v>
      </c>
      <c r="I1126" t="s">
        <v>33</v>
      </c>
      <c r="J1126" t="s">
        <v>34</v>
      </c>
      <c r="K1126" t="s">
        <v>110</v>
      </c>
      <c r="L1126">
        <v>182336.32</v>
      </c>
      <c r="M1126">
        <v>132083.6</v>
      </c>
      <c r="N1126" t="s">
        <v>56</v>
      </c>
      <c r="O1126">
        <v>9</v>
      </c>
      <c r="P1126" t="s">
        <v>2596</v>
      </c>
      <c r="R1126">
        <v>170</v>
      </c>
      <c r="S1126">
        <v>204.9</v>
      </c>
      <c r="T1126" t="s">
        <v>37</v>
      </c>
      <c r="U1126" s="3"/>
      <c r="V1126" s="3"/>
      <c r="W1126" s="3"/>
    </row>
    <row r="1127" spans="1:23">
      <c r="A1127" t="s">
        <v>2597</v>
      </c>
      <c r="B1127" t="s">
        <v>1031</v>
      </c>
      <c r="C1127" t="s">
        <v>60</v>
      </c>
      <c r="D1127" s="2">
        <v>29782</v>
      </c>
      <c r="E1127" s="2">
        <v>45802</v>
      </c>
      <c r="F1127" t="s">
        <v>2598</v>
      </c>
      <c r="G1127" t="s">
        <v>77</v>
      </c>
      <c r="H1127" t="s">
        <v>63</v>
      </c>
      <c r="I1127" t="s">
        <v>45</v>
      </c>
      <c r="J1127" t="s">
        <v>46</v>
      </c>
      <c r="K1127" t="s">
        <v>72</v>
      </c>
      <c r="L1127">
        <v>197607.47</v>
      </c>
      <c r="M1127">
        <v>135458.39000000001</v>
      </c>
      <c r="N1127" t="s">
        <v>73</v>
      </c>
      <c r="O1127" t="s">
        <v>102</v>
      </c>
      <c r="P1127">
        <v>218</v>
      </c>
      <c r="Q1127">
        <v>5</v>
      </c>
      <c r="R1127">
        <v>101</v>
      </c>
      <c r="S1127">
        <v>162.19999999999999</v>
      </c>
      <c r="T1127" t="s">
        <v>37</v>
      </c>
      <c r="U1127" s="3"/>
      <c r="V1127" s="3"/>
      <c r="W1127" s="3"/>
    </row>
    <row r="1128" spans="1:23">
      <c r="A1128" t="s">
        <v>2599</v>
      </c>
      <c r="B1128" t="s">
        <v>1206</v>
      </c>
      <c r="D1128" s="2">
        <v>32164</v>
      </c>
      <c r="E1128" s="2">
        <v>45930</v>
      </c>
      <c r="F1128" t="s">
        <v>2600</v>
      </c>
      <c r="H1128" t="s">
        <v>24</v>
      </c>
      <c r="I1128" t="s">
        <v>25</v>
      </c>
      <c r="J1128" t="s">
        <v>26</v>
      </c>
      <c r="K1128" t="s">
        <v>110</v>
      </c>
      <c r="L1128">
        <v>21061.48</v>
      </c>
      <c r="M1128">
        <v>18595.96</v>
      </c>
      <c r="N1128" t="s">
        <v>56</v>
      </c>
      <c r="O1128">
        <v>13</v>
      </c>
      <c r="P1128">
        <v>90</v>
      </c>
      <c r="Q1128">
        <v>5</v>
      </c>
      <c r="T1128" t="s">
        <v>65</v>
      </c>
      <c r="U1128" s="3"/>
      <c r="V1128" s="3"/>
      <c r="W1128" s="3"/>
    </row>
    <row r="1129" spans="1:23">
      <c r="A1129" t="s">
        <v>2601</v>
      </c>
      <c r="B1129" t="s">
        <v>394</v>
      </c>
      <c r="C1129" t="s">
        <v>40</v>
      </c>
      <c r="D1129" s="2">
        <v>37097</v>
      </c>
      <c r="E1129" s="2">
        <v>45439</v>
      </c>
      <c r="F1129" s="2">
        <v>45454</v>
      </c>
      <c r="G1129" t="s">
        <v>152</v>
      </c>
      <c r="H1129" t="s">
        <v>44</v>
      </c>
      <c r="I1129" t="s">
        <v>33</v>
      </c>
      <c r="J1129" t="s">
        <v>46</v>
      </c>
      <c r="L1129">
        <v>245357.13</v>
      </c>
      <c r="M1129">
        <v>178838.1</v>
      </c>
      <c r="N1129" t="s">
        <v>192</v>
      </c>
      <c r="O1129">
        <v>15</v>
      </c>
      <c r="P1129" t="s">
        <v>2149</v>
      </c>
      <c r="Q1129">
        <v>1</v>
      </c>
      <c r="R1129">
        <v>138</v>
      </c>
      <c r="S1129">
        <v>156.30000000000001</v>
      </c>
      <c r="T1129" t="s">
        <v>37</v>
      </c>
      <c r="U1129" s="3"/>
      <c r="V1129" s="3"/>
      <c r="W1129" s="3"/>
    </row>
    <row r="1130" spans="1:23">
      <c r="A1130" t="s">
        <v>2602</v>
      </c>
      <c r="B1130" t="s">
        <v>251</v>
      </c>
      <c r="C1130" t="s">
        <v>100</v>
      </c>
      <c r="D1130" s="2">
        <v>34030</v>
      </c>
      <c r="E1130" t="s">
        <v>2603</v>
      </c>
      <c r="F1130" s="2">
        <v>45689</v>
      </c>
      <c r="G1130" t="s">
        <v>117</v>
      </c>
      <c r="H1130" t="s">
        <v>118</v>
      </c>
      <c r="J1130" t="s">
        <v>97</v>
      </c>
      <c r="K1130" t="s">
        <v>72</v>
      </c>
      <c r="L1130" t="s">
        <v>2604</v>
      </c>
      <c r="N1130" t="s">
        <v>73</v>
      </c>
      <c r="O1130" t="s">
        <v>102</v>
      </c>
      <c r="P1130">
        <v>125</v>
      </c>
      <c r="Q1130">
        <v>2</v>
      </c>
      <c r="R1130">
        <v>175</v>
      </c>
      <c r="S1130">
        <v>230.4</v>
      </c>
      <c r="T1130" t="s">
        <v>106</v>
      </c>
      <c r="U1130" s="3"/>
      <c r="V1130" s="3"/>
      <c r="W1130" s="3"/>
    </row>
    <row r="1131" spans="1:23">
      <c r="A1131" t="s">
        <v>2605</v>
      </c>
      <c r="B1131" t="s">
        <v>579</v>
      </c>
      <c r="C1131" t="s">
        <v>206</v>
      </c>
      <c r="D1131" s="2">
        <v>34188</v>
      </c>
      <c r="E1131" s="2">
        <v>45301</v>
      </c>
      <c r="G1131" t="s">
        <v>117</v>
      </c>
      <c r="H1131" t="s">
        <v>134</v>
      </c>
      <c r="I1131" t="s">
        <v>119</v>
      </c>
      <c r="J1131" t="s">
        <v>34</v>
      </c>
      <c r="L1131">
        <v>128325.57</v>
      </c>
      <c r="M1131">
        <v>93894.59</v>
      </c>
      <c r="N1131" t="s">
        <v>73</v>
      </c>
      <c r="O1131">
        <v>14</v>
      </c>
      <c r="P1131">
        <v>169</v>
      </c>
      <c r="R1131">
        <v>143</v>
      </c>
      <c r="S1131">
        <v>213.3</v>
      </c>
      <c r="T1131" t="s">
        <v>81</v>
      </c>
      <c r="U1131" s="3"/>
      <c r="V1131" s="3"/>
      <c r="W1131" s="3"/>
    </row>
    <row r="1132" spans="1:23">
      <c r="A1132" t="s">
        <v>2606</v>
      </c>
      <c r="B1132" t="s">
        <v>2607</v>
      </c>
      <c r="C1132" t="s">
        <v>307</v>
      </c>
      <c r="D1132" t="s">
        <v>2608</v>
      </c>
      <c r="E1132" s="2">
        <v>45031</v>
      </c>
      <c r="F1132" s="2">
        <v>45037</v>
      </c>
      <c r="G1132" t="s">
        <v>62</v>
      </c>
      <c r="H1132" t="s">
        <v>32</v>
      </c>
      <c r="I1132" t="s">
        <v>79</v>
      </c>
      <c r="J1132" t="s">
        <v>34</v>
      </c>
      <c r="K1132" t="s">
        <v>55</v>
      </c>
      <c r="L1132">
        <v>165318.6</v>
      </c>
      <c r="M1132">
        <v>145208.98000000001</v>
      </c>
      <c r="N1132" t="s">
        <v>192</v>
      </c>
      <c r="O1132">
        <v>6</v>
      </c>
      <c r="P1132">
        <v>211</v>
      </c>
      <c r="Q1132">
        <v>5</v>
      </c>
      <c r="R1132">
        <v>184</v>
      </c>
      <c r="S1132">
        <v>133.6</v>
      </c>
      <c r="T1132" t="s">
        <v>37</v>
      </c>
      <c r="U1132" s="3"/>
      <c r="V1132" s="3"/>
      <c r="W1132" s="3"/>
    </row>
    <row r="1133" spans="1:23">
      <c r="A1133" t="s">
        <v>2609</v>
      </c>
      <c r="B1133" t="s">
        <v>601</v>
      </c>
      <c r="C1133" t="s">
        <v>22</v>
      </c>
      <c r="D1133" t="s">
        <v>2610</v>
      </c>
      <c r="E1133" t="s">
        <v>2611</v>
      </c>
      <c r="F1133" s="2">
        <v>45005</v>
      </c>
      <c r="G1133" t="s">
        <v>70</v>
      </c>
      <c r="H1133" t="s">
        <v>63</v>
      </c>
      <c r="I1133" t="s">
        <v>45</v>
      </c>
      <c r="J1133" t="s">
        <v>34</v>
      </c>
      <c r="K1133" t="s">
        <v>401</v>
      </c>
      <c r="L1133">
        <v>125050.86</v>
      </c>
      <c r="M1133">
        <v>100642.49</v>
      </c>
      <c r="N1133" t="s">
        <v>192</v>
      </c>
      <c r="O1133">
        <v>5</v>
      </c>
      <c r="P1133">
        <v>148</v>
      </c>
      <c r="Q1133">
        <v>5</v>
      </c>
      <c r="R1133">
        <v>176</v>
      </c>
      <c r="S1133">
        <v>228</v>
      </c>
      <c r="T1133" t="s">
        <v>37</v>
      </c>
      <c r="U1133" s="3"/>
      <c r="V1133" s="3"/>
      <c r="W1133" s="3"/>
    </row>
    <row r="1134" spans="1:23">
      <c r="A1134" t="s">
        <v>2612</v>
      </c>
      <c r="B1134" t="s">
        <v>67</v>
      </c>
      <c r="C1134" t="s">
        <v>133</v>
      </c>
      <c r="D1134" t="s">
        <v>2613</v>
      </c>
      <c r="E1134" s="2">
        <v>45369</v>
      </c>
      <c r="F1134" s="2">
        <v>45376</v>
      </c>
      <c r="G1134" t="s">
        <v>105</v>
      </c>
      <c r="H1134" t="s">
        <v>134</v>
      </c>
      <c r="J1134" t="s">
        <v>97</v>
      </c>
      <c r="K1134" t="s">
        <v>161</v>
      </c>
      <c r="L1134">
        <v>181099.85</v>
      </c>
      <c r="M1134">
        <v>140226.04999999999</v>
      </c>
      <c r="N1134" t="s">
        <v>35</v>
      </c>
      <c r="O1134">
        <v>7</v>
      </c>
      <c r="P1134">
        <v>158</v>
      </c>
      <c r="Q1134">
        <v>4</v>
      </c>
      <c r="R1134">
        <v>128</v>
      </c>
      <c r="T1134" t="s">
        <v>37</v>
      </c>
      <c r="U1134" s="3"/>
      <c r="V1134" s="3"/>
      <c r="W1134" s="3"/>
    </row>
    <row r="1135" spans="1:23">
      <c r="A1135" t="s">
        <v>2614</v>
      </c>
      <c r="B1135" t="s">
        <v>438</v>
      </c>
      <c r="C1135" t="s">
        <v>22</v>
      </c>
      <c r="D1135" t="s">
        <v>2615</v>
      </c>
      <c r="E1135" t="s">
        <v>2616</v>
      </c>
      <c r="F1135" s="2">
        <v>45140</v>
      </c>
      <c r="G1135" t="s">
        <v>62</v>
      </c>
      <c r="H1135" t="s">
        <v>134</v>
      </c>
      <c r="I1135" t="s">
        <v>119</v>
      </c>
      <c r="J1135" t="s">
        <v>64</v>
      </c>
      <c r="L1135" t="s">
        <v>2617</v>
      </c>
      <c r="M1135">
        <v>44775.06</v>
      </c>
      <c r="N1135" t="s">
        <v>192</v>
      </c>
      <c r="O1135">
        <v>2</v>
      </c>
      <c r="P1135">
        <v>153</v>
      </c>
      <c r="Q1135">
        <v>4</v>
      </c>
      <c r="R1135">
        <v>116</v>
      </c>
      <c r="T1135" t="s">
        <v>127</v>
      </c>
      <c r="U1135" s="3"/>
      <c r="V1135" s="3"/>
      <c r="W1135" s="3"/>
    </row>
    <row r="1136" spans="1:23">
      <c r="A1136" t="s">
        <v>2618</v>
      </c>
      <c r="B1136" t="s">
        <v>199</v>
      </c>
      <c r="C1136" t="s">
        <v>206</v>
      </c>
      <c r="D1136" s="2">
        <v>22939</v>
      </c>
      <c r="E1136" s="2">
        <v>45898</v>
      </c>
      <c r="F1136" s="2">
        <v>45907</v>
      </c>
      <c r="G1136" t="s">
        <v>117</v>
      </c>
      <c r="H1136" t="s">
        <v>124</v>
      </c>
      <c r="I1136" t="s">
        <v>25</v>
      </c>
      <c r="L1136">
        <v>72710.100000000006</v>
      </c>
      <c r="M1136">
        <v>52061.279999999999</v>
      </c>
      <c r="N1136" t="s">
        <v>35</v>
      </c>
      <c r="O1136">
        <v>9</v>
      </c>
      <c r="P1136">
        <v>27</v>
      </c>
      <c r="Q1136">
        <v>1</v>
      </c>
      <c r="R1136">
        <v>112</v>
      </c>
      <c r="S1136">
        <v>189.4</v>
      </c>
      <c r="T1136" t="s">
        <v>37</v>
      </c>
      <c r="U1136" s="3"/>
      <c r="V1136" s="3"/>
      <c r="W1136" s="3"/>
    </row>
    <row r="1137" spans="1:23">
      <c r="A1137" t="s">
        <v>2619</v>
      </c>
      <c r="B1137" t="s">
        <v>280</v>
      </c>
      <c r="C1137" t="s">
        <v>84</v>
      </c>
      <c r="D1137" s="2">
        <v>22764</v>
      </c>
      <c r="E1137" s="2">
        <v>44971</v>
      </c>
      <c r="F1137" s="2">
        <v>44985</v>
      </c>
      <c r="G1137" t="s">
        <v>190</v>
      </c>
      <c r="H1137" t="s">
        <v>86</v>
      </c>
      <c r="I1137" t="s">
        <v>119</v>
      </c>
      <c r="J1137" t="s">
        <v>34</v>
      </c>
      <c r="K1137" t="s">
        <v>72</v>
      </c>
      <c r="L1137">
        <v>215897.23</v>
      </c>
      <c r="M1137">
        <v>168589.29</v>
      </c>
      <c r="N1137" t="s">
        <v>35</v>
      </c>
      <c r="O1137">
        <v>14</v>
      </c>
      <c r="P1137">
        <v>126</v>
      </c>
      <c r="R1137">
        <v>165</v>
      </c>
      <c r="S1137">
        <v>110</v>
      </c>
      <c r="T1137" t="s">
        <v>65</v>
      </c>
      <c r="U1137" s="3"/>
      <c r="V1137" s="3"/>
      <c r="W1137" s="3"/>
    </row>
    <row r="1138" spans="1:23">
      <c r="A1138" t="s">
        <v>2620</v>
      </c>
      <c r="B1138" t="s">
        <v>768</v>
      </c>
      <c r="C1138" t="s">
        <v>206</v>
      </c>
      <c r="D1138" s="2">
        <v>19574</v>
      </c>
      <c r="E1138" s="2">
        <v>45172</v>
      </c>
      <c r="F1138" s="2">
        <v>45178</v>
      </c>
      <c r="G1138" t="s">
        <v>94</v>
      </c>
      <c r="H1138" t="s">
        <v>153</v>
      </c>
      <c r="I1138" t="s">
        <v>79</v>
      </c>
      <c r="J1138" t="s">
        <v>26</v>
      </c>
      <c r="K1138" t="s">
        <v>120</v>
      </c>
      <c r="L1138">
        <v>216017.1</v>
      </c>
      <c r="M1138">
        <v>142494.07999999999</v>
      </c>
      <c r="N1138" t="s">
        <v>56</v>
      </c>
      <c r="O1138">
        <v>6</v>
      </c>
      <c r="R1138">
        <v>149</v>
      </c>
      <c r="S1138">
        <v>118.2</v>
      </c>
      <c r="T1138" t="s">
        <v>37</v>
      </c>
      <c r="U1138" s="3"/>
      <c r="V1138" s="3"/>
      <c r="W1138" s="3"/>
    </row>
    <row r="1139" spans="1:23">
      <c r="A1139" t="s">
        <v>2621</v>
      </c>
      <c r="B1139" t="s">
        <v>218</v>
      </c>
      <c r="D1139" s="2">
        <v>19745</v>
      </c>
      <c r="E1139" t="s">
        <v>2448</v>
      </c>
      <c r="F1139" t="s">
        <v>2622</v>
      </c>
      <c r="G1139" t="s">
        <v>152</v>
      </c>
      <c r="H1139" t="s">
        <v>106</v>
      </c>
      <c r="I1139" t="s">
        <v>79</v>
      </c>
      <c r="J1139" t="s">
        <v>71</v>
      </c>
      <c r="L1139">
        <v>12605.23</v>
      </c>
      <c r="M1139">
        <v>12475.21</v>
      </c>
      <c r="N1139" t="s">
        <v>56</v>
      </c>
      <c r="O1139">
        <v>12</v>
      </c>
      <c r="P1139" t="s">
        <v>2623</v>
      </c>
      <c r="Q1139">
        <v>4</v>
      </c>
      <c r="R1139">
        <v>187</v>
      </c>
      <c r="S1139">
        <v>172.2</v>
      </c>
      <c r="U1139" s="3"/>
      <c r="V1139" s="3"/>
      <c r="W1139" s="3"/>
    </row>
    <row r="1140" spans="1:23">
      <c r="A1140" t="s">
        <v>2624</v>
      </c>
      <c r="B1140" t="s">
        <v>879</v>
      </c>
      <c r="C1140" t="s">
        <v>22</v>
      </c>
      <c r="D1140" t="s">
        <v>2625</v>
      </c>
      <c r="E1140" t="s">
        <v>2626</v>
      </c>
      <c r="F1140" s="2">
        <v>45532</v>
      </c>
      <c r="G1140" t="s">
        <v>77</v>
      </c>
      <c r="H1140" t="s">
        <v>124</v>
      </c>
      <c r="I1140" t="s">
        <v>25</v>
      </c>
      <c r="K1140" t="s">
        <v>27</v>
      </c>
      <c r="L1140">
        <v>4948</v>
      </c>
      <c r="M1140">
        <v>4750.38</v>
      </c>
      <c r="N1140" t="s">
        <v>56</v>
      </c>
      <c r="O1140">
        <v>9</v>
      </c>
      <c r="P1140">
        <v>146</v>
      </c>
      <c r="R1140">
        <v>121</v>
      </c>
      <c r="S1140">
        <v>220.5</v>
      </c>
      <c r="T1140" t="s">
        <v>348</v>
      </c>
      <c r="U1140" s="3"/>
      <c r="V1140" s="3"/>
      <c r="W1140" s="3"/>
    </row>
    <row r="1141" spans="1:23">
      <c r="A1141" t="s">
        <v>2627</v>
      </c>
      <c r="B1141" t="s">
        <v>390</v>
      </c>
      <c r="C1141" t="s">
        <v>84</v>
      </c>
      <c r="D1141" s="2">
        <v>33888</v>
      </c>
      <c r="E1141" s="2">
        <v>45368</v>
      </c>
      <c r="F1141" s="2">
        <v>45369</v>
      </c>
      <c r="G1141" t="s">
        <v>62</v>
      </c>
      <c r="H1141" t="s">
        <v>113</v>
      </c>
      <c r="I1141" t="s">
        <v>25</v>
      </c>
      <c r="J1141" t="s">
        <v>34</v>
      </c>
      <c r="K1141" t="s">
        <v>120</v>
      </c>
      <c r="L1141">
        <v>157517.49</v>
      </c>
      <c r="M1141">
        <v>130852.01</v>
      </c>
      <c r="N1141" t="s">
        <v>35</v>
      </c>
      <c r="O1141">
        <v>1</v>
      </c>
      <c r="P1141">
        <v>221</v>
      </c>
      <c r="Q1141">
        <v>5</v>
      </c>
      <c r="R1141">
        <v>109</v>
      </c>
      <c r="S1141">
        <v>150.4</v>
      </c>
      <c r="T1141" t="s">
        <v>37</v>
      </c>
      <c r="U1141" s="3"/>
      <c r="V1141" s="3"/>
      <c r="W1141" s="3"/>
    </row>
    <row r="1142" spans="1:23">
      <c r="A1142" t="s">
        <v>2628</v>
      </c>
      <c r="B1142" t="s">
        <v>429</v>
      </c>
      <c r="D1142" t="s">
        <v>2629</v>
      </c>
      <c r="E1142" s="2">
        <v>45660</v>
      </c>
      <c r="F1142" s="2">
        <v>45673</v>
      </c>
      <c r="G1142" t="s">
        <v>152</v>
      </c>
      <c r="H1142" t="s">
        <v>86</v>
      </c>
      <c r="J1142" t="s">
        <v>34</v>
      </c>
      <c r="K1142" t="s">
        <v>27</v>
      </c>
      <c r="L1142">
        <v>150317.43</v>
      </c>
      <c r="M1142">
        <v>99462.29</v>
      </c>
      <c r="O1142">
        <v>13</v>
      </c>
      <c r="P1142">
        <v>95</v>
      </c>
      <c r="Q1142">
        <v>5</v>
      </c>
      <c r="S1142">
        <v>222.8</v>
      </c>
      <c r="U1142" s="3"/>
      <c r="V1142" s="3"/>
      <c r="W1142" s="3"/>
    </row>
    <row r="1143" spans="1:23">
      <c r="A1143" t="s">
        <v>2630</v>
      </c>
      <c r="B1143" t="s">
        <v>1888</v>
      </c>
      <c r="C1143" t="s">
        <v>296</v>
      </c>
      <c r="D1143" t="s">
        <v>2631</v>
      </c>
      <c r="E1143" s="2">
        <v>45213</v>
      </c>
      <c r="F1143" s="2">
        <v>45215</v>
      </c>
      <c r="G1143" t="s">
        <v>31</v>
      </c>
      <c r="I1143" t="s">
        <v>79</v>
      </c>
      <c r="J1143" t="s">
        <v>64</v>
      </c>
      <c r="K1143" t="s">
        <v>55</v>
      </c>
      <c r="L1143">
        <v>33763.01</v>
      </c>
      <c r="M1143">
        <v>26682.47</v>
      </c>
      <c r="N1143" t="s">
        <v>91</v>
      </c>
      <c r="O1143">
        <v>2</v>
      </c>
      <c r="P1143">
        <v>228</v>
      </c>
      <c r="Q1143">
        <v>2</v>
      </c>
      <c r="R1143">
        <v>190</v>
      </c>
      <c r="S1143">
        <v>201.7</v>
      </c>
      <c r="T1143" t="s">
        <v>57</v>
      </c>
      <c r="U1143" s="3"/>
      <c r="V1143" s="3"/>
      <c r="W1143" s="3"/>
    </row>
    <row r="1144" spans="1:23">
      <c r="A1144" t="s">
        <v>2632</v>
      </c>
      <c r="B1144" t="s">
        <v>1471</v>
      </c>
      <c r="C1144" t="s">
        <v>84</v>
      </c>
      <c r="D1144" t="s">
        <v>2633</v>
      </c>
      <c r="E1144" t="s">
        <v>2203</v>
      </c>
      <c r="F1144" s="2">
        <v>45492</v>
      </c>
      <c r="G1144" t="s">
        <v>105</v>
      </c>
      <c r="H1144" t="s">
        <v>86</v>
      </c>
      <c r="I1144" t="s">
        <v>33</v>
      </c>
      <c r="J1144" t="s">
        <v>46</v>
      </c>
      <c r="K1144" t="s">
        <v>161</v>
      </c>
      <c r="L1144">
        <v>214860.27</v>
      </c>
      <c r="M1144">
        <v>144459.10999999999</v>
      </c>
      <c r="N1144" t="s">
        <v>192</v>
      </c>
      <c r="O1144">
        <v>11</v>
      </c>
      <c r="P1144">
        <v>42</v>
      </c>
      <c r="Q1144">
        <v>4</v>
      </c>
      <c r="R1144">
        <v>187</v>
      </c>
      <c r="S1144">
        <v>167.9</v>
      </c>
      <c r="T1144" t="s">
        <v>47</v>
      </c>
      <c r="U1144" s="3"/>
      <c r="V1144" s="3"/>
      <c r="W1144" s="3"/>
    </row>
    <row r="1145" spans="1:23">
      <c r="A1145" t="s">
        <v>2634</v>
      </c>
      <c r="B1145" t="s">
        <v>1438</v>
      </c>
      <c r="C1145" t="s">
        <v>84</v>
      </c>
      <c r="D1145" s="2">
        <v>33941</v>
      </c>
      <c r="E1145" t="s">
        <v>2635</v>
      </c>
      <c r="F1145" s="2">
        <v>45627</v>
      </c>
      <c r="G1145" t="s">
        <v>94</v>
      </c>
      <c r="H1145" t="s">
        <v>24</v>
      </c>
      <c r="I1145" t="s">
        <v>33</v>
      </c>
      <c r="K1145" t="s">
        <v>55</v>
      </c>
      <c r="L1145">
        <v>107247.42</v>
      </c>
      <c r="M1145">
        <v>87123.51</v>
      </c>
      <c r="N1145" t="s">
        <v>106</v>
      </c>
      <c r="O1145">
        <v>11</v>
      </c>
      <c r="P1145">
        <v>163</v>
      </c>
      <c r="Q1145">
        <v>5</v>
      </c>
      <c r="R1145">
        <v>128</v>
      </c>
      <c r="S1145">
        <v>119.7</v>
      </c>
      <c r="T1145" t="s">
        <v>37</v>
      </c>
      <c r="U1145" s="3"/>
      <c r="V1145" s="3"/>
      <c r="W1145" s="3"/>
    </row>
    <row r="1146" spans="1:23">
      <c r="A1146" t="s">
        <v>2636</v>
      </c>
      <c r="B1146" t="s">
        <v>622</v>
      </c>
      <c r="C1146" t="s">
        <v>133</v>
      </c>
      <c r="D1146" t="s">
        <v>2637</v>
      </c>
      <c r="E1146" t="s">
        <v>2638</v>
      </c>
      <c r="F1146" s="2">
        <v>45459</v>
      </c>
      <c r="G1146" t="s">
        <v>109</v>
      </c>
      <c r="H1146" t="s">
        <v>24</v>
      </c>
      <c r="I1146" t="s">
        <v>45</v>
      </c>
      <c r="J1146" t="s">
        <v>204</v>
      </c>
      <c r="K1146" t="s">
        <v>72</v>
      </c>
      <c r="L1146" t="s">
        <v>2639</v>
      </c>
      <c r="M1146">
        <v>7616.08</v>
      </c>
      <c r="N1146" t="s">
        <v>91</v>
      </c>
      <c r="O1146">
        <v>10</v>
      </c>
      <c r="P1146">
        <v>97</v>
      </c>
      <c r="Q1146">
        <v>5</v>
      </c>
      <c r="R1146">
        <v>190</v>
      </c>
      <c r="S1146">
        <v>136.9</v>
      </c>
      <c r="U1146" s="3"/>
      <c r="V1146" s="3"/>
      <c r="W1146" s="3"/>
    </row>
    <row r="1147" spans="1:23">
      <c r="A1147" t="s">
        <v>2640</v>
      </c>
      <c r="B1147" t="s">
        <v>545</v>
      </c>
      <c r="C1147" t="s">
        <v>206</v>
      </c>
      <c r="D1147" s="2">
        <v>33101</v>
      </c>
      <c r="E1147" t="s">
        <v>2641</v>
      </c>
      <c r="F1147" s="2">
        <v>45495</v>
      </c>
      <c r="G1147" t="s">
        <v>62</v>
      </c>
      <c r="H1147" t="s">
        <v>63</v>
      </c>
      <c r="J1147" t="s">
        <v>197</v>
      </c>
      <c r="L1147">
        <v>33732.28</v>
      </c>
      <c r="M1147">
        <v>25325.919999999998</v>
      </c>
      <c r="O1147">
        <v>12</v>
      </c>
      <c r="P1147">
        <v>222</v>
      </c>
      <c r="Q1147">
        <v>5</v>
      </c>
      <c r="R1147">
        <v>184</v>
      </c>
      <c r="S1147">
        <v>181.5</v>
      </c>
      <c r="T1147" t="s">
        <v>47</v>
      </c>
      <c r="U1147" s="3"/>
      <c r="V1147" s="3"/>
      <c r="W1147" s="3"/>
    </row>
    <row r="1148" spans="1:23">
      <c r="A1148" t="s">
        <v>2642</v>
      </c>
      <c r="B1148" t="s">
        <v>451</v>
      </c>
      <c r="C1148" t="s">
        <v>22</v>
      </c>
      <c r="D1148" s="2">
        <v>40175</v>
      </c>
      <c r="E1148" s="2">
        <v>45143</v>
      </c>
      <c r="F1148" t="s">
        <v>2643</v>
      </c>
      <c r="G1148" t="s">
        <v>94</v>
      </c>
      <c r="I1148" t="s">
        <v>119</v>
      </c>
      <c r="J1148" t="s">
        <v>34</v>
      </c>
      <c r="L1148" t="s">
        <v>2644</v>
      </c>
      <c r="M1148">
        <v>115665.61</v>
      </c>
      <c r="N1148" t="s">
        <v>192</v>
      </c>
      <c r="O1148">
        <v>14</v>
      </c>
      <c r="P1148">
        <v>89</v>
      </c>
      <c r="Q1148">
        <v>5</v>
      </c>
      <c r="R1148">
        <v>165</v>
      </c>
      <c r="S1148">
        <v>112</v>
      </c>
      <c r="T1148" t="s">
        <v>37</v>
      </c>
      <c r="U1148" s="3"/>
      <c r="V1148" s="3"/>
      <c r="W1148" s="3"/>
    </row>
    <row r="1149" spans="1:23">
      <c r="A1149" t="s">
        <v>2645</v>
      </c>
      <c r="B1149" t="s">
        <v>1393</v>
      </c>
      <c r="C1149" t="s">
        <v>50</v>
      </c>
      <c r="D1149" t="s">
        <v>2646</v>
      </c>
      <c r="E1149" s="2">
        <v>45680</v>
      </c>
      <c r="F1149" t="s">
        <v>1841</v>
      </c>
      <c r="G1149" t="s">
        <v>94</v>
      </c>
      <c r="H1149" t="s">
        <v>44</v>
      </c>
      <c r="I1149" t="s">
        <v>33</v>
      </c>
      <c r="J1149" t="s">
        <v>34</v>
      </c>
      <c r="K1149" t="s">
        <v>161</v>
      </c>
      <c r="L1149">
        <v>226834.51</v>
      </c>
      <c r="M1149">
        <v>182346.96</v>
      </c>
      <c r="N1149" t="s">
        <v>91</v>
      </c>
      <c r="O1149">
        <v>4</v>
      </c>
      <c r="P1149">
        <v>19</v>
      </c>
      <c r="Q1149">
        <v>5</v>
      </c>
      <c r="R1149">
        <v>126</v>
      </c>
      <c r="S1149">
        <v>252.5</v>
      </c>
      <c r="T1149" t="s">
        <v>65</v>
      </c>
      <c r="U1149" s="3"/>
      <c r="V1149" s="3"/>
      <c r="W1149" s="3"/>
    </row>
    <row r="1150" spans="1:23">
      <c r="A1150" t="s">
        <v>2647</v>
      </c>
      <c r="B1150" t="s">
        <v>1206</v>
      </c>
      <c r="C1150" t="s">
        <v>50</v>
      </c>
      <c r="D1150" s="2">
        <v>36846</v>
      </c>
      <c r="E1150" s="2">
        <v>45776</v>
      </c>
      <c r="F1150" s="2">
        <v>45790</v>
      </c>
      <c r="G1150" t="s">
        <v>89</v>
      </c>
      <c r="I1150" t="s">
        <v>119</v>
      </c>
      <c r="J1150" t="s">
        <v>166</v>
      </c>
      <c r="K1150" t="s">
        <v>388</v>
      </c>
      <c r="L1150">
        <v>77126.75</v>
      </c>
      <c r="M1150">
        <v>57307.87</v>
      </c>
      <c r="N1150" t="s">
        <v>56</v>
      </c>
      <c r="O1150">
        <v>14</v>
      </c>
      <c r="P1150">
        <v>12</v>
      </c>
      <c r="R1150">
        <v>143</v>
      </c>
      <c r="S1150">
        <v>214.2</v>
      </c>
      <c r="T1150" t="s">
        <v>81</v>
      </c>
      <c r="U1150" s="3"/>
      <c r="V1150" s="3"/>
      <c r="W1150" s="3"/>
    </row>
    <row r="1151" spans="1:23">
      <c r="A1151" t="s">
        <v>2648</v>
      </c>
      <c r="B1151" t="s">
        <v>877</v>
      </c>
      <c r="C1151" t="s">
        <v>30</v>
      </c>
      <c r="D1151" s="2">
        <v>31230</v>
      </c>
      <c r="E1151" t="s">
        <v>750</v>
      </c>
      <c r="F1151" s="2">
        <v>45426</v>
      </c>
      <c r="G1151" t="s">
        <v>43</v>
      </c>
      <c r="H1151" t="s">
        <v>24</v>
      </c>
      <c r="I1151" t="s">
        <v>119</v>
      </c>
      <c r="J1151" t="s">
        <v>179</v>
      </c>
      <c r="K1151" t="s">
        <v>72</v>
      </c>
      <c r="L1151">
        <v>244930.89</v>
      </c>
      <c r="M1151">
        <v>198532.69</v>
      </c>
      <c r="N1151" t="s">
        <v>73</v>
      </c>
      <c r="O1151">
        <v>3</v>
      </c>
      <c r="P1151">
        <v>207</v>
      </c>
      <c r="R1151">
        <v>115</v>
      </c>
      <c r="S1151">
        <v>183.5</v>
      </c>
      <c r="T1151" t="s">
        <v>37</v>
      </c>
      <c r="U1151" s="3"/>
      <c r="V1151" s="3"/>
      <c r="W1151" s="3"/>
    </row>
    <row r="1152" spans="1:23">
      <c r="A1152" t="s">
        <v>2649</v>
      </c>
      <c r="B1152" t="s">
        <v>49</v>
      </c>
      <c r="C1152" t="s">
        <v>100</v>
      </c>
      <c r="D1152" t="s">
        <v>2650</v>
      </c>
      <c r="E1152" s="2">
        <v>45305</v>
      </c>
      <c r="F1152" t="s">
        <v>2651</v>
      </c>
      <c r="G1152" t="s">
        <v>94</v>
      </c>
      <c r="H1152" t="s">
        <v>95</v>
      </c>
      <c r="J1152" t="s">
        <v>64</v>
      </c>
      <c r="K1152" t="s">
        <v>161</v>
      </c>
      <c r="L1152">
        <v>44466.03</v>
      </c>
      <c r="M1152">
        <v>37731.300000000003</v>
      </c>
      <c r="N1152" t="s">
        <v>56</v>
      </c>
      <c r="O1152">
        <v>1</v>
      </c>
      <c r="P1152">
        <v>21</v>
      </c>
      <c r="R1152">
        <v>158</v>
      </c>
      <c r="S1152">
        <v>186.8</v>
      </c>
      <c r="T1152" t="s">
        <v>57</v>
      </c>
      <c r="U1152" s="3"/>
      <c r="V1152" s="3"/>
      <c r="W1152" s="3"/>
    </row>
    <row r="1153" spans="1:23">
      <c r="A1153" t="s">
        <v>2652</v>
      </c>
      <c r="B1153" t="s">
        <v>334</v>
      </c>
      <c r="C1153" t="s">
        <v>133</v>
      </c>
      <c r="D1153" s="2">
        <v>30782</v>
      </c>
      <c r="E1153" t="s">
        <v>2653</v>
      </c>
      <c r="F1153" s="2">
        <v>45979</v>
      </c>
      <c r="G1153" t="s">
        <v>766</v>
      </c>
      <c r="H1153" t="s">
        <v>153</v>
      </c>
      <c r="I1153" t="s">
        <v>79</v>
      </c>
      <c r="J1153" t="s">
        <v>34</v>
      </c>
      <c r="L1153">
        <v>74795.25</v>
      </c>
      <c r="M1153">
        <v>55697.760000000002</v>
      </c>
      <c r="N1153" t="s">
        <v>56</v>
      </c>
      <c r="O1153">
        <v>3</v>
      </c>
      <c r="P1153">
        <v>213</v>
      </c>
      <c r="Q1153">
        <v>4</v>
      </c>
      <c r="R1153">
        <v>129</v>
      </c>
      <c r="S1153">
        <v>122.2</v>
      </c>
      <c r="T1153" t="s">
        <v>37</v>
      </c>
      <c r="U1153" s="3"/>
      <c r="V1153" s="3"/>
      <c r="W1153" s="3"/>
    </row>
    <row r="1154" spans="1:23">
      <c r="A1154" t="s">
        <v>2654</v>
      </c>
      <c r="B1154" t="s">
        <v>1094</v>
      </c>
      <c r="C1154" t="s">
        <v>40</v>
      </c>
      <c r="D1154" s="2">
        <v>34321</v>
      </c>
      <c r="E1154" s="2">
        <v>45898</v>
      </c>
      <c r="F1154" s="2">
        <v>45913</v>
      </c>
      <c r="G1154" t="s">
        <v>109</v>
      </c>
      <c r="H1154" t="s">
        <v>44</v>
      </c>
      <c r="I1154" t="s">
        <v>53</v>
      </c>
      <c r="J1154" t="s">
        <v>71</v>
      </c>
      <c r="K1154" t="s">
        <v>27</v>
      </c>
      <c r="L1154">
        <v>98572.17</v>
      </c>
      <c r="M1154">
        <v>84197.31</v>
      </c>
      <c r="N1154" t="s">
        <v>73</v>
      </c>
      <c r="O1154">
        <v>15</v>
      </c>
      <c r="P1154">
        <v>83</v>
      </c>
      <c r="Q1154">
        <v>5</v>
      </c>
      <c r="R1154">
        <v>139</v>
      </c>
      <c r="S1154">
        <v>224.9</v>
      </c>
      <c r="T1154" t="s">
        <v>47</v>
      </c>
      <c r="U1154" s="3"/>
      <c r="V1154" s="3"/>
      <c r="W1154" s="3"/>
    </row>
    <row r="1155" spans="1:23">
      <c r="A1155" t="s">
        <v>2655</v>
      </c>
      <c r="B1155" t="s">
        <v>224</v>
      </c>
      <c r="C1155" t="s">
        <v>133</v>
      </c>
      <c r="D1155" t="s">
        <v>2656</v>
      </c>
      <c r="E1155" s="2">
        <v>45695</v>
      </c>
      <c r="F1155" s="2">
        <v>45704</v>
      </c>
      <c r="G1155" t="s">
        <v>117</v>
      </c>
      <c r="H1155" t="s">
        <v>134</v>
      </c>
      <c r="I1155" t="s">
        <v>79</v>
      </c>
      <c r="J1155" t="s">
        <v>1381</v>
      </c>
      <c r="K1155" t="s">
        <v>110</v>
      </c>
      <c r="L1155">
        <v>167748.79999999999</v>
      </c>
      <c r="M1155">
        <v>108574.85</v>
      </c>
      <c r="N1155" t="s">
        <v>192</v>
      </c>
      <c r="O1155">
        <v>9</v>
      </c>
      <c r="P1155" t="s">
        <v>2657</v>
      </c>
      <c r="Q1155">
        <v>2</v>
      </c>
      <c r="R1155">
        <v>174</v>
      </c>
      <c r="S1155">
        <v>257.39999999999998</v>
      </c>
      <c r="T1155" t="s">
        <v>47</v>
      </c>
      <c r="U1155" s="3"/>
      <c r="V1155" s="3"/>
      <c r="W1155" s="3"/>
    </row>
    <row r="1156" spans="1:23">
      <c r="A1156" t="s">
        <v>2658</v>
      </c>
      <c r="B1156" t="s">
        <v>845</v>
      </c>
      <c r="C1156" t="s">
        <v>100</v>
      </c>
      <c r="D1156" s="2">
        <v>29938</v>
      </c>
      <c r="E1156" s="2">
        <v>45479</v>
      </c>
      <c r="F1156" t="s">
        <v>2659</v>
      </c>
      <c r="G1156" t="s">
        <v>141</v>
      </c>
      <c r="H1156" t="s">
        <v>153</v>
      </c>
      <c r="I1156" t="s">
        <v>33</v>
      </c>
      <c r="J1156" t="s">
        <v>80</v>
      </c>
      <c r="K1156" t="s">
        <v>161</v>
      </c>
      <c r="L1156">
        <v>129883.58</v>
      </c>
      <c r="M1156">
        <v>120425</v>
      </c>
      <c r="N1156" t="s">
        <v>35</v>
      </c>
      <c r="O1156">
        <v>2</v>
      </c>
      <c r="P1156" t="s">
        <v>1294</v>
      </c>
      <c r="R1156">
        <v>131</v>
      </c>
      <c r="S1156">
        <v>164.2</v>
      </c>
      <c r="T1156" t="s">
        <v>47</v>
      </c>
      <c r="U1156" s="3"/>
      <c r="V1156" s="3"/>
      <c r="W1156" s="3"/>
    </row>
    <row r="1157" spans="1:23">
      <c r="A1157" t="s">
        <v>2660</v>
      </c>
      <c r="B1157" t="s">
        <v>1026</v>
      </c>
      <c r="C1157" t="s">
        <v>206</v>
      </c>
      <c r="D1157" s="2">
        <v>30150</v>
      </c>
      <c r="E1157" s="2">
        <v>44931</v>
      </c>
      <c r="F1157" s="2">
        <v>44933</v>
      </c>
      <c r="G1157" t="s">
        <v>105</v>
      </c>
      <c r="H1157" t="s">
        <v>52</v>
      </c>
      <c r="I1157" t="s">
        <v>53</v>
      </c>
      <c r="J1157" t="s">
        <v>34</v>
      </c>
      <c r="K1157" t="s">
        <v>110</v>
      </c>
      <c r="L1157">
        <v>160207.32999999999</v>
      </c>
      <c r="M1157">
        <v>136292.01</v>
      </c>
      <c r="N1157" t="s">
        <v>91</v>
      </c>
      <c r="O1157">
        <v>2</v>
      </c>
      <c r="P1157" t="s">
        <v>2661</v>
      </c>
      <c r="Q1157">
        <v>5</v>
      </c>
      <c r="R1157">
        <v>167</v>
      </c>
      <c r="S1157">
        <v>120.2</v>
      </c>
      <c r="T1157" t="s">
        <v>37</v>
      </c>
      <c r="U1157" s="3"/>
      <c r="V1157" s="3"/>
      <c r="W1157" s="3"/>
    </row>
    <row r="1158" spans="1:23">
      <c r="A1158" t="s">
        <v>2662</v>
      </c>
      <c r="B1158" t="s">
        <v>640</v>
      </c>
      <c r="C1158" t="s">
        <v>84</v>
      </c>
      <c r="D1158" s="2">
        <v>28346</v>
      </c>
      <c r="E1158" t="s">
        <v>2663</v>
      </c>
      <c r="F1158" t="s">
        <v>2664</v>
      </c>
      <c r="G1158" t="s">
        <v>62</v>
      </c>
      <c r="H1158" t="s">
        <v>24</v>
      </c>
      <c r="I1158" t="s">
        <v>45</v>
      </c>
      <c r="J1158" t="s">
        <v>46</v>
      </c>
      <c r="K1158" t="s">
        <v>55</v>
      </c>
      <c r="L1158">
        <v>22998.47</v>
      </c>
      <c r="M1158">
        <v>15064.59</v>
      </c>
      <c r="N1158" t="s">
        <v>73</v>
      </c>
      <c r="O1158">
        <v>4</v>
      </c>
      <c r="P1158">
        <v>140</v>
      </c>
      <c r="Q1158">
        <v>5</v>
      </c>
      <c r="R1158">
        <v>175</v>
      </c>
      <c r="S1158">
        <v>249.4</v>
      </c>
      <c r="T1158" t="s">
        <v>37</v>
      </c>
      <c r="U1158" s="3"/>
      <c r="V1158" s="3"/>
      <c r="W1158" s="3"/>
    </row>
    <row r="1159" spans="1:23">
      <c r="A1159" t="s">
        <v>2665</v>
      </c>
      <c r="B1159" t="s">
        <v>895</v>
      </c>
      <c r="C1159" t="s">
        <v>60</v>
      </c>
      <c r="D1159" s="2">
        <v>34989</v>
      </c>
      <c r="E1159" s="2">
        <v>45901</v>
      </c>
      <c r="F1159" t="s">
        <v>2515</v>
      </c>
      <c r="G1159" t="s">
        <v>94</v>
      </c>
      <c r="H1159" t="s">
        <v>124</v>
      </c>
      <c r="K1159" t="s">
        <v>55</v>
      </c>
      <c r="L1159">
        <v>173730.2</v>
      </c>
      <c r="M1159">
        <v>162233.54</v>
      </c>
      <c r="N1159" t="s">
        <v>192</v>
      </c>
      <c r="O1159">
        <v>14</v>
      </c>
      <c r="P1159">
        <v>37</v>
      </c>
      <c r="Q1159">
        <v>4</v>
      </c>
      <c r="R1159">
        <v>116</v>
      </c>
      <c r="S1159">
        <v>174.1</v>
      </c>
      <c r="T1159" t="s">
        <v>37</v>
      </c>
      <c r="U1159" s="3"/>
      <c r="V1159" s="3"/>
      <c r="W1159" s="3"/>
    </row>
    <row r="1160" spans="1:23">
      <c r="A1160" t="s">
        <v>2666</v>
      </c>
      <c r="B1160" t="s">
        <v>737</v>
      </c>
      <c r="C1160" t="s">
        <v>50</v>
      </c>
      <c r="D1160" s="2">
        <v>29184</v>
      </c>
      <c r="E1160" s="2">
        <v>45532</v>
      </c>
      <c r="F1160" s="2">
        <v>45546</v>
      </c>
      <c r="G1160" t="s">
        <v>117</v>
      </c>
      <c r="H1160" t="s">
        <v>24</v>
      </c>
      <c r="I1160" t="s">
        <v>119</v>
      </c>
      <c r="J1160" t="s">
        <v>97</v>
      </c>
      <c r="K1160" t="s">
        <v>72</v>
      </c>
      <c r="L1160">
        <v>119587.68</v>
      </c>
      <c r="M1160">
        <v>76649.55</v>
      </c>
      <c r="N1160" t="s">
        <v>1048</v>
      </c>
      <c r="O1160">
        <v>14</v>
      </c>
      <c r="P1160">
        <v>162</v>
      </c>
      <c r="Q1160">
        <v>4</v>
      </c>
      <c r="R1160">
        <v>102</v>
      </c>
      <c r="S1160">
        <v>251.9</v>
      </c>
      <c r="T1160" t="s">
        <v>65</v>
      </c>
      <c r="U1160" s="3"/>
      <c r="V1160" s="3"/>
      <c r="W1160" s="3"/>
    </row>
    <row r="1161" spans="1:23">
      <c r="A1161" t="s">
        <v>2667</v>
      </c>
      <c r="B1161" t="s">
        <v>1350</v>
      </c>
      <c r="C1161" t="s">
        <v>133</v>
      </c>
      <c r="D1161" s="2">
        <v>28157</v>
      </c>
      <c r="E1161" s="2">
        <v>45240</v>
      </c>
      <c r="F1161" t="s">
        <v>2668</v>
      </c>
      <c r="G1161" t="s">
        <v>89</v>
      </c>
      <c r="H1161" t="s">
        <v>118</v>
      </c>
      <c r="J1161" t="s">
        <v>71</v>
      </c>
      <c r="K1161" t="s">
        <v>161</v>
      </c>
      <c r="L1161">
        <v>86440.18</v>
      </c>
      <c r="M1161">
        <v>81852.960000000006</v>
      </c>
      <c r="N1161" t="s">
        <v>35</v>
      </c>
      <c r="O1161">
        <v>5</v>
      </c>
      <c r="P1161">
        <v>33</v>
      </c>
      <c r="Q1161">
        <v>5</v>
      </c>
      <c r="R1161">
        <v>147</v>
      </c>
      <c r="S1161">
        <v>115.4</v>
      </c>
      <c r="T1161" t="s">
        <v>47</v>
      </c>
      <c r="U1161" s="3"/>
      <c r="V1161" s="3"/>
      <c r="W1161" s="3"/>
    </row>
    <row r="1162" spans="1:23">
      <c r="A1162" t="s">
        <v>2669</v>
      </c>
      <c r="B1162" t="s">
        <v>877</v>
      </c>
      <c r="C1162" t="s">
        <v>30</v>
      </c>
      <c r="D1162" s="2">
        <v>20282</v>
      </c>
      <c r="E1162" s="2">
        <v>45622</v>
      </c>
      <c r="G1162" t="s">
        <v>70</v>
      </c>
      <c r="I1162" t="s">
        <v>96</v>
      </c>
      <c r="J1162" t="s">
        <v>34</v>
      </c>
      <c r="K1162" t="s">
        <v>55</v>
      </c>
      <c r="L1162">
        <v>83151.149999999994</v>
      </c>
      <c r="M1162">
        <v>61942.400000000001</v>
      </c>
      <c r="O1162">
        <v>17</v>
      </c>
      <c r="P1162">
        <v>121</v>
      </c>
      <c r="Q1162">
        <v>3</v>
      </c>
      <c r="R1162">
        <v>96</v>
      </c>
      <c r="S1162">
        <v>198.1</v>
      </c>
      <c r="T1162" t="s">
        <v>37</v>
      </c>
      <c r="U1162" s="3"/>
      <c r="V1162" s="3"/>
      <c r="W1162" s="3"/>
    </row>
    <row r="1163" spans="1:23">
      <c r="A1163" t="s">
        <v>2670</v>
      </c>
      <c r="B1163" t="s">
        <v>298</v>
      </c>
      <c r="C1163" t="s">
        <v>133</v>
      </c>
      <c r="D1163" t="s">
        <v>2671</v>
      </c>
      <c r="E1163" s="2">
        <v>45580</v>
      </c>
      <c r="F1163" s="2">
        <v>45595</v>
      </c>
      <c r="G1163" t="s">
        <v>70</v>
      </c>
      <c r="H1163" t="s">
        <v>52</v>
      </c>
      <c r="I1163" t="s">
        <v>53</v>
      </c>
      <c r="K1163" t="s">
        <v>27</v>
      </c>
      <c r="L1163">
        <v>175211.51</v>
      </c>
      <c r="M1163">
        <v>167295.04000000001</v>
      </c>
      <c r="N1163" t="s">
        <v>91</v>
      </c>
      <c r="O1163">
        <v>15</v>
      </c>
      <c r="P1163">
        <v>121</v>
      </c>
      <c r="Q1163">
        <v>4</v>
      </c>
      <c r="R1163">
        <v>113</v>
      </c>
      <c r="S1163">
        <v>254.6</v>
      </c>
      <c r="T1163" t="s">
        <v>127</v>
      </c>
      <c r="U1163" s="3"/>
      <c r="V1163" s="3"/>
      <c r="W1163" s="3"/>
    </row>
    <row r="1164" spans="1:23">
      <c r="A1164" t="s">
        <v>2672</v>
      </c>
      <c r="B1164" t="s">
        <v>1101</v>
      </c>
      <c r="C1164" t="s">
        <v>206</v>
      </c>
      <c r="D1164" s="2">
        <v>37271</v>
      </c>
      <c r="E1164" s="2">
        <v>45534</v>
      </c>
      <c r="F1164" s="2">
        <v>45541</v>
      </c>
      <c r="G1164" t="s">
        <v>161</v>
      </c>
      <c r="H1164" t="s">
        <v>153</v>
      </c>
      <c r="I1164" t="s">
        <v>45</v>
      </c>
      <c r="K1164" t="s">
        <v>120</v>
      </c>
      <c r="L1164">
        <v>39106.65</v>
      </c>
      <c r="M1164">
        <v>32019.88</v>
      </c>
      <c r="N1164" t="s">
        <v>73</v>
      </c>
      <c r="O1164">
        <v>7</v>
      </c>
      <c r="P1164">
        <v>72</v>
      </c>
      <c r="Q1164">
        <v>4</v>
      </c>
      <c r="R1164">
        <v>185</v>
      </c>
      <c r="S1164">
        <v>170.4</v>
      </c>
      <c r="T1164" t="s">
        <v>65</v>
      </c>
      <c r="U1164" s="3"/>
      <c r="V1164" s="3"/>
      <c r="W1164" s="3"/>
    </row>
    <row r="1165" spans="1:23">
      <c r="A1165" t="s">
        <v>2673</v>
      </c>
      <c r="B1165" t="s">
        <v>1426</v>
      </c>
      <c r="C1165" t="s">
        <v>133</v>
      </c>
      <c r="D1165" s="2">
        <v>32240</v>
      </c>
      <c r="E1165" s="2">
        <v>45509</v>
      </c>
      <c r="F1165" s="2">
        <v>45522</v>
      </c>
      <c r="G1165" t="s">
        <v>31</v>
      </c>
      <c r="H1165" t="s">
        <v>86</v>
      </c>
      <c r="I1165" t="s">
        <v>45</v>
      </c>
      <c r="J1165" t="s">
        <v>34</v>
      </c>
      <c r="K1165" t="s">
        <v>55</v>
      </c>
      <c r="L1165">
        <v>52762.97</v>
      </c>
      <c r="M1165">
        <v>37037.18</v>
      </c>
      <c r="N1165" t="s">
        <v>35</v>
      </c>
      <c r="O1165">
        <v>13</v>
      </c>
      <c r="P1165">
        <v>128</v>
      </c>
      <c r="Q1165">
        <v>5</v>
      </c>
      <c r="R1165">
        <v>179</v>
      </c>
      <c r="T1165" t="s">
        <v>37</v>
      </c>
      <c r="U1165" s="3"/>
      <c r="V1165" s="3"/>
      <c r="W1165" s="3"/>
    </row>
    <row r="1166" spans="1:23">
      <c r="A1166" t="s">
        <v>2674</v>
      </c>
      <c r="B1166" t="s">
        <v>796</v>
      </c>
      <c r="C1166" t="s">
        <v>206</v>
      </c>
      <c r="D1166" s="2">
        <v>18606</v>
      </c>
      <c r="E1166" s="2">
        <v>45829</v>
      </c>
      <c r="F1166" s="2">
        <v>45831</v>
      </c>
      <c r="G1166" t="s">
        <v>62</v>
      </c>
      <c r="H1166" t="s">
        <v>63</v>
      </c>
      <c r="I1166" t="s">
        <v>53</v>
      </c>
      <c r="J1166" t="s">
        <v>64</v>
      </c>
      <c r="K1166" t="s">
        <v>55</v>
      </c>
      <c r="L1166">
        <v>224884.36</v>
      </c>
      <c r="M1166">
        <v>215615.19</v>
      </c>
      <c r="N1166" t="s">
        <v>73</v>
      </c>
      <c r="O1166">
        <v>2</v>
      </c>
      <c r="P1166">
        <v>240</v>
      </c>
      <c r="R1166">
        <v>101</v>
      </c>
      <c r="S1166">
        <v>155.30000000000001</v>
      </c>
      <c r="T1166" t="s">
        <v>37</v>
      </c>
      <c r="U1166" s="3"/>
      <c r="V1166" s="3"/>
      <c r="W1166" s="3"/>
    </row>
    <row r="1167" spans="1:23">
      <c r="A1167" t="s">
        <v>2675</v>
      </c>
      <c r="B1167" t="s">
        <v>112</v>
      </c>
      <c r="D1167" s="2">
        <v>36132</v>
      </c>
      <c r="E1167" t="s">
        <v>2676</v>
      </c>
      <c r="F1167" t="s">
        <v>2677</v>
      </c>
      <c r="H1167" t="s">
        <v>118</v>
      </c>
      <c r="I1167" t="s">
        <v>33</v>
      </c>
      <c r="J1167" t="s">
        <v>34</v>
      </c>
      <c r="L1167">
        <v>152627.46</v>
      </c>
      <c r="M1167">
        <v>103952.31</v>
      </c>
      <c r="N1167" t="s">
        <v>56</v>
      </c>
      <c r="O1167">
        <v>12</v>
      </c>
      <c r="P1167">
        <v>188</v>
      </c>
      <c r="Q1167">
        <v>2</v>
      </c>
      <c r="R1167">
        <v>152</v>
      </c>
      <c r="S1167">
        <v>181.9</v>
      </c>
      <c r="T1167" t="s">
        <v>37</v>
      </c>
      <c r="U1167" s="3"/>
      <c r="V1167" s="3"/>
      <c r="W1167" s="3"/>
    </row>
    <row r="1168" spans="1:23">
      <c r="A1168" t="s">
        <v>2678</v>
      </c>
      <c r="B1168" t="s">
        <v>1026</v>
      </c>
      <c r="C1168" t="s">
        <v>60</v>
      </c>
      <c r="D1168" s="2">
        <v>35600</v>
      </c>
      <c r="E1168" s="2">
        <v>45341</v>
      </c>
      <c r="F1168" s="2">
        <v>45353</v>
      </c>
      <c r="G1168" t="s">
        <v>754</v>
      </c>
      <c r="H1168" t="s">
        <v>32</v>
      </c>
      <c r="I1168" t="s">
        <v>79</v>
      </c>
      <c r="J1168" t="s">
        <v>46</v>
      </c>
      <c r="K1168" t="s">
        <v>55</v>
      </c>
      <c r="L1168">
        <v>4159.8500000000004</v>
      </c>
      <c r="M1168">
        <v>3401.04</v>
      </c>
      <c r="N1168" t="s">
        <v>73</v>
      </c>
      <c r="O1168">
        <v>12</v>
      </c>
      <c r="Q1168">
        <v>1</v>
      </c>
      <c r="R1168">
        <v>150</v>
      </c>
      <c r="S1168">
        <v>172.2</v>
      </c>
      <c r="U1168" s="3"/>
      <c r="V1168" s="3"/>
      <c r="W1168" s="3"/>
    </row>
    <row r="1169" spans="1:23">
      <c r="A1169" t="s">
        <v>2679</v>
      </c>
      <c r="B1169" t="s">
        <v>560</v>
      </c>
      <c r="C1169" t="s">
        <v>40</v>
      </c>
      <c r="D1169" s="2">
        <v>21077</v>
      </c>
      <c r="E1169" t="s">
        <v>2653</v>
      </c>
      <c r="F1169" s="2">
        <v>45977</v>
      </c>
      <c r="G1169" t="s">
        <v>152</v>
      </c>
      <c r="H1169" t="s">
        <v>118</v>
      </c>
      <c r="I1169" t="s">
        <v>45</v>
      </c>
      <c r="J1169" t="s">
        <v>34</v>
      </c>
      <c r="L1169">
        <v>210013.23</v>
      </c>
      <c r="M1169">
        <v>169128.97</v>
      </c>
      <c r="N1169" t="s">
        <v>990</v>
      </c>
      <c r="O1169">
        <v>1</v>
      </c>
      <c r="Q1169">
        <v>5</v>
      </c>
      <c r="R1169">
        <v>163</v>
      </c>
      <c r="S1169">
        <v>70.7</v>
      </c>
      <c r="T1169" t="s">
        <v>37</v>
      </c>
      <c r="U1169" s="3"/>
      <c r="V1169" s="3"/>
      <c r="W1169" s="3"/>
    </row>
    <row r="1170" spans="1:23">
      <c r="A1170" t="s">
        <v>2680</v>
      </c>
      <c r="B1170" t="s">
        <v>288</v>
      </c>
      <c r="C1170" t="s">
        <v>206</v>
      </c>
      <c r="D1170" s="2">
        <v>37496</v>
      </c>
      <c r="E1170" s="2">
        <v>45942</v>
      </c>
      <c r="F1170" t="s">
        <v>1543</v>
      </c>
      <c r="G1170" t="s">
        <v>141</v>
      </c>
      <c r="H1170" t="s">
        <v>118</v>
      </c>
      <c r="J1170" t="s">
        <v>97</v>
      </c>
      <c r="K1170" t="s">
        <v>161</v>
      </c>
      <c r="L1170">
        <v>175171.01</v>
      </c>
      <c r="M1170">
        <v>116479.86</v>
      </c>
      <c r="N1170" t="s">
        <v>409</v>
      </c>
      <c r="O1170">
        <v>2</v>
      </c>
      <c r="P1170">
        <v>30</v>
      </c>
      <c r="Q1170">
        <v>2</v>
      </c>
      <c r="R1170">
        <v>162</v>
      </c>
      <c r="S1170">
        <v>133.80000000000001</v>
      </c>
      <c r="U1170" s="3"/>
      <c r="V1170" s="3"/>
      <c r="W1170" s="3"/>
    </row>
    <row r="1171" spans="1:23">
      <c r="A1171" t="s">
        <v>2681</v>
      </c>
      <c r="B1171" t="s">
        <v>829</v>
      </c>
      <c r="C1171" t="s">
        <v>60</v>
      </c>
      <c r="D1171" s="2">
        <v>21562</v>
      </c>
      <c r="E1171" s="2">
        <v>45173</v>
      </c>
      <c r="F1171" s="2">
        <v>45180</v>
      </c>
      <c r="G1171" t="s">
        <v>984</v>
      </c>
      <c r="J1171" t="s">
        <v>71</v>
      </c>
      <c r="L1171">
        <v>183325.23</v>
      </c>
      <c r="M1171">
        <v>137585.94</v>
      </c>
      <c r="N1171" t="s">
        <v>192</v>
      </c>
      <c r="O1171">
        <v>7</v>
      </c>
      <c r="P1171">
        <v>95</v>
      </c>
      <c r="Q1171">
        <v>1</v>
      </c>
      <c r="R1171">
        <v>96</v>
      </c>
      <c r="S1171">
        <v>164.2</v>
      </c>
      <c r="T1171" t="s">
        <v>37</v>
      </c>
      <c r="U1171" s="3"/>
      <c r="V1171" s="3"/>
      <c r="W1171" s="3"/>
    </row>
    <row r="1172" spans="1:23">
      <c r="A1172" t="s">
        <v>2682</v>
      </c>
      <c r="B1172" t="s">
        <v>2033</v>
      </c>
      <c r="C1172" t="s">
        <v>84</v>
      </c>
      <c r="D1172" s="2">
        <v>28626</v>
      </c>
      <c r="E1172" s="2">
        <v>45850</v>
      </c>
      <c r="F1172" s="2">
        <v>45858</v>
      </c>
      <c r="G1172" t="s">
        <v>117</v>
      </c>
      <c r="H1172" t="s">
        <v>634</v>
      </c>
      <c r="I1172" t="s">
        <v>119</v>
      </c>
      <c r="J1172" t="s">
        <v>64</v>
      </c>
      <c r="K1172" t="s">
        <v>55</v>
      </c>
      <c r="L1172" t="s">
        <v>2683</v>
      </c>
      <c r="M1172">
        <v>54409.82</v>
      </c>
      <c r="N1172" t="s">
        <v>192</v>
      </c>
      <c r="O1172">
        <v>8</v>
      </c>
      <c r="P1172">
        <v>103</v>
      </c>
      <c r="R1172">
        <v>186</v>
      </c>
      <c r="S1172">
        <v>93.6</v>
      </c>
      <c r="T1172" t="s">
        <v>65</v>
      </c>
      <c r="U1172" s="3"/>
      <c r="V1172" s="3"/>
      <c r="W1172" s="3"/>
    </row>
    <row r="1173" spans="1:23">
      <c r="A1173" t="s">
        <v>2684</v>
      </c>
      <c r="B1173" t="s">
        <v>967</v>
      </c>
      <c r="D1173" t="s">
        <v>2685</v>
      </c>
      <c r="E1173" s="2">
        <v>45314</v>
      </c>
      <c r="F1173" s="2">
        <v>45321</v>
      </c>
      <c r="G1173" t="s">
        <v>141</v>
      </c>
      <c r="H1173" t="s">
        <v>24</v>
      </c>
      <c r="I1173" t="s">
        <v>45</v>
      </c>
      <c r="J1173" t="s">
        <v>197</v>
      </c>
      <c r="L1173">
        <v>63215.63</v>
      </c>
      <c r="M1173">
        <v>47991.12</v>
      </c>
      <c r="N1173" t="s">
        <v>192</v>
      </c>
      <c r="O1173">
        <v>7</v>
      </c>
      <c r="P1173">
        <v>60</v>
      </c>
      <c r="Q1173">
        <v>1</v>
      </c>
      <c r="R1173">
        <v>131</v>
      </c>
      <c r="S1173">
        <v>191.9</v>
      </c>
      <c r="T1173" t="s">
        <v>37</v>
      </c>
      <c r="U1173" s="3"/>
      <c r="V1173" s="3"/>
      <c r="W1173" s="3"/>
    </row>
    <row r="1174" spans="1:23">
      <c r="A1174" t="s">
        <v>2686</v>
      </c>
      <c r="B1174" t="s">
        <v>2033</v>
      </c>
      <c r="C1174" t="s">
        <v>206</v>
      </c>
      <c r="D1174" s="2">
        <v>29986</v>
      </c>
      <c r="E1174" s="2">
        <v>45308</v>
      </c>
      <c r="F1174" s="2">
        <v>45326</v>
      </c>
      <c r="G1174" t="s">
        <v>117</v>
      </c>
      <c r="H1174" t="s">
        <v>106</v>
      </c>
      <c r="I1174" t="s">
        <v>45</v>
      </c>
      <c r="J1174" t="s">
        <v>71</v>
      </c>
      <c r="L1174">
        <v>187137.13</v>
      </c>
      <c r="M1174">
        <v>156375.01999999999</v>
      </c>
      <c r="N1174" t="s">
        <v>73</v>
      </c>
      <c r="O1174">
        <v>18</v>
      </c>
      <c r="P1174">
        <v>151</v>
      </c>
      <c r="Q1174">
        <v>3</v>
      </c>
      <c r="R1174">
        <v>106</v>
      </c>
      <c r="S1174">
        <v>96.1</v>
      </c>
      <c r="T1174" t="s">
        <v>47</v>
      </c>
      <c r="U1174" s="3"/>
      <c r="V1174" s="3"/>
      <c r="W1174" s="3"/>
    </row>
    <row r="1175" spans="1:23">
      <c r="A1175" t="s">
        <v>2687</v>
      </c>
      <c r="B1175" t="s">
        <v>1026</v>
      </c>
      <c r="C1175" t="s">
        <v>133</v>
      </c>
      <c r="D1175" s="2">
        <v>25735</v>
      </c>
      <c r="E1175" s="2">
        <v>45940</v>
      </c>
      <c r="F1175" s="2">
        <v>45956</v>
      </c>
      <c r="G1175" t="s">
        <v>117</v>
      </c>
      <c r="H1175" t="s">
        <v>52</v>
      </c>
      <c r="J1175" t="s">
        <v>71</v>
      </c>
      <c r="K1175" t="s">
        <v>120</v>
      </c>
      <c r="L1175">
        <v>52950.400000000001</v>
      </c>
      <c r="M1175">
        <v>47697.47</v>
      </c>
      <c r="N1175" t="s">
        <v>1048</v>
      </c>
      <c r="O1175">
        <v>16</v>
      </c>
      <c r="P1175">
        <v>59</v>
      </c>
      <c r="Q1175">
        <v>5</v>
      </c>
      <c r="R1175">
        <v>172</v>
      </c>
      <c r="S1175">
        <v>130.69999999999999</v>
      </c>
      <c r="T1175" t="s">
        <v>127</v>
      </c>
      <c r="U1175" s="3"/>
      <c r="V1175" s="3"/>
      <c r="W1175" s="3"/>
    </row>
    <row r="1176" spans="1:23">
      <c r="A1176" t="s">
        <v>2688</v>
      </c>
      <c r="B1176" t="s">
        <v>1818</v>
      </c>
      <c r="D1176" s="2">
        <v>34500</v>
      </c>
      <c r="E1176" s="2">
        <v>45648</v>
      </c>
      <c r="F1176" s="2">
        <v>45662</v>
      </c>
      <c r="G1176" t="s">
        <v>117</v>
      </c>
      <c r="H1176" t="s">
        <v>44</v>
      </c>
      <c r="I1176" t="s">
        <v>45</v>
      </c>
      <c r="J1176" t="s">
        <v>80</v>
      </c>
      <c r="K1176" t="s">
        <v>72</v>
      </c>
      <c r="L1176">
        <v>145212.93</v>
      </c>
      <c r="M1176">
        <v>118742.74</v>
      </c>
      <c r="N1176" t="s">
        <v>73</v>
      </c>
      <c r="O1176">
        <v>14</v>
      </c>
      <c r="P1176">
        <v>232</v>
      </c>
      <c r="R1176">
        <v>90</v>
      </c>
      <c r="S1176">
        <v>223.3</v>
      </c>
      <c r="T1176" t="s">
        <v>37</v>
      </c>
      <c r="U1176" s="3"/>
      <c r="V1176" s="3"/>
      <c r="W1176" s="3"/>
    </row>
    <row r="1177" spans="1:23">
      <c r="A1177" t="s">
        <v>2689</v>
      </c>
      <c r="B1177" t="s">
        <v>1839</v>
      </c>
      <c r="C1177" t="s">
        <v>22</v>
      </c>
      <c r="D1177" s="2">
        <v>21787</v>
      </c>
      <c r="E1177" s="2">
        <v>45897</v>
      </c>
      <c r="F1177" s="2">
        <v>45906</v>
      </c>
      <c r="G1177" t="s">
        <v>105</v>
      </c>
      <c r="H1177" t="s">
        <v>538</v>
      </c>
      <c r="I1177" t="s">
        <v>53</v>
      </c>
      <c r="J1177" t="s">
        <v>26</v>
      </c>
      <c r="K1177" t="s">
        <v>120</v>
      </c>
      <c r="L1177">
        <v>230403.57</v>
      </c>
      <c r="M1177">
        <v>168664.92</v>
      </c>
      <c r="N1177" t="s">
        <v>192</v>
      </c>
      <c r="O1177">
        <v>9</v>
      </c>
      <c r="P1177">
        <v>139</v>
      </c>
      <c r="Q1177">
        <v>2</v>
      </c>
      <c r="R1177">
        <v>154</v>
      </c>
      <c r="S1177">
        <v>173.7</v>
      </c>
      <c r="U1177" s="3"/>
      <c r="V1177" s="3"/>
      <c r="W1177" s="3"/>
    </row>
    <row r="1178" spans="1:23">
      <c r="A1178" t="s">
        <v>2690</v>
      </c>
      <c r="B1178" t="s">
        <v>1734</v>
      </c>
      <c r="C1178" t="s">
        <v>40</v>
      </c>
      <c r="D1178" s="2">
        <v>20496</v>
      </c>
      <c r="E1178" t="s">
        <v>2691</v>
      </c>
      <c r="F1178" t="s">
        <v>2692</v>
      </c>
      <c r="G1178" t="s">
        <v>109</v>
      </c>
      <c r="H1178" t="s">
        <v>32</v>
      </c>
      <c r="I1178" t="s">
        <v>119</v>
      </c>
      <c r="J1178" t="s">
        <v>34</v>
      </c>
      <c r="K1178" t="s">
        <v>55</v>
      </c>
      <c r="L1178">
        <v>15669.63</v>
      </c>
      <c r="M1178">
        <v>15061.57</v>
      </c>
      <c r="N1178" t="s">
        <v>192</v>
      </c>
      <c r="O1178">
        <v>2</v>
      </c>
      <c r="P1178">
        <v>219</v>
      </c>
      <c r="Q1178">
        <v>4</v>
      </c>
      <c r="R1178">
        <v>126</v>
      </c>
      <c r="S1178">
        <v>229.9</v>
      </c>
      <c r="U1178" s="3"/>
      <c r="V1178" s="3"/>
      <c r="W1178" s="3"/>
    </row>
    <row r="1179" spans="1:23">
      <c r="A1179" t="s">
        <v>2693</v>
      </c>
      <c r="B1179" t="s">
        <v>622</v>
      </c>
      <c r="C1179" t="s">
        <v>816</v>
      </c>
      <c r="D1179" s="2">
        <v>36727</v>
      </c>
      <c r="E1179" t="s">
        <v>290</v>
      </c>
      <c r="F1179" t="s">
        <v>2068</v>
      </c>
      <c r="G1179" t="s">
        <v>117</v>
      </c>
      <c r="H1179" t="s">
        <v>44</v>
      </c>
      <c r="I1179" t="s">
        <v>25</v>
      </c>
      <c r="J1179" t="s">
        <v>645</v>
      </c>
      <c r="K1179" t="s">
        <v>72</v>
      </c>
      <c r="L1179">
        <v>209542.05</v>
      </c>
      <c r="M1179">
        <v>193873.49</v>
      </c>
      <c r="N1179" t="s">
        <v>35</v>
      </c>
      <c r="O1179">
        <v>5</v>
      </c>
      <c r="P1179">
        <v>68</v>
      </c>
      <c r="Q1179">
        <v>5</v>
      </c>
      <c r="R1179">
        <v>119</v>
      </c>
      <c r="S1179">
        <v>122.5</v>
      </c>
      <c r="T1179" t="s">
        <v>37</v>
      </c>
      <c r="U1179" s="3"/>
      <c r="V1179" s="3"/>
      <c r="W1179" s="3"/>
    </row>
    <row r="1180" spans="1:23">
      <c r="A1180" t="s">
        <v>2694</v>
      </c>
      <c r="B1180" t="s">
        <v>1839</v>
      </c>
      <c r="C1180" t="s">
        <v>206</v>
      </c>
      <c r="D1180" t="s">
        <v>2695</v>
      </c>
      <c r="E1180" t="s">
        <v>2696</v>
      </c>
      <c r="F1180" s="2">
        <v>45735</v>
      </c>
      <c r="G1180" t="s">
        <v>161</v>
      </c>
      <c r="H1180" t="s">
        <v>44</v>
      </c>
      <c r="I1180" t="s">
        <v>33</v>
      </c>
      <c r="J1180" t="s">
        <v>54</v>
      </c>
      <c r="K1180" t="s">
        <v>55</v>
      </c>
      <c r="L1180">
        <v>2612.63</v>
      </c>
      <c r="M1180">
        <v>1958.53</v>
      </c>
      <c r="N1180" t="s">
        <v>192</v>
      </c>
      <c r="O1180">
        <v>7</v>
      </c>
      <c r="P1180">
        <v>167</v>
      </c>
      <c r="Q1180">
        <v>2</v>
      </c>
      <c r="R1180">
        <v>152</v>
      </c>
      <c r="S1180">
        <v>134.19999999999999</v>
      </c>
      <c r="T1180" t="s">
        <v>37</v>
      </c>
      <c r="U1180" s="3"/>
      <c r="V1180" s="3"/>
      <c r="W1180" s="3"/>
    </row>
    <row r="1181" spans="1:23">
      <c r="A1181" t="s">
        <v>2697</v>
      </c>
      <c r="B1181" t="s">
        <v>1818</v>
      </c>
      <c r="C1181" t="s">
        <v>30</v>
      </c>
      <c r="D1181" s="2">
        <v>27024</v>
      </c>
      <c r="E1181" t="s">
        <v>2698</v>
      </c>
      <c r="F1181" s="2">
        <v>44957</v>
      </c>
      <c r="G1181" t="s">
        <v>117</v>
      </c>
      <c r="H1181" t="s">
        <v>78</v>
      </c>
      <c r="I1181" t="s">
        <v>33</v>
      </c>
      <c r="J1181" t="s">
        <v>46</v>
      </c>
      <c r="K1181" t="s">
        <v>72</v>
      </c>
      <c r="L1181">
        <v>226435.73</v>
      </c>
      <c r="M1181">
        <v>178555.79</v>
      </c>
      <c r="N1181" t="s">
        <v>73</v>
      </c>
      <c r="O1181">
        <v>5</v>
      </c>
      <c r="P1181">
        <v>86</v>
      </c>
      <c r="R1181">
        <v>104</v>
      </c>
      <c r="S1181">
        <v>153.5</v>
      </c>
      <c r="T1181" t="s">
        <v>37</v>
      </c>
      <c r="U1181" s="3"/>
      <c r="V1181" s="3"/>
      <c r="W1181" s="3"/>
    </row>
    <row r="1182" spans="1:23">
      <c r="A1182" t="s">
        <v>2699</v>
      </c>
      <c r="B1182" t="s">
        <v>2700</v>
      </c>
      <c r="C1182" t="s">
        <v>40</v>
      </c>
      <c r="D1182" t="s">
        <v>2701</v>
      </c>
      <c r="E1182" t="s">
        <v>2702</v>
      </c>
      <c r="F1182" s="2">
        <v>45497</v>
      </c>
      <c r="G1182" t="s">
        <v>161</v>
      </c>
      <c r="H1182" t="s">
        <v>44</v>
      </c>
      <c r="I1182" t="s">
        <v>25</v>
      </c>
      <c r="J1182" t="s">
        <v>26</v>
      </c>
      <c r="K1182" t="s">
        <v>161</v>
      </c>
      <c r="L1182">
        <v>56058.78</v>
      </c>
      <c r="M1182">
        <v>49869.83</v>
      </c>
      <c r="N1182" t="s">
        <v>990</v>
      </c>
      <c r="O1182" t="s">
        <v>102</v>
      </c>
      <c r="Q1182">
        <v>4</v>
      </c>
      <c r="R1182">
        <v>163</v>
      </c>
      <c r="S1182">
        <v>180.4</v>
      </c>
      <c r="T1182" t="s">
        <v>57</v>
      </c>
      <c r="U1182" s="3"/>
      <c r="V1182" s="3"/>
      <c r="W1182" s="3"/>
    </row>
    <row r="1183" spans="1:23">
      <c r="A1183" t="s">
        <v>2703</v>
      </c>
      <c r="B1183" t="s">
        <v>2249</v>
      </c>
      <c r="D1183" s="2">
        <v>39346</v>
      </c>
      <c r="E1183" t="s">
        <v>2704</v>
      </c>
      <c r="F1183" s="2">
        <v>45556</v>
      </c>
      <c r="G1183" t="s">
        <v>89</v>
      </c>
      <c r="H1183" t="s">
        <v>95</v>
      </c>
      <c r="I1183" t="s">
        <v>79</v>
      </c>
      <c r="J1183" t="s">
        <v>34</v>
      </c>
      <c r="K1183" t="s">
        <v>27</v>
      </c>
      <c r="L1183">
        <v>92586.81</v>
      </c>
      <c r="M1183">
        <v>79914.240000000005</v>
      </c>
      <c r="N1183" t="s">
        <v>73</v>
      </c>
      <c r="O1183">
        <v>10</v>
      </c>
      <c r="P1183">
        <v>181</v>
      </c>
      <c r="R1183">
        <v>108</v>
      </c>
      <c r="S1183">
        <v>158</v>
      </c>
      <c r="T1183" t="s">
        <v>37</v>
      </c>
      <c r="U1183" s="3"/>
      <c r="V1183" s="3"/>
      <c r="W1183" s="3"/>
    </row>
    <row r="1184" spans="1:23">
      <c r="A1184" t="s">
        <v>2705</v>
      </c>
      <c r="B1184" t="s">
        <v>328</v>
      </c>
      <c r="C1184" t="s">
        <v>50</v>
      </c>
      <c r="D1184" s="2">
        <v>22729</v>
      </c>
      <c r="E1184" t="s">
        <v>2322</v>
      </c>
      <c r="F1184" s="2">
        <v>45177</v>
      </c>
      <c r="G1184" t="s">
        <v>161</v>
      </c>
      <c r="H1184" t="s">
        <v>52</v>
      </c>
      <c r="I1184" t="s">
        <v>45</v>
      </c>
      <c r="J1184" t="s">
        <v>179</v>
      </c>
      <c r="K1184" t="s">
        <v>110</v>
      </c>
      <c r="L1184">
        <v>130552.14</v>
      </c>
      <c r="M1184">
        <v>99913.97</v>
      </c>
      <c r="N1184" t="s">
        <v>56</v>
      </c>
      <c r="O1184">
        <v>18</v>
      </c>
      <c r="P1184">
        <v>96</v>
      </c>
      <c r="Q1184">
        <v>4</v>
      </c>
      <c r="R1184">
        <v>158</v>
      </c>
      <c r="S1184">
        <v>215.8</v>
      </c>
      <c r="T1184" t="s">
        <v>47</v>
      </c>
      <c r="U1184" s="3"/>
      <c r="V1184" s="3"/>
      <c r="W1184" s="3"/>
    </row>
    <row r="1185" spans="1:23">
      <c r="A1185" t="s">
        <v>2706</v>
      </c>
      <c r="B1185" t="s">
        <v>1153</v>
      </c>
      <c r="C1185" t="s">
        <v>40</v>
      </c>
      <c r="D1185" t="s">
        <v>2707</v>
      </c>
      <c r="E1185" s="2">
        <v>45250</v>
      </c>
      <c r="F1185" s="2">
        <v>45251</v>
      </c>
      <c r="G1185" t="s">
        <v>105</v>
      </c>
      <c r="H1185" t="s">
        <v>86</v>
      </c>
      <c r="I1185" t="s">
        <v>96</v>
      </c>
      <c r="J1185" t="s">
        <v>97</v>
      </c>
      <c r="K1185" t="s">
        <v>27</v>
      </c>
      <c r="L1185">
        <v>62331.040000000001</v>
      </c>
      <c r="M1185">
        <v>49284.42</v>
      </c>
      <c r="N1185" t="s">
        <v>192</v>
      </c>
      <c r="O1185">
        <v>1</v>
      </c>
      <c r="P1185">
        <v>15</v>
      </c>
      <c r="R1185">
        <v>150</v>
      </c>
      <c r="S1185">
        <v>143.1</v>
      </c>
      <c r="T1185" t="s">
        <v>65</v>
      </c>
      <c r="U1185" s="3"/>
      <c r="V1185" s="3"/>
      <c r="W1185" s="3"/>
    </row>
    <row r="1186" spans="1:23">
      <c r="A1186" t="s">
        <v>2708</v>
      </c>
      <c r="B1186" t="s">
        <v>2033</v>
      </c>
      <c r="C1186" t="s">
        <v>133</v>
      </c>
      <c r="D1186" s="2">
        <v>31044</v>
      </c>
      <c r="E1186" s="2">
        <v>45949</v>
      </c>
      <c r="F1186" s="2">
        <v>45965</v>
      </c>
      <c r="G1186" t="s">
        <v>161</v>
      </c>
      <c r="H1186" t="s">
        <v>24</v>
      </c>
      <c r="J1186" t="s">
        <v>46</v>
      </c>
      <c r="K1186" t="s">
        <v>72</v>
      </c>
      <c r="L1186">
        <v>46673.34</v>
      </c>
      <c r="M1186">
        <v>44472.75</v>
      </c>
      <c r="N1186" t="s">
        <v>35</v>
      </c>
      <c r="O1186">
        <v>16</v>
      </c>
      <c r="P1186">
        <v>18</v>
      </c>
      <c r="Q1186">
        <v>1</v>
      </c>
      <c r="R1186">
        <v>120</v>
      </c>
      <c r="S1186">
        <v>228.2</v>
      </c>
      <c r="U1186" s="3"/>
      <c r="V1186" s="3"/>
      <c r="W1186" s="3"/>
    </row>
    <row r="1187" spans="1:23">
      <c r="A1187" t="s">
        <v>2709</v>
      </c>
      <c r="B1187" t="s">
        <v>1256</v>
      </c>
      <c r="C1187" t="s">
        <v>22</v>
      </c>
      <c r="D1187" t="s">
        <v>2710</v>
      </c>
      <c r="E1187" s="2">
        <v>45519</v>
      </c>
      <c r="F1187" s="2">
        <v>45522</v>
      </c>
      <c r="G1187" t="s">
        <v>70</v>
      </c>
      <c r="H1187" t="s">
        <v>113</v>
      </c>
      <c r="I1187" t="s">
        <v>45</v>
      </c>
      <c r="K1187" t="s">
        <v>27</v>
      </c>
      <c r="L1187">
        <v>46525.75</v>
      </c>
      <c r="M1187">
        <v>40917.07</v>
      </c>
      <c r="N1187" t="s">
        <v>162</v>
      </c>
      <c r="O1187">
        <v>3</v>
      </c>
      <c r="P1187">
        <v>197</v>
      </c>
      <c r="Q1187">
        <v>4</v>
      </c>
      <c r="R1187">
        <v>164</v>
      </c>
      <c r="S1187">
        <v>174.7</v>
      </c>
      <c r="U1187" s="3"/>
      <c r="V1187" s="3"/>
      <c r="W1187" s="3"/>
    </row>
    <row r="1188" spans="1:23">
      <c r="A1188" t="s">
        <v>2711</v>
      </c>
      <c r="B1188" t="s">
        <v>1017</v>
      </c>
      <c r="C1188" t="s">
        <v>206</v>
      </c>
      <c r="D1188" t="s">
        <v>2712</v>
      </c>
      <c r="E1188" t="s">
        <v>2713</v>
      </c>
      <c r="F1188" s="2">
        <v>45984</v>
      </c>
      <c r="G1188" t="s">
        <v>31</v>
      </c>
      <c r="H1188" t="s">
        <v>24</v>
      </c>
      <c r="I1188" t="s">
        <v>96</v>
      </c>
      <c r="J1188" t="s">
        <v>97</v>
      </c>
      <c r="K1188" t="s">
        <v>27</v>
      </c>
      <c r="L1188">
        <v>163551.59</v>
      </c>
      <c r="M1188">
        <v>131770.99</v>
      </c>
      <c r="N1188" t="s">
        <v>73</v>
      </c>
      <c r="O1188">
        <v>1</v>
      </c>
      <c r="P1188">
        <v>239</v>
      </c>
      <c r="R1188">
        <v>188</v>
      </c>
      <c r="S1188">
        <v>193.6</v>
      </c>
      <c r="T1188" t="s">
        <v>37</v>
      </c>
      <c r="U1188" s="3"/>
      <c r="V1188" s="3"/>
      <c r="W1188" s="3"/>
    </row>
    <row r="1189" spans="1:23">
      <c r="A1189" t="s">
        <v>2714</v>
      </c>
      <c r="B1189" t="s">
        <v>1364</v>
      </c>
      <c r="C1189" t="s">
        <v>133</v>
      </c>
      <c r="D1189" t="s">
        <v>2715</v>
      </c>
      <c r="E1189" s="2">
        <v>44933</v>
      </c>
      <c r="F1189" t="s">
        <v>2716</v>
      </c>
      <c r="G1189" t="s">
        <v>152</v>
      </c>
      <c r="H1189" t="s">
        <v>153</v>
      </c>
      <c r="I1189" t="s">
        <v>96</v>
      </c>
      <c r="K1189" t="s">
        <v>55</v>
      </c>
      <c r="L1189">
        <v>72431.78</v>
      </c>
      <c r="M1189">
        <v>57550.22</v>
      </c>
      <c r="N1189" t="s">
        <v>192</v>
      </c>
      <c r="O1189">
        <v>16</v>
      </c>
      <c r="P1189">
        <v>207</v>
      </c>
      <c r="Q1189">
        <v>4</v>
      </c>
      <c r="R1189">
        <v>115</v>
      </c>
      <c r="S1189">
        <v>218.6</v>
      </c>
      <c r="T1189" t="s">
        <v>37</v>
      </c>
      <c r="U1189" s="3"/>
      <c r="V1189" s="3"/>
      <c r="W1189" s="3"/>
    </row>
    <row r="1190" spans="1:23">
      <c r="A1190" t="s">
        <v>2717</v>
      </c>
      <c r="B1190" t="s">
        <v>59</v>
      </c>
      <c r="C1190" t="s">
        <v>22</v>
      </c>
      <c r="D1190" s="2">
        <v>35590</v>
      </c>
      <c r="E1190" s="2">
        <v>45277</v>
      </c>
      <c r="F1190" s="2">
        <v>45283</v>
      </c>
      <c r="G1190" t="s">
        <v>117</v>
      </c>
      <c r="H1190" t="s">
        <v>63</v>
      </c>
      <c r="I1190" t="s">
        <v>119</v>
      </c>
      <c r="J1190" t="s">
        <v>26</v>
      </c>
      <c r="K1190" t="s">
        <v>449</v>
      </c>
      <c r="L1190">
        <v>51045.760000000002</v>
      </c>
      <c r="M1190">
        <v>46573.88</v>
      </c>
      <c r="N1190" t="s">
        <v>73</v>
      </c>
      <c r="O1190">
        <v>6</v>
      </c>
      <c r="P1190">
        <v>195</v>
      </c>
      <c r="Q1190">
        <v>5</v>
      </c>
      <c r="R1190">
        <v>168</v>
      </c>
      <c r="S1190">
        <v>82.8</v>
      </c>
      <c r="T1190" t="s">
        <v>65</v>
      </c>
      <c r="U1190" s="3"/>
      <c r="V1190" s="3"/>
      <c r="W1190" s="3"/>
    </row>
    <row r="1191" spans="1:23">
      <c r="A1191" t="s">
        <v>2718</v>
      </c>
      <c r="B1191" t="s">
        <v>1509</v>
      </c>
      <c r="C1191" t="s">
        <v>307</v>
      </c>
      <c r="D1191" t="s">
        <v>2719</v>
      </c>
      <c r="E1191" s="2">
        <v>45655</v>
      </c>
      <c r="F1191" t="s">
        <v>2720</v>
      </c>
      <c r="G1191" t="s">
        <v>105</v>
      </c>
      <c r="H1191" t="s">
        <v>160</v>
      </c>
      <c r="I1191" t="s">
        <v>25</v>
      </c>
      <c r="J1191" t="s">
        <v>71</v>
      </c>
      <c r="L1191">
        <v>18559.169999999998</v>
      </c>
      <c r="M1191">
        <v>15756.52</v>
      </c>
      <c r="N1191" t="s">
        <v>192</v>
      </c>
      <c r="O1191">
        <v>1</v>
      </c>
      <c r="P1191">
        <v>240</v>
      </c>
      <c r="Q1191">
        <v>3</v>
      </c>
      <c r="R1191">
        <v>108</v>
      </c>
      <c r="S1191">
        <v>115.1</v>
      </c>
      <c r="T1191" t="s">
        <v>47</v>
      </c>
      <c r="U1191" s="3"/>
      <c r="V1191" s="3"/>
      <c r="W1191" s="3"/>
    </row>
    <row r="1192" spans="1:23">
      <c r="A1192" t="s">
        <v>2721</v>
      </c>
      <c r="B1192" t="s">
        <v>159</v>
      </c>
      <c r="C1192" t="s">
        <v>60</v>
      </c>
      <c r="D1192" s="2">
        <v>30362</v>
      </c>
      <c r="E1192" t="s">
        <v>1671</v>
      </c>
      <c r="F1192" t="s">
        <v>2722</v>
      </c>
      <c r="G1192" t="s">
        <v>141</v>
      </c>
      <c r="H1192" t="s">
        <v>153</v>
      </c>
      <c r="I1192" t="s">
        <v>45</v>
      </c>
      <c r="J1192" t="s">
        <v>46</v>
      </c>
      <c r="K1192" t="s">
        <v>110</v>
      </c>
      <c r="L1192">
        <v>236272.16</v>
      </c>
      <c r="M1192">
        <v>213217.59</v>
      </c>
      <c r="N1192" t="s">
        <v>73</v>
      </c>
      <c r="O1192">
        <v>17</v>
      </c>
      <c r="P1192">
        <v>194</v>
      </c>
      <c r="Q1192">
        <v>5</v>
      </c>
      <c r="R1192">
        <v>107</v>
      </c>
      <c r="S1192">
        <v>251.3</v>
      </c>
      <c r="T1192" t="s">
        <v>37</v>
      </c>
      <c r="U1192" s="3"/>
      <c r="V1192" s="3"/>
      <c r="W1192" s="3"/>
    </row>
    <row r="1193" spans="1:23">
      <c r="A1193" t="s">
        <v>2723</v>
      </c>
      <c r="B1193" t="s">
        <v>1206</v>
      </c>
      <c r="C1193" t="s">
        <v>40</v>
      </c>
      <c r="D1193" s="2">
        <v>39100</v>
      </c>
      <c r="E1193" s="2">
        <v>45958</v>
      </c>
      <c r="F1193" t="s">
        <v>2724</v>
      </c>
      <c r="G1193" t="s">
        <v>94</v>
      </c>
      <c r="H1193" t="s">
        <v>24</v>
      </c>
      <c r="I1193" t="s">
        <v>79</v>
      </c>
      <c r="J1193" t="s">
        <v>46</v>
      </c>
      <c r="K1193" t="s">
        <v>55</v>
      </c>
      <c r="L1193">
        <v>195913.73</v>
      </c>
      <c r="M1193">
        <v>170430.73</v>
      </c>
      <c r="N1193" t="s">
        <v>73</v>
      </c>
      <c r="O1193">
        <v>13</v>
      </c>
      <c r="P1193">
        <v>177</v>
      </c>
      <c r="Q1193">
        <v>1</v>
      </c>
      <c r="R1193">
        <v>93</v>
      </c>
      <c r="S1193">
        <v>114.6</v>
      </c>
      <c r="T1193" t="s">
        <v>57</v>
      </c>
      <c r="U1193" s="3"/>
      <c r="V1193" s="3"/>
      <c r="W1193" s="3"/>
    </row>
    <row r="1194" spans="1:23">
      <c r="A1194" t="s">
        <v>2725</v>
      </c>
      <c r="B1194" t="s">
        <v>2389</v>
      </c>
      <c r="C1194" t="s">
        <v>22</v>
      </c>
      <c r="D1194" s="2">
        <v>18874</v>
      </c>
      <c r="E1194" s="2">
        <v>45843</v>
      </c>
      <c r="F1194" s="2">
        <v>45845</v>
      </c>
      <c r="G1194" t="s">
        <v>109</v>
      </c>
      <c r="H1194" t="s">
        <v>134</v>
      </c>
      <c r="I1194" t="s">
        <v>33</v>
      </c>
      <c r="K1194" t="s">
        <v>55</v>
      </c>
      <c r="L1194">
        <v>159515.82</v>
      </c>
      <c r="M1194">
        <v>130307.4</v>
      </c>
      <c r="O1194">
        <v>2</v>
      </c>
      <c r="P1194">
        <v>169</v>
      </c>
      <c r="Q1194">
        <v>4</v>
      </c>
      <c r="R1194">
        <v>113</v>
      </c>
      <c r="S1194">
        <v>214.3</v>
      </c>
      <c r="T1194" t="s">
        <v>65</v>
      </c>
      <c r="U1194" s="3"/>
      <c r="V1194" s="3"/>
      <c r="W1194" s="3"/>
    </row>
    <row r="1195" spans="1:23">
      <c r="A1195" t="s">
        <v>2726</v>
      </c>
      <c r="B1195" t="s">
        <v>21</v>
      </c>
      <c r="C1195" t="s">
        <v>30</v>
      </c>
      <c r="D1195" s="2">
        <v>26723</v>
      </c>
      <c r="E1195" s="2">
        <v>45019</v>
      </c>
      <c r="F1195" s="2">
        <v>45020</v>
      </c>
      <c r="G1195" t="s">
        <v>43</v>
      </c>
      <c r="H1195" t="s">
        <v>24</v>
      </c>
      <c r="I1195" t="s">
        <v>33</v>
      </c>
      <c r="J1195" t="s">
        <v>179</v>
      </c>
      <c r="K1195" t="s">
        <v>161</v>
      </c>
      <c r="L1195">
        <v>158179.03</v>
      </c>
      <c r="M1195">
        <v>120181.79</v>
      </c>
      <c r="O1195">
        <v>1</v>
      </c>
      <c r="P1195">
        <v>65</v>
      </c>
      <c r="Q1195">
        <v>5</v>
      </c>
      <c r="R1195">
        <v>136</v>
      </c>
      <c r="S1195">
        <v>133.5</v>
      </c>
      <c r="U1195" s="3"/>
      <c r="V1195" s="3"/>
      <c r="W1195" s="3"/>
    </row>
    <row r="1196" spans="1:23">
      <c r="A1196" t="s">
        <v>2727</v>
      </c>
      <c r="B1196" t="s">
        <v>1667</v>
      </c>
      <c r="C1196" t="s">
        <v>40</v>
      </c>
      <c r="D1196" t="s">
        <v>2728</v>
      </c>
      <c r="E1196" s="2">
        <v>45084</v>
      </c>
      <c r="F1196" t="s">
        <v>2729</v>
      </c>
      <c r="G1196" t="s">
        <v>117</v>
      </c>
      <c r="H1196" t="s">
        <v>78</v>
      </c>
      <c r="J1196" t="s">
        <v>64</v>
      </c>
      <c r="L1196">
        <v>226790.2</v>
      </c>
      <c r="M1196">
        <v>182558.26</v>
      </c>
      <c r="O1196">
        <v>17</v>
      </c>
      <c r="P1196">
        <v>126</v>
      </c>
      <c r="R1196">
        <v>137</v>
      </c>
      <c r="S1196">
        <v>234.3</v>
      </c>
      <c r="T1196" t="s">
        <v>47</v>
      </c>
      <c r="U1196" s="3"/>
      <c r="V1196" s="3"/>
      <c r="W1196" s="3"/>
    </row>
    <row r="1197" spans="1:23">
      <c r="A1197" t="s">
        <v>2730</v>
      </c>
      <c r="B1197" t="s">
        <v>104</v>
      </c>
      <c r="C1197" t="s">
        <v>84</v>
      </c>
      <c r="D1197" s="2">
        <v>29313</v>
      </c>
      <c r="E1197" s="2">
        <v>45490</v>
      </c>
      <c r="F1197" s="2">
        <v>45502</v>
      </c>
      <c r="G1197" t="s">
        <v>109</v>
      </c>
      <c r="H1197" t="s">
        <v>63</v>
      </c>
      <c r="I1197" t="s">
        <v>119</v>
      </c>
      <c r="J1197" t="s">
        <v>64</v>
      </c>
      <c r="L1197" t="s">
        <v>2731</v>
      </c>
      <c r="M1197">
        <v>88177.87</v>
      </c>
      <c r="N1197" t="s">
        <v>35</v>
      </c>
      <c r="O1197">
        <v>12</v>
      </c>
      <c r="P1197">
        <v>26</v>
      </c>
      <c r="R1197">
        <v>182</v>
      </c>
      <c r="S1197">
        <v>112.4</v>
      </c>
      <c r="T1197" t="s">
        <v>37</v>
      </c>
      <c r="U1197" s="3"/>
      <c r="V1197" s="3"/>
      <c r="W1197" s="3"/>
    </row>
    <row r="1198" spans="1:23">
      <c r="A1198" t="s">
        <v>2732</v>
      </c>
      <c r="B1198" t="s">
        <v>1094</v>
      </c>
      <c r="C1198" t="s">
        <v>50</v>
      </c>
      <c r="D1198" t="s">
        <v>2733</v>
      </c>
      <c r="E1198" s="2">
        <v>45144</v>
      </c>
      <c r="F1198" s="2">
        <v>45162</v>
      </c>
      <c r="G1198" t="s">
        <v>94</v>
      </c>
      <c r="H1198" t="s">
        <v>113</v>
      </c>
      <c r="I1198" t="s">
        <v>79</v>
      </c>
      <c r="K1198" t="s">
        <v>120</v>
      </c>
      <c r="L1198">
        <v>10659.63</v>
      </c>
      <c r="M1198">
        <v>10107.16</v>
      </c>
      <c r="O1198">
        <v>18</v>
      </c>
      <c r="P1198">
        <v>158</v>
      </c>
      <c r="Q1198">
        <v>4</v>
      </c>
      <c r="R1198">
        <v>188</v>
      </c>
      <c r="T1198" t="s">
        <v>47</v>
      </c>
      <c r="U1198" s="3"/>
      <c r="V1198" s="3"/>
      <c r="W1198" s="3"/>
    </row>
    <row r="1199" spans="1:23">
      <c r="A1199" t="s">
        <v>2734</v>
      </c>
      <c r="B1199" t="s">
        <v>373</v>
      </c>
      <c r="C1199" t="s">
        <v>40</v>
      </c>
      <c r="D1199" s="2">
        <v>36318</v>
      </c>
      <c r="E1199" s="2">
        <v>45866</v>
      </c>
      <c r="F1199" s="2">
        <v>45884</v>
      </c>
      <c r="G1199" t="s">
        <v>62</v>
      </c>
      <c r="H1199" t="s">
        <v>24</v>
      </c>
      <c r="I1199" t="s">
        <v>119</v>
      </c>
      <c r="J1199" t="s">
        <v>46</v>
      </c>
      <c r="L1199">
        <v>171404.28</v>
      </c>
      <c r="M1199">
        <v>156954.31</v>
      </c>
      <c r="N1199" t="s">
        <v>326</v>
      </c>
      <c r="O1199">
        <v>18</v>
      </c>
      <c r="P1199">
        <v>198</v>
      </c>
      <c r="Q1199">
        <v>4</v>
      </c>
      <c r="R1199">
        <v>176</v>
      </c>
      <c r="S1199">
        <v>130.69999999999999</v>
      </c>
      <c r="T1199" t="s">
        <v>65</v>
      </c>
      <c r="U1199" s="3"/>
      <c r="V1199" s="3"/>
      <c r="W1199" s="3"/>
    </row>
    <row r="1200" spans="1:23">
      <c r="A1200" t="s">
        <v>2735</v>
      </c>
      <c r="B1200" t="s">
        <v>679</v>
      </c>
      <c r="C1200" t="s">
        <v>60</v>
      </c>
      <c r="D1200" s="2">
        <v>33596</v>
      </c>
      <c r="E1200" s="2">
        <v>45204</v>
      </c>
      <c r="F1200" s="2">
        <v>45208</v>
      </c>
      <c r="G1200" t="s">
        <v>152</v>
      </c>
      <c r="H1200" t="s">
        <v>153</v>
      </c>
      <c r="I1200" t="s">
        <v>25</v>
      </c>
      <c r="J1200" t="s">
        <v>34</v>
      </c>
      <c r="K1200" t="s">
        <v>191</v>
      </c>
      <c r="L1200" t="s">
        <v>2736</v>
      </c>
      <c r="M1200">
        <v>149495.91</v>
      </c>
      <c r="O1200" t="s">
        <v>903</v>
      </c>
      <c r="P1200">
        <v>75</v>
      </c>
      <c r="Q1200">
        <v>1</v>
      </c>
      <c r="R1200">
        <v>188</v>
      </c>
      <c r="T1200" t="s">
        <v>65</v>
      </c>
      <c r="U1200" s="3"/>
      <c r="V1200" s="3"/>
      <c r="W1200" s="3"/>
    </row>
    <row r="1201" spans="1:23">
      <c r="A1201" t="s">
        <v>2737</v>
      </c>
      <c r="B1201" t="s">
        <v>328</v>
      </c>
      <c r="C1201" t="s">
        <v>133</v>
      </c>
      <c r="D1201" s="2">
        <v>40522</v>
      </c>
      <c r="E1201" s="2">
        <v>45802</v>
      </c>
      <c r="F1201" s="2">
        <v>45816</v>
      </c>
      <c r="G1201" t="s">
        <v>89</v>
      </c>
      <c r="H1201" t="s">
        <v>134</v>
      </c>
      <c r="I1201" t="s">
        <v>96</v>
      </c>
      <c r="J1201" t="s">
        <v>71</v>
      </c>
      <c r="L1201">
        <v>39361.379999999997</v>
      </c>
      <c r="N1201" t="s">
        <v>192</v>
      </c>
      <c r="O1201">
        <v>14</v>
      </c>
      <c r="P1201">
        <v>79</v>
      </c>
      <c r="Q1201">
        <v>5</v>
      </c>
      <c r="R1201">
        <v>153</v>
      </c>
      <c r="S1201">
        <v>81.3</v>
      </c>
      <c r="T1201" t="s">
        <v>65</v>
      </c>
      <c r="U1201" s="3"/>
      <c r="V1201" s="3"/>
      <c r="W1201" s="3"/>
    </row>
    <row r="1202" spans="1:23">
      <c r="A1202" t="s">
        <v>2738</v>
      </c>
      <c r="B1202" t="s">
        <v>1727</v>
      </c>
      <c r="C1202" t="s">
        <v>22</v>
      </c>
      <c r="D1202" t="s">
        <v>2739</v>
      </c>
      <c r="E1202" t="s">
        <v>2740</v>
      </c>
      <c r="F1202" s="2">
        <v>45432</v>
      </c>
      <c r="G1202" t="s">
        <v>43</v>
      </c>
      <c r="H1202" t="s">
        <v>113</v>
      </c>
      <c r="I1202" t="s">
        <v>79</v>
      </c>
      <c r="J1202" t="s">
        <v>186</v>
      </c>
      <c r="K1202" t="s">
        <v>27</v>
      </c>
      <c r="L1202">
        <v>142657.93</v>
      </c>
      <c r="M1202">
        <v>123572.12</v>
      </c>
      <c r="N1202" t="s">
        <v>35</v>
      </c>
      <c r="O1202">
        <v>5</v>
      </c>
      <c r="P1202">
        <v>173</v>
      </c>
      <c r="Q1202">
        <v>5</v>
      </c>
      <c r="R1202">
        <v>166</v>
      </c>
      <c r="S1202">
        <v>224.1</v>
      </c>
      <c r="U1202" s="3"/>
      <c r="V1202" s="3"/>
      <c r="W1202" s="3"/>
    </row>
    <row r="1203" spans="1:23">
      <c r="A1203" t="s">
        <v>2741</v>
      </c>
      <c r="B1203" t="s">
        <v>132</v>
      </c>
      <c r="C1203" t="s">
        <v>60</v>
      </c>
      <c r="D1203" s="2">
        <v>24315</v>
      </c>
      <c r="E1203" s="2">
        <v>45256</v>
      </c>
      <c r="F1203" s="2">
        <v>45266</v>
      </c>
      <c r="G1203" t="s">
        <v>109</v>
      </c>
      <c r="I1203" t="s">
        <v>33</v>
      </c>
      <c r="J1203" t="s">
        <v>26</v>
      </c>
      <c r="K1203" t="s">
        <v>110</v>
      </c>
      <c r="L1203" t="s">
        <v>2742</v>
      </c>
      <c r="M1203">
        <v>149667.76999999999</v>
      </c>
      <c r="N1203" t="s">
        <v>91</v>
      </c>
      <c r="O1203">
        <v>10</v>
      </c>
      <c r="P1203">
        <v>28</v>
      </c>
      <c r="R1203">
        <v>144</v>
      </c>
      <c r="S1203">
        <v>215.9</v>
      </c>
      <c r="T1203" t="s">
        <v>127</v>
      </c>
      <c r="U1203" s="3"/>
      <c r="V1203" s="3"/>
      <c r="W1203" s="3"/>
    </row>
    <row r="1204" spans="1:23">
      <c r="A1204" t="s">
        <v>2743</v>
      </c>
      <c r="B1204" t="s">
        <v>524</v>
      </c>
      <c r="C1204" t="s">
        <v>206</v>
      </c>
      <c r="D1204" s="2">
        <v>19367</v>
      </c>
      <c r="E1204" t="s">
        <v>2744</v>
      </c>
      <c r="F1204" t="s">
        <v>2745</v>
      </c>
      <c r="G1204" t="s">
        <v>77</v>
      </c>
      <c r="H1204" t="s">
        <v>538</v>
      </c>
      <c r="I1204" t="s">
        <v>45</v>
      </c>
      <c r="J1204" t="s">
        <v>97</v>
      </c>
      <c r="K1204" t="s">
        <v>27</v>
      </c>
      <c r="L1204">
        <v>90139.68</v>
      </c>
      <c r="M1204">
        <v>80650.55</v>
      </c>
      <c r="N1204" t="s">
        <v>73</v>
      </c>
      <c r="O1204">
        <v>8</v>
      </c>
      <c r="P1204" t="s">
        <v>2746</v>
      </c>
      <c r="Q1204">
        <v>5</v>
      </c>
      <c r="R1204">
        <v>93</v>
      </c>
      <c r="S1204">
        <v>254.8</v>
      </c>
      <c r="U1204" s="3"/>
      <c r="V1204" s="3"/>
      <c r="W1204" s="3"/>
    </row>
    <row r="1205" spans="1:23">
      <c r="A1205" t="s">
        <v>2747</v>
      </c>
      <c r="B1205" t="s">
        <v>829</v>
      </c>
      <c r="C1205" t="s">
        <v>133</v>
      </c>
      <c r="D1205" t="s">
        <v>2748</v>
      </c>
      <c r="E1205" s="2">
        <v>45703</v>
      </c>
      <c r="F1205" s="2">
        <v>45704</v>
      </c>
      <c r="G1205" t="s">
        <v>94</v>
      </c>
      <c r="H1205" t="s">
        <v>153</v>
      </c>
      <c r="I1205" t="s">
        <v>79</v>
      </c>
      <c r="K1205" t="s">
        <v>110</v>
      </c>
      <c r="L1205">
        <v>52965.95</v>
      </c>
      <c r="M1205">
        <v>42804.13</v>
      </c>
      <c r="N1205" t="s">
        <v>56</v>
      </c>
      <c r="O1205">
        <v>1</v>
      </c>
      <c r="P1205">
        <v>37</v>
      </c>
      <c r="Q1205">
        <v>3</v>
      </c>
      <c r="R1205">
        <v>99</v>
      </c>
      <c r="S1205">
        <v>255.8</v>
      </c>
      <c r="T1205" t="s">
        <v>65</v>
      </c>
      <c r="U1205" s="3"/>
      <c r="V1205" s="3"/>
      <c r="W1205" s="3"/>
    </row>
    <row r="1206" spans="1:23">
      <c r="A1206" t="s">
        <v>2749</v>
      </c>
      <c r="B1206" t="s">
        <v>1256</v>
      </c>
      <c r="C1206" t="s">
        <v>30</v>
      </c>
      <c r="D1206" s="2">
        <v>20878</v>
      </c>
      <c r="E1206" s="2">
        <v>45765</v>
      </c>
      <c r="F1206" s="2">
        <v>45769</v>
      </c>
      <c r="G1206" t="s">
        <v>105</v>
      </c>
      <c r="H1206" t="s">
        <v>113</v>
      </c>
      <c r="I1206" t="s">
        <v>96</v>
      </c>
      <c r="J1206" t="s">
        <v>71</v>
      </c>
      <c r="K1206" t="s">
        <v>388</v>
      </c>
      <c r="L1206">
        <v>184303.16</v>
      </c>
      <c r="M1206">
        <v>164168.09</v>
      </c>
      <c r="N1206" t="s">
        <v>73</v>
      </c>
      <c r="O1206">
        <v>4</v>
      </c>
      <c r="P1206">
        <v>26</v>
      </c>
      <c r="R1206">
        <v>125</v>
      </c>
      <c r="S1206">
        <v>231.7</v>
      </c>
      <c r="T1206" t="s">
        <v>65</v>
      </c>
      <c r="U1206" s="3"/>
      <c r="V1206" s="3"/>
      <c r="W1206" s="3"/>
    </row>
    <row r="1207" spans="1:23">
      <c r="A1207" t="s">
        <v>2750</v>
      </c>
      <c r="B1207" t="s">
        <v>238</v>
      </c>
      <c r="D1207" s="2">
        <v>32091</v>
      </c>
      <c r="E1207" s="2">
        <v>44991</v>
      </c>
      <c r="F1207" s="2">
        <v>44997</v>
      </c>
      <c r="G1207" t="s">
        <v>62</v>
      </c>
      <c r="H1207" t="s">
        <v>86</v>
      </c>
      <c r="I1207" t="s">
        <v>119</v>
      </c>
      <c r="K1207" t="s">
        <v>110</v>
      </c>
      <c r="L1207">
        <v>94183.43</v>
      </c>
      <c r="M1207">
        <v>89252.28</v>
      </c>
      <c r="N1207" t="s">
        <v>73</v>
      </c>
      <c r="O1207">
        <v>6</v>
      </c>
      <c r="P1207">
        <v>135</v>
      </c>
      <c r="Q1207">
        <v>1</v>
      </c>
      <c r="R1207">
        <v>178</v>
      </c>
      <c r="S1207">
        <v>109.2</v>
      </c>
      <c r="U1207" s="3"/>
      <c r="V1207" s="3"/>
      <c r="W1207" s="3"/>
    </row>
    <row r="1208" spans="1:23">
      <c r="A1208" t="s">
        <v>2751</v>
      </c>
      <c r="B1208" t="s">
        <v>545</v>
      </c>
      <c r="C1208" t="s">
        <v>100</v>
      </c>
      <c r="D1208" s="2">
        <v>26810</v>
      </c>
      <c r="E1208" s="2">
        <v>45530</v>
      </c>
      <c r="F1208" s="2">
        <v>45535</v>
      </c>
      <c r="G1208" t="s">
        <v>109</v>
      </c>
      <c r="H1208" t="s">
        <v>160</v>
      </c>
      <c r="J1208" t="s">
        <v>34</v>
      </c>
      <c r="K1208" t="s">
        <v>55</v>
      </c>
      <c r="L1208">
        <v>123442.6</v>
      </c>
      <c r="M1208">
        <v>96974.32</v>
      </c>
      <c r="N1208" t="s">
        <v>91</v>
      </c>
      <c r="O1208">
        <v>5</v>
      </c>
      <c r="P1208">
        <v>237</v>
      </c>
      <c r="Q1208">
        <v>5</v>
      </c>
      <c r="R1208">
        <v>162</v>
      </c>
      <c r="S1208">
        <v>144.19999999999999</v>
      </c>
      <c r="T1208" t="s">
        <v>57</v>
      </c>
      <c r="U1208" s="3"/>
      <c r="V1208" s="3"/>
      <c r="W1208" s="3"/>
    </row>
    <row r="1209" spans="1:23">
      <c r="A1209" t="s">
        <v>2752</v>
      </c>
      <c r="B1209" t="s">
        <v>980</v>
      </c>
      <c r="C1209" t="s">
        <v>206</v>
      </c>
      <c r="D1209" s="2">
        <v>26841</v>
      </c>
      <c r="E1209" s="2">
        <v>45352</v>
      </c>
      <c r="F1209" s="2">
        <v>45368</v>
      </c>
      <c r="G1209" t="s">
        <v>94</v>
      </c>
      <c r="H1209" t="s">
        <v>78</v>
      </c>
      <c r="I1209" t="s">
        <v>119</v>
      </c>
      <c r="J1209" t="s">
        <v>71</v>
      </c>
      <c r="L1209">
        <v>164173.10999999999</v>
      </c>
      <c r="M1209">
        <v>110143.55</v>
      </c>
      <c r="N1209" t="s">
        <v>35</v>
      </c>
      <c r="O1209">
        <v>16</v>
      </c>
      <c r="P1209">
        <v>30</v>
      </c>
      <c r="Q1209">
        <v>3</v>
      </c>
      <c r="R1209">
        <v>105</v>
      </c>
      <c r="S1209">
        <v>74.2</v>
      </c>
      <c r="T1209" t="s">
        <v>127</v>
      </c>
      <c r="U1209" s="3"/>
      <c r="V1209" s="3"/>
      <c r="W1209" s="3"/>
    </row>
    <row r="1210" spans="1:23">
      <c r="A1210" t="s">
        <v>2753</v>
      </c>
      <c r="B1210" t="s">
        <v>867</v>
      </c>
      <c r="C1210" t="s">
        <v>100</v>
      </c>
      <c r="D1210" s="2">
        <v>21878</v>
      </c>
      <c r="E1210" s="2">
        <v>45444</v>
      </c>
      <c r="G1210" t="s">
        <v>117</v>
      </c>
      <c r="H1210" t="s">
        <v>124</v>
      </c>
      <c r="I1210" t="s">
        <v>79</v>
      </c>
      <c r="J1210" t="s">
        <v>97</v>
      </c>
      <c r="K1210" t="s">
        <v>110</v>
      </c>
      <c r="L1210">
        <v>91740.81</v>
      </c>
      <c r="M1210">
        <v>83667.48</v>
      </c>
      <c r="N1210" t="s">
        <v>91</v>
      </c>
      <c r="O1210">
        <v>15</v>
      </c>
      <c r="P1210">
        <v>80</v>
      </c>
      <c r="Q1210">
        <v>4</v>
      </c>
      <c r="R1210">
        <v>105</v>
      </c>
      <c r="S1210">
        <v>200.3</v>
      </c>
      <c r="T1210" t="s">
        <v>37</v>
      </c>
      <c r="U1210" s="3"/>
      <c r="V1210" s="3"/>
      <c r="W1210" s="3"/>
    </row>
    <row r="1211" spans="1:23">
      <c r="A1211" t="s">
        <v>2754</v>
      </c>
      <c r="B1211" t="s">
        <v>737</v>
      </c>
      <c r="C1211" t="s">
        <v>22</v>
      </c>
      <c r="D1211" s="2">
        <v>40252</v>
      </c>
      <c r="E1211" s="2">
        <v>45659</v>
      </c>
      <c r="F1211" s="2">
        <v>45664</v>
      </c>
      <c r="G1211" t="s">
        <v>94</v>
      </c>
      <c r="H1211" t="s">
        <v>134</v>
      </c>
      <c r="I1211" t="s">
        <v>33</v>
      </c>
      <c r="J1211" t="s">
        <v>34</v>
      </c>
      <c r="K1211" t="s">
        <v>72</v>
      </c>
      <c r="L1211">
        <v>148903.76</v>
      </c>
      <c r="M1211">
        <v>129691.1</v>
      </c>
      <c r="N1211" t="s">
        <v>73</v>
      </c>
      <c r="O1211">
        <v>5</v>
      </c>
      <c r="P1211">
        <v>190</v>
      </c>
      <c r="Q1211">
        <v>5</v>
      </c>
      <c r="R1211">
        <v>133</v>
      </c>
      <c r="S1211">
        <v>246</v>
      </c>
      <c r="T1211" t="s">
        <v>65</v>
      </c>
      <c r="U1211" s="3"/>
      <c r="V1211" s="3"/>
      <c r="W1211" s="3"/>
    </row>
    <row r="1212" spans="1:23">
      <c r="A1212" t="s">
        <v>2755</v>
      </c>
      <c r="B1212" t="s">
        <v>378</v>
      </c>
      <c r="C1212" t="s">
        <v>40</v>
      </c>
      <c r="D1212" s="2">
        <v>30411</v>
      </c>
      <c r="E1212" t="s">
        <v>2756</v>
      </c>
      <c r="F1212" s="2">
        <v>45233</v>
      </c>
      <c r="G1212" t="s">
        <v>62</v>
      </c>
      <c r="H1212" t="s">
        <v>86</v>
      </c>
      <c r="I1212" t="s">
        <v>45</v>
      </c>
      <c r="J1212" t="s">
        <v>1381</v>
      </c>
      <c r="K1212" t="s">
        <v>161</v>
      </c>
      <c r="L1212">
        <v>215968.01</v>
      </c>
      <c r="M1212">
        <v>182004.69</v>
      </c>
      <c r="N1212" t="s">
        <v>35</v>
      </c>
      <c r="O1212">
        <v>9</v>
      </c>
      <c r="P1212">
        <v>31</v>
      </c>
      <c r="R1212">
        <v>142</v>
      </c>
      <c r="S1212">
        <v>244.4</v>
      </c>
      <c r="T1212" t="s">
        <v>65</v>
      </c>
      <c r="U1212" s="3"/>
      <c r="V1212" s="3"/>
      <c r="W1212" s="3"/>
    </row>
    <row r="1213" spans="1:23">
      <c r="A1213" t="s">
        <v>2757</v>
      </c>
      <c r="B1213" t="s">
        <v>21</v>
      </c>
      <c r="C1213" t="s">
        <v>50</v>
      </c>
      <c r="D1213" s="2">
        <v>18345</v>
      </c>
      <c r="E1213" t="s">
        <v>2758</v>
      </c>
      <c r="F1213" s="2">
        <v>45213</v>
      </c>
      <c r="G1213" t="s">
        <v>62</v>
      </c>
      <c r="H1213" t="s">
        <v>24</v>
      </c>
      <c r="J1213" t="s">
        <v>71</v>
      </c>
      <c r="L1213">
        <v>170594.81</v>
      </c>
      <c r="M1213">
        <v>149492.01999999999</v>
      </c>
      <c r="N1213" t="s">
        <v>192</v>
      </c>
      <c r="O1213">
        <v>18</v>
      </c>
      <c r="P1213">
        <v>48</v>
      </c>
      <c r="R1213">
        <v>181</v>
      </c>
      <c r="S1213">
        <v>250</v>
      </c>
      <c r="T1213" t="s">
        <v>37</v>
      </c>
      <c r="U1213" s="3"/>
      <c r="V1213" s="3"/>
      <c r="W1213" s="3"/>
    </row>
    <row r="1214" spans="1:23">
      <c r="A1214" t="s">
        <v>2759</v>
      </c>
      <c r="B1214" t="s">
        <v>845</v>
      </c>
      <c r="C1214" t="s">
        <v>60</v>
      </c>
      <c r="D1214" s="2">
        <v>34928</v>
      </c>
      <c r="E1214" s="2">
        <v>45369</v>
      </c>
      <c r="F1214" s="2">
        <v>45383</v>
      </c>
      <c r="G1214" t="s">
        <v>117</v>
      </c>
      <c r="H1214" t="s">
        <v>124</v>
      </c>
      <c r="I1214" t="s">
        <v>33</v>
      </c>
      <c r="J1214" t="s">
        <v>46</v>
      </c>
      <c r="K1214" t="s">
        <v>27</v>
      </c>
      <c r="L1214">
        <v>32124.19</v>
      </c>
      <c r="M1214">
        <v>23816.43</v>
      </c>
      <c r="N1214" t="s">
        <v>56</v>
      </c>
      <c r="O1214">
        <v>14</v>
      </c>
      <c r="P1214">
        <v>5</v>
      </c>
      <c r="R1214">
        <v>146</v>
      </c>
      <c r="S1214">
        <v>213.8</v>
      </c>
      <c r="T1214" t="s">
        <v>37</v>
      </c>
      <c r="U1214" s="3"/>
      <c r="V1214" s="3"/>
      <c r="W1214" s="3"/>
    </row>
    <row r="1215" spans="1:23">
      <c r="A1215" t="s">
        <v>2760</v>
      </c>
      <c r="B1215" t="s">
        <v>202</v>
      </c>
      <c r="C1215" t="s">
        <v>206</v>
      </c>
      <c r="D1215" s="2">
        <v>19887</v>
      </c>
      <c r="E1215" s="2">
        <v>45902</v>
      </c>
      <c r="F1215" s="2">
        <v>45910</v>
      </c>
      <c r="G1215" t="s">
        <v>152</v>
      </c>
      <c r="H1215" t="s">
        <v>1012</v>
      </c>
      <c r="I1215" t="s">
        <v>53</v>
      </c>
      <c r="J1215" t="s">
        <v>179</v>
      </c>
      <c r="K1215" t="s">
        <v>55</v>
      </c>
      <c r="L1215">
        <v>141177.97</v>
      </c>
      <c r="M1215">
        <v>96357.81</v>
      </c>
      <c r="N1215" t="s">
        <v>73</v>
      </c>
      <c r="O1215">
        <v>8</v>
      </c>
      <c r="P1215">
        <v>147</v>
      </c>
      <c r="R1215">
        <v>118</v>
      </c>
      <c r="S1215">
        <v>75.8</v>
      </c>
      <c r="T1215" t="s">
        <v>37</v>
      </c>
      <c r="U1215" s="3"/>
      <c r="V1215" s="3"/>
      <c r="W1215" s="3"/>
    </row>
    <row r="1216" spans="1:23">
      <c r="A1216" t="s">
        <v>2761</v>
      </c>
      <c r="B1216" t="s">
        <v>423</v>
      </c>
      <c r="C1216" t="s">
        <v>22</v>
      </c>
      <c r="D1216" s="2">
        <v>30469</v>
      </c>
      <c r="E1216" t="s">
        <v>2762</v>
      </c>
      <c r="F1216" s="2">
        <v>45269</v>
      </c>
      <c r="G1216" t="s">
        <v>105</v>
      </c>
      <c r="H1216" t="s">
        <v>118</v>
      </c>
      <c r="I1216" t="s">
        <v>25</v>
      </c>
      <c r="J1216" t="s">
        <v>64</v>
      </c>
      <c r="K1216" t="s">
        <v>120</v>
      </c>
      <c r="L1216">
        <v>39470.959999999999</v>
      </c>
      <c r="M1216">
        <v>32499.17</v>
      </c>
      <c r="O1216">
        <v>15</v>
      </c>
      <c r="P1216">
        <v>5</v>
      </c>
      <c r="Q1216">
        <v>1</v>
      </c>
      <c r="R1216">
        <v>150</v>
      </c>
      <c r="S1216">
        <v>98.6</v>
      </c>
      <c r="T1216" t="s">
        <v>37</v>
      </c>
      <c r="U1216" s="3"/>
      <c r="V1216" s="3"/>
      <c r="W1216" s="3"/>
    </row>
    <row r="1217" spans="1:23">
      <c r="A1217" t="s">
        <v>2763</v>
      </c>
      <c r="B1217" t="s">
        <v>406</v>
      </c>
      <c r="C1217" t="s">
        <v>30</v>
      </c>
      <c r="D1217" t="s">
        <v>2764</v>
      </c>
      <c r="E1217" s="2">
        <v>45407</v>
      </c>
      <c r="G1217" t="s">
        <v>105</v>
      </c>
      <c r="H1217" t="s">
        <v>78</v>
      </c>
      <c r="J1217" t="s">
        <v>46</v>
      </c>
      <c r="K1217" t="s">
        <v>55</v>
      </c>
      <c r="L1217">
        <v>30959.48</v>
      </c>
      <c r="M1217">
        <v>25809.18</v>
      </c>
      <c r="N1217" t="s">
        <v>35</v>
      </c>
      <c r="O1217">
        <v>7</v>
      </c>
      <c r="P1217">
        <v>163</v>
      </c>
      <c r="Q1217">
        <v>1</v>
      </c>
      <c r="R1217">
        <v>115</v>
      </c>
      <c r="S1217">
        <v>101.8</v>
      </c>
      <c r="T1217" t="s">
        <v>37</v>
      </c>
      <c r="U1217" s="3"/>
      <c r="V1217" s="3"/>
      <c r="W1217" s="3"/>
    </row>
    <row r="1218" spans="1:23">
      <c r="A1218" t="s">
        <v>2765</v>
      </c>
      <c r="B1218" t="s">
        <v>875</v>
      </c>
      <c r="C1218" t="s">
        <v>206</v>
      </c>
      <c r="D1218" t="s">
        <v>2766</v>
      </c>
      <c r="E1218" s="2">
        <v>45793</v>
      </c>
      <c r="F1218" s="2">
        <v>45809</v>
      </c>
      <c r="G1218" t="s">
        <v>89</v>
      </c>
      <c r="H1218" t="s">
        <v>153</v>
      </c>
      <c r="J1218" t="s">
        <v>46</v>
      </c>
      <c r="K1218" t="s">
        <v>55</v>
      </c>
      <c r="L1218">
        <v>86817.09</v>
      </c>
      <c r="M1218">
        <v>62619.67</v>
      </c>
      <c r="N1218" t="s">
        <v>73</v>
      </c>
      <c r="O1218">
        <v>16</v>
      </c>
      <c r="P1218">
        <v>6</v>
      </c>
      <c r="Q1218">
        <v>5</v>
      </c>
      <c r="R1218">
        <v>163</v>
      </c>
      <c r="S1218">
        <v>213.1</v>
      </c>
      <c r="T1218" t="s">
        <v>65</v>
      </c>
      <c r="U1218" s="3"/>
      <c r="V1218" s="3"/>
      <c r="W1218" s="3"/>
    </row>
    <row r="1219" spans="1:23">
      <c r="A1219" t="s">
        <v>2767</v>
      </c>
      <c r="B1219" t="s">
        <v>1101</v>
      </c>
      <c r="C1219" t="s">
        <v>40</v>
      </c>
      <c r="D1219" s="2">
        <v>30722</v>
      </c>
      <c r="E1219" s="2">
        <v>45202</v>
      </c>
      <c r="F1219" s="2">
        <v>45204</v>
      </c>
      <c r="G1219" t="s">
        <v>94</v>
      </c>
      <c r="H1219" t="s">
        <v>113</v>
      </c>
      <c r="I1219" t="s">
        <v>96</v>
      </c>
      <c r="J1219" t="s">
        <v>46</v>
      </c>
      <c r="K1219" t="s">
        <v>27</v>
      </c>
      <c r="L1219">
        <v>228542.87</v>
      </c>
      <c r="M1219">
        <v>191605.71</v>
      </c>
      <c r="N1219" t="s">
        <v>56</v>
      </c>
      <c r="O1219">
        <v>2</v>
      </c>
      <c r="P1219">
        <v>71</v>
      </c>
      <c r="Q1219">
        <v>4</v>
      </c>
      <c r="R1219">
        <v>108</v>
      </c>
      <c r="S1219">
        <v>90.1</v>
      </c>
      <c r="T1219" t="s">
        <v>37</v>
      </c>
      <c r="U1219" s="3"/>
      <c r="V1219" s="3"/>
      <c r="W1219" s="3"/>
    </row>
    <row r="1220" spans="1:23">
      <c r="A1220" t="s">
        <v>2768</v>
      </c>
      <c r="B1220" t="s">
        <v>1153</v>
      </c>
      <c r="C1220" t="s">
        <v>22</v>
      </c>
      <c r="D1220" s="2">
        <v>19224</v>
      </c>
      <c r="E1220" s="2">
        <v>45786</v>
      </c>
      <c r="F1220" s="2">
        <v>45803</v>
      </c>
      <c r="H1220" t="s">
        <v>153</v>
      </c>
      <c r="I1220" t="s">
        <v>119</v>
      </c>
      <c r="J1220" t="s">
        <v>64</v>
      </c>
      <c r="K1220" t="s">
        <v>183</v>
      </c>
      <c r="L1220" t="s">
        <v>2769</v>
      </c>
      <c r="M1220">
        <v>71230.740000000005</v>
      </c>
      <c r="O1220">
        <v>17</v>
      </c>
      <c r="P1220">
        <v>197</v>
      </c>
      <c r="Q1220">
        <v>2</v>
      </c>
      <c r="R1220">
        <v>96</v>
      </c>
      <c r="S1220">
        <v>145.1</v>
      </c>
      <c r="T1220" t="s">
        <v>37</v>
      </c>
      <c r="U1220" s="3"/>
      <c r="V1220" s="3"/>
      <c r="W1220" s="3"/>
    </row>
    <row r="1221" spans="1:23">
      <c r="A1221" t="s">
        <v>2770</v>
      </c>
      <c r="B1221" t="s">
        <v>470</v>
      </c>
      <c r="C1221" t="s">
        <v>40</v>
      </c>
      <c r="D1221" s="2">
        <v>22055</v>
      </c>
      <c r="E1221" s="2">
        <v>45362</v>
      </c>
      <c r="F1221" s="2">
        <v>45366</v>
      </c>
      <c r="G1221" t="s">
        <v>109</v>
      </c>
      <c r="H1221" t="s">
        <v>1012</v>
      </c>
      <c r="I1221" t="s">
        <v>53</v>
      </c>
      <c r="J1221" t="s">
        <v>71</v>
      </c>
      <c r="K1221" t="s">
        <v>449</v>
      </c>
      <c r="L1221">
        <v>245588.71</v>
      </c>
      <c r="M1221">
        <v>201573.28</v>
      </c>
      <c r="N1221" t="s">
        <v>1048</v>
      </c>
      <c r="O1221">
        <v>4</v>
      </c>
      <c r="P1221">
        <v>74</v>
      </c>
      <c r="R1221">
        <v>90</v>
      </c>
      <c r="S1221">
        <v>125.6</v>
      </c>
      <c r="T1221" t="s">
        <v>37</v>
      </c>
      <c r="U1221" s="3"/>
      <c r="V1221" s="3"/>
      <c r="W1221" s="3"/>
    </row>
    <row r="1222" spans="1:23">
      <c r="A1222" t="s">
        <v>2771</v>
      </c>
      <c r="B1222" t="s">
        <v>752</v>
      </c>
      <c r="C1222" t="s">
        <v>100</v>
      </c>
      <c r="D1222" s="2">
        <v>33944</v>
      </c>
      <c r="E1222" s="2">
        <v>45888</v>
      </c>
      <c r="F1222" s="2">
        <v>45895</v>
      </c>
      <c r="G1222" t="s">
        <v>70</v>
      </c>
      <c r="H1222" t="s">
        <v>32</v>
      </c>
      <c r="I1222" t="s">
        <v>33</v>
      </c>
      <c r="J1222" t="s">
        <v>97</v>
      </c>
      <c r="L1222">
        <v>92640.95</v>
      </c>
      <c r="M1222">
        <v>87750.81</v>
      </c>
      <c r="N1222" t="s">
        <v>73</v>
      </c>
      <c r="O1222">
        <v>7</v>
      </c>
      <c r="P1222">
        <v>23</v>
      </c>
      <c r="Q1222">
        <v>3</v>
      </c>
      <c r="R1222">
        <v>121</v>
      </c>
      <c r="S1222">
        <v>70.900000000000006</v>
      </c>
      <c r="T1222" t="s">
        <v>57</v>
      </c>
      <c r="U1222" s="3"/>
      <c r="V1222" s="3"/>
      <c r="W1222" s="3"/>
    </row>
    <row r="1223" spans="1:23">
      <c r="A1223" t="s">
        <v>2772</v>
      </c>
      <c r="B1223" t="s">
        <v>875</v>
      </c>
      <c r="D1223" s="2">
        <v>31044</v>
      </c>
      <c r="E1223" t="s">
        <v>2773</v>
      </c>
      <c r="F1223" s="2">
        <v>44939</v>
      </c>
      <c r="G1223" t="s">
        <v>70</v>
      </c>
      <c r="H1223" t="s">
        <v>95</v>
      </c>
      <c r="I1223" t="s">
        <v>45</v>
      </c>
      <c r="J1223" t="s">
        <v>34</v>
      </c>
      <c r="K1223" t="s">
        <v>27</v>
      </c>
      <c r="L1223">
        <v>164207.45000000001</v>
      </c>
      <c r="M1223">
        <v>149319.59</v>
      </c>
      <c r="N1223" t="s">
        <v>990</v>
      </c>
      <c r="O1223">
        <v>11</v>
      </c>
      <c r="P1223">
        <v>57</v>
      </c>
      <c r="Q1223">
        <v>1</v>
      </c>
      <c r="R1223">
        <v>115</v>
      </c>
      <c r="S1223">
        <v>241.4</v>
      </c>
      <c r="T1223" t="s">
        <v>65</v>
      </c>
      <c r="U1223" s="3"/>
      <c r="V1223" s="3"/>
      <c r="W1223" s="3"/>
    </row>
    <row r="1224" spans="1:23">
      <c r="A1224" t="s">
        <v>2774</v>
      </c>
      <c r="B1224" t="s">
        <v>867</v>
      </c>
      <c r="C1224" t="s">
        <v>206</v>
      </c>
      <c r="D1224" t="s">
        <v>2775</v>
      </c>
      <c r="E1224" s="2">
        <v>45830</v>
      </c>
      <c r="F1224" s="2">
        <v>45831</v>
      </c>
      <c r="G1224" t="s">
        <v>70</v>
      </c>
      <c r="H1224" t="s">
        <v>24</v>
      </c>
      <c r="I1224" t="s">
        <v>79</v>
      </c>
      <c r="J1224" t="s">
        <v>179</v>
      </c>
      <c r="K1224" t="s">
        <v>55</v>
      </c>
      <c r="L1224">
        <v>8661.26</v>
      </c>
      <c r="M1224">
        <v>8501.83</v>
      </c>
      <c r="N1224" t="s">
        <v>35</v>
      </c>
      <c r="O1224">
        <v>1</v>
      </c>
      <c r="P1224">
        <v>30</v>
      </c>
      <c r="Q1224">
        <v>5</v>
      </c>
      <c r="R1224">
        <v>190</v>
      </c>
      <c r="S1224">
        <v>115.5</v>
      </c>
      <c r="T1224" t="s">
        <v>37</v>
      </c>
      <c r="U1224" s="3"/>
      <c r="V1224" s="3"/>
      <c r="W1224" s="3"/>
    </row>
    <row r="1225" spans="1:23">
      <c r="A1225" t="s">
        <v>2776</v>
      </c>
      <c r="B1225" t="s">
        <v>2507</v>
      </c>
      <c r="C1225" t="s">
        <v>30</v>
      </c>
      <c r="D1225" s="2">
        <v>24008</v>
      </c>
      <c r="E1225" t="s">
        <v>2777</v>
      </c>
      <c r="F1225" s="2">
        <v>45879</v>
      </c>
      <c r="G1225" t="s">
        <v>161</v>
      </c>
      <c r="H1225" t="s">
        <v>63</v>
      </c>
      <c r="J1225" t="s">
        <v>34</v>
      </c>
      <c r="K1225" t="s">
        <v>161</v>
      </c>
      <c r="L1225">
        <v>200497.71</v>
      </c>
      <c r="M1225">
        <v>184801.95</v>
      </c>
      <c r="N1225" t="s">
        <v>192</v>
      </c>
      <c r="O1225">
        <v>14</v>
      </c>
      <c r="P1225">
        <v>70</v>
      </c>
      <c r="Q1225">
        <v>5</v>
      </c>
      <c r="R1225">
        <v>154</v>
      </c>
      <c r="S1225">
        <v>153.1</v>
      </c>
      <c r="T1225" t="s">
        <v>37</v>
      </c>
      <c r="U1225" s="3"/>
      <c r="V1225" s="3"/>
      <c r="W1225" s="3"/>
    </row>
    <row r="1226" spans="1:23">
      <c r="A1226" t="s">
        <v>2778</v>
      </c>
      <c r="B1226" t="s">
        <v>515</v>
      </c>
      <c r="C1226" t="s">
        <v>84</v>
      </c>
      <c r="D1226" s="2">
        <v>29294</v>
      </c>
      <c r="E1226" s="2">
        <v>45351</v>
      </c>
      <c r="F1226" s="2">
        <v>45360</v>
      </c>
      <c r="G1226" t="s">
        <v>62</v>
      </c>
      <c r="H1226" t="s">
        <v>52</v>
      </c>
      <c r="I1226" t="s">
        <v>53</v>
      </c>
      <c r="J1226" t="s">
        <v>97</v>
      </c>
      <c r="K1226" t="s">
        <v>55</v>
      </c>
      <c r="L1226">
        <v>53226.2</v>
      </c>
      <c r="N1226" t="s">
        <v>35</v>
      </c>
      <c r="O1226">
        <v>9</v>
      </c>
      <c r="P1226">
        <v>154</v>
      </c>
      <c r="R1226">
        <v>110</v>
      </c>
      <c r="S1226">
        <v>93.3</v>
      </c>
      <c r="T1226" t="s">
        <v>37</v>
      </c>
      <c r="U1226" s="3"/>
      <c r="V1226" s="3"/>
      <c r="W1226" s="3"/>
    </row>
    <row r="1227" spans="1:23">
      <c r="A1227" t="s">
        <v>2779</v>
      </c>
      <c r="B1227" t="s">
        <v>909</v>
      </c>
      <c r="C1227" t="s">
        <v>206</v>
      </c>
      <c r="D1227" s="2">
        <v>40028</v>
      </c>
      <c r="E1227" s="2">
        <v>45671</v>
      </c>
      <c r="F1227" s="2">
        <v>45680</v>
      </c>
      <c r="G1227" t="s">
        <v>77</v>
      </c>
      <c r="H1227" t="s">
        <v>113</v>
      </c>
      <c r="I1227" t="s">
        <v>79</v>
      </c>
      <c r="J1227" t="s">
        <v>34</v>
      </c>
      <c r="K1227" t="s">
        <v>161</v>
      </c>
      <c r="L1227">
        <v>4248.92</v>
      </c>
      <c r="M1227">
        <v>3506.66</v>
      </c>
      <c r="N1227" t="s">
        <v>409</v>
      </c>
      <c r="O1227">
        <v>9</v>
      </c>
      <c r="P1227">
        <v>155</v>
      </c>
      <c r="Q1227">
        <v>4</v>
      </c>
      <c r="R1227">
        <v>163</v>
      </c>
      <c r="S1227">
        <v>86.1</v>
      </c>
      <c r="T1227" t="s">
        <v>37</v>
      </c>
      <c r="U1227" s="3"/>
      <c r="V1227" s="3"/>
      <c r="W1227" s="3"/>
    </row>
    <row r="1228" spans="1:23">
      <c r="A1228" t="s">
        <v>2780</v>
      </c>
      <c r="B1228" t="s">
        <v>444</v>
      </c>
      <c r="C1228" t="s">
        <v>30</v>
      </c>
      <c r="D1228" s="2">
        <v>38488</v>
      </c>
      <c r="E1228" s="2">
        <v>45734</v>
      </c>
      <c r="F1228" s="2">
        <v>45736</v>
      </c>
      <c r="G1228" t="s">
        <v>62</v>
      </c>
      <c r="H1228" t="s">
        <v>24</v>
      </c>
      <c r="I1228" t="s">
        <v>119</v>
      </c>
      <c r="J1228" t="s">
        <v>54</v>
      </c>
      <c r="K1228" t="s">
        <v>106</v>
      </c>
      <c r="L1228">
        <v>147563.59</v>
      </c>
      <c r="M1228">
        <v>117882.6</v>
      </c>
      <c r="N1228" t="s">
        <v>56</v>
      </c>
      <c r="O1228">
        <v>2</v>
      </c>
      <c r="P1228">
        <v>87</v>
      </c>
      <c r="Q1228">
        <v>3</v>
      </c>
      <c r="R1228">
        <v>99</v>
      </c>
      <c r="S1228">
        <v>163.30000000000001</v>
      </c>
      <c r="T1228" t="s">
        <v>37</v>
      </c>
      <c r="U1228" s="3"/>
      <c r="V1228" s="3"/>
      <c r="W1228" s="3"/>
    </row>
    <row r="1229" spans="1:23">
      <c r="A1229" t="s">
        <v>2781</v>
      </c>
      <c r="B1229" t="s">
        <v>810</v>
      </c>
      <c r="C1229" t="s">
        <v>133</v>
      </c>
      <c r="D1229" s="2">
        <v>28039</v>
      </c>
      <c r="E1229" s="2">
        <v>45884</v>
      </c>
      <c r="F1229" s="2">
        <v>45892</v>
      </c>
      <c r="G1229" t="s">
        <v>43</v>
      </c>
      <c r="H1229" t="s">
        <v>78</v>
      </c>
      <c r="I1229" t="s">
        <v>96</v>
      </c>
      <c r="J1229" t="s">
        <v>179</v>
      </c>
      <c r="K1229" t="s">
        <v>120</v>
      </c>
      <c r="L1229">
        <v>17771.61</v>
      </c>
      <c r="M1229">
        <v>12525.65</v>
      </c>
      <c r="N1229" t="s">
        <v>192</v>
      </c>
      <c r="O1229">
        <v>8</v>
      </c>
      <c r="P1229">
        <v>111</v>
      </c>
      <c r="Q1229">
        <v>4</v>
      </c>
      <c r="R1229">
        <v>115</v>
      </c>
      <c r="S1229">
        <v>181</v>
      </c>
      <c r="T1229" t="s">
        <v>47</v>
      </c>
      <c r="U1229" s="3"/>
      <c r="V1229" s="3"/>
      <c r="W1229" s="3"/>
    </row>
    <row r="1230" spans="1:23">
      <c r="A1230" t="s">
        <v>2782</v>
      </c>
      <c r="B1230" t="s">
        <v>328</v>
      </c>
      <c r="C1230" t="s">
        <v>40</v>
      </c>
      <c r="D1230" s="2">
        <v>37143</v>
      </c>
      <c r="E1230" s="2">
        <v>44970</v>
      </c>
      <c r="F1230" t="s">
        <v>2783</v>
      </c>
      <c r="G1230" t="s">
        <v>89</v>
      </c>
      <c r="H1230" t="s">
        <v>95</v>
      </c>
      <c r="I1230" t="s">
        <v>119</v>
      </c>
      <c r="J1230" t="s">
        <v>46</v>
      </c>
      <c r="K1230" t="s">
        <v>72</v>
      </c>
      <c r="L1230">
        <v>131959.88</v>
      </c>
      <c r="M1230">
        <v>107080.06</v>
      </c>
      <c r="N1230" t="s">
        <v>73</v>
      </c>
      <c r="O1230">
        <v>13</v>
      </c>
      <c r="P1230">
        <v>183</v>
      </c>
      <c r="Q1230">
        <v>5</v>
      </c>
      <c r="R1230">
        <v>135</v>
      </c>
      <c r="S1230">
        <v>99.2</v>
      </c>
      <c r="T1230" t="s">
        <v>37</v>
      </c>
      <c r="U1230" s="3"/>
      <c r="V1230" s="3"/>
      <c r="W1230" s="3"/>
    </row>
    <row r="1231" spans="1:23">
      <c r="A1231" t="s">
        <v>2784</v>
      </c>
      <c r="B1231" t="s">
        <v>679</v>
      </c>
      <c r="C1231" t="s">
        <v>84</v>
      </c>
      <c r="D1231" s="2">
        <v>22967</v>
      </c>
      <c r="E1231" t="s">
        <v>1478</v>
      </c>
      <c r="F1231" s="2">
        <v>45864</v>
      </c>
      <c r="G1231" t="s">
        <v>105</v>
      </c>
      <c r="H1231" t="s">
        <v>63</v>
      </c>
      <c r="I1231" t="s">
        <v>79</v>
      </c>
      <c r="J1231" t="s">
        <v>34</v>
      </c>
      <c r="K1231" t="s">
        <v>55</v>
      </c>
      <c r="L1231">
        <v>228682.18</v>
      </c>
      <c r="M1231">
        <v>215512.92</v>
      </c>
      <c r="N1231" t="s">
        <v>73</v>
      </c>
      <c r="O1231">
        <v>3</v>
      </c>
      <c r="P1231">
        <v>68</v>
      </c>
      <c r="Q1231">
        <v>4</v>
      </c>
      <c r="R1231" t="s">
        <v>2785</v>
      </c>
      <c r="S1231">
        <v>205.3</v>
      </c>
      <c r="T1231" t="s">
        <v>37</v>
      </c>
      <c r="U1231" s="3"/>
      <c r="V1231" s="3"/>
      <c r="W1231" s="3"/>
    </row>
    <row r="1232" spans="1:23">
      <c r="A1232" t="s">
        <v>2786</v>
      </c>
      <c r="B1232" t="s">
        <v>967</v>
      </c>
      <c r="C1232" t="s">
        <v>30</v>
      </c>
      <c r="D1232" s="2">
        <v>21333</v>
      </c>
      <c r="E1232" s="2">
        <v>45796</v>
      </c>
      <c r="F1232" t="s">
        <v>2787</v>
      </c>
      <c r="G1232" t="s">
        <v>43</v>
      </c>
      <c r="H1232" t="s">
        <v>153</v>
      </c>
      <c r="I1232" t="s">
        <v>53</v>
      </c>
      <c r="L1232">
        <v>50991.73</v>
      </c>
      <c r="M1232">
        <v>42508.95</v>
      </c>
      <c r="N1232" t="s">
        <v>73</v>
      </c>
      <c r="O1232">
        <v>10</v>
      </c>
      <c r="P1232">
        <v>77</v>
      </c>
      <c r="Q1232">
        <v>3</v>
      </c>
      <c r="S1232">
        <v>169.8</v>
      </c>
      <c r="T1232" t="s">
        <v>65</v>
      </c>
      <c r="U1232" s="3"/>
      <c r="V1232" s="3"/>
      <c r="W1232" s="3"/>
    </row>
    <row r="1233" spans="1:23">
      <c r="A1233" t="s">
        <v>2788</v>
      </c>
      <c r="B1233" t="s">
        <v>2270</v>
      </c>
      <c r="C1233" t="s">
        <v>151</v>
      </c>
      <c r="D1233" s="2">
        <v>32164</v>
      </c>
      <c r="E1233" s="2">
        <v>45567</v>
      </c>
      <c r="F1233" s="2">
        <v>45572</v>
      </c>
      <c r="G1233" t="s">
        <v>94</v>
      </c>
      <c r="H1233" t="s">
        <v>95</v>
      </c>
      <c r="J1233" t="s">
        <v>97</v>
      </c>
      <c r="K1233" t="s">
        <v>72</v>
      </c>
      <c r="L1233">
        <v>27462.66</v>
      </c>
      <c r="M1233">
        <v>20247.12</v>
      </c>
      <c r="N1233" t="s">
        <v>56</v>
      </c>
      <c r="O1233">
        <v>5</v>
      </c>
      <c r="P1233">
        <v>225</v>
      </c>
      <c r="Q1233">
        <v>5</v>
      </c>
      <c r="R1233">
        <v>171</v>
      </c>
      <c r="T1233" t="s">
        <v>37</v>
      </c>
      <c r="U1233" s="3"/>
      <c r="V1233" s="3"/>
      <c r="W1233" s="3"/>
    </row>
    <row r="1234" spans="1:23">
      <c r="A1234" t="s">
        <v>2789</v>
      </c>
      <c r="B1234" t="s">
        <v>444</v>
      </c>
      <c r="C1234" t="s">
        <v>100</v>
      </c>
      <c r="D1234" s="2">
        <v>32983</v>
      </c>
      <c r="E1234" s="2">
        <v>45361</v>
      </c>
      <c r="G1234" t="s">
        <v>62</v>
      </c>
      <c r="H1234" t="s">
        <v>44</v>
      </c>
      <c r="I1234" t="s">
        <v>45</v>
      </c>
      <c r="J1234" t="s">
        <v>97</v>
      </c>
      <c r="K1234" t="s">
        <v>72</v>
      </c>
      <c r="L1234">
        <v>97357.06</v>
      </c>
      <c r="M1234">
        <v>75176.66</v>
      </c>
      <c r="N1234" t="s">
        <v>106</v>
      </c>
      <c r="O1234" t="s">
        <v>1370</v>
      </c>
      <c r="P1234" t="s">
        <v>1416</v>
      </c>
      <c r="Q1234">
        <v>2</v>
      </c>
      <c r="R1234">
        <v>125</v>
      </c>
      <c r="S1234">
        <v>72.8</v>
      </c>
      <c r="T1234" t="s">
        <v>37</v>
      </c>
      <c r="U1234" s="3"/>
      <c r="V1234" s="3"/>
      <c r="W1234" s="3"/>
    </row>
    <row r="1235" spans="1:23">
      <c r="A1235" t="s">
        <v>2790</v>
      </c>
      <c r="B1235" t="s">
        <v>548</v>
      </c>
      <c r="C1235" t="s">
        <v>50</v>
      </c>
      <c r="D1235" s="2">
        <v>19580</v>
      </c>
      <c r="E1235" s="2">
        <v>45682</v>
      </c>
      <c r="F1235" t="s">
        <v>2791</v>
      </c>
      <c r="G1235" t="s">
        <v>31</v>
      </c>
      <c r="H1235" t="s">
        <v>118</v>
      </c>
      <c r="I1235" t="s">
        <v>45</v>
      </c>
      <c r="K1235" t="s">
        <v>161</v>
      </c>
      <c r="L1235">
        <v>235561.09</v>
      </c>
      <c r="M1235">
        <v>151844.84</v>
      </c>
      <c r="N1235" t="s">
        <v>35</v>
      </c>
      <c r="O1235" t="s">
        <v>723</v>
      </c>
      <c r="P1235">
        <v>154</v>
      </c>
      <c r="R1235">
        <v>93</v>
      </c>
      <c r="S1235">
        <v>96.5</v>
      </c>
      <c r="T1235" t="s">
        <v>65</v>
      </c>
      <c r="U1235" s="3"/>
      <c r="V1235" s="3"/>
      <c r="W1235" s="3"/>
    </row>
    <row r="1236" spans="1:23">
      <c r="A1236" t="s">
        <v>2792</v>
      </c>
      <c r="B1236" t="s">
        <v>485</v>
      </c>
      <c r="C1236" t="s">
        <v>60</v>
      </c>
      <c r="D1236" t="s">
        <v>2793</v>
      </c>
      <c r="E1236" s="2">
        <v>45378</v>
      </c>
      <c r="F1236" s="2">
        <v>45394</v>
      </c>
      <c r="G1236" t="s">
        <v>105</v>
      </c>
      <c r="H1236" t="s">
        <v>44</v>
      </c>
      <c r="J1236" t="s">
        <v>34</v>
      </c>
      <c r="K1236" t="s">
        <v>161</v>
      </c>
      <c r="L1236">
        <v>18555.72</v>
      </c>
      <c r="M1236">
        <v>15459.59</v>
      </c>
      <c r="N1236" t="s">
        <v>73</v>
      </c>
      <c r="O1236">
        <v>16</v>
      </c>
      <c r="P1236" t="s">
        <v>904</v>
      </c>
      <c r="Q1236">
        <v>4</v>
      </c>
      <c r="R1236">
        <v>133</v>
      </c>
      <c r="S1236">
        <v>130.9</v>
      </c>
      <c r="T1236" t="s">
        <v>37</v>
      </c>
      <c r="U1236" s="3"/>
      <c r="V1236" s="3"/>
      <c r="W1236" s="3"/>
    </row>
    <row r="1237" spans="1:23">
      <c r="A1237" t="s">
        <v>2794</v>
      </c>
      <c r="B1237" t="s">
        <v>2795</v>
      </c>
      <c r="C1237" t="s">
        <v>22</v>
      </c>
      <c r="D1237" s="2">
        <v>22516</v>
      </c>
      <c r="E1237" s="2">
        <v>45031</v>
      </c>
      <c r="F1237" s="2">
        <v>45036</v>
      </c>
      <c r="G1237" t="s">
        <v>105</v>
      </c>
      <c r="H1237" t="s">
        <v>24</v>
      </c>
      <c r="I1237" t="s">
        <v>33</v>
      </c>
      <c r="J1237" t="s">
        <v>80</v>
      </c>
      <c r="K1237" t="s">
        <v>110</v>
      </c>
      <c r="L1237">
        <v>221463.81</v>
      </c>
      <c r="M1237">
        <v>197319.01</v>
      </c>
      <c r="N1237" t="s">
        <v>73</v>
      </c>
      <c r="O1237">
        <v>5</v>
      </c>
      <c r="P1237">
        <v>150</v>
      </c>
      <c r="Q1237">
        <v>1</v>
      </c>
      <c r="R1237">
        <v>145</v>
      </c>
      <c r="S1237">
        <v>99.9</v>
      </c>
      <c r="T1237" t="s">
        <v>37</v>
      </c>
      <c r="U1237" s="3"/>
      <c r="V1237" s="3"/>
      <c r="W1237" s="3"/>
    </row>
    <row r="1238" spans="1:23">
      <c r="A1238" t="s">
        <v>2796</v>
      </c>
      <c r="B1238" t="s">
        <v>1391</v>
      </c>
      <c r="C1238" t="s">
        <v>206</v>
      </c>
      <c r="D1238" s="2">
        <v>39501</v>
      </c>
      <c r="E1238" s="2">
        <v>45151</v>
      </c>
      <c r="F1238" s="2">
        <v>45156</v>
      </c>
      <c r="G1238" t="s">
        <v>105</v>
      </c>
      <c r="H1238" t="s">
        <v>118</v>
      </c>
      <c r="I1238" t="s">
        <v>45</v>
      </c>
      <c r="K1238" t="s">
        <v>55</v>
      </c>
      <c r="L1238">
        <v>174962.34</v>
      </c>
      <c r="M1238">
        <v>139010.64000000001</v>
      </c>
      <c r="N1238" t="s">
        <v>73</v>
      </c>
      <c r="O1238">
        <v>5</v>
      </c>
      <c r="P1238">
        <v>175</v>
      </c>
      <c r="Q1238">
        <v>2</v>
      </c>
      <c r="R1238">
        <v>126</v>
      </c>
      <c r="S1238">
        <v>222.4</v>
      </c>
      <c r="T1238" t="s">
        <v>37</v>
      </c>
      <c r="U1238" s="3"/>
      <c r="V1238" s="3"/>
      <c r="W1238" s="3"/>
    </row>
    <row r="1239" spans="1:23">
      <c r="A1239" t="s">
        <v>2797</v>
      </c>
      <c r="B1239" t="s">
        <v>1186</v>
      </c>
      <c r="C1239" t="s">
        <v>816</v>
      </c>
      <c r="D1239" s="2">
        <v>37748</v>
      </c>
      <c r="E1239" s="2">
        <v>45733</v>
      </c>
      <c r="F1239" s="2">
        <v>45742</v>
      </c>
      <c r="G1239" t="s">
        <v>43</v>
      </c>
      <c r="H1239" t="s">
        <v>44</v>
      </c>
      <c r="I1239" t="s">
        <v>96</v>
      </c>
      <c r="J1239" t="s">
        <v>71</v>
      </c>
      <c r="K1239" t="s">
        <v>55</v>
      </c>
      <c r="L1239">
        <v>54540.66</v>
      </c>
      <c r="M1239">
        <v>50429.64</v>
      </c>
      <c r="N1239" t="s">
        <v>192</v>
      </c>
      <c r="O1239">
        <v>9</v>
      </c>
      <c r="P1239">
        <v>149</v>
      </c>
      <c r="Q1239">
        <v>4</v>
      </c>
      <c r="R1239">
        <v>165</v>
      </c>
      <c r="S1239">
        <v>87.7</v>
      </c>
      <c r="T1239" t="s">
        <v>47</v>
      </c>
      <c r="U1239" s="3"/>
      <c r="V1239" s="3"/>
      <c r="W1239" s="3"/>
    </row>
    <row r="1240" spans="1:23">
      <c r="A1240" t="s">
        <v>2798</v>
      </c>
      <c r="B1240" t="s">
        <v>752</v>
      </c>
      <c r="C1240" t="s">
        <v>84</v>
      </c>
      <c r="D1240" s="2">
        <v>39312</v>
      </c>
      <c r="E1240" t="s">
        <v>2799</v>
      </c>
      <c r="F1240" s="2">
        <v>45597</v>
      </c>
      <c r="G1240" t="s">
        <v>117</v>
      </c>
      <c r="H1240" t="s">
        <v>86</v>
      </c>
      <c r="I1240" t="s">
        <v>45</v>
      </c>
      <c r="J1240" t="s">
        <v>64</v>
      </c>
      <c r="K1240" t="s">
        <v>72</v>
      </c>
      <c r="L1240" t="s">
        <v>2800</v>
      </c>
      <c r="M1240">
        <v>134023.79</v>
      </c>
      <c r="N1240" t="s">
        <v>192</v>
      </c>
      <c r="O1240">
        <v>16</v>
      </c>
      <c r="P1240">
        <v>16</v>
      </c>
      <c r="Q1240">
        <v>1</v>
      </c>
      <c r="R1240">
        <v>97</v>
      </c>
      <c r="S1240">
        <v>196.5</v>
      </c>
      <c r="T1240" t="s">
        <v>47</v>
      </c>
      <c r="U1240" s="3"/>
      <c r="V1240" s="3"/>
      <c r="W1240" s="3"/>
    </row>
    <row r="1241" spans="1:23">
      <c r="A1241" t="s">
        <v>2801</v>
      </c>
      <c r="B1241" t="s">
        <v>986</v>
      </c>
      <c r="C1241" t="s">
        <v>22</v>
      </c>
      <c r="D1241" s="2">
        <v>29160</v>
      </c>
      <c r="E1241" s="2">
        <v>45421</v>
      </c>
      <c r="F1241" s="2">
        <v>45431</v>
      </c>
      <c r="G1241" t="s">
        <v>43</v>
      </c>
      <c r="H1241" t="s">
        <v>113</v>
      </c>
      <c r="I1241" t="s">
        <v>45</v>
      </c>
      <c r="J1241" t="s">
        <v>80</v>
      </c>
      <c r="K1241" t="s">
        <v>161</v>
      </c>
      <c r="L1241" t="s">
        <v>2802</v>
      </c>
      <c r="M1241">
        <v>45402.13</v>
      </c>
      <c r="N1241" t="s">
        <v>73</v>
      </c>
      <c r="O1241">
        <v>10</v>
      </c>
      <c r="P1241">
        <v>95</v>
      </c>
      <c r="Q1241">
        <v>4</v>
      </c>
      <c r="R1241">
        <v>157</v>
      </c>
      <c r="S1241">
        <v>124.2</v>
      </c>
      <c r="T1241" t="s">
        <v>81</v>
      </c>
      <c r="U1241" s="3"/>
      <c r="V1241" s="3"/>
      <c r="W1241" s="3"/>
    </row>
    <row r="1242" spans="1:23">
      <c r="A1242" t="s">
        <v>2803</v>
      </c>
      <c r="B1242" t="s">
        <v>414</v>
      </c>
      <c r="C1242" t="s">
        <v>206</v>
      </c>
      <c r="D1242" s="2">
        <v>27689</v>
      </c>
      <c r="E1242" s="2">
        <v>45718</v>
      </c>
      <c r="F1242" s="2">
        <v>45730</v>
      </c>
      <c r="G1242" t="s">
        <v>117</v>
      </c>
      <c r="H1242" t="s">
        <v>63</v>
      </c>
      <c r="I1242" t="s">
        <v>79</v>
      </c>
      <c r="J1242" t="s">
        <v>46</v>
      </c>
      <c r="K1242" t="s">
        <v>183</v>
      </c>
      <c r="L1242">
        <v>197794.62</v>
      </c>
      <c r="M1242">
        <v>140935.1</v>
      </c>
      <c r="N1242" t="s">
        <v>73</v>
      </c>
      <c r="O1242">
        <v>12</v>
      </c>
      <c r="P1242">
        <v>168</v>
      </c>
      <c r="Q1242">
        <v>4</v>
      </c>
      <c r="R1242">
        <v>180</v>
      </c>
      <c r="S1242">
        <v>111.6</v>
      </c>
      <c r="U1242" s="3"/>
      <c r="V1242" s="3"/>
      <c r="W1242" s="3"/>
    </row>
    <row r="1243" spans="1:23">
      <c r="A1243" t="s">
        <v>2804</v>
      </c>
      <c r="B1243" t="s">
        <v>1426</v>
      </c>
      <c r="C1243" t="s">
        <v>22</v>
      </c>
      <c r="D1243" s="2">
        <v>26100</v>
      </c>
      <c r="E1243" t="s">
        <v>2805</v>
      </c>
      <c r="F1243" s="2">
        <v>45688</v>
      </c>
      <c r="G1243" t="s">
        <v>62</v>
      </c>
      <c r="H1243" t="s">
        <v>312</v>
      </c>
      <c r="J1243" t="s">
        <v>34</v>
      </c>
      <c r="K1243" t="s">
        <v>55</v>
      </c>
      <c r="L1243">
        <v>104770.15</v>
      </c>
      <c r="M1243">
        <v>75542</v>
      </c>
      <c r="N1243" t="s">
        <v>106</v>
      </c>
      <c r="O1243">
        <v>7</v>
      </c>
      <c r="P1243">
        <v>41</v>
      </c>
      <c r="Q1243">
        <v>4</v>
      </c>
      <c r="R1243">
        <v>129</v>
      </c>
      <c r="S1243">
        <v>110.7</v>
      </c>
      <c r="T1243" t="s">
        <v>47</v>
      </c>
      <c r="U1243" s="3"/>
      <c r="V1243" s="3"/>
      <c r="W1243" s="3"/>
    </row>
    <row r="1244" spans="1:23">
      <c r="A1244" t="s">
        <v>2806</v>
      </c>
      <c r="B1244" t="s">
        <v>563</v>
      </c>
      <c r="C1244" t="s">
        <v>100</v>
      </c>
      <c r="D1244" s="2">
        <v>32208</v>
      </c>
      <c r="E1244" t="s">
        <v>2807</v>
      </c>
      <c r="F1244" t="s">
        <v>2107</v>
      </c>
      <c r="G1244" t="s">
        <v>141</v>
      </c>
      <c r="H1244" t="s">
        <v>376</v>
      </c>
      <c r="I1244" t="s">
        <v>96</v>
      </c>
      <c r="K1244" t="s">
        <v>388</v>
      </c>
      <c r="L1244">
        <v>100045.46</v>
      </c>
      <c r="M1244">
        <v>86749.18</v>
      </c>
      <c r="N1244" t="s">
        <v>73</v>
      </c>
      <c r="O1244">
        <v>2</v>
      </c>
      <c r="P1244">
        <v>11</v>
      </c>
      <c r="R1244">
        <v>145</v>
      </c>
      <c r="S1244">
        <v>198.6</v>
      </c>
      <c r="U1244" s="3"/>
      <c r="V1244" s="3"/>
      <c r="W1244" s="3"/>
    </row>
    <row r="1245" spans="1:23">
      <c r="A1245" t="s">
        <v>2808</v>
      </c>
      <c r="B1245" t="s">
        <v>875</v>
      </c>
      <c r="C1245" t="s">
        <v>206</v>
      </c>
      <c r="D1245" s="2">
        <v>30020</v>
      </c>
      <c r="E1245" s="2">
        <v>45548</v>
      </c>
      <c r="F1245" s="2">
        <v>45561</v>
      </c>
      <c r="G1245" t="s">
        <v>43</v>
      </c>
      <c r="H1245" t="s">
        <v>134</v>
      </c>
      <c r="J1245" t="s">
        <v>64</v>
      </c>
      <c r="K1245" t="s">
        <v>72</v>
      </c>
      <c r="L1245">
        <v>57440.3</v>
      </c>
      <c r="M1245">
        <v>46181.61</v>
      </c>
      <c r="N1245" t="s">
        <v>192</v>
      </c>
      <c r="O1245">
        <v>13</v>
      </c>
      <c r="P1245">
        <v>179</v>
      </c>
      <c r="Q1245">
        <v>5</v>
      </c>
      <c r="R1245">
        <v>116</v>
      </c>
      <c r="S1245">
        <v>168.4</v>
      </c>
      <c r="T1245" t="s">
        <v>37</v>
      </c>
      <c r="U1245" s="3"/>
      <c r="V1245" s="3"/>
      <c r="W1245" s="3"/>
    </row>
    <row r="1246" spans="1:23">
      <c r="A1246" t="s">
        <v>2809</v>
      </c>
      <c r="B1246" t="s">
        <v>522</v>
      </c>
      <c r="C1246" t="s">
        <v>60</v>
      </c>
      <c r="D1246" s="2">
        <v>23081</v>
      </c>
      <c r="E1246" s="2">
        <v>45844</v>
      </c>
      <c r="F1246" s="2">
        <v>45850</v>
      </c>
      <c r="G1246" t="s">
        <v>141</v>
      </c>
      <c r="H1246" t="s">
        <v>44</v>
      </c>
      <c r="I1246" t="s">
        <v>79</v>
      </c>
      <c r="J1246" t="s">
        <v>64</v>
      </c>
      <c r="K1246" t="s">
        <v>27</v>
      </c>
      <c r="L1246">
        <v>205459.32</v>
      </c>
      <c r="M1246">
        <v>168914.93</v>
      </c>
      <c r="N1246" t="s">
        <v>192</v>
      </c>
      <c r="O1246">
        <v>6</v>
      </c>
      <c r="P1246">
        <v>126</v>
      </c>
      <c r="Q1246">
        <v>1</v>
      </c>
      <c r="R1246">
        <v>183</v>
      </c>
      <c r="S1246">
        <v>199.6</v>
      </c>
      <c r="T1246" t="s">
        <v>37</v>
      </c>
      <c r="U1246" s="3"/>
      <c r="V1246" s="3"/>
      <c r="W1246" s="3"/>
    </row>
    <row r="1247" spans="1:23">
      <c r="A1247" t="s">
        <v>2810</v>
      </c>
      <c r="B1247" t="s">
        <v>99</v>
      </c>
      <c r="C1247" t="s">
        <v>30</v>
      </c>
      <c r="D1247" t="s">
        <v>2811</v>
      </c>
      <c r="E1247" s="2">
        <v>45702</v>
      </c>
      <c r="F1247" s="2">
        <v>45719</v>
      </c>
      <c r="G1247" t="s">
        <v>89</v>
      </c>
      <c r="H1247" t="s">
        <v>106</v>
      </c>
      <c r="I1247" t="s">
        <v>79</v>
      </c>
      <c r="J1247" t="s">
        <v>186</v>
      </c>
      <c r="K1247" t="s">
        <v>55</v>
      </c>
      <c r="L1247">
        <v>174610.74</v>
      </c>
      <c r="M1247">
        <v>163026.06</v>
      </c>
      <c r="N1247" t="s">
        <v>56</v>
      </c>
      <c r="O1247">
        <v>17</v>
      </c>
      <c r="P1247" t="s">
        <v>2108</v>
      </c>
      <c r="Q1247">
        <v>3</v>
      </c>
      <c r="R1247">
        <v>124</v>
      </c>
      <c r="S1247">
        <v>254.7</v>
      </c>
      <c r="T1247" t="s">
        <v>37</v>
      </c>
      <c r="U1247" s="3"/>
      <c r="V1247" s="3"/>
      <c r="W1247" s="3"/>
    </row>
    <row r="1248" spans="1:23">
      <c r="A1248" t="s">
        <v>2812</v>
      </c>
      <c r="B1248" t="s">
        <v>768</v>
      </c>
      <c r="C1248" t="s">
        <v>40</v>
      </c>
      <c r="D1248" t="s">
        <v>2813</v>
      </c>
      <c r="E1248" t="s">
        <v>2814</v>
      </c>
      <c r="F1248" t="s">
        <v>2815</v>
      </c>
      <c r="G1248" t="s">
        <v>89</v>
      </c>
      <c r="H1248" t="s">
        <v>86</v>
      </c>
      <c r="I1248" t="s">
        <v>45</v>
      </c>
      <c r="J1248" t="s">
        <v>26</v>
      </c>
      <c r="K1248" t="s">
        <v>110</v>
      </c>
      <c r="L1248">
        <v>137254.67000000001</v>
      </c>
      <c r="M1248">
        <v>87495.46</v>
      </c>
      <c r="N1248" t="s">
        <v>73</v>
      </c>
      <c r="O1248">
        <v>2</v>
      </c>
      <c r="P1248">
        <v>106</v>
      </c>
      <c r="Q1248">
        <v>4</v>
      </c>
      <c r="R1248">
        <v>124</v>
      </c>
      <c r="S1248">
        <v>159.1</v>
      </c>
      <c r="T1248" t="s">
        <v>37</v>
      </c>
      <c r="U1248" s="3"/>
      <c r="V1248" s="3"/>
      <c r="W1248" s="3"/>
    </row>
    <row r="1249" spans="1:23">
      <c r="A1249" t="s">
        <v>2816</v>
      </c>
      <c r="B1249" t="s">
        <v>850</v>
      </c>
      <c r="C1249" t="s">
        <v>60</v>
      </c>
      <c r="D1249" t="s">
        <v>2817</v>
      </c>
      <c r="E1249" t="s">
        <v>2818</v>
      </c>
      <c r="F1249" t="s">
        <v>2819</v>
      </c>
      <c r="G1249" t="s">
        <v>70</v>
      </c>
      <c r="H1249" t="s">
        <v>63</v>
      </c>
      <c r="I1249" t="s">
        <v>53</v>
      </c>
      <c r="J1249" t="s">
        <v>179</v>
      </c>
      <c r="K1249" t="s">
        <v>55</v>
      </c>
      <c r="M1249">
        <v>3058.6</v>
      </c>
      <c r="N1249" t="s">
        <v>91</v>
      </c>
      <c r="O1249">
        <v>7</v>
      </c>
      <c r="P1249">
        <v>30</v>
      </c>
      <c r="Q1249">
        <v>5</v>
      </c>
      <c r="R1249" t="s">
        <v>2113</v>
      </c>
      <c r="S1249">
        <v>111.1</v>
      </c>
      <c r="T1249" t="s">
        <v>47</v>
      </c>
      <c r="U1249" s="3"/>
      <c r="V1249" s="3"/>
      <c r="W1249" s="3"/>
    </row>
    <row r="1250" spans="1:23">
      <c r="A1250" t="s">
        <v>2820</v>
      </c>
      <c r="B1250" t="s">
        <v>324</v>
      </c>
      <c r="D1250" s="2">
        <v>39645</v>
      </c>
      <c r="E1250" s="2">
        <v>45310</v>
      </c>
      <c r="F1250" s="2">
        <v>45312</v>
      </c>
      <c r="G1250" t="s">
        <v>62</v>
      </c>
      <c r="H1250" t="s">
        <v>118</v>
      </c>
      <c r="I1250" t="s">
        <v>119</v>
      </c>
      <c r="K1250" t="s">
        <v>55</v>
      </c>
      <c r="L1250">
        <v>6996.54</v>
      </c>
      <c r="M1250">
        <v>5102.6099999999997</v>
      </c>
      <c r="N1250" t="s">
        <v>35</v>
      </c>
      <c r="O1250">
        <v>2</v>
      </c>
      <c r="P1250">
        <v>202</v>
      </c>
      <c r="R1250">
        <v>152</v>
      </c>
      <c r="S1250">
        <v>190.8</v>
      </c>
      <c r="T1250" t="s">
        <v>37</v>
      </c>
      <c r="U1250" s="3"/>
      <c r="V1250" s="3"/>
      <c r="W1250" s="3"/>
    </row>
    <row r="1251" spans="1:23">
      <c r="A1251" t="s">
        <v>2821</v>
      </c>
      <c r="B1251" t="s">
        <v>2483</v>
      </c>
      <c r="C1251" t="s">
        <v>60</v>
      </c>
      <c r="D1251" s="2">
        <v>40326</v>
      </c>
      <c r="E1251" t="s">
        <v>2822</v>
      </c>
      <c r="F1251" s="2">
        <v>45576</v>
      </c>
      <c r="G1251" t="s">
        <v>94</v>
      </c>
      <c r="H1251" t="s">
        <v>278</v>
      </c>
      <c r="J1251" t="s">
        <v>26</v>
      </c>
      <c r="M1251">
        <v>75209.3</v>
      </c>
      <c r="N1251" t="s">
        <v>73</v>
      </c>
      <c r="O1251">
        <v>17</v>
      </c>
      <c r="P1251">
        <v>189</v>
      </c>
      <c r="R1251">
        <v>128</v>
      </c>
      <c r="S1251">
        <v>152.69999999999999</v>
      </c>
      <c r="T1251" t="s">
        <v>37</v>
      </c>
      <c r="U1251" s="3"/>
      <c r="V1251" s="3"/>
      <c r="W1251" s="3"/>
    </row>
    <row r="1252" spans="1:23">
      <c r="A1252" t="s">
        <v>2823</v>
      </c>
      <c r="B1252" t="s">
        <v>568</v>
      </c>
      <c r="C1252" t="s">
        <v>133</v>
      </c>
      <c r="D1252" s="2">
        <v>32620</v>
      </c>
      <c r="E1252" s="2">
        <v>45991</v>
      </c>
      <c r="F1252" s="2">
        <v>45992</v>
      </c>
      <c r="G1252" t="s">
        <v>89</v>
      </c>
      <c r="H1252" t="s">
        <v>153</v>
      </c>
      <c r="I1252" t="s">
        <v>45</v>
      </c>
      <c r="J1252" t="s">
        <v>71</v>
      </c>
      <c r="K1252" t="s">
        <v>55</v>
      </c>
      <c r="L1252">
        <v>157707.12</v>
      </c>
      <c r="M1252">
        <v>126671.67999999999</v>
      </c>
      <c r="N1252" t="s">
        <v>35</v>
      </c>
      <c r="O1252">
        <v>1</v>
      </c>
      <c r="P1252" t="s">
        <v>2824</v>
      </c>
      <c r="Q1252">
        <v>4</v>
      </c>
      <c r="R1252">
        <v>111</v>
      </c>
      <c r="S1252">
        <v>91.5</v>
      </c>
      <c r="U1252" s="3"/>
      <c r="V1252" s="3"/>
      <c r="W1252" s="3"/>
    </row>
    <row r="1253" spans="1:23">
      <c r="A1253" t="s">
        <v>2825</v>
      </c>
      <c r="B1253" t="s">
        <v>1104</v>
      </c>
      <c r="C1253" t="s">
        <v>60</v>
      </c>
      <c r="D1253" s="2">
        <v>26744</v>
      </c>
      <c r="E1253" t="s">
        <v>2826</v>
      </c>
      <c r="F1253" s="2">
        <v>45020</v>
      </c>
      <c r="G1253" t="s">
        <v>161</v>
      </c>
      <c r="H1253" t="s">
        <v>52</v>
      </c>
      <c r="I1253" t="s">
        <v>79</v>
      </c>
      <c r="J1253" t="s">
        <v>34</v>
      </c>
      <c r="K1253" t="s">
        <v>191</v>
      </c>
      <c r="L1253">
        <v>142089.88</v>
      </c>
      <c r="M1253">
        <v>95055.86</v>
      </c>
      <c r="N1253" t="s">
        <v>35</v>
      </c>
      <c r="O1253">
        <v>6</v>
      </c>
      <c r="P1253">
        <v>140</v>
      </c>
      <c r="Q1253">
        <v>4</v>
      </c>
      <c r="R1253">
        <v>111</v>
      </c>
      <c r="S1253">
        <v>239.2</v>
      </c>
      <c r="T1253" t="s">
        <v>37</v>
      </c>
      <c r="U1253" s="3"/>
      <c r="V1253" s="3"/>
      <c r="W1253" s="3"/>
    </row>
    <row r="1254" spans="1:23">
      <c r="A1254" t="s">
        <v>2827</v>
      </c>
      <c r="B1254" t="s">
        <v>1099</v>
      </c>
      <c r="C1254" t="s">
        <v>133</v>
      </c>
      <c r="D1254" s="2">
        <v>22436</v>
      </c>
      <c r="E1254" s="2">
        <v>45609</v>
      </c>
      <c r="F1254" s="2">
        <v>45616</v>
      </c>
      <c r="H1254" t="s">
        <v>44</v>
      </c>
      <c r="I1254" t="s">
        <v>53</v>
      </c>
      <c r="J1254" t="s">
        <v>34</v>
      </c>
      <c r="K1254" t="s">
        <v>55</v>
      </c>
      <c r="L1254">
        <v>111999.81</v>
      </c>
      <c r="M1254">
        <v>84133.1</v>
      </c>
      <c r="N1254" t="s">
        <v>91</v>
      </c>
      <c r="O1254">
        <v>7</v>
      </c>
      <c r="P1254">
        <v>15</v>
      </c>
      <c r="Q1254">
        <v>5</v>
      </c>
      <c r="R1254" t="s">
        <v>669</v>
      </c>
      <c r="S1254">
        <v>161.80000000000001</v>
      </c>
      <c r="T1254" t="s">
        <v>127</v>
      </c>
      <c r="U1254" s="3"/>
      <c r="V1254" s="3"/>
      <c r="W1254" s="3"/>
    </row>
    <row r="1255" spans="1:23">
      <c r="A1255" t="s">
        <v>2828</v>
      </c>
      <c r="B1255" t="s">
        <v>1182</v>
      </c>
      <c r="C1255" t="s">
        <v>50</v>
      </c>
      <c r="D1255" s="2">
        <v>18515</v>
      </c>
      <c r="E1255" s="2">
        <v>45954</v>
      </c>
      <c r="F1255" s="2">
        <v>45965</v>
      </c>
      <c r="G1255" t="s">
        <v>109</v>
      </c>
      <c r="H1255" t="s">
        <v>134</v>
      </c>
      <c r="J1255" t="s">
        <v>34</v>
      </c>
      <c r="K1255" t="s">
        <v>27</v>
      </c>
      <c r="L1255">
        <v>17915.47</v>
      </c>
      <c r="M1255">
        <v>14488.23</v>
      </c>
      <c r="N1255" t="s">
        <v>35</v>
      </c>
      <c r="O1255">
        <v>11</v>
      </c>
      <c r="P1255">
        <v>116</v>
      </c>
      <c r="R1255">
        <v>168</v>
      </c>
      <c r="S1255">
        <v>163.5</v>
      </c>
      <c r="U1255" s="3"/>
      <c r="V1255" s="3"/>
      <c r="W1255" s="3"/>
    </row>
    <row r="1256" spans="1:23">
      <c r="A1256" t="s">
        <v>2829</v>
      </c>
      <c r="B1256" t="s">
        <v>147</v>
      </c>
      <c r="C1256" t="s">
        <v>206</v>
      </c>
      <c r="D1256" s="2">
        <v>39156</v>
      </c>
      <c r="E1256" t="s">
        <v>2830</v>
      </c>
      <c r="F1256" s="2">
        <v>45284</v>
      </c>
      <c r="G1256" t="s">
        <v>77</v>
      </c>
      <c r="I1256" t="s">
        <v>53</v>
      </c>
      <c r="J1256" t="s">
        <v>64</v>
      </c>
      <c r="K1256" t="s">
        <v>120</v>
      </c>
      <c r="L1256">
        <v>48881.06</v>
      </c>
      <c r="M1256">
        <v>35944.269999999997</v>
      </c>
      <c r="N1256" t="s">
        <v>73</v>
      </c>
      <c r="O1256">
        <v>15</v>
      </c>
      <c r="P1256">
        <v>181</v>
      </c>
      <c r="R1256">
        <v>120</v>
      </c>
      <c r="S1256">
        <v>94.8</v>
      </c>
      <c r="T1256" t="s">
        <v>65</v>
      </c>
      <c r="U1256" s="3"/>
      <c r="V1256" s="3"/>
      <c r="W1256" s="3"/>
    </row>
    <row r="1257" spans="1:23">
      <c r="A1257" t="s">
        <v>2831</v>
      </c>
      <c r="B1257" t="s">
        <v>1364</v>
      </c>
      <c r="C1257" t="s">
        <v>133</v>
      </c>
      <c r="D1257" s="2">
        <v>22403</v>
      </c>
      <c r="E1257" s="2">
        <v>45748</v>
      </c>
      <c r="G1257" t="s">
        <v>141</v>
      </c>
      <c r="H1257" t="s">
        <v>32</v>
      </c>
      <c r="I1257" t="s">
        <v>96</v>
      </c>
      <c r="J1257" t="s">
        <v>34</v>
      </c>
      <c r="K1257" t="s">
        <v>55</v>
      </c>
      <c r="L1257">
        <v>200988.07</v>
      </c>
      <c r="M1257">
        <v>124134.74</v>
      </c>
      <c r="N1257" t="s">
        <v>192</v>
      </c>
      <c r="O1257">
        <v>11</v>
      </c>
      <c r="P1257">
        <v>17</v>
      </c>
      <c r="Q1257">
        <v>4</v>
      </c>
      <c r="R1257">
        <v>124</v>
      </c>
      <c r="S1257">
        <v>172.7</v>
      </c>
      <c r="T1257" t="s">
        <v>37</v>
      </c>
      <c r="U1257" s="3"/>
      <c r="V1257" s="3"/>
      <c r="W1257" s="3"/>
    </row>
    <row r="1258" spans="1:23">
      <c r="A1258" t="s">
        <v>2832</v>
      </c>
      <c r="B1258" t="s">
        <v>1727</v>
      </c>
      <c r="C1258" t="s">
        <v>22</v>
      </c>
      <c r="D1258" s="2">
        <v>30989</v>
      </c>
      <c r="E1258" s="2">
        <v>45431</v>
      </c>
      <c r="F1258" t="s">
        <v>2833</v>
      </c>
      <c r="G1258" t="s">
        <v>89</v>
      </c>
      <c r="H1258" t="s">
        <v>52</v>
      </c>
      <c r="I1258" t="s">
        <v>25</v>
      </c>
      <c r="J1258" t="s">
        <v>26</v>
      </c>
      <c r="L1258" t="s">
        <v>2834</v>
      </c>
      <c r="M1258">
        <v>25739.02</v>
      </c>
      <c r="O1258">
        <v>18</v>
      </c>
      <c r="P1258">
        <v>90</v>
      </c>
      <c r="Q1258">
        <v>4</v>
      </c>
      <c r="R1258">
        <v>153</v>
      </c>
      <c r="T1258" t="s">
        <v>37</v>
      </c>
      <c r="U1258" s="3"/>
      <c r="V1258" s="3"/>
      <c r="W1258" s="3"/>
    </row>
    <row r="1259" spans="1:23">
      <c r="A1259" t="s">
        <v>2835</v>
      </c>
      <c r="B1259" t="s">
        <v>511</v>
      </c>
      <c r="C1259" t="s">
        <v>30</v>
      </c>
      <c r="D1259" s="2">
        <v>25357</v>
      </c>
      <c r="E1259" s="2">
        <v>45916</v>
      </c>
      <c r="F1259" s="2">
        <v>45931</v>
      </c>
      <c r="G1259" t="s">
        <v>152</v>
      </c>
      <c r="H1259" t="s">
        <v>124</v>
      </c>
      <c r="I1259" t="s">
        <v>53</v>
      </c>
      <c r="J1259" t="s">
        <v>80</v>
      </c>
      <c r="L1259">
        <v>139891.91</v>
      </c>
      <c r="M1259">
        <v>127468.19</v>
      </c>
      <c r="O1259">
        <v>15</v>
      </c>
      <c r="P1259">
        <v>94</v>
      </c>
      <c r="Q1259">
        <v>4</v>
      </c>
      <c r="R1259">
        <v>129</v>
      </c>
      <c r="S1259">
        <v>155.9</v>
      </c>
      <c r="T1259" t="s">
        <v>47</v>
      </c>
      <c r="U1259" s="3"/>
      <c r="V1259" s="3"/>
      <c r="W1259" s="3"/>
    </row>
    <row r="1260" spans="1:23">
      <c r="A1260" t="s">
        <v>2836</v>
      </c>
      <c r="B1260" t="s">
        <v>1700</v>
      </c>
      <c r="C1260" t="s">
        <v>84</v>
      </c>
      <c r="D1260" s="2">
        <v>29323</v>
      </c>
      <c r="E1260" s="2">
        <v>45955</v>
      </c>
      <c r="F1260" s="2">
        <v>45971</v>
      </c>
      <c r="G1260" t="s">
        <v>77</v>
      </c>
      <c r="H1260" t="s">
        <v>90</v>
      </c>
      <c r="I1260" t="s">
        <v>45</v>
      </c>
      <c r="J1260" t="s">
        <v>80</v>
      </c>
      <c r="K1260" t="s">
        <v>27</v>
      </c>
      <c r="L1260">
        <v>158083.59</v>
      </c>
      <c r="M1260">
        <v>143883.92000000001</v>
      </c>
      <c r="N1260" t="s">
        <v>35</v>
      </c>
      <c r="O1260">
        <v>16</v>
      </c>
      <c r="P1260">
        <v>233</v>
      </c>
      <c r="Q1260">
        <v>1</v>
      </c>
      <c r="R1260">
        <v>110</v>
      </c>
      <c r="S1260">
        <v>203</v>
      </c>
      <c r="T1260" t="s">
        <v>65</v>
      </c>
      <c r="U1260" s="3"/>
      <c r="V1260" s="3"/>
      <c r="W1260" s="3"/>
    </row>
    <row r="1261" spans="1:23">
      <c r="A1261" t="s">
        <v>2837</v>
      </c>
      <c r="B1261" t="s">
        <v>845</v>
      </c>
      <c r="C1261" t="s">
        <v>106</v>
      </c>
      <c r="D1261" s="2">
        <v>31148</v>
      </c>
      <c r="E1261" s="2">
        <v>45731</v>
      </c>
      <c r="F1261" t="s">
        <v>2838</v>
      </c>
      <c r="G1261" t="s">
        <v>984</v>
      </c>
      <c r="H1261" t="s">
        <v>118</v>
      </c>
      <c r="I1261" t="s">
        <v>33</v>
      </c>
      <c r="J1261" t="s">
        <v>64</v>
      </c>
      <c r="K1261" t="s">
        <v>72</v>
      </c>
      <c r="L1261">
        <v>183928.07</v>
      </c>
      <c r="M1261">
        <v>156988.37</v>
      </c>
      <c r="N1261" t="s">
        <v>91</v>
      </c>
      <c r="O1261">
        <v>12</v>
      </c>
      <c r="P1261">
        <v>108</v>
      </c>
      <c r="Q1261">
        <v>3</v>
      </c>
      <c r="R1261">
        <v>190</v>
      </c>
      <c r="S1261">
        <v>254.5</v>
      </c>
      <c r="T1261" t="s">
        <v>37</v>
      </c>
      <c r="U1261" s="3"/>
      <c r="V1261" s="3"/>
      <c r="W1261" s="3"/>
    </row>
    <row r="1262" spans="1:23">
      <c r="A1262" t="s">
        <v>2839</v>
      </c>
      <c r="B1262" t="s">
        <v>756</v>
      </c>
      <c r="C1262" t="s">
        <v>100</v>
      </c>
      <c r="D1262" t="s">
        <v>2840</v>
      </c>
      <c r="E1262" s="2">
        <v>45463</v>
      </c>
      <c r="F1262" t="s">
        <v>2841</v>
      </c>
      <c r="G1262" t="s">
        <v>43</v>
      </c>
      <c r="H1262" t="s">
        <v>153</v>
      </c>
      <c r="I1262" t="s">
        <v>45</v>
      </c>
      <c r="J1262" t="s">
        <v>71</v>
      </c>
      <c r="K1262" t="s">
        <v>110</v>
      </c>
      <c r="L1262">
        <v>220854.11</v>
      </c>
      <c r="M1262">
        <v>166328.72</v>
      </c>
      <c r="N1262" t="s">
        <v>192</v>
      </c>
      <c r="O1262">
        <v>5</v>
      </c>
      <c r="P1262">
        <v>228</v>
      </c>
      <c r="Q1262">
        <v>4</v>
      </c>
      <c r="R1262">
        <v>117</v>
      </c>
      <c r="S1262">
        <v>146.19999999999999</v>
      </c>
      <c r="T1262" t="s">
        <v>37</v>
      </c>
      <c r="U1262" s="3"/>
      <c r="V1262" s="3"/>
      <c r="W1262" s="3"/>
    </row>
    <row r="1263" spans="1:23">
      <c r="A1263" t="s">
        <v>2842</v>
      </c>
      <c r="B1263" t="s">
        <v>548</v>
      </c>
      <c r="C1263" t="s">
        <v>22</v>
      </c>
      <c r="D1263" t="s">
        <v>2843</v>
      </c>
      <c r="E1263" s="2">
        <v>45099</v>
      </c>
      <c r="F1263" s="2">
        <v>45102</v>
      </c>
      <c r="G1263" t="s">
        <v>105</v>
      </c>
      <c r="H1263" t="s">
        <v>44</v>
      </c>
      <c r="I1263" t="s">
        <v>96</v>
      </c>
      <c r="J1263" t="s">
        <v>71</v>
      </c>
      <c r="K1263" t="s">
        <v>110</v>
      </c>
      <c r="L1263">
        <v>247927.61</v>
      </c>
      <c r="M1263">
        <v>209105.96</v>
      </c>
      <c r="N1263" t="s">
        <v>794</v>
      </c>
      <c r="O1263" t="s">
        <v>713</v>
      </c>
      <c r="P1263">
        <v>78</v>
      </c>
      <c r="Q1263">
        <v>3</v>
      </c>
      <c r="R1263" t="s">
        <v>1291</v>
      </c>
      <c r="S1263">
        <v>224.5</v>
      </c>
      <c r="U1263" s="3"/>
      <c r="V1263" s="3"/>
      <c r="W1263" s="3"/>
    </row>
    <row r="1264" spans="1:23">
      <c r="A1264" t="s">
        <v>2844</v>
      </c>
      <c r="B1264" t="s">
        <v>173</v>
      </c>
      <c r="C1264" t="s">
        <v>206</v>
      </c>
      <c r="D1264" s="2">
        <v>33517</v>
      </c>
      <c r="E1264" s="2">
        <v>45442</v>
      </c>
      <c r="F1264" s="2">
        <v>45455</v>
      </c>
      <c r="G1264" t="s">
        <v>117</v>
      </c>
      <c r="H1264" t="s">
        <v>118</v>
      </c>
      <c r="J1264" t="s">
        <v>97</v>
      </c>
      <c r="K1264" t="s">
        <v>72</v>
      </c>
      <c r="L1264">
        <v>65163.55</v>
      </c>
      <c r="M1264">
        <v>42167.06</v>
      </c>
      <c r="N1264" t="s">
        <v>73</v>
      </c>
      <c r="O1264">
        <v>13</v>
      </c>
      <c r="P1264">
        <v>59</v>
      </c>
      <c r="R1264">
        <v>153</v>
      </c>
      <c r="S1264">
        <v>141.19999999999999</v>
      </c>
      <c r="U1264" s="3"/>
      <c r="V1264" s="3"/>
      <c r="W1264" s="3"/>
    </row>
    <row r="1265" spans="1:23">
      <c r="A1265" t="s">
        <v>2845</v>
      </c>
      <c r="B1265" t="s">
        <v>992</v>
      </c>
      <c r="D1265" t="s">
        <v>2846</v>
      </c>
      <c r="E1265" s="2">
        <v>45026</v>
      </c>
      <c r="F1265" s="2">
        <v>45037</v>
      </c>
      <c r="H1265" t="s">
        <v>95</v>
      </c>
      <c r="I1265" t="s">
        <v>53</v>
      </c>
      <c r="J1265" t="s">
        <v>71</v>
      </c>
      <c r="K1265" t="s">
        <v>27</v>
      </c>
      <c r="L1265">
        <v>82759.759999999995</v>
      </c>
      <c r="M1265">
        <v>82701.22</v>
      </c>
      <c r="N1265" t="s">
        <v>56</v>
      </c>
      <c r="O1265">
        <v>11</v>
      </c>
      <c r="P1265">
        <v>11</v>
      </c>
      <c r="R1265">
        <v>101</v>
      </c>
      <c r="S1265">
        <v>96.7</v>
      </c>
      <c r="T1265" t="s">
        <v>37</v>
      </c>
      <c r="U1265" s="3"/>
      <c r="V1265" s="3"/>
      <c r="W1265" s="3"/>
    </row>
    <row r="1266" spans="1:23">
      <c r="A1266" t="s">
        <v>2847</v>
      </c>
      <c r="B1266" t="s">
        <v>2447</v>
      </c>
      <c r="C1266" t="s">
        <v>30</v>
      </c>
      <c r="D1266" t="s">
        <v>2848</v>
      </c>
      <c r="E1266" s="2">
        <v>45724</v>
      </c>
      <c r="F1266" s="2">
        <v>45728</v>
      </c>
      <c r="G1266" t="s">
        <v>43</v>
      </c>
      <c r="H1266" t="s">
        <v>78</v>
      </c>
      <c r="I1266" t="s">
        <v>79</v>
      </c>
      <c r="J1266" t="s">
        <v>80</v>
      </c>
      <c r="K1266" t="s">
        <v>55</v>
      </c>
      <c r="L1266">
        <v>188113</v>
      </c>
      <c r="M1266">
        <v>165942.15</v>
      </c>
      <c r="N1266" t="s">
        <v>35</v>
      </c>
      <c r="O1266">
        <v>4</v>
      </c>
      <c r="P1266">
        <v>230</v>
      </c>
      <c r="Q1266">
        <v>3</v>
      </c>
      <c r="R1266">
        <v>98</v>
      </c>
      <c r="S1266">
        <v>168.6</v>
      </c>
      <c r="T1266" t="s">
        <v>37</v>
      </c>
      <c r="U1266" s="3"/>
      <c r="V1266" s="3"/>
      <c r="W1266" s="3"/>
    </row>
    <row r="1267" spans="1:23">
      <c r="A1267" t="s">
        <v>2849</v>
      </c>
      <c r="B1267" t="s">
        <v>334</v>
      </c>
      <c r="C1267" t="s">
        <v>100</v>
      </c>
      <c r="D1267" t="s">
        <v>2850</v>
      </c>
      <c r="E1267" s="2">
        <v>44930</v>
      </c>
      <c r="F1267" s="2">
        <v>44939</v>
      </c>
      <c r="G1267" t="s">
        <v>62</v>
      </c>
      <c r="H1267" t="s">
        <v>32</v>
      </c>
      <c r="I1267" t="s">
        <v>53</v>
      </c>
      <c r="J1267" t="s">
        <v>186</v>
      </c>
      <c r="K1267" t="s">
        <v>55</v>
      </c>
      <c r="L1267">
        <v>232268.08</v>
      </c>
      <c r="M1267">
        <v>180264.66</v>
      </c>
      <c r="N1267" t="s">
        <v>192</v>
      </c>
      <c r="O1267">
        <v>9</v>
      </c>
      <c r="P1267">
        <v>207</v>
      </c>
      <c r="R1267">
        <v>119</v>
      </c>
      <c r="S1267">
        <v>191.4</v>
      </c>
      <c r="T1267" t="s">
        <v>37</v>
      </c>
      <c r="U1267" s="3"/>
      <c r="V1267" s="3"/>
      <c r="W1267" s="3"/>
    </row>
    <row r="1268" spans="1:23">
      <c r="A1268" t="s">
        <v>2851</v>
      </c>
      <c r="B1268" t="s">
        <v>522</v>
      </c>
      <c r="D1268" s="2">
        <v>37585</v>
      </c>
      <c r="E1268" t="s">
        <v>235</v>
      </c>
      <c r="F1268" s="2">
        <v>45871</v>
      </c>
      <c r="G1268" t="s">
        <v>62</v>
      </c>
      <c r="H1268" t="s">
        <v>24</v>
      </c>
      <c r="I1268" t="s">
        <v>25</v>
      </c>
      <c r="J1268" t="s">
        <v>26</v>
      </c>
      <c r="L1268">
        <v>73264.600000000006</v>
      </c>
      <c r="M1268">
        <v>69707.179999999993</v>
      </c>
      <c r="N1268" t="s">
        <v>91</v>
      </c>
      <c r="O1268">
        <v>17</v>
      </c>
      <c r="P1268" t="s">
        <v>1883</v>
      </c>
      <c r="Q1268">
        <v>5</v>
      </c>
      <c r="R1268">
        <v>140</v>
      </c>
      <c r="S1268">
        <v>72.599999999999994</v>
      </c>
      <c r="T1268" t="s">
        <v>37</v>
      </c>
      <c r="U1268" s="3"/>
      <c r="V1268" s="3"/>
      <c r="W1268" s="3"/>
    </row>
    <row r="1269" spans="1:23">
      <c r="A1269" t="s">
        <v>2852</v>
      </c>
      <c r="B1269" t="s">
        <v>622</v>
      </c>
      <c r="D1269" s="2">
        <v>34981</v>
      </c>
      <c r="E1269" s="2">
        <v>45862</v>
      </c>
      <c r="F1269" s="2">
        <v>45873</v>
      </c>
      <c r="G1269" t="s">
        <v>31</v>
      </c>
      <c r="H1269" t="s">
        <v>134</v>
      </c>
      <c r="I1269" t="s">
        <v>45</v>
      </c>
      <c r="J1269" t="s">
        <v>34</v>
      </c>
      <c r="L1269" t="s">
        <v>2853</v>
      </c>
      <c r="M1269">
        <v>135072.42000000001</v>
      </c>
      <c r="O1269">
        <v>11</v>
      </c>
      <c r="P1269">
        <v>156</v>
      </c>
      <c r="Q1269">
        <v>4</v>
      </c>
      <c r="R1269">
        <v>93</v>
      </c>
      <c r="S1269">
        <v>134.6</v>
      </c>
      <c r="T1269" t="s">
        <v>37</v>
      </c>
      <c r="U1269" s="3"/>
      <c r="V1269" s="3"/>
      <c r="W1269" s="3"/>
    </row>
    <row r="1270" spans="1:23">
      <c r="A1270" t="s">
        <v>2854</v>
      </c>
      <c r="B1270" t="s">
        <v>392</v>
      </c>
      <c r="C1270" t="s">
        <v>100</v>
      </c>
      <c r="D1270" s="2">
        <v>32287</v>
      </c>
      <c r="E1270" s="2">
        <v>45138</v>
      </c>
      <c r="G1270" t="s">
        <v>109</v>
      </c>
      <c r="I1270" t="s">
        <v>45</v>
      </c>
      <c r="K1270" t="s">
        <v>55</v>
      </c>
      <c r="L1270" t="s">
        <v>2855</v>
      </c>
      <c r="M1270">
        <v>13061.06</v>
      </c>
      <c r="N1270" t="s">
        <v>73</v>
      </c>
      <c r="O1270">
        <v>11</v>
      </c>
      <c r="P1270">
        <v>211</v>
      </c>
      <c r="Q1270">
        <v>4</v>
      </c>
      <c r="R1270">
        <v>184</v>
      </c>
      <c r="S1270">
        <v>74.8</v>
      </c>
      <c r="T1270" t="s">
        <v>47</v>
      </c>
      <c r="U1270" s="3"/>
      <c r="V1270" s="3"/>
      <c r="W1270" s="3"/>
    </row>
    <row r="1271" spans="1:23">
      <c r="A1271" t="s">
        <v>2856</v>
      </c>
      <c r="B1271" t="s">
        <v>1342</v>
      </c>
      <c r="C1271" t="s">
        <v>206</v>
      </c>
      <c r="D1271" s="2">
        <v>25625</v>
      </c>
      <c r="E1271" s="2">
        <v>45278</v>
      </c>
      <c r="G1271" t="s">
        <v>89</v>
      </c>
      <c r="H1271" t="s">
        <v>44</v>
      </c>
      <c r="I1271" t="s">
        <v>53</v>
      </c>
      <c r="J1271" t="s">
        <v>34</v>
      </c>
      <c r="K1271" t="s">
        <v>72</v>
      </c>
      <c r="L1271">
        <v>43385.66</v>
      </c>
      <c r="M1271">
        <v>35311.89</v>
      </c>
      <c r="N1271" t="s">
        <v>56</v>
      </c>
      <c r="O1271">
        <v>3</v>
      </c>
      <c r="P1271">
        <v>219</v>
      </c>
      <c r="Q1271">
        <v>5</v>
      </c>
      <c r="R1271">
        <v>103</v>
      </c>
      <c r="S1271">
        <v>170</v>
      </c>
      <c r="T1271" t="s">
        <v>47</v>
      </c>
      <c r="U1271" s="3"/>
      <c r="V1271" s="3"/>
      <c r="W1271" s="3"/>
    </row>
    <row r="1272" spans="1:23">
      <c r="A1272" t="s">
        <v>2857</v>
      </c>
      <c r="B1272" t="s">
        <v>652</v>
      </c>
      <c r="C1272" t="s">
        <v>206</v>
      </c>
      <c r="D1272" s="2">
        <v>36148</v>
      </c>
      <c r="E1272" s="2">
        <v>45604</v>
      </c>
      <c r="F1272" t="s">
        <v>2858</v>
      </c>
      <c r="G1272" t="s">
        <v>31</v>
      </c>
      <c r="H1272" t="s">
        <v>134</v>
      </c>
      <c r="I1272" t="s">
        <v>119</v>
      </c>
      <c r="J1272" t="s">
        <v>46</v>
      </c>
      <c r="K1272" t="s">
        <v>110</v>
      </c>
      <c r="L1272">
        <v>116039.98</v>
      </c>
      <c r="M1272">
        <v>98141.07</v>
      </c>
      <c r="N1272" t="s">
        <v>73</v>
      </c>
      <c r="O1272">
        <v>2</v>
      </c>
      <c r="P1272">
        <v>225</v>
      </c>
      <c r="Q1272">
        <v>5</v>
      </c>
      <c r="R1272">
        <v>161</v>
      </c>
      <c r="S1272">
        <v>224.4</v>
      </c>
      <c r="U1272" s="3"/>
      <c r="V1272" s="3"/>
      <c r="W1272" s="3"/>
    </row>
    <row r="1273" spans="1:23">
      <c r="A1273" t="s">
        <v>2859</v>
      </c>
      <c r="B1273" t="s">
        <v>1167</v>
      </c>
      <c r="C1273" t="s">
        <v>206</v>
      </c>
      <c r="D1273" s="2">
        <v>37067</v>
      </c>
      <c r="E1273" s="2">
        <v>45274</v>
      </c>
      <c r="F1273" s="2">
        <v>45280</v>
      </c>
      <c r="G1273" t="s">
        <v>117</v>
      </c>
      <c r="H1273" t="s">
        <v>278</v>
      </c>
      <c r="I1273" t="s">
        <v>53</v>
      </c>
      <c r="L1273">
        <v>70253.38</v>
      </c>
      <c r="M1273">
        <v>55429.93</v>
      </c>
      <c r="N1273" t="s">
        <v>192</v>
      </c>
      <c r="O1273">
        <v>6</v>
      </c>
      <c r="P1273">
        <v>114</v>
      </c>
      <c r="Q1273">
        <v>5</v>
      </c>
      <c r="R1273" t="s">
        <v>1644</v>
      </c>
      <c r="S1273">
        <v>109.7</v>
      </c>
      <c r="T1273" t="s">
        <v>37</v>
      </c>
      <c r="U1273" s="3"/>
      <c r="V1273" s="3"/>
      <c r="W1273" s="3"/>
    </row>
    <row r="1274" spans="1:23">
      <c r="A1274" t="s">
        <v>2860</v>
      </c>
      <c r="B1274" t="s">
        <v>584</v>
      </c>
      <c r="C1274" t="s">
        <v>133</v>
      </c>
      <c r="D1274" s="2">
        <v>31192</v>
      </c>
      <c r="E1274" s="2">
        <v>45110</v>
      </c>
      <c r="F1274" s="2">
        <v>45121</v>
      </c>
      <c r="G1274" t="s">
        <v>161</v>
      </c>
      <c r="H1274" t="s">
        <v>124</v>
      </c>
      <c r="I1274" t="s">
        <v>96</v>
      </c>
      <c r="J1274" t="s">
        <v>54</v>
      </c>
      <c r="K1274" t="s">
        <v>120</v>
      </c>
      <c r="L1274">
        <v>105175.54</v>
      </c>
      <c r="M1274">
        <v>71158.52</v>
      </c>
      <c r="N1274" t="s">
        <v>73</v>
      </c>
      <c r="O1274">
        <v>11</v>
      </c>
      <c r="P1274">
        <v>232</v>
      </c>
      <c r="Q1274">
        <v>5</v>
      </c>
      <c r="R1274">
        <v>118</v>
      </c>
      <c r="S1274">
        <v>229.1</v>
      </c>
      <c r="T1274" t="s">
        <v>37</v>
      </c>
      <c r="U1274" s="3"/>
      <c r="V1274" s="3"/>
      <c r="W1274" s="3"/>
    </row>
    <row r="1275" spans="1:23">
      <c r="A1275" t="s">
        <v>2861</v>
      </c>
      <c r="B1275" t="s">
        <v>334</v>
      </c>
      <c r="C1275" t="s">
        <v>30</v>
      </c>
      <c r="D1275" s="2">
        <v>35490</v>
      </c>
      <c r="E1275" t="s">
        <v>2744</v>
      </c>
      <c r="F1275" s="2">
        <v>45484</v>
      </c>
      <c r="G1275" t="s">
        <v>62</v>
      </c>
      <c r="H1275" t="s">
        <v>24</v>
      </c>
      <c r="I1275" t="s">
        <v>79</v>
      </c>
      <c r="J1275" t="s">
        <v>80</v>
      </c>
      <c r="K1275" t="s">
        <v>110</v>
      </c>
      <c r="L1275">
        <v>53112.05</v>
      </c>
      <c r="M1275">
        <v>36473.4</v>
      </c>
      <c r="N1275" t="s">
        <v>192</v>
      </c>
      <c r="O1275" t="s">
        <v>507</v>
      </c>
      <c r="P1275">
        <v>139</v>
      </c>
      <c r="R1275">
        <v>157</v>
      </c>
      <c r="S1275">
        <v>164.2</v>
      </c>
      <c r="T1275" t="s">
        <v>37</v>
      </c>
      <c r="U1275" s="3"/>
      <c r="V1275" s="3"/>
      <c r="W1275" s="3"/>
    </row>
    <row r="1276" spans="1:23">
      <c r="A1276" t="s">
        <v>2862</v>
      </c>
      <c r="B1276" t="s">
        <v>1061</v>
      </c>
      <c r="C1276" t="s">
        <v>206</v>
      </c>
      <c r="D1276" t="s">
        <v>2863</v>
      </c>
      <c r="E1276" t="s">
        <v>2864</v>
      </c>
      <c r="F1276" s="2">
        <v>45436</v>
      </c>
      <c r="G1276" t="s">
        <v>31</v>
      </c>
      <c r="H1276" t="s">
        <v>78</v>
      </c>
      <c r="I1276" t="s">
        <v>45</v>
      </c>
      <c r="J1276" t="s">
        <v>179</v>
      </c>
      <c r="K1276" t="s">
        <v>55</v>
      </c>
      <c r="L1276">
        <v>127389.34</v>
      </c>
      <c r="M1276">
        <v>100327.08</v>
      </c>
      <c r="N1276" t="s">
        <v>409</v>
      </c>
      <c r="O1276">
        <v>7</v>
      </c>
      <c r="P1276">
        <v>27</v>
      </c>
      <c r="R1276">
        <v>173</v>
      </c>
      <c r="S1276">
        <v>127.3</v>
      </c>
      <c r="T1276" t="s">
        <v>37</v>
      </c>
      <c r="U1276" s="3"/>
      <c r="V1276" s="3"/>
      <c r="W1276" s="3"/>
    </row>
    <row r="1277" spans="1:23">
      <c r="A1277" t="s">
        <v>2865</v>
      </c>
      <c r="B1277" t="s">
        <v>1839</v>
      </c>
      <c r="D1277" t="s">
        <v>2866</v>
      </c>
      <c r="E1277" s="2">
        <v>45773</v>
      </c>
      <c r="F1277" s="2">
        <v>45789</v>
      </c>
      <c r="G1277" t="s">
        <v>70</v>
      </c>
      <c r="H1277" t="s">
        <v>32</v>
      </c>
      <c r="J1277" t="s">
        <v>80</v>
      </c>
      <c r="K1277" t="s">
        <v>55</v>
      </c>
      <c r="L1277">
        <v>213694.64</v>
      </c>
      <c r="M1277">
        <v>198644.85</v>
      </c>
      <c r="N1277" t="s">
        <v>73</v>
      </c>
      <c r="O1277">
        <v>16</v>
      </c>
      <c r="P1277">
        <v>121</v>
      </c>
      <c r="Q1277">
        <v>4</v>
      </c>
      <c r="R1277">
        <v>129</v>
      </c>
      <c r="S1277">
        <v>137.80000000000001</v>
      </c>
      <c r="T1277" t="s">
        <v>65</v>
      </c>
      <c r="U1277" s="3"/>
      <c r="V1277" s="3"/>
      <c r="W1277" s="3"/>
    </row>
    <row r="1278" spans="1:23">
      <c r="A1278" t="s">
        <v>2867</v>
      </c>
      <c r="B1278" t="s">
        <v>328</v>
      </c>
      <c r="C1278" t="s">
        <v>133</v>
      </c>
      <c r="D1278" s="2">
        <v>21386</v>
      </c>
      <c r="E1278" t="s">
        <v>1072</v>
      </c>
      <c r="F1278" s="2">
        <v>45356</v>
      </c>
      <c r="G1278" t="s">
        <v>94</v>
      </c>
      <c r="I1278" t="s">
        <v>25</v>
      </c>
      <c r="J1278" t="s">
        <v>64</v>
      </c>
      <c r="K1278" t="s">
        <v>72</v>
      </c>
      <c r="L1278">
        <v>155521.54</v>
      </c>
      <c r="M1278">
        <v>117829.68</v>
      </c>
      <c r="N1278" t="s">
        <v>91</v>
      </c>
      <c r="O1278">
        <v>11</v>
      </c>
      <c r="Q1278">
        <v>4</v>
      </c>
      <c r="R1278">
        <v>173</v>
      </c>
      <c r="T1278" t="s">
        <v>37</v>
      </c>
      <c r="U1278" s="3"/>
      <c r="V1278" s="3"/>
      <c r="W1278" s="3"/>
    </row>
    <row r="1279" spans="1:23">
      <c r="A1279" t="s">
        <v>2868</v>
      </c>
      <c r="B1279" t="s">
        <v>833</v>
      </c>
      <c r="C1279" t="s">
        <v>60</v>
      </c>
      <c r="D1279" s="2">
        <v>37073</v>
      </c>
      <c r="E1279" s="2">
        <v>45716</v>
      </c>
      <c r="F1279" s="2">
        <v>45731</v>
      </c>
      <c r="G1279" t="s">
        <v>161</v>
      </c>
      <c r="H1279" t="s">
        <v>63</v>
      </c>
      <c r="I1279" t="s">
        <v>33</v>
      </c>
      <c r="J1279" t="s">
        <v>71</v>
      </c>
      <c r="K1279" t="s">
        <v>161</v>
      </c>
      <c r="L1279">
        <v>78163.14</v>
      </c>
      <c r="M1279">
        <v>59320.21</v>
      </c>
      <c r="N1279" t="s">
        <v>91</v>
      </c>
      <c r="O1279">
        <v>15</v>
      </c>
      <c r="P1279" t="s">
        <v>2869</v>
      </c>
      <c r="Q1279">
        <v>2</v>
      </c>
      <c r="R1279">
        <v>143</v>
      </c>
      <c r="S1279">
        <v>252.2</v>
      </c>
      <c r="T1279" t="s">
        <v>37</v>
      </c>
      <c r="U1279" s="3"/>
      <c r="V1279" s="3"/>
      <c r="W1279" s="3"/>
    </row>
    <row r="1280" spans="1:23">
      <c r="A1280" t="s">
        <v>2870</v>
      </c>
      <c r="B1280" t="s">
        <v>2393</v>
      </c>
      <c r="C1280" t="s">
        <v>60</v>
      </c>
      <c r="D1280" s="2">
        <v>26380</v>
      </c>
      <c r="E1280" t="s">
        <v>2871</v>
      </c>
      <c r="F1280" s="2">
        <v>45001</v>
      </c>
      <c r="G1280" t="s">
        <v>70</v>
      </c>
      <c r="H1280" t="s">
        <v>78</v>
      </c>
      <c r="I1280" t="s">
        <v>119</v>
      </c>
      <c r="J1280" t="s">
        <v>64</v>
      </c>
      <c r="K1280" t="s">
        <v>120</v>
      </c>
      <c r="L1280">
        <v>155950.98000000001</v>
      </c>
      <c r="M1280">
        <v>124245.78</v>
      </c>
      <c r="N1280" t="s">
        <v>56</v>
      </c>
      <c r="O1280">
        <v>6</v>
      </c>
      <c r="P1280">
        <v>33</v>
      </c>
      <c r="Q1280">
        <v>3</v>
      </c>
      <c r="R1280">
        <v>137</v>
      </c>
      <c r="S1280">
        <v>173.8</v>
      </c>
      <c r="T1280" t="s">
        <v>37</v>
      </c>
      <c r="U1280" s="3"/>
      <c r="V1280" s="3"/>
      <c r="W1280" s="3"/>
    </row>
    <row r="1281" spans="1:23">
      <c r="A1281" t="s">
        <v>2872</v>
      </c>
      <c r="B1281" t="s">
        <v>356</v>
      </c>
      <c r="C1281" t="s">
        <v>40</v>
      </c>
      <c r="D1281" s="2">
        <v>35787</v>
      </c>
      <c r="E1281" s="2">
        <v>45492</v>
      </c>
      <c r="F1281" t="s">
        <v>2873</v>
      </c>
      <c r="G1281" t="s">
        <v>43</v>
      </c>
      <c r="H1281" t="s">
        <v>113</v>
      </c>
      <c r="I1281" t="s">
        <v>96</v>
      </c>
      <c r="J1281" t="s">
        <v>663</v>
      </c>
      <c r="K1281" t="s">
        <v>161</v>
      </c>
      <c r="L1281">
        <v>109558.35</v>
      </c>
      <c r="M1281">
        <v>81436.240000000005</v>
      </c>
      <c r="N1281" t="s">
        <v>192</v>
      </c>
      <c r="O1281">
        <v>11</v>
      </c>
      <c r="P1281">
        <v>216</v>
      </c>
      <c r="Q1281">
        <v>1</v>
      </c>
      <c r="S1281">
        <v>119</v>
      </c>
      <c r="T1281" t="s">
        <v>65</v>
      </c>
      <c r="U1281" s="3"/>
      <c r="V1281" s="3"/>
      <c r="W1281" s="3"/>
    </row>
    <row r="1282" spans="1:23">
      <c r="A1282" t="s">
        <v>2874</v>
      </c>
      <c r="B1282" t="s">
        <v>332</v>
      </c>
      <c r="D1282" t="s">
        <v>2875</v>
      </c>
      <c r="E1282" s="2">
        <v>45636</v>
      </c>
      <c r="F1282" t="s">
        <v>2876</v>
      </c>
      <c r="G1282" t="s">
        <v>141</v>
      </c>
      <c r="H1282" t="s">
        <v>44</v>
      </c>
      <c r="I1282" t="s">
        <v>79</v>
      </c>
      <c r="J1282" t="s">
        <v>34</v>
      </c>
      <c r="K1282" t="s">
        <v>55</v>
      </c>
      <c r="L1282" t="s">
        <v>2877</v>
      </c>
      <c r="M1282">
        <v>195649.38</v>
      </c>
      <c r="N1282" t="s">
        <v>73</v>
      </c>
      <c r="O1282">
        <v>2</v>
      </c>
      <c r="P1282">
        <v>178</v>
      </c>
      <c r="Q1282">
        <v>4</v>
      </c>
      <c r="R1282">
        <v>144</v>
      </c>
      <c r="S1282">
        <v>163.1</v>
      </c>
      <c r="U1282" s="3"/>
      <c r="V1282" s="3"/>
      <c r="W1282" s="3"/>
    </row>
    <row r="1283" spans="1:23">
      <c r="A1283" t="s">
        <v>2878</v>
      </c>
      <c r="B1283" t="s">
        <v>280</v>
      </c>
      <c r="C1283" t="s">
        <v>22</v>
      </c>
      <c r="D1283" s="2">
        <v>34517</v>
      </c>
      <c r="E1283" s="2">
        <v>45435</v>
      </c>
      <c r="F1283" s="2">
        <v>45439</v>
      </c>
      <c r="G1283" t="s">
        <v>94</v>
      </c>
      <c r="H1283" t="s">
        <v>376</v>
      </c>
      <c r="I1283" t="s">
        <v>96</v>
      </c>
      <c r="J1283" t="s">
        <v>179</v>
      </c>
      <c r="K1283" t="s">
        <v>72</v>
      </c>
      <c r="L1283">
        <v>187265.48</v>
      </c>
      <c r="M1283">
        <v>149228.56</v>
      </c>
      <c r="N1283" t="s">
        <v>106</v>
      </c>
      <c r="O1283">
        <v>4</v>
      </c>
      <c r="P1283">
        <v>210</v>
      </c>
      <c r="Q1283">
        <v>2</v>
      </c>
      <c r="R1283">
        <v>139</v>
      </c>
      <c r="S1283">
        <v>238.2</v>
      </c>
      <c r="T1283" t="s">
        <v>127</v>
      </c>
      <c r="U1283" s="3"/>
      <c r="V1283" s="3"/>
      <c r="W1283" s="3"/>
    </row>
    <row r="1284" spans="1:23">
      <c r="A1284" t="s">
        <v>2879</v>
      </c>
      <c r="B1284" t="s">
        <v>1153</v>
      </c>
      <c r="C1284" t="s">
        <v>84</v>
      </c>
      <c r="D1284" t="s">
        <v>2880</v>
      </c>
      <c r="E1284" s="2">
        <v>45033</v>
      </c>
      <c r="F1284" s="2">
        <v>45047</v>
      </c>
      <c r="G1284" t="s">
        <v>43</v>
      </c>
      <c r="H1284" t="s">
        <v>95</v>
      </c>
      <c r="I1284" t="s">
        <v>33</v>
      </c>
      <c r="J1284" t="s">
        <v>204</v>
      </c>
      <c r="K1284" t="s">
        <v>55</v>
      </c>
      <c r="L1284" t="s">
        <v>2881</v>
      </c>
      <c r="M1284">
        <v>63534.97</v>
      </c>
      <c r="N1284" t="s">
        <v>192</v>
      </c>
      <c r="O1284">
        <v>14</v>
      </c>
      <c r="P1284">
        <v>88</v>
      </c>
      <c r="Q1284">
        <v>5</v>
      </c>
      <c r="R1284">
        <v>143</v>
      </c>
      <c r="S1284">
        <v>198.7</v>
      </c>
      <c r="T1284" t="s">
        <v>37</v>
      </c>
      <c r="U1284" s="3"/>
      <c r="V1284" s="3"/>
      <c r="W1284" s="3"/>
    </row>
    <row r="1285" spans="1:23">
      <c r="A1285" t="s">
        <v>2882</v>
      </c>
      <c r="B1285" t="s">
        <v>406</v>
      </c>
      <c r="C1285" t="s">
        <v>50</v>
      </c>
      <c r="D1285" s="2">
        <v>25622</v>
      </c>
      <c r="E1285" t="s">
        <v>2883</v>
      </c>
      <c r="F1285" s="2">
        <v>45777</v>
      </c>
      <c r="G1285" t="s">
        <v>161</v>
      </c>
      <c r="H1285" t="s">
        <v>86</v>
      </c>
      <c r="I1285" t="s">
        <v>45</v>
      </c>
      <c r="K1285" t="s">
        <v>55</v>
      </c>
      <c r="L1285">
        <v>85219.75</v>
      </c>
      <c r="M1285">
        <v>64444</v>
      </c>
      <c r="N1285" t="s">
        <v>192</v>
      </c>
      <c r="O1285">
        <v>4</v>
      </c>
      <c r="P1285">
        <v>71</v>
      </c>
      <c r="Q1285">
        <v>5</v>
      </c>
      <c r="R1285">
        <v>99</v>
      </c>
      <c r="S1285">
        <v>167</v>
      </c>
      <c r="T1285" t="s">
        <v>65</v>
      </c>
      <c r="U1285" s="3"/>
      <c r="V1285" s="3"/>
      <c r="W1285" s="3"/>
    </row>
    <row r="1286" spans="1:23">
      <c r="A1286" t="s">
        <v>2884</v>
      </c>
      <c r="B1286" t="s">
        <v>522</v>
      </c>
      <c r="C1286" t="s">
        <v>206</v>
      </c>
      <c r="D1286" s="2">
        <v>31184</v>
      </c>
      <c r="E1286" t="s">
        <v>2885</v>
      </c>
      <c r="F1286" s="2">
        <v>45930</v>
      </c>
      <c r="G1286" t="s">
        <v>43</v>
      </c>
      <c r="H1286" t="s">
        <v>153</v>
      </c>
      <c r="I1286" t="s">
        <v>45</v>
      </c>
      <c r="J1286" t="s">
        <v>26</v>
      </c>
      <c r="K1286" t="s">
        <v>55</v>
      </c>
      <c r="L1286">
        <v>143984.25</v>
      </c>
      <c r="M1286">
        <v>103313.96</v>
      </c>
      <c r="N1286" t="s">
        <v>91</v>
      </c>
      <c r="O1286">
        <v>17</v>
      </c>
      <c r="P1286">
        <v>46</v>
      </c>
      <c r="S1286">
        <v>79.7</v>
      </c>
      <c r="U1286" s="3"/>
      <c r="V1286" s="3"/>
      <c r="W1286" s="3"/>
    </row>
    <row r="1287" spans="1:23">
      <c r="A1287" t="s">
        <v>2886</v>
      </c>
      <c r="B1287" t="s">
        <v>368</v>
      </c>
      <c r="D1287" t="s">
        <v>2887</v>
      </c>
      <c r="E1287" t="s">
        <v>2888</v>
      </c>
      <c r="F1287" s="2">
        <v>44951</v>
      </c>
      <c r="G1287" t="s">
        <v>94</v>
      </c>
      <c r="I1287" t="s">
        <v>33</v>
      </c>
      <c r="K1287" t="s">
        <v>55</v>
      </c>
      <c r="L1287">
        <v>206810.1</v>
      </c>
      <c r="M1287">
        <v>151893.60999999999</v>
      </c>
      <c r="N1287" t="s">
        <v>91</v>
      </c>
      <c r="O1287">
        <v>4</v>
      </c>
      <c r="P1287">
        <v>179</v>
      </c>
      <c r="Q1287">
        <v>1</v>
      </c>
      <c r="R1287">
        <v>157</v>
      </c>
      <c r="S1287">
        <v>138.9</v>
      </c>
      <c r="T1287" t="s">
        <v>65</v>
      </c>
      <c r="U1287" s="3"/>
      <c r="V1287" s="3"/>
      <c r="W1287" s="3"/>
    </row>
    <row r="1288" spans="1:23">
      <c r="A1288" t="s">
        <v>2889</v>
      </c>
      <c r="B1288" t="s">
        <v>909</v>
      </c>
      <c r="D1288" t="s">
        <v>2890</v>
      </c>
      <c r="E1288" s="2">
        <v>45993</v>
      </c>
      <c r="F1288" t="s">
        <v>2891</v>
      </c>
      <c r="G1288" t="s">
        <v>152</v>
      </c>
      <c r="H1288" t="s">
        <v>278</v>
      </c>
      <c r="I1288" t="s">
        <v>96</v>
      </c>
      <c r="J1288" t="s">
        <v>179</v>
      </c>
      <c r="K1288" t="s">
        <v>161</v>
      </c>
      <c r="L1288" t="s">
        <v>2892</v>
      </c>
      <c r="M1288">
        <v>126799.13</v>
      </c>
      <c r="N1288" t="s">
        <v>192</v>
      </c>
      <c r="O1288">
        <v>10</v>
      </c>
      <c r="P1288">
        <v>223</v>
      </c>
      <c r="Q1288">
        <v>3</v>
      </c>
      <c r="R1288">
        <v>150</v>
      </c>
      <c r="S1288">
        <v>108.6</v>
      </c>
      <c r="T1288" t="s">
        <v>47</v>
      </c>
      <c r="U1288" s="3"/>
      <c r="V1288" s="3"/>
      <c r="W1288" s="3"/>
    </row>
    <row r="1289" spans="1:23">
      <c r="A1289" t="s">
        <v>2893</v>
      </c>
      <c r="B1289" t="s">
        <v>843</v>
      </c>
      <c r="C1289" t="s">
        <v>30</v>
      </c>
      <c r="D1289" t="s">
        <v>2894</v>
      </c>
      <c r="E1289" s="2">
        <v>45981</v>
      </c>
      <c r="G1289" t="s">
        <v>94</v>
      </c>
      <c r="I1289" t="s">
        <v>25</v>
      </c>
      <c r="J1289" t="s">
        <v>34</v>
      </c>
      <c r="K1289" t="s">
        <v>120</v>
      </c>
      <c r="L1289" t="s">
        <v>2895</v>
      </c>
      <c r="M1289">
        <v>166184.14000000001</v>
      </c>
      <c r="N1289" t="s">
        <v>192</v>
      </c>
      <c r="O1289">
        <v>5</v>
      </c>
      <c r="P1289">
        <v>154</v>
      </c>
      <c r="Q1289">
        <v>5</v>
      </c>
      <c r="R1289">
        <v>154</v>
      </c>
      <c r="S1289">
        <v>196.6</v>
      </c>
      <c r="T1289" t="s">
        <v>37</v>
      </c>
      <c r="U1289" s="3"/>
      <c r="V1289" s="3"/>
      <c r="W1289" s="3"/>
    </row>
    <row r="1290" spans="1:23">
      <c r="A1290" t="s">
        <v>2896</v>
      </c>
      <c r="B1290" t="s">
        <v>611</v>
      </c>
      <c r="D1290" t="s">
        <v>2897</v>
      </c>
      <c r="E1290" s="2">
        <v>45728</v>
      </c>
      <c r="F1290" s="2">
        <v>45742</v>
      </c>
      <c r="G1290" t="s">
        <v>94</v>
      </c>
      <c r="H1290" t="s">
        <v>134</v>
      </c>
      <c r="I1290" t="s">
        <v>96</v>
      </c>
      <c r="J1290" t="s">
        <v>34</v>
      </c>
      <c r="K1290" t="s">
        <v>55</v>
      </c>
      <c r="L1290">
        <v>45858.75</v>
      </c>
      <c r="M1290">
        <v>41044.19</v>
      </c>
      <c r="N1290" t="s">
        <v>73</v>
      </c>
      <c r="O1290">
        <v>14</v>
      </c>
      <c r="P1290">
        <v>45</v>
      </c>
      <c r="Q1290">
        <v>4</v>
      </c>
      <c r="R1290">
        <v>131</v>
      </c>
      <c r="S1290">
        <v>180.5</v>
      </c>
      <c r="T1290" t="s">
        <v>65</v>
      </c>
      <c r="U1290" s="3"/>
      <c r="V1290" s="3"/>
      <c r="W1290" s="3"/>
    </row>
    <row r="1291" spans="1:23">
      <c r="A1291" t="s">
        <v>2898</v>
      </c>
      <c r="B1291" t="s">
        <v>1580</v>
      </c>
      <c r="C1291" t="s">
        <v>100</v>
      </c>
      <c r="D1291" t="s">
        <v>2899</v>
      </c>
      <c r="E1291" s="2">
        <v>45332</v>
      </c>
      <c r="F1291" t="s">
        <v>2900</v>
      </c>
      <c r="G1291" t="s">
        <v>62</v>
      </c>
      <c r="H1291" t="s">
        <v>153</v>
      </c>
      <c r="I1291" t="s">
        <v>96</v>
      </c>
      <c r="J1291" t="s">
        <v>46</v>
      </c>
      <c r="K1291" t="s">
        <v>55</v>
      </c>
      <c r="L1291">
        <v>33720.74</v>
      </c>
      <c r="M1291">
        <v>23917.94</v>
      </c>
      <c r="N1291" t="s">
        <v>73</v>
      </c>
      <c r="O1291">
        <v>4</v>
      </c>
      <c r="P1291">
        <v>181</v>
      </c>
      <c r="Q1291">
        <v>5</v>
      </c>
      <c r="R1291">
        <v>143</v>
      </c>
      <c r="S1291">
        <v>155.80000000000001</v>
      </c>
      <c r="T1291" t="s">
        <v>81</v>
      </c>
      <c r="U1291" s="3"/>
      <c r="V1291" s="3"/>
      <c r="W1291" s="3"/>
    </row>
    <row r="1292" spans="1:23">
      <c r="A1292" t="s">
        <v>2901</v>
      </c>
      <c r="B1292" t="s">
        <v>253</v>
      </c>
      <c r="C1292" t="s">
        <v>1149</v>
      </c>
      <c r="D1292" s="2">
        <v>25121</v>
      </c>
      <c r="E1292" s="2">
        <v>45074</v>
      </c>
      <c r="F1292" s="2">
        <v>45091</v>
      </c>
      <c r="G1292" t="s">
        <v>70</v>
      </c>
      <c r="H1292" t="s">
        <v>160</v>
      </c>
      <c r="I1292" t="s">
        <v>45</v>
      </c>
      <c r="J1292" t="s">
        <v>64</v>
      </c>
      <c r="L1292">
        <v>126939.27</v>
      </c>
      <c r="M1292">
        <v>123486.13</v>
      </c>
      <c r="O1292">
        <v>17</v>
      </c>
      <c r="P1292">
        <v>237</v>
      </c>
      <c r="Q1292">
        <v>2</v>
      </c>
      <c r="R1292">
        <v>131</v>
      </c>
      <c r="S1292">
        <v>93</v>
      </c>
      <c r="T1292" t="s">
        <v>37</v>
      </c>
      <c r="U1292" s="3"/>
      <c r="V1292" s="3"/>
      <c r="W1292" s="3"/>
    </row>
    <row r="1293" spans="1:23">
      <c r="A1293" t="s">
        <v>2902</v>
      </c>
      <c r="B1293" t="s">
        <v>871</v>
      </c>
      <c r="C1293" t="s">
        <v>30</v>
      </c>
      <c r="D1293" s="2">
        <v>20749</v>
      </c>
      <c r="E1293" s="2">
        <v>45598</v>
      </c>
      <c r="F1293" s="2">
        <v>45607</v>
      </c>
      <c r="G1293" t="s">
        <v>117</v>
      </c>
      <c r="H1293" t="s">
        <v>113</v>
      </c>
      <c r="I1293" t="s">
        <v>25</v>
      </c>
      <c r="J1293" t="s">
        <v>97</v>
      </c>
      <c r="K1293" t="s">
        <v>72</v>
      </c>
      <c r="L1293">
        <v>141773.98000000001</v>
      </c>
      <c r="M1293">
        <v>122078.74</v>
      </c>
      <c r="N1293" t="s">
        <v>794</v>
      </c>
      <c r="O1293">
        <v>9</v>
      </c>
      <c r="P1293">
        <v>153</v>
      </c>
      <c r="Q1293">
        <v>5</v>
      </c>
      <c r="R1293">
        <v>114</v>
      </c>
      <c r="S1293">
        <v>197.5</v>
      </c>
      <c r="U1293" s="3"/>
      <c r="V1293" s="3"/>
      <c r="W1293" s="3"/>
    </row>
    <row r="1294" spans="1:23">
      <c r="A1294" t="s">
        <v>2903</v>
      </c>
      <c r="B1294" t="s">
        <v>1001</v>
      </c>
      <c r="C1294" t="s">
        <v>133</v>
      </c>
      <c r="D1294" s="2">
        <v>35000</v>
      </c>
      <c r="E1294" t="s">
        <v>2904</v>
      </c>
      <c r="F1294" s="2">
        <v>45124</v>
      </c>
      <c r="G1294" t="s">
        <v>31</v>
      </c>
      <c r="H1294" t="s">
        <v>134</v>
      </c>
      <c r="J1294" t="s">
        <v>64</v>
      </c>
      <c r="K1294" t="s">
        <v>55</v>
      </c>
      <c r="L1294">
        <v>48908.25</v>
      </c>
      <c r="M1294">
        <v>42515.76</v>
      </c>
      <c r="N1294" t="s">
        <v>192</v>
      </c>
      <c r="O1294">
        <v>12</v>
      </c>
      <c r="P1294" t="s">
        <v>2905</v>
      </c>
      <c r="Q1294">
        <v>5</v>
      </c>
      <c r="R1294">
        <v>186</v>
      </c>
      <c r="S1294">
        <v>182.3</v>
      </c>
      <c r="T1294" t="s">
        <v>47</v>
      </c>
      <c r="U1294" s="3"/>
      <c r="V1294" s="3"/>
      <c r="W1294" s="3"/>
    </row>
    <row r="1295" spans="1:23">
      <c r="A1295" t="s">
        <v>2906</v>
      </c>
      <c r="B1295" t="s">
        <v>1362</v>
      </c>
      <c r="C1295" t="s">
        <v>84</v>
      </c>
      <c r="D1295" t="s">
        <v>2907</v>
      </c>
      <c r="E1295" s="2">
        <v>45824</v>
      </c>
      <c r="G1295" t="s">
        <v>62</v>
      </c>
      <c r="H1295" t="s">
        <v>24</v>
      </c>
      <c r="I1295" t="s">
        <v>45</v>
      </c>
      <c r="J1295" t="s">
        <v>80</v>
      </c>
      <c r="K1295" t="s">
        <v>55</v>
      </c>
      <c r="M1295">
        <v>91178.44</v>
      </c>
      <c r="N1295" t="s">
        <v>192</v>
      </c>
      <c r="O1295">
        <v>5</v>
      </c>
      <c r="P1295">
        <v>22</v>
      </c>
      <c r="Q1295">
        <v>3</v>
      </c>
      <c r="R1295">
        <v>91</v>
      </c>
      <c r="S1295">
        <v>214.1</v>
      </c>
      <c r="T1295" t="s">
        <v>37</v>
      </c>
      <c r="U1295" s="3"/>
      <c r="V1295" s="3"/>
      <c r="W1295" s="3"/>
    </row>
    <row r="1296" spans="1:23">
      <c r="A1296" t="s">
        <v>2908</v>
      </c>
      <c r="B1296" t="s">
        <v>253</v>
      </c>
      <c r="C1296" t="s">
        <v>30</v>
      </c>
      <c r="D1296" s="2">
        <v>29235</v>
      </c>
      <c r="E1296" t="s">
        <v>2909</v>
      </c>
      <c r="F1296" s="2">
        <v>45134</v>
      </c>
      <c r="G1296" t="s">
        <v>141</v>
      </c>
      <c r="I1296" t="s">
        <v>119</v>
      </c>
      <c r="J1296" t="s">
        <v>34</v>
      </c>
      <c r="K1296" t="s">
        <v>27</v>
      </c>
      <c r="L1296">
        <v>201868.39</v>
      </c>
      <c r="M1296">
        <v>176975.19</v>
      </c>
      <c r="O1296">
        <v>1</v>
      </c>
      <c r="P1296">
        <v>130</v>
      </c>
      <c r="R1296">
        <v>94</v>
      </c>
      <c r="S1296">
        <v>130.4</v>
      </c>
      <c r="T1296" t="s">
        <v>348</v>
      </c>
      <c r="U1296" s="3"/>
      <c r="V1296" s="3"/>
      <c r="W1296" s="3"/>
    </row>
    <row r="1297" spans="1:23">
      <c r="A1297" t="s">
        <v>2910</v>
      </c>
      <c r="B1297" t="s">
        <v>298</v>
      </c>
      <c r="C1297" t="s">
        <v>100</v>
      </c>
      <c r="D1297" s="2">
        <v>35005</v>
      </c>
      <c r="E1297" s="2">
        <v>45651</v>
      </c>
      <c r="F1297" s="2">
        <v>45668</v>
      </c>
      <c r="G1297" t="s">
        <v>43</v>
      </c>
      <c r="H1297" t="s">
        <v>95</v>
      </c>
      <c r="I1297" t="s">
        <v>33</v>
      </c>
      <c r="J1297" t="s">
        <v>179</v>
      </c>
      <c r="K1297" t="s">
        <v>183</v>
      </c>
      <c r="L1297">
        <v>212834.14</v>
      </c>
      <c r="M1297">
        <v>162542.19</v>
      </c>
      <c r="N1297" t="s">
        <v>192</v>
      </c>
      <c r="O1297">
        <v>17</v>
      </c>
      <c r="P1297">
        <v>29</v>
      </c>
      <c r="Q1297">
        <v>3</v>
      </c>
      <c r="R1297">
        <v>165</v>
      </c>
      <c r="S1297">
        <v>222.2</v>
      </c>
      <c r="T1297" t="s">
        <v>37</v>
      </c>
      <c r="U1297" s="3"/>
      <c r="V1297" s="3"/>
      <c r="W1297" s="3"/>
    </row>
    <row r="1298" spans="1:23">
      <c r="A1298" t="s">
        <v>2911</v>
      </c>
      <c r="B1298" t="s">
        <v>864</v>
      </c>
      <c r="C1298" t="s">
        <v>40</v>
      </c>
      <c r="D1298" s="2">
        <v>37792</v>
      </c>
      <c r="E1298" t="s">
        <v>2912</v>
      </c>
      <c r="G1298" t="s">
        <v>114</v>
      </c>
      <c r="H1298" t="s">
        <v>634</v>
      </c>
      <c r="I1298" t="s">
        <v>25</v>
      </c>
      <c r="J1298" t="s">
        <v>179</v>
      </c>
      <c r="K1298" t="s">
        <v>161</v>
      </c>
      <c r="L1298">
        <v>114059.31</v>
      </c>
      <c r="M1298">
        <v>87454.56</v>
      </c>
      <c r="N1298" t="s">
        <v>91</v>
      </c>
      <c r="O1298">
        <v>1</v>
      </c>
      <c r="P1298">
        <v>86</v>
      </c>
      <c r="Q1298">
        <v>5</v>
      </c>
      <c r="R1298">
        <v>140</v>
      </c>
      <c r="S1298">
        <v>153.80000000000001</v>
      </c>
      <c r="U1298" s="3"/>
      <c r="V1298" s="3"/>
      <c r="W1298" s="3"/>
    </row>
    <row r="1299" spans="1:23">
      <c r="A1299" t="s">
        <v>2913</v>
      </c>
      <c r="B1299" t="s">
        <v>1068</v>
      </c>
      <c r="D1299" s="2">
        <v>30486</v>
      </c>
      <c r="E1299" s="2">
        <v>45701</v>
      </c>
      <c r="G1299" t="s">
        <v>94</v>
      </c>
      <c r="H1299" t="s">
        <v>124</v>
      </c>
      <c r="I1299" t="s">
        <v>33</v>
      </c>
      <c r="J1299" t="s">
        <v>80</v>
      </c>
      <c r="K1299" t="s">
        <v>72</v>
      </c>
      <c r="L1299">
        <v>239866.55</v>
      </c>
      <c r="M1299">
        <v>189047.92</v>
      </c>
      <c r="N1299" t="s">
        <v>192</v>
      </c>
      <c r="O1299">
        <v>16</v>
      </c>
      <c r="P1299">
        <v>174</v>
      </c>
      <c r="S1299">
        <v>118.1</v>
      </c>
      <c r="U1299" s="3"/>
      <c r="V1299" s="3"/>
      <c r="W1299" s="3"/>
    </row>
    <row r="1300" spans="1:23">
      <c r="A1300" t="s">
        <v>2914</v>
      </c>
      <c r="B1300" t="s">
        <v>1888</v>
      </c>
      <c r="D1300" t="s">
        <v>2915</v>
      </c>
      <c r="E1300" t="s">
        <v>2916</v>
      </c>
      <c r="F1300" s="2">
        <v>45309</v>
      </c>
      <c r="G1300" t="s">
        <v>117</v>
      </c>
      <c r="H1300" t="s">
        <v>118</v>
      </c>
      <c r="I1300" t="s">
        <v>25</v>
      </c>
      <c r="J1300" t="s">
        <v>80</v>
      </c>
      <c r="K1300" t="s">
        <v>55</v>
      </c>
      <c r="L1300">
        <v>190682.33</v>
      </c>
      <c r="M1300">
        <v>147601.62</v>
      </c>
      <c r="N1300" t="s">
        <v>192</v>
      </c>
      <c r="O1300">
        <v>11</v>
      </c>
      <c r="P1300">
        <v>143</v>
      </c>
      <c r="R1300">
        <v>176</v>
      </c>
      <c r="S1300">
        <v>149.6</v>
      </c>
      <c r="T1300" t="s">
        <v>37</v>
      </c>
      <c r="U1300" s="3"/>
      <c r="V1300" s="3"/>
      <c r="W1300" s="3"/>
    </row>
    <row r="1301" spans="1:23">
      <c r="A1301" t="s">
        <v>2917</v>
      </c>
      <c r="B1301" t="s">
        <v>2918</v>
      </c>
      <c r="C1301" t="s">
        <v>100</v>
      </c>
      <c r="D1301" s="2">
        <v>31712</v>
      </c>
      <c r="E1301" t="s">
        <v>2919</v>
      </c>
      <c r="F1301" s="2">
        <v>45908</v>
      </c>
      <c r="G1301" t="s">
        <v>77</v>
      </c>
      <c r="H1301" t="s">
        <v>538</v>
      </c>
      <c r="I1301" t="s">
        <v>96</v>
      </c>
      <c r="J1301" t="s">
        <v>80</v>
      </c>
      <c r="L1301">
        <v>7783.43</v>
      </c>
      <c r="N1301" t="s">
        <v>91</v>
      </c>
      <c r="O1301">
        <v>18</v>
      </c>
      <c r="P1301">
        <v>109</v>
      </c>
      <c r="Q1301">
        <v>4</v>
      </c>
      <c r="R1301">
        <v>110</v>
      </c>
      <c r="S1301">
        <v>201.2</v>
      </c>
      <c r="T1301" t="s">
        <v>37</v>
      </c>
      <c r="U1301" s="3"/>
      <c r="V1301" s="3"/>
      <c r="W1301" s="3"/>
    </row>
    <row r="1302" spans="1:23">
      <c r="A1302" t="s">
        <v>2920</v>
      </c>
      <c r="B1302" t="s">
        <v>810</v>
      </c>
      <c r="C1302" t="s">
        <v>40</v>
      </c>
      <c r="D1302" s="2">
        <v>23494</v>
      </c>
      <c r="E1302" s="2">
        <v>45142</v>
      </c>
      <c r="F1302" s="2">
        <v>45145</v>
      </c>
      <c r="G1302" t="s">
        <v>89</v>
      </c>
      <c r="H1302" t="s">
        <v>134</v>
      </c>
      <c r="I1302" t="s">
        <v>25</v>
      </c>
      <c r="J1302" t="s">
        <v>46</v>
      </c>
      <c r="K1302" t="s">
        <v>55</v>
      </c>
      <c r="L1302">
        <v>110834.13</v>
      </c>
      <c r="M1302">
        <v>86529.05</v>
      </c>
      <c r="N1302" t="s">
        <v>192</v>
      </c>
      <c r="O1302">
        <v>3</v>
      </c>
      <c r="P1302">
        <v>120</v>
      </c>
      <c r="R1302">
        <v>99</v>
      </c>
      <c r="U1302" s="3"/>
      <c r="V1302" s="3"/>
      <c r="W1302" s="3"/>
    </row>
    <row r="1303" spans="1:23">
      <c r="A1303" t="s">
        <v>2921</v>
      </c>
      <c r="B1303" t="s">
        <v>194</v>
      </c>
      <c r="C1303" t="s">
        <v>133</v>
      </c>
      <c r="D1303" s="2">
        <v>23193</v>
      </c>
      <c r="E1303" s="2">
        <v>45701</v>
      </c>
      <c r="F1303" s="2">
        <v>45716</v>
      </c>
      <c r="G1303" t="s">
        <v>77</v>
      </c>
      <c r="H1303" t="s">
        <v>52</v>
      </c>
      <c r="I1303" t="s">
        <v>53</v>
      </c>
      <c r="J1303" t="s">
        <v>71</v>
      </c>
      <c r="K1303" t="s">
        <v>27</v>
      </c>
      <c r="L1303">
        <v>190506.64</v>
      </c>
      <c r="M1303">
        <v>162650.99</v>
      </c>
      <c r="N1303" t="s">
        <v>73</v>
      </c>
      <c r="O1303">
        <v>15</v>
      </c>
      <c r="P1303">
        <v>49</v>
      </c>
      <c r="Q1303">
        <v>4</v>
      </c>
      <c r="R1303">
        <v>131</v>
      </c>
      <c r="S1303">
        <v>134.9</v>
      </c>
      <c r="T1303" t="s">
        <v>37</v>
      </c>
      <c r="U1303" s="3"/>
      <c r="V1303" s="3"/>
      <c r="W1303" s="3"/>
    </row>
    <row r="1304" spans="1:23">
      <c r="A1304" t="s">
        <v>2922</v>
      </c>
      <c r="B1304" t="s">
        <v>1079</v>
      </c>
      <c r="C1304" t="s">
        <v>60</v>
      </c>
      <c r="D1304" t="s">
        <v>2923</v>
      </c>
      <c r="E1304" t="s">
        <v>2924</v>
      </c>
      <c r="F1304" t="s">
        <v>2925</v>
      </c>
      <c r="H1304" t="s">
        <v>95</v>
      </c>
      <c r="I1304" t="s">
        <v>53</v>
      </c>
      <c r="J1304" t="s">
        <v>46</v>
      </c>
      <c r="K1304" t="s">
        <v>120</v>
      </c>
      <c r="L1304">
        <v>37025.24</v>
      </c>
      <c r="M1304">
        <v>31530.25</v>
      </c>
      <c r="N1304" t="s">
        <v>73</v>
      </c>
      <c r="O1304">
        <v>10</v>
      </c>
      <c r="P1304">
        <v>159</v>
      </c>
      <c r="Q1304">
        <v>1</v>
      </c>
      <c r="R1304">
        <v>180</v>
      </c>
      <c r="S1304">
        <v>91.4</v>
      </c>
      <c r="T1304" t="s">
        <v>37</v>
      </c>
      <c r="U1304" s="3"/>
      <c r="V1304" s="3"/>
      <c r="W1304" s="3"/>
    </row>
    <row r="1305" spans="1:23">
      <c r="A1305" t="s">
        <v>2926</v>
      </c>
      <c r="B1305" t="s">
        <v>1104</v>
      </c>
      <c r="C1305" t="s">
        <v>816</v>
      </c>
      <c r="D1305" t="s">
        <v>2927</v>
      </c>
      <c r="E1305" s="2">
        <v>45002</v>
      </c>
      <c r="G1305" t="s">
        <v>43</v>
      </c>
      <c r="H1305" t="s">
        <v>78</v>
      </c>
      <c r="I1305" t="s">
        <v>25</v>
      </c>
      <c r="K1305" t="s">
        <v>110</v>
      </c>
      <c r="L1305">
        <v>137287.54</v>
      </c>
      <c r="M1305">
        <v>113744.49</v>
      </c>
      <c r="N1305" t="s">
        <v>35</v>
      </c>
      <c r="O1305">
        <v>12</v>
      </c>
      <c r="P1305">
        <v>22</v>
      </c>
      <c r="Q1305">
        <v>4</v>
      </c>
      <c r="R1305">
        <v>123</v>
      </c>
      <c r="S1305">
        <v>152.4</v>
      </c>
      <c r="U1305" s="3"/>
      <c r="V1305" s="3"/>
      <c r="W1305" s="3"/>
    </row>
    <row r="1306" spans="1:23">
      <c r="A1306" t="s">
        <v>2928</v>
      </c>
      <c r="B1306" t="s">
        <v>1509</v>
      </c>
      <c r="C1306" t="s">
        <v>100</v>
      </c>
      <c r="D1306" t="s">
        <v>2929</v>
      </c>
      <c r="E1306" s="2">
        <v>45235</v>
      </c>
      <c r="F1306" t="s">
        <v>2930</v>
      </c>
      <c r="G1306" t="s">
        <v>105</v>
      </c>
      <c r="H1306" t="s">
        <v>124</v>
      </c>
      <c r="I1306" t="s">
        <v>96</v>
      </c>
      <c r="J1306" t="s">
        <v>46</v>
      </c>
      <c r="K1306" t="s">
        <v>55</v>
      </c>
      <c r="L1306">
        <v>114387.4</v>
      </c>
      <c r="M1306">
        <v>82718</v>
      </c>
      <c r="N1306" t="s">
        <v>192</v>
      </c>
      <c r="O1306">
        <v>8</v>
      </c>
      <c r="P1306">
        <v>226</v>
      </c>
      <c r="Q1306">
        <v>5</v>
      </c>
      <c r="R1306">
        <v>182</v>
      </c>
      <c r="S1306">
        <v>159.4</v>
      </c>
      <c r="T1306" t="s">
        <v>37</v>
      </c>
      <c r="U1306" s="3"/>
      <c r="V1306" s="3"/>
      <c r="W1306" s="3"/>
    </row>
    <row r="1307" spans="1:23">
      <c r="A1307" t="s">
        <v>2931</v>
      </c>
      <c r="B1307" t="s">
        <v>221</v>
      </c>
      <c r="C1307" t="s">
        <v>40</v>
      </c>
      <c r="D1307" s="2">
        <v>33871</v>
      </c>
      <c r="E1307" t="s">
        <v>2932</v>
      </c>
      <c r="F1307" s="2">
        <v>45731</v>
      </c>
      <c r="G1307" t="s">
        <v>31</v>
      </c>
      <c r="H1307" t="s">
        <v>1500</v>
      </c>
      <c r="I1307" t="s">
        <v>79</v>
      </c>
      <c r="K1307" t="s">
        <v>72</v>
      </c>
      <c r="L1307">
        <v>234042.42</v>
      </c>
      <c r="M1307">
        <v>154231.38</v>
      </c>
      <c r="N1307" t="s">
        <v>91</v>
      </c>
      <c r="O1307">
        <v>6</v>
      </c>
      <c r="P1307">
        <v>111</v>
      </c>
      <c r="Q1307">
        <v>3</v>
      </c>
      <c r="R1307">
        <v>117</v>
      </c>
      <c r="S1307">
        <v>190.2</v>
      </c>
      <c r="T1307" t="s">
        <v>37</v>
      </c>
      <c r="U1307" s="3"/>
      <c r="V1307" s="3"/>
      <c r="W1307" s="3"/>
    </row>
    <row r="1308" spans="1:23">
      <c r="A1308" t="s">
        <v>2933</v>
      </c>
      <c r="B1308" t="s">
        <v>796</v>
      </c>
      <c r="D1308" s="2">
        <v>21633</v>
      </c>
      <c r="E1308" s="2">
        <v>45501</v>
      </c>
      <c r="F1308" t="s">
        <v>2934</v>
      </c>
      <c r="G1308" t="s">
        <v>31</v>
      </c>
      <c r="H1308" t="s">
        <v>124</v>
      </c>
      <c r="I1308" t="s">
        <v>45</v>
      </c>
      <c r="J1308" t="s">
        <v>97</v>
      </c>
      <c r="K1308" t="s">
        <v>120</v>
      </c>
      <c r="L1308" t="s">
        <v>2935</v>
      </c>
      <c r="M1308">
        <v>76686.58</v>
      </c>
      <c r="N1308" t="s">
        <v>56</v>
      </c>
      <c r="O1308">
        <v>3</v>
      </c>
      <c r="P1308">
        <v>200</v>
      </c>
      <c r="Q1308">
        <v>4</v>
      </c>
      <c r="R1308">
        <v>113</v>
      </c>
      <c r="S1308">
        <v>136.19999999999999</v>
      </c>
      <c r="U1308" s="3"/>
      <c r="V1308" s="3"/>
      <c r="W1308" s="3"/>
    </row>
    <row r="1309" spans="1:23">
      <c r="A1309" t="s">
        <v>2936</v>
      </c>
      <c r="B1309" t="s">
        <v>556</v>
      </c>
      <c r="C1309" t="s">
        <v>22</v>
      </c>
      <c r="D1309" s="2">
        <v>36162</v>
      </c>
      <c r="E1309" s="2">
        <v>45402</v>
      </c>
      <c r="F1309" s="2">
        <v>45414</v>
      </c>
      <c r="G1309" t="s">
        <v>152</v>
      </c>
      <c r="H1309" t="s">
        <v>86</v>
      </c>
      <c r="I1309" t="s">
        <v>53</v>
      </c>
      <c r="J1309" t="s">
        <v>64</v>
      </c>
      <c r="K1309" t="s">
        <v>72</v>
      </c>
      <c r="L1309">
        <v>39788.99</v>
      </c>
      <c r="M1309">
        <v>28623.14</v>
      </c>
      <c r="N1309" t="s">
        <v>192</v>
      </c>
      <c r="O1309">
        <v>12</v>
      </c>
      <c r="P1309">
        <v>175</v>
      </c>
      <c r="Q1309">
        <v>5</v>
      </c>
      <c r="R1309">
        <v>168</v>
      </c>
      <c r="S1309">
        <v>71.7</v>
      </c>
      <c r="T1309" t="s">
        <v>37</v>
      </c>
      <c r="U1309" s="3"/>
      <c r="V1309" s="3"/>
      <c r="W1309" s="3"/>
    </row>
    <row r="1310" spans="1:23">
      <c r="A1310" t="s">
        <v>2937</v>
      </c>
      <c r="B1310" t="s">
        <v>390</v>
      </c>
      <c r="C1310" t="s">
        <v>30</v>
      </c>
      <c r="D1310" s="2">
        <v>22538</v>
      </c>
      <c r="E1310" t="s">
        <v>2938</v>
      </c>
      <c r="F1310" s="2">
        <v>45582</v>
      </c>
      <c r="G1310" t="s">
        <v>141</v>
      </c>
      <c r="H1310" t="s">
        <v>86</v>
      </c>
      <c r="I1310" t="s">
        <v>96</v>
      </c>
      <c r="J1310" t="s">
        <v>34</v>
      </c>
      <c r="K1310" t="s">
        <v>72</v>
      </c>
      <c r="L1310">
        <v>98183.84</v>
      </c>
      <c r="M1310">
        <v>75446.55</v>
      </c>
      <c r="N1310" t="s">
        <v>192</v>
      </c>
      <c r="O1310">
        <v>13</v>
      </c>
      <c r="P1310">
        <v>215</v>
      </c>
      <c r="R1310">
        <v>112</v>
      </c>
      <c r="S1310">
        <v>110.1</v>
      </c>
      <c r="T1310" t="s">
        <v>37</v>
      </c>
      <c r="U1310" s="3"/>
      <c r="V1310" s="3"/>
      <c r="W1310" s="3"/>
    </row>
    <row r="1311" spans="1:23">
      <c r="A1311" t="s">
        <v>2939</v>
      </c>
      <c r="B1311" t="s">
        <v>922</v>
      </c>
      <c r="C1311" t="s">
        <v>100</v>
      </c>
      <c r="D1311" s="2">
        <v>18881</v>
      </c>
      <c r="E1311" t="s">
        <v>989</v>
      </c>
      <c r="F1311" s="2">
        <v>45722</v>
      </c>
      <c r="G1311" t="s">
        <v>62</v>
      </c>
      <c r="H1311" t="s">
        <v>153</v>
      </c>
      <c r="I1311" t="s">
        <v>79</v>
      </c>
      <c r="J1311" t="s">
        <v>97</v>
      </c>
      <c r="L1311">
        <v>129752</v>
      </c>
      <c r="M1311">
        <v>99997.91</v>
      </c>
      <c r="N1311" t="s">
        <v>56</v>
      </c>
      <c r="O1311">
        <v>2</v>
      </c>
      <c r="P1311" t="s">
        <v>1333</v>
      </c>
      <c r="Q1311">
        <v>4</v>
      </c>
      <c r="R1311">
        <v>129</v>
      </c>
      <c r="S1311">
        <v>185.6</v>
      </c>
      <c r="T1311" t="s">
        <v>37</v>
      </c>
      <c r="U1311" s="3"/>
      <c r="V1311" s="3"/>
      <c r="W1311" s="3"/>
    </row>
    <row r="1312" spans="1:23">
      <c r="A1312" t="s">
        <v>2940</v>
      </c>
      <c r="B1312" t="s">
        <v>556</v>
      </c>
      <c r="C1312" t="s">
        <v>133</v>
      </c>
      <c r="D1312" s="2">
        <v>35037</v>
      </c>
      <c r="E1312" s="2">
        <v>45722</v>
      </c>
      <c r="F1312" s="2">
        <v>45736</v>
      </c>
      <c r="G1312" t="s">
        <v>43</v>
      </c>
      <c r="H1312" t="s">
        <v>134</v>
      </c>
      <c r="I1312" t="s">
        <v>53</v>
      </c>
      <c r="J1312" t="s">
        <v>97</v>
      </c>
      <c r="L1312">
        <v>132229.97</v>
      </c>
      <c r="M1312">
        <v>125767.33</v>
      </c>
      <c r="N1312" t="s">
        <v>73</v>
      </c>
      <c r="O1312">
        <v>14</v>
      </c>
      <c r="P1312">
        <v>83</v>
      </c>
      <c r="Q1312">
        <v>2</v>
      </c>
      <c r="S1312">
        <v>212.5</v>
      </c>
      <c r="T1312" t="s">
        <v>57</v>
      </c>
      <c r="U1312" s="3"/>
      <c r="V1312" s="3"/>
      <c r="W1312" s="3"/>
    </row>
    <row r="1313" spans="1:23">
      <c r="A1313" t="s">
        <v>2941</v>
      </c>
      <c r="B1313" t="s">
        <v>1464</v>
      </c>
      <c r="C1313" t="s">
        <v>30</v>
      </c>
      <c r="D1313" s="2">
        <v>20102</v>
      </c>
      <c r="E1313" s="2">
        <v>45776</v>
      </c>
      <c r="F1313" s="2">
        <v>45778</v>
      </c>
      <c r="G1313" t="s">
        <v>70</v>
      </c>
      <c r="H1313" t="s">
        <v>24</v>
      </c>
      <c r="I1313" t="s">
        <v>53</v>
      </c>
      <c r="J1313" t="s">
        <v>34</v>
      </c>
      <c r="K1313" t="s">
        <v>27</v>
      </c>
      <c r="L1313">
        <v>223025.02</v>
      </c>
      <c r="M1313">
        <v>184140.99</v>
      </c>
      <c r="N1313" t="s">
        <v>73</v>
      </c>
      <c r="O1313">
        <v>2</v>
      </c>
      <c r="P1313">
        <v>9</v>
      </c>
      <c r="Q1313">
        <v>2</v>
      </c>
      <c r="R1313">
        <v>146</v>
      </c>
      <c r="S1313">
        <v>119.8</v>
      </c>
      <c r="U1313" s="3"/>
      <c r="V1313" s="3"/>
      <c r="W1313" s="3"/>
    </row>
    <row r="1314" spans="1:23">
      <c r="A1314" t="s">
        <v>2942</v>
      </c>
      <c r="B1314" t="s">
        <v>444</v>
      </c>
      <c r="C1314" t="s">
        <v>459</v>
      </c>
      <c r="D1314" s="2">
        <v>30935</v>
      </c>
      <c r="E1314" t="s">
        <v>2943</v>
      </c>
      <c r="F1314" t="s">
        <v>2944</v>
      </c>
      <c r="G1314" t="s">
        <v>94</v>
      </c>
      <c r="I1314" t="s">
        <v>53</v>
      </c>
      <c r="J1314" t="s">
        <v>26</v>
      </c>
      <c r="K1314" t="s">
        <v>401</v>
      </c>
      <c r="L1314">
        <v>109066.93</v>
      </c>
      <c r="M1314">
        <v>104972.07</v>
      </c>
      <c r="N1314" t="s">
        <v>91</v>
      </c>
      <c r="O1314">
        <v>16</v>
      </c>
      <c r="Q1314">
        <v>5</v>
      </c>
      <c r="R1314">
        <v>109</v>
      </c>
      <c r="S1314">
        <v>240.4</v>
      </c>
      <c r="T1314" t="s">
        <v>37</v>
      </c>
      <c r="U1314" s="3"/>
      <c r="V1314" s="3"/>
      <c r="W1314" s="3"/>
    </row>
    <row r="1315" spans="1:23">
      <c r="A1315" t="s">
        <v>2945</v>
      </c>
      <c r="B1315" t="s">
        <v>658</v>
      </c>
      <c r="C1315" t="s">
        <v>133</v>
      </c>
      <c r="D1315" t="s">
        <v>2946</v>
      </c>
      <c r="E1315" s="2">
        <v>44979</v>
      </c>
      <c r="F1315" t="s">
        <v>2947</v>
      </c>
      <c r="G1315" t="s">
        <v>370</v>
      </c>
      <c r="H1315" t="s">
        <v>24</v>
      </c>
      <c r="I1315" t="s">
        <v>79</v>
      </c>
      <c r="J1315" t="s">
        <v>34</v>
      </c>
      <c r="K1315" t="s">
        <v>120</v>
      </c>
      <c r="L1315">
        <v>112515.38</v>
      </c>
      <c r="M1315">
        <v>97018.240000000005</v>
      </c>
      <c r="O1315">
        <v>12</v>
      </c>
      <c r="P1315">
        <v>64</v>
      </c>
      <c r="Q1315">
        <v>4</v>
      </c>
      <c r="R1315">
        <v>174</v>
      </c>
      <c r="S1315">
        <v>107.8</v>
      </c>
      <c r="T1315" t="s">
        <v>81</v>
      </c>
      <c r="U1315" s="3"/>
      <c r="V1315" s="3"/>
      <c r="W1315" s="3"/>
    </row>
    <row r="1316" spans="1:23">
      <c r="A1316" t="s">
        <v>2948</v>
      </c>
      <c r="B1316" t="s">
        <v>1460</v>
      </c>
      <c r="D1316" t="s">
        <v>2949</v>
      </c>
      <c r="E1316" t="s">
        <v>2950</v>
      </c>
      <c r="F1316" s="2">
        <v>45312</v>
      </c>
      <c r="G1316" t="s">
        <v>89</v>
      </c>
      <c r="H1316" t="s">
        <v>52</v>
      </c>
      <c r="I1316" t="s">
        <v>119</v>
      </c>
      <c r="J1316" t="s">
        <v>97</v>
      </c>
      <c r="K1316" t="s">
        <v>55</v>
      </c>
      <c r="L1316">
        <v>14270.77</v>
      </c>
      <c r="M1316">
        <v>12302.43</v>
      </c>
      <c r="N1316" t="s">
        <v>409</v>
      </c>
      <c r="O1316">
        <v>17</v>
      </c>
      <c r="P1316">
        <v>179</v>
      </c>
      <c r="Q1316">
        <v>5</v>
      </c>
      <c r="R1316">
        <v>107</v>
      </c>
      <c r="S1316">
        <v>91</v>
      </c>
      <c r="T1316" t="s">
        <v>37</v>
      </c>
      <c r="U1316" s="3"/>
      <c r="V1316" s="3"/>
      <c r="W1316" s="3"/>
    </row>
    <row r="1317" spans="1:23">
      <c r="A1317" t="s">
        <v>2951</v>
      </c>
      <c r="B1317" t="s">
        <v>563</v>
      </c>
      <c r="D1317" s="2">
        <v>19834</v>
      </c>
      <c r="E1317" s="2">
        <v>45531</v>
      </c>
      <c r="G1317" t="s">
        <v>106</v>
      </c>
      <c r="H1317" t="s">
        <v>160</v>
      </c>
      <c r="I1317" t="s">
        <v>53</v>
      </c>
      <c r="J1317" t="s">
        <v>46</v>
      </c>
      <c r="K1317" t="s">
        <v>161</v>
      </c>
      <c r="L1317">
        <v>13842.3</v>
      </c>
      <c r="M1317">
        <v>11709.25</v>
      </c>
      <c r="N1317" t="s">
        <v>91</v>
      </c>
      <c r="O1317">
        <v>8</v>
      </c>
      <c r="P1317">
        <v>158</v>
      </c>
      <c r="Q1317">
        <v>4</v>
      </c>
      <c r="R1317">
        <v>109</v>
      </c>
      <c r="S1317">
        <v>219.8</v>
      </c>
      <c r="T1317" t="s">
        <v>47</v>
      </c>
      <c r="U1317" s="3"/>
      <c r="V1317" s="3"/>
      <c r="W1317" s="3"/>
    </row>
    <row r="1318" spans="1:23">
      <c r="A1318" t="s">
        <v>2952</v>
      </c>
      <c r="B1318" t="s">
        <v>132</v>
      </c>
      <c r="C1318" t="s">
        <v>22</v>
      </c>
      <c r="D1318" t="s">
        <v>2953</v>
      </c>
      <c r="E1318" s="2">
        <v>45656</v>
      </c>
      <c r="G1318" t="s">
        <v>94</v>
      </c>
      <c r="H1318" t="s">
        <v>24</v>
      </c>
      <c r="I1318" t="s">
        <v>79</v>
      </c>
      <c r="J1318" t="s">
        <v>71</v>
      </c>
      <c r="K1318" t="s">
        <v>286</v>
      </c>
      <c r="L1318">
        <v>205729.93</v>
      </c>
      <c r="M1318">
        <v>178365.28</v>
      </c>
      <c r="N1318" t="s">
        <v>73</v>
      </c>
      <c r="O1318">
        <v>17</v>
      </c>
      <c r="P1318">
        <v>172</v>
      </c>
      <c r="Q1318">
        <v>4</v>
      </c>
      <c r="R1318">
        <v>106</v>
      </c>
      <c r="S1318">
        <v>182.2</v>
      </c>
      <c r="T1318" t="s">
        <v>37</v>
      </c>
      <c r="U1318" s="3"/>
      <c r="V1318" s="3"/>
      <c r="W1318" s="3"/>
    </row>
    <row r="1319" spans="1:23">
      <c r="A1319" t="s">
        <v>2954</v>
      </c>
      <c r="B1319" t="s">
        <v>324</v>
      </c>
      <c r="C1319" t="s">
        <v>60</v>
      </c>
      <c r="D1319" s="2">
        <v>39553</v>
      </c>
      <c r="E1319" t="s">
        <v>2381</v>
      </c>
      <c r="F1319" s="2">
        <v>45932</v>
      </c>
      <c r="G1319" t="s">
        <v>117</v>
      </c>
      <c r="H1319" t="s">
        <v>24</v>
      </c>
      <c r="J1319" t="s">
        <v>71</v>
      </c>
      <c r="K1319" t="s">
        <v>161</v>
      </c>
      <c r="L1319">
        <v>74012.72</v>
      </c>
      <c r="M1319">
        <v>61292.19</v>
      </c>
      <c r="O1319">
        <v>6</v>
      </c>
      <c r="P1319" t="s">
        <v>2955</v>
      </c>
      <c r="Q1319">
        <v>2</v>
      </c>
      <c r="R1319">
        <v>178</v>
      </c>
      <c r="S1319">
        <v>83.6</v>
      </c>
      <c r="T1319" t="s">
        <v>37</v>
      </c>
      <c r="U1319" s="3"/>
      <c r="V1319" s="3"/>
      <c r="W1319" s="3"/>
    </row>
    <row r="1320" spans="1:23">
      <c r="A1320" t="s">
        <v>2956</v>
      </c>
      <c r="B1320" t="s">
        <v>253</v>
      </c>
      <c r="C1320" t="s">
        <v>206</v>
      </c>
      <c r="D1320" s="2">
        <v>35901</v>
      </c>
      <c r="E1320" s="2">
        <v>45528</v>
      </c>
      <c r="F1320" s="2">
        <v>45537</v>
      </c>
      <c r="G1320" t="s">
        <v>43</v>
      </c>
      <c r="H1320" t="s">
        <v>134</v>
      </c>
      <c r="I1320" t="s">
        <v>25</v>
      </c>
      <c r="J1320" t="s">
        <v>34</v>
      </c>
      <c r="K1320" t="s">
        <v>120</v>
      </c>
      <c r="L1320">
        <v>35937.379999999997</v>
      </c>
      <c r="M1320">
        <v>27774.46</v>
      </c>
      <c r="N1320" t="s">
        <v>35</v>
      </c>
      <c r="O1320">
        <v>9</v>
      </c>
      <c r="P1320">
        <v>19</v>
      </c>
      <c r="Q1320">
        <v>5</v>
      </c>
      <c r="R1320">
        <v>150</v>
      </c>
      <c r="S1320">
        <v>120</v>
      </c>
      <c r="T1320" t="s">
        <v>47</v>
      </c>
      <c r="U1320" s="3"/>
      <c r="V1320" s="3"/>
      <c r="W1320" s="3"/>
    </row>
    <row r="1321" spans="1:23">
      <c r="A1321" t="s">
        <v>2957</v>
      </c>
      <c r="B1321" t="s">
        <v>458</v>
      </c>
      <c r="C1321" t="s">
        <v>22</v>
      </c>
      <c r="D1321" s="2">
        <v>18390</v>
      </c>
      <c r="E1321" s="2">
        <v>45432</v>
      </c>
      <c r="F1321" s="2">
        <v>45444</v>
      </c>
      <c r="G1321" t="s">
        <v>152</v>
      </c>
      <c r="H1321" t="s">
        <v>124</v>
      </c>
      <c r="I1321" t="s">
        <v>79</v>
      </c>
      <c r="K1321" t="s">
        <v>161</v>
      </c>
      <c r="L1321">
        <v>194103.38</v>
      </c>
      <c r="M1321">
        <v>164006.75</v>
      </c>
      <c r="N1321" t="s">
        <v>192</v>
      </c>
      <c r="O1321">
        <v>12</v>
      </c>
      <c r="P1321">
        <v>117</v>
      </c>
      <c r="Q1321">
        <v>5</v>
      </c>
      <c r="R1321">
        <v>106</v>
      </c>
      <c r="S1321">
        <v>201.1</v>
      </c>
      <c r="T1321" t="s">
        <v>37</v>
      </c>
      <c r="U1321" s="3"/>
      <c r="V1321" s="3"/>
      <c r="W1321" s="3"/>
    </row>
    <row r="1322" spans="1:23">
      <c r="A1322" t="s">
        <v>2958</v>
      </c>
      <c r="B1322" t="s">
        <v>159</v>
      </c>
      <c r="C1322" t="s">
        <v>100</v>
      </c>
      <c r="D1322" s="2">
        <v>26039</v>
      </c>
      <c r="E1322" s="2">
        <v>45716</v>
      </c>
      <c r="F1322" s="2">
        <v>45725</v>
      </c>
      <c r="H1322" t="s">
        <v>95</v>
      </c>
      <c r="I1322" t="s">
        <v>45</v>
      </c>
      <c r="K1322" t="s">
        <v>55</v>
      </c>
      <c r="L1322">
        <v>57002.86</v>
      </c>
      <c r="M1322">
        <v>56255.87</v>
      </c>
      <c r="N1322" t="s">
        <v>192</v>
      </c>
      <c r="O1322">
        <v>9</v>
      </c>
      <c r="P1322">
        <v>200</v>
      </c>
      <c r="Q1322">
        <v>5</v>
      </c>
      <c r="R1322" t="s">
        <v>2959</v>
      </c>
      <c r="S1322">
        <v>183.9</v>
      </c>
      <c r="T1322" t="s">
        <v>47</v>
      </c>
      <c r="U1322" s="3"/>
      <c r="V1322" s="3"/>
      <c r="W1322" s="3"/>
    </row>
    <row r="1323" spans="1:23">
      <c r="A1323" t="s">
        <v>2960</v>
      </c>
      <c r="B1323" t="s">
        <v>1590</v>
      </c>
      <c r="C1323" t="s">
        <v>22</v>
      </c>
      <c r="D1323" s="2">
        <v>32797</v>
      </c>
      <c r="E1323" s="2">
        <v>45550</v>
      </c>
      <c r="F1323" t="s">
        <v>2961</v>
      </c>
      <c r="G1323" t="s">
        <v>109</v>
      </c>
      <c r="H1323" t="s">
        <v>153</v>
      </c>
      <c r="J1323" t="s">
        <v>80</v>
      </c>
      <c r="K1323" t="s">
        <v>55</v>
      </c>
      <c r="L1323">
        <v>168810.66</v>
      </c>
      <c r="M1323">
        <v>119793.04</v>
      </c>
      <c r="N1323" t="s">
        <v>35</v>
      </c>
      <c r="O1323">
        <v>15</v>
      </c>
      <c r="P1323">
        <v>123</v>
      </c>
      <c r="Q1323">
        <v>1</v>
      </c>
      <c r="R1323">
        <v>125</v>
      </c>
      <c r="S1323">
        <v>214.6</v>
      </c>
      <c r="T1323" t="s">
        <v>37</v>
      </c>
      <c r="U1323" s="3"/>
      <c r="V1323" s="3"/>
      <c r="W1323" s="3"/>
    </row>
    <row r="1324" spans="1:23">
      <c r="A1324" t="s">
        <v>2962</v>
      </c>
      <c r="B1324" t="s">
        <v>1065</v>
      </c>
      <c r="C1324" t="s">
        <v>156</v>
      </c>
      <c r="D1324" s="2">
        <v>33719</v>
      </c>
      <c r="E1324" s="2">
        <v>45440</v>
      </c>
      <c r="F1324" s="2">
        <v>45441</v>
      </c>
      <c r="G1324" t="s">
        <v>94</v>
      </c>
      <c r="H1324" t="s">
        <v>134</v>
      </c>
      <c r="I1324" t="s">
        <v>33</v>
      </c>
      <c r="J1324" t="s">
        <v>179</v>
      </c>
      <c r="K1324" t="s">
        <v>161</v>
      </c>
      <c r="L1324">
        <v>130924.98</v>
      </c>
      <c r="M1324">
        <v>78574.039999999994</v>
      </c>
      <c r="N1324" t="s">
        <v>192</v>
      </c>
      <c r="O1324">
        <v>1</v>
      </c>
      <c r="P1324">
        <v>212</v>
      </c>
      <c r="Q1324">
        <v>2</v>
      </c>
      <c r="R1324">
        <v>180</v>
      </c>
      <c r="S1324">
        <v>198.1</v>
      </c>
      <c r="T1324" t="s">
        <v>65</v>
      </c>
      <c r="U1324" s="3"/>
      <c r="V1324" s="3"/>
      <c r="W1324" s="3"/>
    </row>
    <row r="1325" spans="1:23">
      <c r="A1325" t="s">
        <v>2963</v>
      </c>
      <c r="B1325" t="s">
        <v>545</v>
      </c>
      <c r="C1325" t="s">
        <v>40</v>
      </c>
      <c r="D1325" s="2">
        <v>34317</v>
      </c>
      <c r="E1325" s="2">
        <v>45133</v>
      </c>
      <c r="F1325" t="s">
        <v>1772</v>
      </c>
      <c r="G1325" t="s">
        <v>77</v>
      </c>
      <c r="H1325" t="s">
        <v>124</v>
      </c>
      <c r="I1325" t="s">
        <v>45</v>
      </c>
      <c r="J1325" t="s">
        <v>34</v>
      </c>
      <c r="K1325" t="s">
        <v>106</v>
      </c>
      <c r="L1325">
        <v>63693.64</v>
      </c>
      <c r="M1325">
        <v>46853.96</v>
      </c>
      <c r="N1325" t="s">
        <v>192</v>
      </c>
      <c r="O1325">
        <v>13</v>
      </c>
      <c r="P1325">
        <v>72</v>
      </c>
      <c r="R1325">
        <v>132</v>
      </c>
      <c r="S1325">
        <v>153.5</v>
      </c>
      <c r="T1325" t="s">
        <v>37</v>
      </c>
      <c r="U1325" s="3"/>
      <c r="V1325" s="3"/>
      <c r="W1325" s="3"/>
    </row>
    <row r="1326" spans="1:23">
      <c r="A1326" t="s">
        <v>2964</v>
      </c>
      <c r="B1326" t="s">
        <v>829</v>
      </c>
      <c r="C1326" t="s">
        <v>40</v>
      </c>
      <c r="D1326" t="s">
        <v>2965</v>
      </c>
      <c r="E1326" t="s">
        <v>2966</v>
      </c>
      <c r="F1326" s="2">
        <v>46037</v>
      </c>
      <c r="G1326" t="s">
        <v>141</v>
      </c>
      <c r="H1326" t="s">
        <v>124</v>
      </c>
      <c r="I1326" t="s">
        <v>96</v>
      </c>
      <c r="K1326" t="s">
        <v>72</v>
      </c>
      <c r="L1326" t="s">
        <v>2967</v>
      </c>
      <c r="M1326">
        <v>154655.12</v>
      </c>
      <c r="N1326" t="s">
        <v>73</v>
      </c>
      <c r="O1326">
        <v>17</v>
      </c>
      <c r="P1326">
        <v>230</v>
      </c>
      <c r="Q1326">
        <v>4</v>
      </c>
      <c r="R1326">
        <v>93</v>
      </c>
      <c r="S1326">
        <v>191.3</v>
      </c>
      <c r="T1326" t="s">
        <v>65</v>
      </c>
      <c r="U1326" s="3"/>
      <c r="V1326" s="3"/>
      <c r="W1326" s="3"/>
    </row>
    <row r="1327" spans="1:23">
      <c r="A1327" t="s">
        <v>2968</v>
      </c>
      <c r="B1327" t="s">
        <v>756</v>
      </c>
      <c r="C1327" t="s">
        <v>40</v>
      </c>
      <c r="D1327" t="s">
        <v>2969</v>
      </c>
      <c r="E1327" s="2">
        <v>45753</v>
      </c>
      <c r="H1327" t="s">
        <v>255</v>
      </c>
      <c r="I1327" t="s">
        <v>79</v>
      </c>
      <c r="K1327" t="s">
        <v>55</v>
      </c>
      <c r="L1327">
        <v>209065.77</v>
      </c>
      <c r="M1327">
        <v>180681.12</v>
      </c>
      <c r="N1327" t="s">
        <v>35</v>
      </c>
      <c r="O1327">
        <v>16</v>
      </c>
      <c r="P1327">
        <v>221</v>
      </c>
      <c r="Q1327">
        <v>2</v>
      </c>
      <c r="R1327">
        <v>124</v>
      </c>
      <c r="S1327">
        <v>212.4</v>
      </c>
      <c r="T1327" t="s">
        <v>37</v>
      </c>
      <c r="U1327" s="3"/>
      <c r="V1327" s="3"/>
      <c r="W1327" s="3"/>
    </row>
    <row r="1328" spans="1:23">
      <c r="A1328" t="s">
        <v>2970</v>
      </c>
      <c r="B1328" t="s">
        <v>1460</v>
      </c>
      <c r="C1328" t="s">
        <v>133</v>
      </c>
      <c r="D1328" s="2">
        <v>28779</v>
      </c>
      <c r="E1328" s="2">
        <v>45252</v>
      </c>
      <c r="F1328" s="2">
        <v>45266</v>
      </c>
      <c r="G1328" t="s">
        <v>62</v>
      </c>
      <c r="H1328" t="s">
        <v>124</v>
      </c>
      <c r="I1328" t="s">
        <v>119</v>
      </c>
      <c r="J1328" t="s">
        <v>71</v>
      </c>
      <c r="K1328" t="s">
        <v>72</v>
      </c>
      <c r="L1328">
        <v>40582.53</v>
      </c>
      <c r="M1328">
        <v>37449.24</v>
      </c>
      <c r="N1328" t="s">
        <v>192</v>
      </c>
      <c r="O1328">
        <v>14</v>
      </c>
      <c r="P1328">
        <v>71</v>
      </c>
      <c r="R1328">
        <v>163</v>
      </c>
      <c r="S1328">
        <v>226.3</v>
      </c>
      <c r="T1328" t="s">
        <v>37</v>
      </c>
      <c r="U1328" s="3"/>
      <c r="V1328" s="3"/>
      <c r="W1328" s="3"/>
    </row>
    <row r="1329" spans="1:23">
      <c r="A1329" t="s">
        <v>2971</v>
      </c>
      <c r="B1329" t="s">
        <v>247</v>
      </c>
      <c r="C1329" t="s">
        <v>50</v>
      </c>
      <c r="D1329" t="s">
        <v>2972</v>
      </c>
      <c r="E1329" s="2">
        <v>45425</v>
      </c>
      <c r="F1329" s="2">
        <v>45441</v>
      </c>
      <c r="G1329" t="s">
        <v>152</v>
      </c>
      <c r="I1329" t="s">
        <v>119</v>
      </c>
      <c r="J1329" t="s">
        <v>80</v>
      </c>
      <c r="K1329" t="s">
        <v>120</v>
      </c>
      <c r="L1329">
        <v>243544.92</v>
      </c>
      <c r="M1329">
        <v>188124.76</v>
      </c>
      <c r="N1329" t="s">
        <v>106</v>
      </c>
      <c r="O1329">
        <v>16</v>
      </c>
      <c r="P1329">
        <v>95</v>
      </c>
      <c r="Q1329">
        <v>1</v>
      </c>
      <c r="R1329">
        <v>145</v>
      </c>
      <c r="T1329" t="s">
        <v>37</v>
      </c>
      <c r="U1329" s="3"/>
      <c r="V1329" s="3"/>
      <c r="W1329" s="3"/>
    </row>
    <row r="1330" spans="1:23">
      <c r="A1330" t="s">
        <v>2973</v>
      </c>
      <c r="B1330" t="s">
        <v>898</v>
      </c>
      <c r="C1330" t="s">
        <v>30</v>
      </c>
      <c r="D1330" t="s">
        <v>2974</v>
      </c>
      <c r="E1330" s="2">
        <v>45528</v>
      </c>
      <c r="F1330" s="2">
        <v>45532</v>
      </c>
      <c r="G1330" t="s">
        <v>161</v>
      </c>
      <c r="I1330" t="s">
        <v>79</v>
      </c>
      <c r="J1330" t="s">
        <v>34</v>
      </c>
      <c r="K1330" t="s">
        <v>120</v>
      </c>
      <c r="L1330">
        <v>117549.94</v>
      </c>
      <c r="M1330">
        <v>99222.62</v>
      </c>
      <c r="N1330" t="s">
        <v>106</v>
      </c>
      <c r="O1330">
        <v>4</v>
      </c>
      <c r="P1330">
        <v>5</v>
      </c>
      <c r="R1330">
        <v>104</v>
      </c>
      <c r="S1330">
        <v>258.2</v>
      </c>
      <c r="T1330" t="s">
        <v>37</v>
      </c>
      <c r="U1330" s="3"/>
      <c r="V1330" s="3"/>
      <c r="W1330" s="3"/>
    </row>
    <row r="1331" spans="1:23">
      <c r="A1331" t="s">
        <v>2975</v>
      </c>
      <c r="B1331" t="s">
        <v>604</v>
      </c>
      <c r="C1331" t="s">
        <v>133</v>
      </c>
      <c r="D1331" s="2">
        <v>34461</v>
      </c>
      <c r="E1331" t="s">
        <v>2976</v>
      </c>
      <c r="F1331" s="2">
        <v>45993</v>
      </c>
      <c r="G1331" t="s">
        <v>411</v>
      </c>
      <c r="H1331" t="s">
        <v>153</v>
      </c>
      <c r="I1331" t="s">
        <v>79</v>
      </c>
      <c r="J1331" t="s">
        <v>34</v>
      </c>
      <c r="K1331" t="s">
        <v>120</v>
      </c>
      <c r="L1331">
        <v>100915.72</v>
      </c>
      <c r="M1331">
        <v>96319.6</v>
      </c>
      <c r="N1331" t="s">
        <v>91</v>
      </c>
      <c r="O1331">
        <v>18</v>
      </c>
      <c r="P1331">
        <v>117</v>
      </c>
      <c r="Q1331">
        <v>1</v>
      </c>
      <c r="R1331">
        <v>108</v>
      </c>
      <c r="S1331">
        <v>210.3</v>
      </c>
      <c r="T1331" t="s">
        <v>65</v>
      </c>
      <c r="U1331" s="3"/>
      <c r="V1331" s="3"/>
      <c r="W1331" s="3"/>
    </row>
    <row r="1332" spans="1:23">
      <c r="A1332" t="s">
        <v>2977</v>
      </c>
      <c r="B1332" t="s">
        <v>752</v>
      </c>
      <c r="C1332" t="s">
        <v>22</v>
      </c>
      <c r="D1332" s="2">
        <v>27258</v>
      </c>
      <c r="E1332" s="2">
        <v>45249</v>
      </c>
      <c r="F1332" s="2">
        <v>45251</v>
      </c>
      <c r="G1332" t="s">
        <v>43</v>
      </c>
      <c r="H1332" t="s">
        <v>118</v>
      </c>
      <c r="J1332" t="s">
        <v>34</v>
      </c>
      <c r="K1332" t="s">
        <v>120</v>
      </c>
      <c r="L1332">
        <v>174191.91</v>
      </c>
      <c r="M1332">
        <v>138671</v>
      </c>
      <c r="N1332" t="s">
        <v>192</v>
      </c>
      <c r="O1332">
        <v>2</v>
      </c>
      <c r="P1332">
        <v>208</v>
      </c>
      <c r="Q1332">
        <v>5</v>
      </c>
      <c r="R1332" t="s">
        <v>2430</v>
      </c>
      <c r="S1332">
        <v>196</v>
      </c>
      <c r="T1332" t="s">
        <v>47</v>
      </c>
      <c r="U1332" s="3"/>
      <c r="V1332" s="3"/>
      <c r="W1332" s="3"/>
    </row>
    <row r="1333" spans="1:23">
      <c r="A1333" t="s">
        <v>2978</v>
      </c>
      <c r="B1333" t="s">
        <v>444</v>
      </c>
      <c r="C1333" t="s">
        <v>206</v>
      </c>
      <c r="D1333" s="2">
        <v>28317</v>
      </c>
      <c r="E1333" s="2">
        <v>45513</v>
      </c>
      <c r="F1333" t="s">
        <v>2979</v>
      </c>
      <c r="G1333" t="s">
        <v>31</v>
      </c>
      <c r="H1333" t="s">
        <v>113</v>
      </c>
      <c r="I1333" t="s">
        <v>53</v>
      </c>
      <c r="J1333" t="s">
        <v>71</v>
      </c>
      <c r="K1333" t="s">
        <v>110</v>
      </c>
      <c r="L1333">
        <v>41301.129999999997</v>
      </c>
      <c r="N1333" t="s">
        <v>91</v>
      </c>
      <c r="O1333">
        <v>1</v>
      </c>
      <c r="P1333">
        <v>225</v>
      </c>
      <c r="Q1333">
        <v>4</v>
      </c>
      <c r="R1333">
        <v>162</v>
      </c>
      <c r="S1333">
        <v>122.7</v>
      </c>
      <c r="T1333" t="s">
        <v>65</v>
      </c>
      <c r="U1333" s="3"/>
      <c r="V1333" s="3"/>
      <c r="W1333" s="3"/>
    </row>
    <row r="1334" spans="1:23">
      <c r="A1334" t="s">
        <v>2980</v>
      </c>
      <c r="B1334" t="s">
        <v>587</v>
      </c>
      <c r="C1334" t="s">
        <v>50</v>
      </c>
      <c r="D1334" s="2">
        <v>28586</v>
      </c>
      <c r="E1334" s="2">
        <v>45164</v>
      </c>
      <c r="F1334" s="2">
        <v>45172</v>
      </c>
      <c r="G1334" t="s">
        <v>70</v>
      </c>
      <c r="H1334" t="s">
        <v>32</v>
      </c>
      <c r="J1334" t="s">
        <v>71</v>
      </c>
      <c r="K1334" t="s">
        <v>72</v>
      </c>
      <c r="L1334" t="s">
        <v>2981</v>
      </c>
      <c r="M1334">
        <v>67217.240000000005</v>
      </c>
      <c r="N1334" t="s">
        <v>73</v>
      </c>
      <c r="O1334" t="s">
        <v>236</v>
      </c>
      <c r="P1334">
        <v>33</v>
      </c>
      <c r="Q1334">
        <v>5</v>
      </c>
      <c r="R1334">
        <v>105</v>
      </c>
      <c r="S1334">
        <v>75.7</v>
      </c>
      <c r="T1334" t="s">
        <v>37</v>
      </c>
      <c r="U1334" s="3"/>
      <c r="V1334" s="3"/>
      <c r="W1334" s="3"/>
    </row>
    <row r="1335" spans="1:23">
      <c r="A1335" t="s">
        <v>2982</v>
      </c>
      <c r="B1335" t="s">
        <v>806</v>
      </c>
      <c r="C1335" t="s">
        <v>60</v>
      </c>
      <c r="D1335" t="s">
        <v>2983</v>
      </c>
      <c r="E1335" s="2">
        <v>45815</v>
      </c>
      <c r="F1335" s="2">
        <v>45821</v>
      </c>
      <c r="G1335" t="s">
        <v>105</v>
      </c>
      <c r="H1335" t="s">
        <v>95</v>
      </c>
      <c r="I1335" t="s">
        <v>79</v>
      </c>
      <c r="K1335" t="s">
        <v>72</v>
      </c>
      <c r="L1335" t="s">
        <v>2984</v>
      </c>
      <c r="M1335">
        <v>29219.85</v>
      </c>
      <c r="N1335" t="s">
        <v>73</v>
      </c>
      <c r="O1335">
        <v>6</v>
      </c>
      <c r="P1335">
        <v>115</v>
      </c>
      <c r="Q1335">
        <v>1</v>
      </c>
      <c r="R1335">
        <v>94</v>
      </c>
      <c r="S1335">
        <v>142.69999999999999</v>
      </c>
      <c r="T1335" t="s">
        <v>47</v>
      </c>
      <c r="U1335" s="3"/>
      <c r="V1335" s="3"/>
      <c r="W1335" s="3"/>
    </row>
    <row r="1336" spans="1:23">
      <c r="A1336" t="s">
        <v>2985</v>
      </c>
      <c r="B1336" t="s">
        <v>2393</v>
      </c>
      <c r="C1336" t="s">
        <v>84</v>
      </c>
      <c r="D1336" t="s">
        <v>2986</v>
      </c>
      <c r="E1336" t="s">
        <v>2987</v>
      </c>
      <c r="F1336" s="2">
        <v>45376</v>
      </c>
      <c r="G1336" t="s">
        <v>62</v>
      </c>
      <c r="H1336" t="s">
        <v>32</v>
      </c>
      <c r="I1336" t="s">
        <v>45</v>
      </c>
      <c r="J1336" t="s">
        <v>663</v>
      </c>
      <c r="K1336" t="s">
        <v>55</v>
      </c>
      <c r="L1336">
        <v>191894.73</v>
      </c>
      <c r="M1336">
        <v>180797.54</v>
      </c>
      <c r="O1336">
        <v>3</v>
      </c>
      <c r="P1336">
        <v>90</v>
      </c>
      <c r="R1336">
        <v>172</v>
      </c>
      <c r="S1336">
        <v>73.8</v>
      </c>
      <c r="T1336" t="s">
        <v>37</v>
      </c>
      <c r="U1336" s="3"/>
      <c r="V1336" s="3"/>
      <c r="W1336" s="3"/>
    </row>
    <row r="1337" spans="1:23">
      <c r="A1337" t="s">
        <v>2988</v>
      </c>
      <c r="B1337" t="s">
        <v>768</v>
      </c>
      <c r="C1337" t="s">
        <v>50</v>
      </c>
      <c r="D1337" t="s">
        <v>2989</v>
      </c>
      <c r="E1337" t="s">
        <v>2990</v>
      </c>
      <c r="F1337" s="2">
        <v>45221</v>
      </c>
      <c r="G1337" t="s">
        <v>902</v>
      </c>
      <c r="H1337" t="s">
        <v>44</v>
      </c>
      <c r="J1337" t="s">
        <v>179</v>
      </c>
      <c r="L1337">
        <v>186011.85</v>
      </c>
      <c r="M1337">
        <v>121947.64</v>
      </c>
      <c r="N1337" t="s">
        <v>192</v>
      </c>
      <c r="O1337">
        <v>5</v>
      </c>
      <c r="P1337">
        <v>5</v>
      </c>
      <c r="Q1337">
        <v>2</v>
      </c>
      <c r="R1337">
        <v>124</v>
      </c>
      <c r="S1337">
        <v>170.3</v>
      </c>
      <c r="T1337" t="s">
        <v>37</v>
      </c>
      <c r="U1337" s="3"/>
      <c r="V1337" s="3"/>
      <c r="W1337" s="3"/>
    </row>
    <row r="1338" spans="1:23">
      <c r="A1338" t="s">
        <v>2991</v>
      </c>
      <c r="B1338" t="s">
        <v>1464</v>
      </c>
      <c r="C1338" t="s">
        <v>40</v>
      </c>
      <c r="D1338" t="s">
        <v>2992</v>
      </c>
      <c r="E1338" s="2">
        <v>45982</v>
      </c>
      <c r="F1338" t="s">
        <v>2993</v>
      </c>
      <c r="G1338" t="s">
        <v>117</v>
      </c>
      <c r="H1338" t="s">
        <v>86</v>
      </c>
      <c r="I1338" t="s">
        <v>25</v>
      </c>
      <c r="J1338" t="s">
        <v>179</v>
      </c>
      <c r="K1338" t="s">
        <v>120</v>
      </c>
      <c r="L1338">
        <v>131495.92000000001</v>
      </c>
      <c r="M1338">
        <v>104813.97</v>
      </c>
      <c r="N1338" t="s">
        <v>35</v>
      </c>
      <c r="O1338">
        <v>4</v>
      </c>
      <c r="P1338">
        <v>143</v>
      </c>
      <c r="Q1338">
        <v>1</v>
      </c>
      <c r="R1338">
        <v>132</v>
      </c>
      <c r="S1338">
        <v>232</v>
      </c>
      <c r="T1338" t="s">
        <v>37</v>
      </c>
      <c r="U1338" s="3"/>
      <c r="V1338" s="3"/>
      <c r="W1338" s="3"/>
    </row>
    <row r="1339" spans="1:23">
      <c r="A1339" t="s">
        <v>2994</v>
      </c>
      <c r="B1339" t="s">
        <v>1364</v>
      </c>
      <c r="C1339" t="s">
        <v>30</v>
      </c>
      <c r="D1339" s="2">
        <v>40520</v>
      </c>
      <c r="E1339" s="2">
        <v>45625</v>
      </c>
      <c r="F1339" t="s">
        <v>2995</v>
      </c>
      <c r="G1339" t="s">
        <v>141</v>
      </c>
      <c r="H1339" t="s">
        <v>134</v>
      </c>
      <c r="I1339" t="s">
        <v>25</v>
      </c>
      <c r="J1339" t="s">
        <v>97</v>
      </c>
      <c r="K1339" t="s">
        <v>55</v>
      </c>
      <c r="L1339">
        <v>240454.05</v>
      </c>
      <c r="M1339">
        <v>240428.81</v>
      </c>
      <c r="N1339" t="s">
        <v>192</v>
      </c>
      <c r="O1339">
        <v>17</v>
      </c>
      <c r="P1339">
        <v>29</v>
      </c>
      <c r="Q1339">
        <v>4</v>
      </c>
      <c r="R1339">
        <v>179</v>
      </c>
      <c r="S1339">
        <v>148.80000000000001</v>
      </c>
      <c r="T1339" t="s">
        <v>127</v>
      </c>
      <c r="U1339" s="3"/>
      <c r="V1339" s="3"/>
      <c r="W1339" s="3"/>
    </row>
    <row r="1340" spans="1:23">
      <c r="A1340" t="s">
        <v>2996</v>
      </c>
      <c r="B1340" t="s">
        <v>385</v>
      </c>
      <c r="C1340" t="s">
        <v>40</v>
      </c>
      <c r="D1340" t="s">
        <v>2997</v>
      </c>
      <c r="E1340" t="s">
        <v>2998</v>
      </c>
      <c r="F1340" s="2">
        <v>45654</v>
      </c>
      <c r="G1340" t="s">
        <v>43</v>
      </c>
      <c r="H1340" t="s">
        <v>78</v>
      </c>
      <c r="I1340" t="s">
        <v>53</v>
      </c>
      <c r="J1340" t="s">
        <v>179</v>
      </c>
      <c r="K1340" t="s">
        <v>120</v>
      </c>
      <c r="L1340">
        <v>115616.7</v>
      </c>
      <c r="M1340">
        <v>102502.09</v>
      </c>
      <c r="N1340" t="s">
        <v>73</v>
      </c>
      <c r="O1340">
        <v>17</v>
      </c>
      <c r="P1340">
        <v>215</v>
      </c>
      <c r="R1340">
        <v>190</v>
      </c>
      <c r="S1340">
        <v>229.4</v>
      </c>
      <c r="T1340" t="s">
        <v>37</v>
      </c>
      <c r="U1340" s="3"/>
      <c r="V1340" s="3"/>
      <c r="W1340" s="3"/>
    </row>
    <row r="1341" spans="1:23">
      <c r="A1341" t="s">
        <v>2999</v>
      </c>
      <c r="B1341" t="s">
        <v>697</v>
      </c>
      <c r="C1341" t="s">
        <v>40</v>
      </c>
      <c r="D1341" s="2">
        <v>35989</v>
      </c>
      <c r="E1341" s="2">
        <v>45652</v>
      </c>
      <c r="F1341" t="s">
        <v>3000</v>
      </c>
      <c r="G1341" t="s">
        <v>89</v>
      </c>
      <c r="H1341" t="s">
        <v>113</v>
      </c>
      <c r="I1341" t="s">
        <v>33</v>
      </c>
      <c r="J1341" t="s">
        <v>80</v>
      </c>
      <c r="K1341" t="s">
        <v>161</v>
      </c>
      <c r="L1341">
        <v>8118.15</v>
      </c>
      <c r="M1341">
        <v>6481.35</v>
      </c>
      <c r="N1341" t="s">
        <v>192</v>
      </c>
      <c r="O1341">
        <v>16</v>
      </c>
      <c r="P1341">
        <v>222</v>
      </c>
      <c r="Q1341">
        <v>1</v>
      </c>
      <c r="R1341">
        <v>128</v>
      </c>
      <c r="S1341">
        <v>114.7</v>
      </c>
      <c r="T1341" t="s">
        <v>57</v>
      </c>
      <c r="U1341" s="3"/>
      <c r="V1341" s="3"/>
      <c r="W1341" s="3"/>
    </row>
    <row r="1342" spans="1:23">
      <c r="A1342" t="s">
        <v>3001</v>
      </c>
      <c r="B1342" t="s">
        <v>241</v>
      </c>
      <c r="C1342" t="s">
        <v>60</v>
      </c>
      <c r="D1342" s="2">
        <v>38078</v>
      </c>
      <c r="E1342" s="2">
        <v>45893</v>
      </c>
      <c r="F1342" t="s">
        <v>3002</v>
      </c>
      <c r="G1342" t="s">
        <v>31</v>
      </c>
      <c r="H1342" t="s">
        <v>95</v>
      </c>
      <c r="J1342" t="s">
        <v>34</v>
      </c>
      <c r="L1342" t="s">
        <v>3003</v>
      </c>
      <c r="M1342">
        <v>53995.83</v>
      </c>
      <c r="N1342" t="s">
        <v>73</v>
      </c>
      <c r="O1342">
        <v>5</v>
      </c>
      <c r="P1342">
        <v>233</v>
      </c>
      <c r="Q1342">
        <v>4</v>
      </c>
      <c r="R1342">
        <v>175</v>
      </c>
      <c r="S1342">
        <v>234.6</v>
      </c>
      <c r="T1342" t="s">
        <v>65</v>
      </c>
      <c r="U1342" s="3"/>
      <c r="V1342" s="3"/>
      <c r="W1342" s="3"/>
    </row>
    <row r="1343" spans="1:23">
      <c r="A1343" t="s">
        <v>3004</v>
      </c>
      <c r="B1343" t="s">
        <v>390</v>
      </c>
      <c r="C1343" t="s">
        <v>100</v>
      </c>
      <c r="D1343" s="2">
        <v>26805</v>
      </c>
      <c r="E1343" s="2">
        <v>45498</v>
      </c>
      <c r="F1343" t="s">
        <v>3005</v>
      </c>
      <c r="G1343" t="s">
        <v>77</v>
      </c>
      <c r="H1343" t="s">
        <v>95</v>
      </c>
      <c r="I1343" t="s">
        <v>119</v>
      </c>
      <c r="K1343" t="s">
        <v>27</v>
      </c>
      <c r="L1343">
        <v>137567.10999999999</v>
      </c>
      <c r="M1343">
        <v>91309.59</v>
      </c>
      <c r="N1343" t="s">
        <v>409</v>
      </c>
      <c r="O1343">
        <v>5</v>
      </c>
      <c r="P1343">
        <v>49</v>
      </c>
      <c r="Q1343">
        <v>1</v>
      </c>
      <c r="R1343">
        <v>145</v>
      </c>
      <c r="S1343">
        <v>186.3</v>
      </c>
      <c r="T1343" t="s">
        <v>65</v>
      </c>
      <c r="U1343" s="3"/>
      <c r="V1343" s="3"/>
      <c r="W1343" s="3"/>
    </row>
    <row r="1344" spans="1:23">
      <c r="A1344" t="s">
        <v>3006</v>
      </c>
      <c r="B1344" t="s">
        <v>850</v>
      </c>
      <c r="C1344" t="s">
        <v>60</v>
      </c>
      <c r="D1344" s="2">
        <v>29380</v>
      </c>
      <c r="E1344" t="s">
        <v>821</v>
      </c>
      <c r="F1344" s="2">
        <v>45451</v>
      </c>
      <c r="G1344" t="s">
        <v>117</v>
      </c>
      <c r="I1344" t="s">
        <v>119</v>
      </c>
      <c r="J1344" t="s">
        <v>46</v>
      </c>
      <c r="K1344" t="s">
        <v>191</v>
      </c>
      <c r="L1344">
        <v>159608.23000000001</v>
      </c>
      <c r="M1344">
        <v>144123.5</v>
      </c>
      <c r="N1344" t="s">
        <v>35</v>
      </c>
      <c r="O1344">
        <v>4</v>
      </c>
      <c r="P1344">
        <v>215</v>
      </c>
      <c r="Q1344">
        <v>1</v>
      </c>
      <c r="R1344">
        <v>110</v>
      </c>
      <c r="T1344" t="s">
        <v>47</v>
      </c>
      <c r="U1344" s="3"/>
      <c r="V1344" s="3"/>
      <c r="W1344" s="3"/>
    </row>
    <row r="1345" spans="1:23">
      <c r="A1345" t="s">
        <v>3007</v>
      </c>
      <c r="B1345" t="s">
        <v>116</v>
      </c>
      <c r="C1345" t="s">
        <v>816</v>
      </c>
      <c r="D1345" s="2">
        <v>28970</v>
      </c>
      <c r="E1345" s="2">
        <v>45674</v>
      </c>
      <c r="F1345" t="s">
        <v>3008</v>
      </c>
      <c r="H1345" t="s">
        <v>113</v>
      </c>
      <c r="I1345" t="s">
        <v>96</v>
      </c>
      <c r="J1345" t="s">
        <v>80</v>
      </c>
      <c r="K1345" t="s">
        <v>449</v>
      </c>
      <c r="L1345">
        <v>156268.01</v>
      </c>
      <c r="M1345">
        <v>144219.01</v>
      </c>
      <c r="N1345" t="s">
        <v>192</v>
      </c>
      <c r="O1345">
        <v>7</v>
      </c>
      <c r="P1345">
        <v>52</v>
      </c>
      <c r="Q1345">
        <v>4</v>
      </c>
      <c r="R1345">
        <v>184</v>
      </c>
      <c r="S1345">
        <v>203</v>
      </c>
      <c r="T1345" t="s">
        <v>37</v>
      </c>
      <c r="U1345" s="3"/>
      <c r="V1345" s="3"/>
      <c r="W1345" s="3"/>
    </row>
    <row r="1346" spans="1:23">
      <c r="A1346" t="s">
        <v>3009</v>
      </c>
      <c r="B1346" t="s">
        <v>241</v>
      </c>
      <c r="C1346" t="s">
        <v>133</v>
      </c>
      <c r="D1346" s="2">
        <v>34733</v>
      </c>
      <c r="E1346" s="2">
        <v>45052</v>
      </c>
      <c r="G1346" t="s">
        <v>94</v>
      </c>
      <c r="H1346" t="s">
        <v>95</v>
      </c>
      <c r="I1346" t="s">
        <v>96</v>
      </c>
      <c r="J1346" t="s">
        <v>80</v>
      </c>
      <c r="K1346" t="s">
        <v>72</v>
      </c>
      <c r="L1346" t="s">
        <v>3010</v>
      </c>
      <c r="M1346">
        <v>125933.41</v>
      </c>
      <c r="O1346">
        <v>10</v>
      </c>
      <c r="P1346">
        <v>9</v>
      </c>
      <c r="Q1346">
        <v>2</v>
      </c>
      <c r="R1346" t="s">
        <v>3011</v>
      </c>
      <c r="S1346">
        <v>173.8</v>
      </c>
      <c r="T1346" t="s">
        <v>37</v>
      </c>
      <c r="U1346" s="3"/>
      <c r="V1346" s="3"/>
      <c r="W1346" s="3"/>
    </row>
    <row r="1347" spans="1:23">
      <c r="A1347" t="s">
        <v>3012</v>
      </c>
      <c r="B1347" t="s">
        <v>2075</v>
      </c>
      <c r="C1347" t="s">
        <v>50</v>
      </c>
      <c r="D1347" s="2">
        <v>38945</v>
      </c>
      <c r="E1347" s="2">
        <v>45850</v>
      </c>
      <c r="F1347" t="s">
        <v>3013</v>
      </c>
      <c r="G1347" t="s">
        <v>109</v>
      </c>
      <c r="H1347" t="s">
        <v>1012</v>
      </c>
      <c r="J1347" t="s">
        <v>46</v>
      </c>
      <c r="K1347" t="s">
        <v>161</v>
      </c>
      <c r="L1347">
        <v>14355.62</v>
      </c>
      <c r="M1347">
        <v>12884.32</v>
      </c>
      <c r="N1347" t="s">
        <v>56</v>
      </c>
      <c r="O1347">
        <v>6</v>
      </c>
      <c r="P1347">
        <v>138</v>
      </c>
      <c r="R1347">
        <v>134</v>
      </c>
      <c r="S1347">
        <v>105.5</v>
      </c>
      <c r="T1347" t="s">
        <v>81</v>
      </c>
      <c r="U1347" s="3"/>
      <c r="V1347" s="3"/>
      <c r="W1347" s="3"/>
    </row>
    <row r="1348" spans="1:23">
      <c r="A1348" t="s">
        <v>3014</v>
      </c>
      <c r="B1348" t="s">
        <v>3015</v>
      </c>
      <c r="C1348" t="s">
        <v>816</v>
      </c>
      <c r="D1348" s="2">
        <v>22306</v>
      </c>
      <c r="E1348" s="2">
        <v>45511</v>
      </c>
      <c r="F1348" t="s">
        <v>3016</v>
      </c>
      <c r="G1348" t="s">
        <v>31</v>
      </c>
      <c r="H1348" t="s">
        <v>113</v>
      </c>
      <c r="I1348" t="s">
        <v>45</v>
      </c>
      <c r="J1348" t="s">
        <v>46</v>
      </c>
      <c r="K1348" t="s">
        <v>110</v>
      </c>
      <c r="L1348">
        <v>166688.26</v>
      </c>
      <c r="M1348">
        <v>119013.72</v>
      </c>
      <c r="N1348" t="s">
        <v>91</v>
      </c>
      <c r="O1348">
        <v>15</v>
      </c>
      <c r="P1348" t="s">
        <v>3017</v>
      </c>
      <c r="R1348">
        <v>97</v>
      </c>
      <c r="S1348">
        <v>237.3</v>
      </c>
      <c r="T1348" t="s">
        <v>37</v>
      </c>
      <c r="U1348" s="3"/>
      <c r="V1348" s="3"/>
      <c r="W1348" s="3"/>
    </row>
    <row r="1349" spans="1:23">
      <c r="A1349" t="s">
        <v>3018</v>
      </c>
      <c r="B1349" t="s">
        <v>433</v>
      </c>
      <c r="C1349" t="s">
        <v>22</v>
      </c>
      <c r="D1349" s="2">
        <v>28109</v>
      </c>
      <c r="E1349" s="2">
        <v>45853</v>
      </c>
      <c r="F1349" s="2">
        <v>45870</v>
      </c>
      <c r="G1349" t="s">
        <v>161</v>
      </c>
      <c r="H1349" t="s">
        <v>95</v>
      </c>
      <c r="I1349" t="s">
        <v>79</v>
      </c>
      <c r="J1349" t="s">
        <v>80</v>
      </c>
      <c r="K1349" t="s">
        <v>72</v>
      </c>
      <c r="L1349">
        <v>180100.88</v>
      </c>
      <c r="M1349">
        <v>149389.1</v>
      </c>
      <c r="N1349" t="s">
        <v>56</v>
      </c>
      <c r="O1349">
        <v>17</v>
      </c>
      <c r="P1349">
        <v>228</v>
      </c>
      <c r="Q1349">
        <v>4</v>
      </c>
      <c r="R1349">
        <v>163</v>
      </c>
      <c r="S1349">
        <v>131.9</v>
      </c>
      <c r="U1349" s="3"/>
      <c r="V1349" s="3"/>
      <c r="W1349" s="3"/>
    </row>
    <row r="1350" spans="1:23">
      <c r="A1350" t="s">
        <v>3019</v>
      </c>
      <c r="B1350" t="s">
        <v>1167</v>
      </c>
      <c r="D1350" t="s">
        <v>3020</v>
      </c>
      <c r="E1350" s="2">
        <v>45939</v>
      </c>
      <c r="F1350" s="2">
        <v>45955</v>
      </c>
      <c r="G1350" t="s">
        <v>62</v>
      </c>
      <c r="H1350" t="s">
        <v>1783</v>
      </c>
      <c r="I1350" t="s">
        <v>45</v>
      </c>
      <c r="J1350" t="s">
        <v>64</v>
      </c>
      <c r="L1350">
        <v>229029.82</v>
      </c>
      <c r="M1350">
        <v>167729.91</v>
      </c>
      <c r="O1350">
        <v>16</v>
      </c>
      <c r="Q1350">
        <v>5</v>
      </c>
      <c r="R1350">
        <v>127</v>
      </c>
      <c r="S1350">
        <v>215.5</v>
      </c>
      <c r="T1350" t="s">
        <v>37</v>
      </c>
      <c r="U1350" s="3"/>
      <c r="V1350" s="3"/>
      <c r="W1350" s="3"/>
    </row>
    <row r="1351" spans="1:23">
      <c r="A1351" t="s">
        <v>3021</v>
      </c>
      <c r="B1351" t="s">
        <v>427</v>
      </c>
      <c r="C1351" t="s">
        <v>133</v>
      </c>
      <c r="D1351" s="2">
        <v>20798</v>
      </c>
      <c r="E1351" s="2">
        <v>45291</v>
      </c>
      <c r="F1351" s="2">
        <v>45308</v>
      </c>
      <c r="G1351" t="s">
        <v>141</v>
      </c>
      <c r="H1351" t="s">
        <v>134</v>
      </c>
      <c r="I1351" t="s">
        <v>25</v>
      </c>
      <c r="J1351" t="s">
        <v>34</v>
      </c>
      <c r="K1351" t="s">
        <v>55</v>
      </c>
      <c r="M1351">
        <v>37912.04</v>
      </c>
      <c r="N1351" t="s">
        <v>35</v>
      </c>
      <c r="O1351">
        <v>17</v>
      </c>
      <c r="Q1351">
        <v>5</v>
      </c>
      <c r="R1351">
        <v>103</v>
      </c>
      <c r="S1351">
        <v>118.1</v>
      </c>
      <c r="T1351" t="s">
        <v>57</v>
      </c>
      <c r="U1351" s="3"/>
      <c r="V1351" s="3"/>
      <c r="W1351" s="3"/>
    </row>
    <row r="1352" spans="1:23">
      <c r="A1352" t="s">
        <v>3022</v>
      </c>
      <c r="B1352" t="s">
        <v>1563</v>
      </c>
      <c r="C1352" t="s">
        <v>206</v>
      </c>
      <c r="D1352" s="2">
        <v>39150</v>
      </c>
      <c r="E1352" t="s">
        <v>3023</v>
      </c>
      <c r="F1352" t="s">
        <v>3024</v>
      </c>
      <c r="G1352" t="s">
        <v>141</v>
      </c>
      <c r="H1352" t="s">
        <v>113</v>
      </c>
      <c r="I1352" t="s">
        <v>96</v>
      </c>
      <c r="K1352" t="s">
        <v>55</v>
      </c>
      <c r="L1352">
        <v>239754.63</v>
      </c>
      <c r="M1352">
        <v>183323.04</v>
      </c>
      <c r="N1352" t="s">
        <v>91</v>
      </c>
      <c r="O1352">
        <v>6</v>
      </c>
      <c r="P1352">
        <v>173</v>
      </c>
      <c r="Q1352">
        <v>3</v>
      </c>
      <c r="R1352">
        <v>169</v>
      </c>
      <c r="S1352">
        <v>126.5</v>
      </c>
      <c r="T1352" t="s">
        <v>37</v>
      </c>
      <c r="U1352" s="3"/>
      <c r="V1352" s="3"/>
      <c r="W1352" s="3"/>
    </row>
    <row r="1353" spans="1:23">
      <c r="A1353" t="s">
        <v>3025</v>
      </c>
      <c r="B1353" t="s">
        <v>295</v>
      </c>
      <c r="C1353" t="s">
        <v>100</v>
      </c>
      <c r="D1353" s="2">
        <v>25672</v>
      </c>
      <c r="E1353" s="2">
        <v>45875</v>
      </c>
      <c r="F1353" s="2">
        <v>45887</v>
      </c>
      <c r="G1353" t="s">
        <v>141</v>
      </c>
      <c r="H1353" t="s">
        <v>32</v>
      </c>
      <c r="J1353" t="s">
        <v>34</v>
      </c>
      <c r="K1353" t="s">
        <v>55</v>
      </c>
      <c r="L1353">
        <v>55137.279999999999</v>
      </c>
      <c r="M1353">
        <v>43872.13</v>
      </c>
      <c r="N1353" t="s">
        <v>73</v>
      </c>
      <c r="O1353">
        <v>12</v>
      </c>
      <c r="Q1353">
        <v>4</v>
      </c>
      <c r="R1353">
        <v>188</v>
      </c>
      <c r="S1353">
        <v>133.6</v>
      </c>
      <c r="T1353" t="s">
        <v>37</v>
      </c>
      <c r="U1353" s="3"/>
      <c r="V1353" s="3"/>
      <c r="W1353" s="3"/>
    </row>
    <row r="1354" spans="1:23">
      <c r="A1354" t="s">
        <v>3026</v>
      </c>
      <c r="B1354" t="s">
        <v>895</v>
      </c>
      <c r="C1354" t="s">
        <v>84</v>
      </c>
      <c r="D1354" s="2">
        <v>18812</v>
      </c>
      <c r="E1354" s="2">
        <v>44999</v>
      </c>
      <c r="F1354" s="2">
        <v>45015</v>
      </c>
      <c r="G1354" t="s">
        <v>43</v>
      </c>
      <c r="H1354" t="s">
        <v>134</v>
      </c>
      <c r="I1354" t="s">
        <v>79</v>
      </c>
      <c r="K1354" t="s">
        <v>27</v>
      </c>
      <c r="L1354">
        <v>191329.01</v>
      </c>
      <c r="M1354">
        <v>127157.66</v>
      </c>
      <c r="N1354" t="s">
        <v>56</v>
      </c>
      <c r="O1354">
        <v>16</v>
      </c>
      <c r="P1354">
        <v>43</v>
      </c>
      <c r="Q1354">
        <v>2</v>
      </c>
      <c r="R1354">
        <v>148</v>
      </c>
      <c r="S1354">
        <v>92.7</v>
      </c>
      <c r="T1354" t="s">
        <v>47</v>
      </c>
      <c r="U1354" s="3"/>
      <c r="V1354" s="3"/>
      <c r="W1354" s="3"/>
    </row>
    <row r="1355" spans="1:23">
      <c r="A1355" t="s">
        <v>3027</v>
      </c>
      <c r="B1355" t="s">
        <v>684</v>
      </c>
      <c r="C1355" t="s">
        <v>60</v>
      </c>
      <c r="D1355" s="2">
        <v>38879</v>
      </c>
      <c r="E1355" t="s">
        <v>3028</v>
      </c>
      <c r="F1355" t="s">
        <v>3029</v>
      </c>
      <c r="G1355" t="s">
        <v>43</v>
      </c>
      <c r="H1355" t="s">
        <v>32</v>
      </c>
      <c r="I1355" t="s">
        <v>45</v>
      </c>
      <c r="J1355" t="s">
        <v>204</v>
      </c>
      <c r="K1355" t="s">
        <v>388</v>
      </c>
      <c r="L1355">
        <v>183000.54</v>
      </c>
      <c r="M1355">
        <v>172264.23</v>
      </c>
      <c r="N1355" t="s">
        <v>192</v>
      </c>
      <c r="O1355">
        <v>15</v>
      </c>
      <c r="P1355">
        <v>199</v>
      </c>
      <c r="Q1355">
        <v>2</v>
      </c>
      <c r="R1355">
        <v>185</v>
      </c>
      <c r="S1355">
        <v>80.5</v>
      </c>
      <c r="T1355" t="s">
        <v>37</v>
      </c>
      <c r="U1355" s="3"/>
      <c r="V1355" s="3"/>
      <c r="W1355" s="3"/>
    </row>
    <row r="1356" spans="1:23">
      <c r="A1356" t="s">
        <v>3030</v>
      </c>
      <c r="B1356" t="s">
        <v>1065</v>
      </c>
      <c r="C1356" t="s">
        <v>22</v>
      </c>
      <c r="D1356" s="2">
        <v>32863</v>
      </c>
      <c r="E1356" s="2">
        <v>45346</v>
      </c>
      <c r="F1356" t="s">
        <v>1572</v>
      </c>
      <c r="G1356" t="s">
        <v>94</v>
      </c>
      <c r="H1356" t="s">
        <v>52</v>
      </c>
      <c r="I1356" t="s">
        <v>79</v>
      </c>
      <c r="J1356" t="s">
        <v>97</v>
      </c>
      <c r="K1356" t="s">
        <v>120</v>
      </c>
      <c r="L1356">
        <v>215506.72</v>
      </c>
      <c r="N1356" t="s">
        <v>73</v>
      </c>
      <c r="O1356">
        <v>13</v>
      </c>
      <c r="P1356">
        <v>183</v>
      </c>
      <c r="Q1356">
        <v>5</v>
      </c>
      <c r="R1356">
        <v>122</v>
      </c>
      <c r="S1356">
        <v>112.4</v>
      </c>
      <c r="T1356" t="s">
        <v>37</v>
      </c>
      <c r="U1356" s="3"/>
      <c r="V1356" s="3"/>
      <c r="W1356" s="3"/>
    </row>
    <row r="1357" spans="1:23">
      <c r="A1357" t="s">
        <v>3031</v>
      </c>
      <c r="B1357" t="s">
        <v>796</v>
      </c>
      <c r="C1357" t="s">
        <v>156</v>
      </c>
      <c r="D1357" s="2">
        <v>26606</v>
      </c>
      <c r="E1357" s="2">
        <v>45723</v>
      </c>
      <c r="G1357" t="s">
        <v>2268</v>
      </c>
      <c r="H1357" t="s">
        <v>32</v>
      </c>
      <c r="I1357" t="s">
        <v>25</v>
      </c>
      <c r="J1357" t="s">
        <v>71</v>
      </c>
      <c r="K1357" t="s">
        <v>27</v>
      </c>
      <c r="L1357">
        <v>210220.77</v>
      </c>
      <c r="M1357">
        <v>138574.47</v>
      </c>
      <c r="O1357">
        <v>9</v>
      </c>
      <c r="P1357">
        <v>57</v>
      </c>
      <c r="Q1357">
        <v>5</v>
      </c>
      <c r="R1357">
        <v>187</v>
      </c>
      <c r="S1357">
        <v>234.1</v>
      </c>
      <c r="T1357" t="s">
        <v>721</v>
      </c>
      <c r="U1357" s="3"/>
      <c r="V1357" s="3"/>
      <c r="W1357" s="3"/>
    </row>
    <row r="1358" spans="1:23">
      <c r="A1358" t="s">
        <v>3032</v>
      </c>
      <c r="B1358" t="s">
        <v>611</v>
      </c>
      <c r="C1358" t="s">
        <v>206</v>
      </c>
      <c r="D1358" s="2">
        <v>34345</v>
      </c>
      <c r="E1358" s="2">
        <v>45665</v>
      </c>
      <c r="F1358" s="2">
        <v>45675</v>
      </c>
      <c r="G1358" t="s">
        <v>117</v>
      </c>
      <c r="H1358" t="s">
        <v>153</v>
      </c>
      <c r="I1358" t="s">
        <v>25</v>
      </c>
      <c r="J1358" t="s">
        <v>34</v>
      </c>
      <c r="K1358" t="s">
        <v>161</v>
      </c>
      <c r="L1358">
        <v>24570.01</v>
      </c>
      <c r="M1358">
        <v>22310.02</v>
      </c>
      <c r="N1358" t="s">
        <v>73</v>
      </c>
      <c r="O1358">
        <v>10</v>
      </c>
      <c r="P1358">
        <v>240</v>
      </c>
      <c r="Q1358">
        <v>4</v>
      </c>
      <c r="R1358">
        <v>167</v>
      </c>
      <c r="S1358">
        <v>215.5</v>
      </c>
      <c r="T1358" t="s">
        <v>37</v>
      </c>
      <c r="U1358" s="3"/>
      <c r="V1358" s="3"/>
      <c r="W1358" s="3"/>
    </row>
    <row r="1359" spans="1:23">
      <c r="A1359" t="s">
        <v>3033</v>
      </c>
      <c r="B1359" t="s">
        <v>438</v>
      </c>
      <c r="C1359" t="s">
        <v>30</v>
      </c>
      <c r="D1359" t="s">
        <v>3034</v>
      </c>
      <c r="E1359" s="2">
        <v>45891</v>
      </c>
      <c r="F1359" s="2">
        <v>45900</v>
      </c>
      <c r="G1359" t="s">
        <v>62</v>
      </c>
      <c r="H1359" t="s">
        <v>52</v>
      </c>
      <c r="I1359" t="s">
        <v>45</v>
      </c>
      <c r="J1359" t="s">
        <v>34</v>
      </c>
      <c r="K1359" t="s">
        <v>161</v>
      </c>
      <c r="L1359">
        <v>190066.55</v>
      </c>
      <c r="M1359">
        <v>134476.72</v>
      </c>
      <c r="N1359" t="s">
        <v>73</v>
      </c>
      <c r="O1359">
        <v>9</v>
      </c>
      <c r="P1359">
        <v>97</v>
      </c>
      <c r="R1359">
        <v>151</v>
      </c>
      <c r="S1359">
        <v>85.9</v>
      </c>
      <c r="T1359" t="s">
        <v>721</v>
      </c>
      <c r="U1359" s="3"/>
      <c r="V1359" s="3"/>
      <c r="W1359" s="3"/>
    </row>
    <row r="1360" spans="1:23">
      <c r="A1360" t="s">
        <v>3035</v>
      </c>
      <c r="B1360" t="s">
        <v>3036</v>
      </c>
      <c r="C1360" t="s">
        <v>84</v>
      </c>
      <c r="D1360" s="2">
        <v>32207</v>
      </c>
      <c r="E1360" s="2">
        <v>45377</v>
      </c>
      <c r="F1360" s="2">
        <v>45389</v>
      </c>
      <c r="G1360" t="s">
        <v>62</v>
      </c>
      <c r="H1360" t="s">
        <v>160</v>
      </c>
      <c r="I1360" t="s">
        <v>119</v>
      </c>
      <c r="J1360" t="s">
        <v>64</v>
      </c>
      <c r="K1360" t="s">
        <v>183</v>
      </c>
      <c r="L1360">
        <v>123835.93</v>
      </c>
      <c r="M1360">
        <v>118992.45</v>
      </c>
      <c r="N1360" t="s">
        <v>192</v>
      </c>
      <c r="O1360">
        <v>12</v>
      </c>
      <c r="P1360">
        <v>234</v>
      </c>
      <c r="Q1360">
        <v>4</v>
      </c>
      <c r="R1360">
        <v>114</v>
      </c>
      <c r="S1360">
        <v>71.099999999999994</v>
      </c>
      <c r="T1360" t="s">
        <v>106</v>
      </c>
      <c r="U1360" s="3"/>
      <c r="V1360" s="3"/>
      <c r="W1360" s="3"/>
    </row>
    <row r="1361" spans="1:23">
      <c r="A1361" t="s">
        <v>3037</v>
      </c>
      <c r="B1361" t="s">
        <v>171</v>
      </c>
      <c r="C1361" t="s">
        <v>50</v>
      </c>
      <c r="D1361" s="2">
        <v>35167</v>
      </c>
      <c r="E1361" t="s">
        <v>3038</v>
      </c>
      <c r="F1361" s="2">
        <v>45776</v>
      </c>
      <c r="G1361" t="s">
        <v>62</v>
      </c>
      <c r="H1361" t="s">
        <v>134</v>
      </c>
      <c r="I1361" t="s">
        <v>96</v>
      </c>
      <c r="J1361" t="s">
        <v>34</v>
      </c>
      <c r="K1361" t="s">
        <v>120</v>
      </c>
      <c r="L1361">
        <v>68355.45</v>
      </c>
      <c r="M1361">
        <v>61709.01</v>
      </c>
      <c r="N1361" t="s">
        <v>91</v>
      </c>
      <c r="O1361">
        <v>10</v>
      </c>
      <c r="P1361">
        <v>87</v>
      </c>
      <c r="Q1361">
        <v>1</v>
      </c>
      <c r="R1361">
        <v>148</v>
      </c>
      <c r="S1361">
        <v>200</v>
      </c>
      <c r="T1361" t="s">
        <v>37</v>
      </c>
      <c r="U1361" s="3"/>
      <c r="V1361" s="3"/>
      <c r="W1361" s="3"/>
    </row>
    <row r="1362" spans="1:23">
      <c r="A1362" t="s">
        <v>3039</v>
      </c>
      <c r="B1362" t="s">
        <v>689</v>
      </c>
      <c r="C1362" t="s">
        <v>22</v>
      </c>
      <c r="D1362" s="2">
        <v>37432</v>
      </c>
      <c r="E1362" s="2">
        <v>44979</v>
      </c>
      <c r="F1362" s="2">
        <v>44990</v>
      </c>
      <c r="G1362" t="s">
        <v>141</v>
      </c>
      <c r="H1362" t="s">
        <v>24</v>
      </c>
      <c r="I1362" t="s">
        <v>119</v>
      </c>
      <c r="J1362" t="s">
        <v>64</v>
      </c>
      <c r="K1362" t="s">
        <v>161</v>
      </c>
      <c r="L1362">
        <v>5108.01</v>
      </c>
      <c r="M1362">
        <v>4436.84</v>
      </c>
      <c r="O1362">
        <v>11</v>
      </c>
      <c r="P1362">
        <v>169</v>
      </c>
      <c r="R1362">
        <v>177</v>
      </c>
      <c r="S1362">
        <v>226.5</v>
      </c>
      <c r="T1362" t="s">
        <v>37</v>
      </c>
      <c r="U1362" s="3"/>
      <c r="V1362" s="3"/>
      <c r="W1362" s="3"/>
    </row>
    <row r="1363" spans="1:23">
      <c r="A1363" t="s">
        <v>3040</v>
      </c>
      <c r="B1363" t="s">
        <v>864</v>
      </c>
      <c r="C1363" t="s">
        <v>196</v>
      </c>
      <c r="D1363" s="2">
        <v>23840</v>
      </c>
      <c r="E1363" t="s">
        <v>3041</v>
      </c>
      <c r="F1363" s="2">
        <v>45557</v>
      </c>
      <c r="G1363" t="s">
        <v>31</v>
      </c>
      <c r="I1363" t="s">
        <v>79</v>
      </c>
      <c r="J1363" t="s">
        <v>80</v>
      </c>
      <c r="K1363" t="s">
        <v>110</v>
      </c>
      <c r="L1363">
        <v>51661.599999999999</v>
      </c>
      <c r="M1363">
        <v>42852.77</v>
      </c>
      <c r="N1363" t="s">
        <v>192</v>
      </c>
      <c r="O1363">
        <v>15</v>
      </c>
      <c r="P1363">
        <v>225</v>
      </c>
      <c r="Q1363">
        <v>3</v>
      </c>
      <c r="R1363">
        <v>109</v>
      </c>
      <c r="S1363">
        <v>220.7</v>
      </c>
      <c r="U1363" s="3"/>
      <c r="V1363" s="3"/>
      <c r="W1363" s="3"/>
    </row>
    <row r="1364" spans="1:23">
      <c r="A1364" t="s">
        <v>3042</v>
      </c>
      <c r="B1364" t="s">
        <v>1001</v>
      </c>
      <c r="C1364" t="s">
        <v>50</v>
      </c>
      <c r="D1364" s="2">
        <v>21966</v>
      </c>
      <c r="E1364" t="s">
        <v>1332</v>
      </c>
      <c r="F1364" s="2">
        <v>45521</v>
      </c>
      <c r="G1364" t="s">
        <v>141</v>
      </c>
      <c r="I1364" t="s">
        <v>96</v>
      </c>
      <c r="J1364" t="s">
        <v>34</v>
      </c>
      <c r="L1364">
        <v>34814.660000000003</v>
      </c>
      <c r="M1364">
        <v>23413.9</v>
      </c>
      <c r="N1364" t="s">
        <v>73</v>
      </c>
      <c r="O1364">
        <v>1</v>
      </c>
      <c r="P1364">
        <v>127</v>
      </c>
      <c r="Q1364">
        <v>4</v>
      </c>
      <c r="R1364">
        <v>110</v>
      </c>
      <c r="S1364">
        <v>183.1</v>
      </c>
      <c r="T1364" t="s">
        <v>65</v>
      </c>
      <c r="U1364" s="3"/>
      <c r="V1364" s="3"/>
      <c r="W1364" s="3"/>
    </row>
    <row r="1365" spans="1:23">
      <c r="A1365" t="s">
        <v>3043</v>
      </c>
      <c r="B1365" t="s">
        <v>3044</v>
      </c>
      <c r="C1365" t="s">
        <v>22</v>
      </c>
      <c r="D1365" s="2">
        <v>29928</v>
      </c>
      <c r="E1365" s="2">
        <v>45723</v>
      </c>
      <c r="F1365" s="2">
        <v>45737</v>
      </c>
      <c r="G1365" t="s">
        <v>117</v>
      </c>
      <c r="H1365" t="s">
        <v>32</v>
      </c>
      <c r="I1365" t="s">
        <v>119</v>
      </c>
      <c r="J1365" t="s">
        <v>186</v>
      </c>
      <c r="K1365" t="s">
        <v>388</v>
      </c>
      <c r="L1365">
        <v>113974.15</v>
      </c>
      <c r="M1365">
        <v>97081.99</v>
      </c>
      <c r="N1365" t="s">
        <v>73</v>
      </c>
      <c r="O1365">
        <v>14</v>
      </c>
      <c r="P1365">
        <v>157</v>
      </c>
      <c r="Q1365">
        <v>5</v>
      </c>
      <c r="R1365">
        <v>173</v>
      </c>
      <c r="S1365">
        <v>235.7</v>
      </c>
      <c r="T1365" t="s">
        <v>37</v>
      </c>
      <c r="U1365" s="3"/>
      <c r="V1365" s="3"/>
      <c r="W1365" s="3"/>
    </row>
    <row r="1366" spans="1:23">
      <c r="A1366" t="s">
        <v>3045</v>
      </c>
      <c r="B1366" t="s">
        <v>1509</v>
      </c>
      <c r="D1366" s="2">
        <v>25638</v>
      </c>
      <c r="E1366" t="s">
        <v>3046</v>
      </c>
      <c r="F1366" t="s">
        <v>3047</v>
      </c>
      <c r="G1366" t="s">
        <v>77</v>
      </c>
      <c r="H1366" t="s">
        <v>44</v>
      </c>
      <c r="I1366" t="s">
        <v>45</v>
      </c>
      <c r="J1366" t="s">
        <v>34</v>
      </c>
      <c r="K1366" t="s">
        <v>120</v>
      </c>
      <c r="L1366">
        <v>160951.98000000001</v>
      </c>
      <c r="M1366">
        <v>119503.78</v>
      </c>
      <c r="N1366" t="s">
        <v>192</v>
      </c>
      <c r="O1366">
        <v>9</v>
      </c>
      <c r="P1366">
        <v>134</v>
      </c>
      <c r="Q1366">
        <v>5</v>
      </c>
      <c r="R1366">
        <v>155</v>
      </c>
      <c r="S1366">
        <v>156.5</v>
      </c>
      <c r="T1366" t="s">
        <v>65</v>
      </c>
      <c r="U1366" s="3"/>
      <c r="V1366" s="3"/>
      <c r="W1366" s="3"/>
    </row>
    <row r="1367" spans="1:23">
      <c r="A1367" t="s">
        <v>3048</v>
      </c>
      <c r="B1367" t="s">
        <v>472</v>
      </c>
      <c r="C1367" t="s">
        <v>100</v>
      </c>
      <c r="D1367" t="s">
        <v>3049</v>
      </c>
      <c r="E1367" s="2">
        <v>45009</v>
      </c>
      <c r="F1367" t="s">
        <v>3050</v>
      </c>
      <c r="G1367" t="s">
        <v>105</v>
      </c>
      <c r="H1367" t="s">
        <v>118</v>
      </c>
      <c r="I1367" t="s">
        <v>25</v>
      </c>
      <c r="J1367" t="s">
        <v>46</v>
      </c>
      <c r="K1367" t="s">
        <v>72</v>
      </c>
      <c r="L1367">
        <v>73446.509999999995</v>
      </c>
      <c r="M1367">
        <v>45822.84</v>
      </c>
      <c r="N1367" t="s">
        <v>35</v>
      </c>
      <c r="O1367">
        <v>1</v>
      </c>
      <c r="P1367">
        <v>63</v>
      </c>
      <c r="Q1367">
        <v>4</v>
      </c>
      <c r="R1367">
        <v>131</v>
      </c>
      <c r="S1367">
        <v>174.6</v>
      </c>
      <c r="T1367" t="s">
        <v>65</v>
      </c>
      <c r="U1367" s="3"/>
      <c r="V1367" s="3"/>
      <c r="W1367" s="3"/>
    </row>
    <row r="1368" spans="1:23">
      <c r="A1368" t="s">
        <v>3051</v>
      </c>
      <c r="B1368" t="s">
        <v>3052</v>
      </c>
      <c r="D1368" t="s">
        <v>3053</v>
      </c>
      <c r="E1368" s="2">
        <v>45759</v>
      </c>
      <c r="F1368" t="s">
        <v>3054</v>
      </c>
      <c r="G1368" t="s">
        <v>105</v>
      </c>
      <c r="H1368" t="s">
        <v>78</v>
      </c>
      <c r="I1368" t="s">
        <v>45</v>
      </c>
      <c r="J1368" t="s">
        <v>46</v>
      </c>
      <c r="K1368" t="s">
        <v>120</v>
      </c>
      <c r="L1368">
        <v>154101.72</v>
      </c>
      <c r="M1368">
        <v>116258.04</v>
      </c>
      <c r="N1368" t="s">
        <v>192</v>
      </c>
      <c r="O1368">
        <v>11</v>
      </c>
      <c r="P1368">
        <v>237</v>
      </c>
      <c r="R1368">
        <v>92</v>
      </c>
      <c r="S1368">
        <v>178.4</v>
      </c>
      <c r="T1368" t="s">
        <v>47</v>
      </c>
      <c r="U1368" s="3"/>
      <c r="V1368" s="3"/>
      <c r="W1368" s="3"/>
    </row>
    <row r="1369" spans="1:23">
      <c r="A1369" t="s">
        <v>3055</v>
      </c>
      <c r="B1369" t="s">
        <v>280</v>
      </c>
      <c r="C1369" t="s">
        <v>206</v>
      </c>
      <c r="D1369" s="2">
        <v>38176</v>
      </c>
      <c r="E1369" s="2">
        <v>45024</v>
      </c>
      <c r="F1369" t="s">
        <v>3056</v>
      </c>
      <c r="G1369" t="s">
        <v>117</v>
      </c>
      <c r="H1369" t="s">
        <v>113</v>
      </c>
      <c r="I1369" t="s">
        <v>45</v>
      </c>
      <c r="J1369" t="s">
        <v>34</v>
      </c>
      <c r="K1369" t="s">
        <v>55</v>
      </c>
      <c r="L1369">
        <v>211772.05</v>
      </c>
      <c r="M1369">
        <v>142471.6</v>
      </c>
      <c r="N1369" t="s">
        <v>35</v>
      </c>
      <c r="O1369">
        <v>16</v>
      </c>
      <c r="P1369">
        <v>132</v>
      </c>
      <c r="R1369">
        <v>154</v>
      </c>
      <c r="S1369">
        <v>224</v>
      </c>
      <c r="T1369" t="s">
        <v>65</v>
      </c>
      <c r="U1369" s="3"/>
      <c r="V1369" s="3"/>
      <c r="W1369" s="3"/>
    </row>
    <row r="1370" spans="1:23">
      <c r="A1370" t="s">
        <v>3057</v>
      </c>
      <c r="B1370" t="s">
        <v>3058</v>
      </c>
      <c r="C1370" t="s">
        <v>40</v>
      </c>
      <c r="D1370" t="s">
        <v>3059</v>
      </c>
      <c r="E1370" t="s">
        <v>3060</v>
      </c>
      <c r="F1370" s="2">
        <v>45406</v>
      </c>
      <c r="G1370" t="s">
        <v>62</v>
      </c>
      <c r="H1370" t="s">
        <v>1783</v>
      </c>
      <c r="I1370" t="s">
        <v>119</v>
      </c>
      <c r="J1370" t="s">
        <v>97</v>
      </c>
      <c r="K1370" t="s">
        <v>72</v>
      </c>
      <c r="L1370">
        <v>113538.17</v>
      </c>
      <c r="M1370">
        <v>91249.44</v>
      </c>
      <c r="N1370" t="s">
        <v>73</v>
      </c>
      <c r="O1370">
        <v>6</v>
      </c>
      <c r="P1370">
        <v>103</v>
      </c>
      <c r="Q1370">
        <v>4</v>
      </c>
      <c r="R1370">
        <v>92</v>
      </c>
      <c r="S1370">
        <v>133.19999999999999</v>
      </c>
      <c r="T1370" t="s">
        <v>65</v>
      </c>
      <c r="U1370" s="3"/>
      <c r="V1370" s="3"/>
      <c r="W1370" s="3"/>
    </row>
    <row r="1371" spans="1:23">
      <c r="A1371" t="s">
        <v>3061</v>
      </c>
      <c r="B1371" t="s">
        <v>3062</v>
      </c>
      <c r="C1371" t="s">
        <v>50</v>
      </c>
      <c r="D1371" s="2">
        <v>31101</v>
      </c>
      <c r="E1371" s="2">
        <v>45869</v>
      </c>
      <c r="F1371" s="2">
        <v>45871</v>
      </c>
      <c r="G1371" t="s">
        <v>141</v>
      </c>
      <c r="H1371" t="s">
        <v>1500</v>
      </c>
      <c r="I1371" t="s">
        <v>96</v>
      </c>
      <c r="J1371" t="s">
        <v>179</v>
      </c>
      <c r="K1371" t="s">
        <v>72</v>
      </c>
      <c r="L1371">
        <v>124973.93</v>
      </c>
      <c r="M1371">
        <v>84411.51</v>
      </c>
      <c r="N1371" t="s">
        <v>192</v>
      </c>
      <c r="O1371">
        <v>2</v>
      </c>
      <c r="P1371">
        <v>56</v>
      </c>
      <c r="R1371">
        <v>90</v>
      </c>
      <c r="S1371">
        <v>139.30000000000001</v>
      </c>
      <c r="U1371" s="3"/>
      <c r="V1371" s="3"/>
      <c r="W1371" s="3"/>
    </row>
    <row r="1372" spans="1:23">
      <c r="A1372" t="s">
        <v>3063</v>
      </c>
      <c r="B1372" t="s">
        <v>607</v>
      </c>
      <c r="C1372" t="s">
        <v>100</v>
      </c>
      <c r="D1372" s="2">
        <v>38000</v>
      </c>
      <c r="E1372" s="2">
        <v>45777</v>
      </c>
      <c r="F1372" s="2">
        <v>45792</v>
      </c>
      <c r="G1372" t="s">
        <v>70</v>
      </c>
      <c r="H1372" t="s">
        <v>124</v>
      </c>
      <c r="I1372" t="s">
        <v>33</v>
      </c>
      <c r="J1372" t="s">
        <v>46</v>
      </c>
      <c r="K1372" t="s">
        <v>27</v>
      </c>
      <c r="L1372">
        <v>98561.34</v>
      </c>
      <c r="M1372">
        <v>85338.07</v>
      </c>
      <c r="N1372" t="s">
        <v>73</v>
      </c>
      <c r="O1372">
        <v>15</v>
      </c>
      <c r="P1372">
        <v>205</v>
      </c>
      <c r="Q1372">
        <v>1</v>
      </c>
      <c r="R1372">
        <v>113</v>
      </c>
      <c r="S1372">
        <v>161.9</v>
      </c>
      <c r="T1372" t="s">
        <v>37</v>
      </c>
      <c r="U1372" s="3"/>
      <c r="V1372" s="3"/>
      <c r="W1372" s="3"/>
    </row>
    <row r="1373" spans="1:23">
      <c r="A1373" t="s">
        <v>3064</v>
      </c>
      <c r="B1373" t="s">
        <v>511</v>
      </c>
      <c r="C1373" t="s">
        <v>100</v>
      </c>
      <c r="D1373" s="2">
        <v>18467</v>
      </c>
      <c r="E1373" s="2">
        <v>45320</v>
      </c>
      <c r="F1373" t="s">
        <v>3065</v>
      </c>
      <c r="G1373" t="s">
        <v>89</v>
      </c>
      <c r="H1373" t="s">
        <v>63</v>
      </c>
      <c r="I1373" t="s">
        <v>45</v>
      </c>
      <c r="J1373" t="s">
        <v>179</v>
      </c>
      <c r="K1373" t="s">
        <v>449</v>
      </c>
      <c r="L1373">
        <v>103479.27</v>
      </c>
      <c r="M1373">
        <v>93652.93</v>
      </c>
      <c r="N1373" t="s">
        <v>73</v>
      </c>
      <c r="O1373">
        <v>2</v>
      </c>
      <c r="P1373">
        <v>133</v>
      </c>
      <c r="Q1373">
        <v>4</v>
      </c>
      <c r="R1373">
        <v>144</v>
      </c>
      <c r="S1373">
        <v>217.9</v>
      </c>
      <c r="T1373" t="s">
        <v>37</v>
      </c>
      <c r="U1373" s="3"/>
      <c r="V1373" s="3"/>
      <c r="W1373" s="3"/>
    </row>
    <row r="1374" spans="1:23">
      <c r="A1374" t="s">
        <v>3066</v>
      </c>
      <c r="B1374" t="s">
        <v>684</v>
      </c>
      <c r="C1374" t="s">
        <v>206</v>
      </c>
      <c r="D1374" s="2">
        <v>36640</v>
      </c>
      <c r="E1374" s="2">
        <v>45596</v>
      </c>
      <c r="F1374" s="2">
        <v>45606</v>
      </c>
      <c r="G1374" t="s">
        <v>152</v>
      </c>
      <c r="H1374" t="s">
        <v>63</v>
      </c>
      <c r="J1374" t="s">
        <v>34</v>
      </c>
      <c r="K1374" t="s">
        <v>55</v>
      </c>
      <c r="L1374">
        <v>225300.26</v>
      </c>
      <c r="M1374">
        <v>181622.98</v>
      </c>
      <c r="N1374" t="s">
        <v>73</v>
      </c>
      <c r="O1374">
        <v>10</v>
      </c>
      <c r="P1374">
        <v>8</v>
      </c>
      <c r="Q1374">
        <v>5</v>
      </c>
      <c r="R1374">
        <v>95</v>
      </c>
      <c r="S1374">
        <v>104</v>
      </c>
      <c r="U1374" s="3"/>
      <c r="V1374" s="3"/>
      <c r="W1374" s="3"/>
    </row>
    <row r="1375" spans="1:23">
      <c r="A1375" t="s">
        <v>3067</v>
      </c>
      <c r="B1375" t="s">
        <v>2249</v>
      </c>
      <c r="C1375" t="s">
        <v>84</v>
      </c>
      <c r="D1375" s="2">
        <v>18697</v>
      </c>
      <c r="E1375" s="2">
        <v>45160</v>
      </c>
      <c r="F1375" s="2">
        <v>45161</v>
      </c>
      <c r="G1375" t="s">
        <v>161</v>
      </c>
      <c r="H1375" t="s">
        <v>63</v>
      </c>
      <c r="I1375" t="s">
        <v>25</v>
      </c>
      <c r="J1375" t="s">
        <v>34</v>
      </c>
      <c r="K1375" t="s">
        <v>55</v>
      </c>
      <c r="L1375" t="s">
        <v>3068</v>
      </c>
      <c r="M1375">
        <v>161199.22</v>
      </c>
      <c r="N1375" t="s">
        <v>73</v>
      </c>
      <c r="O1375">
        <v>1</v>
      </c>
      <c r="P1375">
        <v>34</v>
      </c>
      <c r="Q1375">
        <v>4</v>
      </c>
      <c r="S1375">
        <v>72.599999999999994</v>
      </c>
      <c r="U1375" s="3"/>
      <c r="V1375" s="3"/>
      <c r="W1375" s="3"/>
    </row>
    <row r="1376" spans="1:23">
      <c r="A1376" t="s">
        <v>3069</v>
      </c>
      <c r="B1376" t="s">
        <v>3070</v>
      </c>
      <c r="C1376" t="s">
        <v>50</v>
      </c>
      <c r="D1376" s="2">
        <v>18995</v>
      </c>
      <c r="E1376" s="2">
        <v>45565</v>
      </c>
      <c r="F1376" s="2">
        <v>45576</v>
      </c>
      <c r="G1376" t="s">
        <v>152</v>
      </c>
      <c r="H1376" t="s">
        <v>113</v>
      </c>
      <c r="I1376" t="s">
        <v>53</v>
      </c>
      <c r="J1376" t="s">
        <v>97</v>
      </c>
      <c r="K1376" t="s">
        <v>27</v>
      </c>
      <c r="L1376">
        <v>157482.82999999999</v>
      </c>
      <c r="M1376">
        <v>129425.9</v>
      </c>
      <c r="N1376" t="s">
        <v>56</v>
      </c>
      <c r="O1376">
        <v>11</v>
      </c>
      <c r="P1376">
        <v>233</v>
      </c>
      <c r="Q1376">
        <v>1</v>
      </c>
      <c r="R1376">
        <v>173</v>
      </c>
      <c r="S1376">
        <v>143</v>
      </c>
      <c r="T1376" t="s">
        <v>37</v>
      </c>
      <c r="U1376" s="3"/>
      <c r="V1376" s="3"/>
      <c r="W1376" s="3"/>
    </row>
    <row r="1377" spans="1:23">
      <c r="A1377" t="s">
        <v>3071</v>
      </c>
      <c r="B1377" t="s">
        <v>922</v>
      </c>
      <c r="C1377" t="s">
        <v>84</v>
      </c>
      <c r="D1377" s="2">
        <v>23202</v>
      </c>
      <c r="E1377" t="s">
        <v>3072</v>
      </c>
      <c r="F1377" s="2">
        <v>45929</v>
      </c>
      <c r="G1377" t="s">
        <v>109</v>
      </c>
      <c r="H1377" t="s">
        <v>63</v>
      </c>
      <c r="I1377" t="s">
        <v>119</v>
      </c>
      <c r="J1377" t="s">
        <v>64</v>
      </c>
      <c r="K1377" t="s">
        <v>161</v>
      </c>
      <c r="L1377">
        <v>229285.35</v>
      </c>
      <c r="M1377">
        <v>193827.28</v>
      </c>
      <c r="N1377" t="s">
        <v>192</v>
      </c>
      <c r="O1377">
        <v>5</v>
      </c>
      <c r="P1377">
        <v>139</v>
      </c>
      <c r="Q1377">
        <v>4</v>
      </c>
      <c r="R1377">
        <v>120</v>
      </c>
      <c r="S1377">
        <v>136.4</v>
      </c>
      <c r="T1377" t="s">
        <v>65</v>
      </c>
      <c r="U1377" s="3"/>
      <c r="V1377" s="3"/>
      <c r="W1377" s="3"/>
    </row>
    <row r="1378" spans="1:23">
      <c r="A1378" t="s">
        <v>3073</v>
      </c>
      <c r="B1378" t="s">
        <v>104</v>
      </c>
      <c r="C1378" t="s">
        <v>196</v>
      </c>
      <c r="D1378" s="2">
        <v>23307</v>
      </c>
      <c r="E1378" s="2">
        <v>44964</v>
      </c>
      <c r="F1378" s="2">
        <v>44973</v>
      </c>
      <c r="H1378" t="s">
        <v>153</v>
      </c>
      <c r="I1378" t="s">
        <v>79</v>
      </c>
      <c r="J1378" t="s">
        <v>34</v>
      </c>
      <c r="K1378" t="s">
        <v>27</v>
      </c>
      <c r="L1378" t="s">
        <v>3074</v>
      </c>
      <c r="M1378">
        <v>116219.56</v>
      </c>
      <c r="O1378">
        <v>9</v>
      </c>
      <c r="P1378">
        <v>7</v>
      </c>
      <c r="Q1378">
        <v>4</v>
      </c>
      <c r="R1378">
        <v>104</v>
      </c>
      <c r="S1378">
        <v>210.4</v>
      </c>
      <c r="T1378" t="s">
        <v>37</v>
      </c>
      <c r="U1378" s="3"/>
      <c r="V1378" s="3"/>
      <c r="W1378" s="3"/>
    </row>
    <row r="1379" spans="1:23">
      <c r="A1379" t="s">
        <v>3075</v>
      </c>
      <c r="B1379" t="s">
        <v>485</v>
      </c>
      <c r="C1379" t="s">
        <v>133</v>
      </c>
      <c r="D1379" s="2">
        <v>23699</v>
      </c>
      <c r="E1379" s="2">
        <v>45529</v>
      </c>
      <c r="F1379" s="2">
        <v>45542</v>
      </c>
      <c r="G1379" t="s">
        <v>141</v>
      </c>
      <c r="H1379" t="s">
        <v>124</v>
      </c>
      <c r="I1379" t="s">
        <v>33</v>
      </c>
      <c r="J1379" t="s">
        <v>46</v>
      </c>
      <c r="K1379" t="s">
        <v>27</v>
      </c>
      <c r="L1379">
        <v>16025.65</v>
      </c>
      <c r="M1379">
        <v>11809.77</v>
      </c>
      <c r="O1379">
        <v>13</v>
      </c>
      <c r="P1379">
        <v>71</v>
      </c>
      <c r="Q1379">
        <v>4</v>
      </c>
      <c r="R1379">
        <v>139</v>
      </c>
      <c r="S1379">
        <v>259.10000000000002</v>
      </c>
      <c r="T1379" t="s">
        <v>65</v>
      </c>
      <c r="U1379" s="3"/>
      <c r="V1379" s="3"/>
      <c r="W1379" s="3"/>
    </row>
    <row r="1380" spans="1:23">
      <c r="A1380" t="s">
        <v>3076</v>
      </c>
      <c r="B1380" t="s">
        <v>684</v>
      </c>
      <c r="C1380" t="s">
        <v>206</v>
      </c>
      <c r="D1380" s="2">
        <v>36881</v>
      </c>
      <c r="E1380" s="2">
        <v>45559</v>
      </c>
      <c r="F1380" t="s">
        <v>3077</v>
      </c>
      <c r="G1380" t="s">
        <v>152</v>
      </c>
      <c r="H1380" t="s">
        <v>95</v>
      </c>
      <c r="I1380" t="s">
        <v>25</v>
      </c>
      <c r="L1380">
        <v>162771.71</v>
      </c>
      <c r="M1380">
        <v>136986.06</v>
      </c>
      <c r="N1380" t="s">
        <v>73</v>
      </c>
      <c r="O1380">
        <v>16</v>
      </c>
      <c r="P1380">
        <v>35</v>
      </c>
      <c r="R1380">
        <v>119</v>
      </c>
      <c r="S1380">
        <v>193.9</v>
      </c>
      <c r="T1380" t="s">
        <v>37</v>
      </c>
      <c r="U1380" s="3"/>
      <c r="V1380" s="3"/>
      <c r="W1380" s="3"/>
    </row>
    <row r="1381" spans="1:23">
      <c r="A1381" t="s">
        <v>3078</v>
      </c>
      <c r="B1381" t="s">
        <v>524</v>
      </c>
      <c r="C1381" t="s">
        <v>30</v>
      </c>
      <c r="D1381" t="s">
        <v>3079</v>
      </c>
      <c r="E1381" t="s">
        <v>3080</v>
      </c>
      <c r="F1381" s="2">
        <v>45478</v>
      </c>
      <c r="G1381" t="s">
        <v>105</v>
      </c>
      <c r="H1381" t="s">
        <v>124</v>
      </c>
      <c r="I1381" t="s">
        <v>79</v>
      </c>
      <c r="J1381" t="s">
        <v>71</v>
      </c>
      <c r="K1381" t="s">
        <v>72</v>
      </c>
      <c r="L1381">
        <v>72772.399999999994</v>
      </c>
      <c r="M1381">
        <v>65834</v>
      </c>
      <c r="N1381" t="s">
        <v>56</v>
      </c>
      <c r="O1381">
        <v>9</v>
      </c>
      <c r="P1381">
        <v>133</v>
      </c>
      <c r="Q1381">
        <v>3</v>
      </c>
      <c r="R1381">
        <v>166</v>
      </c>
      <c r="S1381">
        <v>241.6</v>
      </c>
      <c r="T1381" t="s">
        <v>37</v>
      </c>
      <c r="U1381" s="3"/>
      <c r="V1381" s="3"/>
      <c r="W1381" s="3"/>
    </row>
    <row r="1382" spans="1:23">
      <c r="A1382" t="s">
        <v>3081</v>
      </c>
      <c r="B1382" t="s">
        <v>515</v>
      </c>
      <c r="C1382" t="s">
        <v>206</v>
      </c>
      <c r="D1382" s="2">
        <v>37807</v>
      </c>
      <c r="E1382" s="2">
        <v>44969</v>
      </c>
      <c r="F1382" s="2">
        <v>44976</v>
      </c>
      <c r="G1382" t="s">
        <v>70</v>
      </c>
      <c r="H1382" t="s">
        <v>86</v>
      </c>
      <c r="J1382" t="s">
        <v>80</v>
      </c>
      <c r="K1382" t="s">
        <v>161</v>
      </c>
      <c r="L1382">
        <v>149571.76999999999</v>
      </c>
      <c r="O1382">
        <v>7</v>
      </c>
      <c r="P1382">
        <v>84</v>
      </c>
      <c r="Q1382">
        <v>3</v>
      </c>
      <c r="R1382">
        <v>150</v>
      </c>
      <c r="S1382">
        <v>197.3</v>
      </c>
      <c r="T1382" t="s">
        <v>37</v>
      </c>
      <c r="U1382" s="3"/>
      <c r="V1382" s="3"/>
      <c r="W1382" s="3"/>
    </row>
    <row r="1383" spans="1:23">
      <c r="A1383" t="s">
        <v>3082</v>
      </c>
      <c r="B1383" t="s">
        <v>1054</v>
      </c>
      <c r="C1383" t="s">
        <v>60</v>
      </c>
      <c r="D1383" s="2">
        <v>25730</v>
      </c>
      <c r="E1383" s="2">
        <v>45716</v>
      </c>
      <c r="F1383" s="2">
        <v>45719</v>
      </c>
      <c r="G1383" t="s">
        <v>62</v>
      </c>
      <c r="I1383" t="s">
        <v>79</v>
      </c>
      <c r="J1383" t="s">
        <v>54</v>
      </c>
      <c r="K1383" t="s">
        <v>161</v>
      </c>
      <c r="L1383">
        <v>208202.66</v>
      </c>
      <c r="M1383">
        <v>179056.11</v>
      </c>
      <c r="N1383" t="s">
        <v>73</v>
      </c>
      <c r="O1383">
        <v>3</v>
      </c>
      <c r="P1383" t="s">
        <v>3083</v>
      </c>
      <c r="Q1383">
        <v>5</v>
      </c>
      <c r="R1383">
        <v>134</v>
      </c>
      <c r="S1383">
        <v>83.8</v>
      </c>
      <c r="T1383" t="s">
        <v>37</v>
      </c>
      <c r="U1383" s="3"/>
      <c r="V1383" s="3"/>
      <c r="W1383" s="3"/>
    </row>
    <row r="1384" spans="1:23">
      <c r="A1384" t="s">
        <v>3084</v>
      </c>
      <c r="B1384" t="s">
        <v>390</v>
      </c>
      <c r="C1384" t="s">
        <v>22</v>
      </c>
      <c r="D1384" t="s">
        <v>3085</v>
      </c>
      <c r="E1384" s="2">
        <v>44954</v>
      </c>
      <c r="F1384" s="2">
        <v>44969</v>
      </c>
      <c r="G1384" t="s">
        <v>161</v>
      </c>
      <c r="H1384" t="s">
        <v>124</v>
      </c>
      <c r="I1384" t="s">
        <v>79</v>
      </c>
      <c r="J1384" t="s">
        <v>80</v>
      </c>
      <c r="K1384" t="s">
        <v>110</v>
      </c>
      <c r="L1384">
        <v>53366.71</v>
      </c>
      <c r="M1384">
        <v>48439.89</v>
      </c>
      <c r="N1384" t="s">
        <v>91</v>
      </c>
      <c r="O1384">
        <v>15</v>
      </c>
      <c r="P1384">
        <v>52</v>
      </c>
      <c r="Q1384">
        <v>4</v>
      </c>
      <c r="R1384">
        <v>152</v>
      </c>
      <c r="S1384">
        <v>170.6</v>
      </c>
      <c r="T1384" t="s">
        <v>37</v>
      </c>
      <c r="U1384" s="3"/>
      <c r="V1384" s="3"/>
      <c r="W1384" s="3"/>
    </row>
    <row r="1385" spans="1:23">
      <c r="A1385" t="s">
        <v>3086</v>
      </c>
      <c r="B1385" t="s">
        <v>1935</v>
      </c>
      <c r="C1385" t="s">
        <v>84</v>
      </c>
      <c r="D1385" s="2">
        <v>36797</v>
      </c>
      <c r="E1385" s="2">
        <v>45180</v>
      </c>
      <c r="F1385" s="2">
        <v>45190</v>
      </c>
      <c r="G1385" t="s">
        <v>89</v>
      </c>
      <c r="H1385" t="s">
        <v>32</v>
      </c>
      <c r="J1385" t="s">
        <v>71</v>
      </c>
      <c r="K1385" t="s">
        <v>55</v>
      </c>
      <c r="L1385">
        <v>146933.53</v>
      </c>
      <c r="M1385">
        <v>145859.34</v>
      </c>
      <c r="N1385" t="s">
        <v>91</v>
      </c>
      <c r="O1385">
        <v>10</v>
      </c>
      <c r="P1385">
        <v>79</v>
      </c>
      <c r="Q1385">
        <v>5</v>
      </c>
      <c r="R1385">
        <v>167</v>
      </c>
      <c r="S1385">
        <v>186</v>
      </c>
      <c r="T1385" t="s">
        <v>37</v>
      </c>
      <c r="U1385" s="3"/>
      <c r="V1385" s="3"/>
      <c r="W1385" s="3"/>
    </row>
    <row r="1386" spans="1:23">
      <c r="A1386" t="s">
        <v>3087</v>
      </c>
      <c r="B1386" t="s">
        <v>604</v>
      </c>
      <c r="C1386" t="s">
        <v>133</v>
      </c>
      <c r="D1386" t="s">
        <v>3088</v>
      </c>
      <c r="E1386" s="2">
        <v>45397</v>
      </c>
      <c r="F1386" s="2">
        <v>45410</v>
      </c>
      <c r="G1386" t="s">
        <v>77</v>
      </c>
      <c r="H1386" t="s">
        <v>113</v>
      </c>
      <c r="I1386" t="s">
        <v>45</v>
      </c>
      <c r="J1386" t="s">
        <v>97</v>
      </c>
      <c r="K1386" t="s">
        <v>72</v>
      </c>
      <c r="L1386">
        <v>10357.77</v>
      </c>
      <c r="M1386">
        <v>8483.5300000000007</v>
      </c>
      <c r="N1386" t="s">
        <v>35</v>
      </c>
      <c r="O1386">
        <v>13</v>
      </c>
      <c r="P1386">
        <v>235</v>
      </c>
      <c r="Q1386">
        <v>4</v>
      </c>
      <c r="R1386">
        <v>103</v>
      </c>
      <c r="S1386">
        <v>161.9</v>
      </c>
      <c r="T1386" t="s">
        <v>37</v>
      </c>
      <c r="U1386" s="3"/>
      <c r="V1386" s="3"/>
      <c r="W1386" s="3"/>
    </row>
    <row r="1387" spans="1:23">
      <c r="A1387" t="s">
        <v>3089</v>
      </c>
      <c r="B1387" t="s">
        <v>324</v>
      </c>
      <c r="C1387" t="s">
        <v>133</v>
      </c>
      <c r="D1387" s="2">
        <v>20649</v>
      </c>
      <c r="E1387" s="2">
        <v>45499</v>
      </c>
      <c r="F1387" t="s">
        <v>3090</v>
      </c>
      <c r="G1387" t="s">
        <v>62</v>
      </c>
      <c r="H1387" t="s">
        <v>86</v>
      </c>
      <c r="I1387" t="s">
        <v>79</v>
      </c>
      <c r="J1387" t="s">
        <v>54</v>
      </c>
      <c r="K1387" t="s">
        <v>27</v>
      </c>
      <c r="L1387">
        <v>135592.03</v>
      </c>
      <c r="M1387">
        <v>130356.99</v>
      </c>
      <c r="N1387" t="s">
        <v>73</v>
      </c>
      <c r="O1387">
        <v>18</v>
      </c>
      <c r="P1387">
        <v>61</v>
      </c>
      <c r="R1387">
        <v>157</v>
      </c>
      <c r="S1387">
        <v>228.9</v>
      </c>
      <c r="U1387" s="3"/>
      <c r="V1387" s="3"/>
      <c r="W1387" s="3"/>
    </row>
    <row r="1388" spans="1:23">
      <c r="A1388" t="s">
        <v>3091</v>
      </c>
      <c r="B1388" t="s">
        <v>744</v>
      </c>
      <c r="C1388" t="s">
        <v>50</v>
      </c>
      <c r="D1388" t="s">
        <v>3092</v>
      </c>
      <c r="E1388" t="s">
        <v>1609</v>
      </c>
      <c r="G1388" t="s">
        <v>23</v>
      </c>
      <c r="I1388" t="s">
        <v>53</v>
      </c>
      <c r="J1388" t="s">
        <v>80</v>
      </c>
      <c r="K1388" t="s">
        <v>110</v>
      </c>
      <c r="L1388">
        <v>179641.8</v>
      </c>
      <c r="M1388">
        <v>128961.5</v>
      </c>
      <c r="N1388" t="s">
        <v>192</v>
      </c>
      <c r="O1388">
        <v>14</v>
      </c>
      <c r="P1388">
        <v>106</v>
      </c>
      <c r="Q1388">
        <v>1</v>
      </c>
      <c r="R1388">
        <v>108</v>
      </c>
      <c r="S1388">
        <v>148</v>
      </c>
      <c r="U1388" s="3"/>
      <c r="V1388" s="3"/>
      <c r="W1388" s="3"/>
    </row>
    <row r="1389" spans="1:23">
      <c r="A1389" t="s">
        <v>3093</v>
      </c>
      <c r="B1389" t="s">
        <v>762</v>
      </c>
      <c r="C1389" t="s">
        <v>30</v>
      </c>
      <c r="D1389" s="2">
        <v>33295</v>
      </c>
      <c r="E1389" s="2">
        <v>45428</v>
      </c>
      <c r="G1389" t="s">
        <v>43</v>
      </c>
      <c r="H1389" t="s">
        <v>124</v>
      </c>
      <c r="I1389" t="s">
        <v>33</v>
      </c>
      <c r="J1389" t="s">
        <v>179</v>
      </c>
      <c r="K1389" t="s">
        <v>55</v>
      </c>
      <c r="L1389">
        <v>133518.13</v>
      </c>
      <c r="M1389">
        <v>96562.44</v>
      </c>
      <c r="N1389" t="s">
        <v>35</v>
      </c>
      <c r="O1389">
        <v>11</v>
      </c>
      <c r="P1389">
        <v>226</v>
      </c>
      <c r="R1389">
        <v>168</v>
      </c>
      <c r="S1389">
        <v>239.1</v>
      </c>
      <c r="T1389" t="s">
        <v>37</v>
      </c>
      <c r="U1389" s="3"/>
      <c r="V1389" s="3"/>
      <c r="W1389" s="3"/>
    </row>
    <row r="1390" spans="1:23">
      <c r="A1390" t="s">
        <v>3094</v>
      </c>
      <c r="B1390" t="s">
        <v>857</v>
      </c>
      <c r="C1390" t="s">
        <v>50</v>
      </c>
      <c r="D1390" s="2">
        <v>19609</v>
      </c>
      <c r="E1390" s="2">
        <v>45784</v>
      </c>
      <c r="F1390" s="2">
        <v>45802</v>
      </c>
      <c r="G1390" t="s">
        <v>43</v>
      </c>
      <c r="I1390" t="s">
        <v>53</v>
      </c>
      <c r="J1390" t="s">
        <v>26</v>
      </c>
      <c r="K1390" t="s">
        <v>161</v>
      </c>
      <c r="L1390">
        <v>74500.39</v>
      </c>
      <c r="M1390">
        <v>69794.81</v>
      </c>
      <c r="N1390" t="s">
        <v>73</v>
      </c>
      <c r="O1390">
        <v>18</v>
      </c>
      <c r="P1390">
        <v>125</v>
      </c>
      <c r="Q1390">
        <v>4</v>
      </c>
      <c r="R1390" t="s">
        <v>2376</v>
      </c>
      <c r="S1390">
        <v>169.8</v>
      </c>
      <c r="T1390" t="s">
        <v>37</v>
      </c>
      <c r="U1390" s="3"/>
      <c r="V1390" s="3"/>
      <c r="W1390" s="3"/>
    </row>
    <row r="1391" spans="1:23">
      <c r="A1391" t="s">
        <v>3095</v>
      </c>
      <c r="B1391" t="s">
        <v>274</v>
      </c>
      <c r="C1391" t="s">
        <v>30</v>
      </c>
      <c r="D1391" s="2">
        <v>36541</v>
      </c>
      <c r="E1391" s="2">
        <v>44941</v>
      </c>
      <c r="F1391" s="2">
        <v>44947</v>
      </c>
      <c r="G1391" t="s">
        <v>109</v>
      </c>
      <c r="H1391" t="s">
        <v>32</v>
      </c>
      <c r="I1391" t="s">
        <v>96</v>
      </c>
      <c r="J1391" t="s">
        <v>64</v>
      </c>
      <c r="K1391" t="s">
        <v>110</v>
      </c>
      <c r="L1391">
        <v>206767.88</v>
      </c>
      <c r="M1391">
        <v>146694.66</v>
      </c>
      <c r="N1391" t="s">
        <v>91</v>
      </c>
      <c r="O1391">
        <v>6</v>
      </c>
      <c r="P1391">
        <v>138</v>
      </c>
      <c r="R1391">
        <v>157</v>
      </c>
      <c r="S1391">
        <v>187</v>
      </c>
      <c r="T1391" t="s">
        <v>37</v>
      </c>
      <c r="U1391" s="3"/>
      <c r="V1391" s="3"/>
      <c r="W1391" s="3"/>
    </row>
    <row r="1392" spans="1:23">
      <c r="A1392" t="s">
        <v>3096</v>
      </c>
      <c r="B1392" t="s">
        <v>1017</v>
      </c>
      <c r="C1392" t="s">
        <v>50</v>
      </c>
      <c r="D1392" t="s">
        <v>3097</v>
      </c>
      <c r="E1392" t="s">
        <v>3098</v>
      </c>
      <c r="F1392" t="s">
        <v>2924</v>
      </c>
      <c r="G1392" t="s">
        <v>106</v>
      </c>
      <c r="H1392" t="s">
        <v>44</v>
      </c>
      <c r="J1392" t="s">
        <v>46</v>
      </c>
      <c r="L1392">
        <v>74681.16</v>
      </c>
      <c r="M1392">
        <v>46060.05</v>
      </c>
      <c r="N1392" t="s">
        <v>56</v>
      </c>
      <c r="O1392">
        <v>8</v>
      </c>
      <c r="P1392">
        <v>142</v>
      </c>
      <c r="Q1392">
        <v>4</v>
      </c>
      <c r="R1392">
        <v>190</v>
      </c>
      <c r="S1392">
        <v>129.1</v>
      </c>
      <c r="T1392" t="s">
        <v>37</v>
      </c>
      <c r="U1392" s="3"/>
      <c r="V1392" s="3"/>
      <c r="W1392" s="3"/>
    </row>
    <row r="1393" spans="1:23">
      <c r="A1393" t="s">
        <v>3099</v>
      </c>
      <c r="B1393" t="s">
        <v>867</v>
      </c>
      <c r="C1393" t="s">
        <v>84</v>
      </c>
      <c r="D1393" s="2">
        <v>23981</v>
      </c>
      <c r="E1393" s="2">
        <v>45644</v>
      </c>
      <c r="F1393" s="2">
        <v>45656</v>
      </c>
      <c r="G1393" t="s">
        <v>754</v>
      </c>
      <c r="H1393" t="s">
        <v>63</v>
      </c>
      <c r="I1393" t="s">
        <v>25</v>
      </c>
      <c r="J1393" t="s">
        <v>71</v>
      </c>
      <c r="L1393">
        <v>208315.86</v>
      </c>
      <c r="M1393">
        <v>179827.91</v>
      </c>
      <c r="O1393" t="s">
        <v>1370</v>
      </c>
      <c r="P1393">
        <v>143</v>
      </c>
      <c r="R1393">
        <v>136</v>
      </c>
      <c r="S1393">
        <v>77.400000000000006</v>
      </c>
      <c r="U1393" s="3"/>
      <c r="V1393" s="3"/>
      <c r="W1393" s="3"/>
    </row>
    <row r="1394" spans="1:23">
      <c r="A1394" t="s">
        <v>3100</v>
      </c>
      <c r="B1394" t="s">
        <v>392</v>
      </c>
      <c r="C1394" t="s">
        <v>84</v>
      </c>
      <c r="D1394" s="2">
        <v>18390</v>
      </c>
      <c r="E1394" s="2">
        <v>45356</v>
      </c>
      <c r="F1394" s="2">
        <v>45364</v>
      </c>
      <c r="G1394" t="s">
        <v>70</v>
      </c>
      <c r="H1394" t="s">
        <v>63</v>
      </c>
      <c r="K1394" t="s">
        <v>27</v>
      </c>
      <c r="L1394">
        <v>106579.79</v>
      </c>
      <c r="M1394">
        <v>78299.86</v>
      </c>
      <c r="N1394" t="s">
        <v>91</v>
      </c>
      <c r="O1394">
        <v>8</v>
      </c>
      <c r="P1394">
        <v>26</v>
      </c>
      <c r="Q1394">
        <v>5</v>
      </c>
      <c r="R1394">
        <v>141</v>
      </c>
      <c r="S1394">
        <v>75.900000000000006</v>
      </c>
      <c r="T1394" t="s">
        <v>37</v>
      </c>
      <c r="U1394" s="3"/>
      <c r="V1394" s="3"/>
      <c r="W1394" s="3"/>
    </row>
    <row r="1395" spans="1:23">
      <c r="A1395" t="s">
        <v>3101</v>
      </c>
      <c r="B1395" t="s">
        <v>520</v>
      </c>
      <c r="C1395" t="s">
        <v>22</v>
      </c>
      <c r="D1395" s="2">
        <v>21379</v>
      </c>
      <c r="E1395" s="2">
        <v>45391</v>
      </c>
      <c r="F1395" s="2">
        <v>45399</v>
      </c>
      <c r="G1395" t="s">
        <v>114</v>
      </c>
      <c r="H1395" t="s">
        <v>44</v>
      </c>
      <c r="I1395" t="s">
        <v>25</v>
      </c>
      <c r="J1395" t="s">
        <v>64</v>
      </c>
      <c r="K1395" t="s">
        <v>72</v>
      </c>
      <c r="L1395">
        <v>238475.21</v>
      </c>
      <c r="M1395">
        <v>174473.5</v>
      </c>
      <c r="N1395" t="s">
        <v>56</v>
      </c>
      <c r="O1395">
        <v>8</v>
      </c>
      <c r="P1395">
        <v>21</v>
      </c>
      <c r="R1395">
        <v>100</v>
      </c>
      <c r="S1395">
        <v>201.3</v>
      </c>
      <c r="T1395" t="s">
        <v>37</v>
      </c>
      <c r="U1395" s="3"/>
      <c r="V1395" s="3"/>
      <c r="W1395" s="3"/>
    </row>
    <row r="1396" spans="1:23">
      <c r="A1396" t="s">
        <v>3102</v>
      </c>
      <c r="B1396" t="s">
        <v>875</v>
      </c>
      <c r="C1396" t="s">
        <v>50</v>
      </c>
      <c r="D1396" t="s">
        <v>3103</v>
      </c>
      <c r="E1396" s="2">
        <v>45403</v>
      </c>
      <c r="F1396" t="s">
        <v>3104</v>
      </c>
      <c r="G1396" t="s">
        <v>43</v>
      </c>
      <c r="H1396" t="s">
        <v>86</v>
      </c>
      <c r="I1396" t="s">
        <v>119</v>
      </c>
      <c r="K1396" t="s">
        <v>110</v>
      </c>
      <c r="L1396">
        <v>93847.360000000001</v>
      </c>
      <c r="M1396">
        <v>83799.67</v>
      </c>
      <c r="N1396" t="s">
        <v>35</v>
      </c>
      <c r="O1396">
        <v>12</v>
      </c>
      <c r="P1396" t="s">
        <v>1815</v>
      </c>
      <c r="Q1396">
        <v>5</v>
      </c>
      <c r="R1396">
        <v>113</v>
      </c>
      <c r="S1396">
        <v>120.1</v>
      </c>
      <c r="T1396" t="s">
        <v>47</v>
      </c>
      <c r="U1396" s="3"/>
      <c r="V1396" s="3"/>
      <c r="W1396" s="3"/>
    </row>
    <row r="1397" spans="1:23">
      <c r="A1397" t="s">
        <v>3105</v>
      </c>
      <c r="B1397" t="s">
        <v>1125</v>
      </c>
      <c r="C1397" t="s">
        <v>22</v>
      </c>
      <c r="D1397" s="2">
        <v>31843</v>
      </c>
      <c r="E1397" s="2">
        <v>45677</v>
      </c>
      <c r="F1397" s="2">
        <v>45692</v>
      </c>
      <c r="G1397" t="s">
        <v>109</v>
      </c>
      <c r="H1397" t="s">
        <v>52</v>
      </c>
      <c r="I1397" t="s">
        <v>96</v>
      </c>
      <c r="K1397" t="s">
        <v>72</v>
      </c>
      <c r="L1397">
        <v>13351.6</v>
      </c>
      <c r="M1397">
        <v>9203.9699999999993</v>
      </c>
      <c r="O1397">
        <v>15</v>
      </c>
      <c r="P1397">
        <v>91</v>
      </c>
      <c r="Q1397">
        <v>4</v>
      </c>
      <c r="R1397">
        <v>109</v>
      </c>
      <c r="S1397">
        <v>94.4</v>
      </c>
      <c r="T1397" t="s">
        <v>37</v>
      </c>
      <c r="U1397" s="3"/>
      <c r="V1397" s="3"/>
      <c r="W1397" s="3"/>
    </row>
    <row r="1398" spans="1:23">
      <c r="A1398" t="s">
        <v>3106</v>
      </c>
      <c r="B1398" t="s">
        <v>613</v>
      </c>
      <c r="C1398" t="s">
        <v>84</v>
      </c>
      <c r="D1398" s="2">
        <v>38446</v>
      </c>
      <c r="E1398" t="s">
        <v>3107</v>
      </c>
      <c r="F1398" s="2">
        <v>45908</v>
      </c>
      <c r="G1398" t="s">
        <v>161</v>
      </c>
      <c r="H1398" t="s">
        <v>52</v>
      </c>
      <c r="I1398" t="s">
        <v>33</v>
      </c>
      <c r="J1398" t="s">
        <v>71</v>
      </c>
      <c r="K1398" t="s">
        <v>106</v>
      </c>
      <c r="L1398">
        <v>42714.28</v>
      </c>
      <c r="M1398">
        <v>31386.58</v>
      </c>
      <c r="N1398" t="s">
        <v>192</v>
      </c>
      <c r="O1398">
        <v>4</v>
      </c>
      <c r="P1398" t="s">
        <v>3108</v>
      </c>
      <c r="R1398">
        <v>129</v>
      </c>
      <c r="S1398">
        <v>258.89999999999998</v>
      </c>
      <c r="T1398" t="s">
        <v>65</v>
      </c>
      <c r="U1398" s="3"/>
      <c r="V1398" s="3"/>
      <c r="W1398" s="3"/>
    </row>
    <row r="1399" spans="1:23">
      <c r="A1399" t="s">
        <v>3109</v>
      </c>
      <c r="B1399" t="s">
        <v>3110</v>
      </c>
      <c r="C1399" t="s">
        <v>30</v>
      </c>
      <c r="D1399" t="s">
        <v>3111</v>
      </c>
      <c r="E1399" t="s">
        <v>3112</v>
      </c>
      <c r="F1399" t="s">
        <v>397</v>
      </c>
      <c r="G1399" t="s">
        <v>89</v>
      </c>
      <c r="H1399" t="s">
        <v>63</v>
      </c>
      <c r="J1399" t="s">
        <v>179</v>
      </c>
      <c r="K1399" t="s">
        <v>55</v>
      </c>
      <c r="L1399">
        <v>50033.91</v>
      </c>
      <c r="M1399">
        <v>48424.53</v>
      </c>
      <c r="O1399">
        <v>11</v>
      </c>
      <c r="P1399">
        <v>171</v>
      </c>
      <c r="Q1399">
        <v>2</v>
      </c>
      <c r="R1399">
        <v>153</v>
      </c>
      <c r="S1399">
        <v>146.6</v>
      </c>
      <c r="T1399" t="s">
        <v>37</v>
      </c>
      <c r="U1399" s="3"/>
      <c r="V1399" s="3"/>
      <c r="W1399" s="3"/>
    </row>
    <row r="1400" spans="1:23">
      <c r="A1400" t="s">
        <v>3113</v>
      </c>
      <c r="B1400" t="s">
        <v>1050</v>
      </c>
      <c r="C1400" t="s">
        <v>40</v>
      </c>
      <c r="D1400" s="2">
        <v>28915</v>
      </c>
      <c r="E1400" s="2">
        <v>45427</v>
      </c>
      <c r="F1400" t="s">
        <v>3114</v>
      </c>
      <c r="G1400" t="s">
        <v>43</v>
      </c>
      <c r="H1400" t="s">
        <v>63</v>
      </c>
      <c r="I1400" t="s">
        <v>79</v>
      </c>
      <c r="J1400" t="s">
        <v>71</v>
      </c>
      <c r="L1400">
        <v>5523.31</v>
      </c>
      <c r="M1400">
        <v>4810.37</v>
      </c>
      <c r="N1400" t="s">
        <v>35</v>
      </c>
      <c r="O1400" t="s">
        <v>227</v>
      </c>
      <c r="P1400">
        <v>175</v>
      </c>
      <c r="Q1400">
        <v>5</v>
      </c>
      <c r="R1400">
        <v>127</v>
      </c>
      <c r="S1400">
        <v>232.6</v>
      </c>
      <c r="T1400" t="s">
        <v>37</v>
      </c>
      <c r="U1400" s="3"/>
      <c r="V1400" s="3"/>
      <c r="W1400" s="3"/>
    </row>
    <row r="1401" spans="1:23">
      <c r="A1401" t="s">
        <v>3115</v>
      </c>
      <c r="B1401" t="s">
        <v>744</v>
      </c>
      <c r="C1401" t="s">
        <v>40</v>
      </c>
      <c r="D1401" s="2">
        <v>24330</v>
      </c>
      <c r="E1401" t="s">
        <v>3116</v>
      </c>
      <c r="F1401" t="s">
        <v>3117</v>
      </c>
      <c r="G1401" t="s">
        <v>62</v>
      </c>
      <c r="H1401" t="s">
        <v>44</v>
      </c>
      <c r="I1401" t="s">
        <v>53</v>
      </c>
      <c r="J1401" t="s">
        <v>97</v>
      </c>
      <c r="K1401" t="s">
        <v>161</v>
      </c>
      <c r="L1401">
        <v>59134.07</v>
      </c>
      <c r="M1401">
        <v>52822.47</v>
      </c>
      <c r="N1401" t="s">
        <v>409</v>
      </c>
      <c r="O1401">
        <v>13</v>
      </c>
      <c r="P1401">
        <v>234</v>
      </c>
      <c r="Q1401">
        <v>5</v>
      </c>
      <c r="R1401">
        <v>106</v>
      </c>
      <c r="S1401">
        <v>211</v>
      </c>
      <c r="T1401" t="s">
        <v>37</v>
      </c>
      <c r="U1401" s="3"/>
      <c r="V1401" s="3"/>
      <c r="W1401" s="3"/>
    </row>
    <row r="1402" spans="1:23">
      <c r="A1402" t="s">
        <v>3118</v>
      </c>
      <c r="B1402" t="s">
        <v>444</v>
      </c>
      <c r="C1402" t="s">
        <v>50</v>
      </c>
      <c r="D1402" s="2">
        <v>21609</v>
      </c>
      <c r="E1402" t="s">
        <v>3119</v>
      </c>
      <c r="F1402" s="2">
        <v>45951</v>
      </c>
      <c r="G1402" t="s">
        <v>501</v>
      </c>
      <c r="H1402" t="s">
        <v>86</v>
      </c>
      <c r="I1402" t="s">
        <v>45</v>
      </c>
      <c r="J1402" t="s">
        <v>26</v>
      </c>
      <c r="K1402" t="s">
        <v>120</v>
      </c>
      <c r="L1402">
        <v>236774.05</v>
      </c>
      <c r="M1402">
        <v>206975.19</v>
      </c>
      <c r="N1402" t="s">
        <v>56</v>
      </c>
      <c r="O1402">
        <v>10</v>
      </c>
      <c r="P1402">
        <v>85</v>
      </c>
      <c r="Q1402">
        <v>1</v>
      </c>
      <c r="R1402">
        <v>145</v>
      </c>
      <c r="S1402">
        <v>76.400000000000006</v>
      </c>
      <c r="T1402" t="s">
        <v>65</v>
      </c>
      <c r="U1402" s="3"/>
      <c r="V1402" s="3"/>
      <c r="W1402" s="3"/>
    </row>
    <row r="1403" spans="1:23">
      <c r="A1403" t="s">
        <v>3120</v>
      </c>
      <c r="B1403" t="s">
        <v>1598</v>
      </c>
      <c r="C1403" t="s">
        <v>40</v>
      </c>
      <c r="D1403" s="2">
        <v>36100</v>
      </c>
      <c r="E1403" s="2">
        <v>45943</v>
      </c>
      <c r="F1403" t="s">
        <v>3121</v>
      </c>
      <c r="G1403" t="s">
        <v>141</v>
      </c>
      <c r="H1403" t="s">
        <v>24</v>
      </c>
      <c r="J1403" t="s">
        <v>186</v>
      </c>
      <c r="K1403" t="s">
        <v>55</v>
      </c>
      <c r="L1403">
        <v>108488.26</v>
      </c>
      <c r="M1403">
        <v>85282.57</v>
      </c>
      <c r="N1403" t="s">
        <v>91</v>
      </c>
      <c r="O1403">
        <v>18</v>
      </c>
      <c r="P1403">
        <v>120</v>
      </c>
      <c r="Q1403">
        <v>4</v>
      </c>
      <c r="R1403">
        <v>96</v>
      </c>
      <c r="S1403">
        <v>91.2</v>
      </c>
      <c r="T1403" t="s">
        <v>37</v>
      </c>
      <c r="U1403" s="3"/>
      <c r="V1403" s="3"/>
      <c r="W1403" s="3"/>
    </row>
    <row r="1404" spans="1:23">
      <c r="A1404" t="s">
        <v>3122</v>
      </c>
      <c r="B1404" t="s">
        <v>1097</v>
      </c>
      <c r="D1404" s="2">
        <v>29325</v>
      </c>
      <c r="E1404" s="2">
        <v>45905</v>
      </c>
      <c r="F1404" s="2">
        <v>45907</v>
      </c>
      <c r="G1404" t="s">
        <v>43</v>
      </c>
      <c r="H1404" t="s">
        <v>95</v>
      </c>
      <c r="I1404" t="s">
        <v>119</v>
      </c>
      <c r="J1404" t="s">
        <v>97</v>
      </c>
      <c r="L1404">
        <v>209435.07</v>
      </c>
      <c r="M1404">
        <v>199173.78</v>
      </c>
      <c r="N1404" t="s">
        <v>91</v>
      </c>
      <c r="O1404">
        <v>2</v>
      </c>
      <c r="P1404">
        <v>24</v>
      </c>
      <c r="R1404">
        <v>130</v>
      </c>
      <c r="S1404">
        <v>79.3</v>
      </c>
      <c r="T1404" t="s">
        <v>37</v>
      </c>
      <c r="U1404" s="3"/>
      <c r="V1404" s="3"/>
      <c r="W1404" s="3"/>
    </row>
    <row r="1405" spans="1:23">
      <c r="A1405" t="s">
        <v>3123</v>
      </c>
      <c r="B1405" t="s">
        <v>576</v>
      </c>
      <c r="D1405" s="2">
        <v>18803</v>
      </c>
      <c r="E1405" s="2">
        <v>45652</v>
      </c>
      <c r="F1405" s="2">
        <v>45654</v>
      </c>
      <c r="G1405" t="s">
        <v>77</v>
      </c>
      <c r="H1405" t="s">
        <v>118</v>
      </c>
      <c r="I1405" t="s">
        <v>53</v>
      </c>
      <c r="J1405" t="s">
        <v>64</v>
      </c>
      <c r="K1405" t="s">
        <v>110</v>
      </c>
      <c r="L1405">
        <v>19186.669999999998</v>
      </c>
      <c r="M1405">
        <v>16003.1</v>
      </c>
      <c r="N1405" t="s">
        <v>91</v>
      </c>
      <c r="O1405">
        <v>2</v>
      </c>
      <c r="P1405">
        <v>44</v>
      </c>
      <c r="Q1405">
        <v>4</v>
      </c>
      <c r="R1405">
        <v>140</v>
      </c>
      <c r="S1405">
        <v>166</v>
      </c>
      <c r="T1405" t="s">
        <v>37</v>
      </c>
      <c r="U1405" s="3"/>
      <c r="V1405" s="3"/>
      <c r="W1405" s="3"/>
    </row>
    <row r="1406" spans="1:23">
      <c r="A1406" t="s">
        <v>3124</v>
      </c>
      <c r="B1406" t="s">
        <v>274</v>
      </c>
      <c r="C1406" t="s">
        <v>206</v>
      </c>
      <c r="D1406" s="2">
        <v>30275</v>
      </c>
      <c r="E1406" s="2">
        <v>44980</v>
      </c>
      <c r="F1406" s="2">
        <v>44997</v>
      </c>
      <c r="G1406" t="s">
        <v>31</v>
      </c>
      <c r="H1406" t="s">
        <v>160</v>
      </c>
      <c r="I1406" t="s">
        <v>25</v>
      </c>
      <c r="J1406" t="s">
        <v>34</v>
      </c>
      <c r="K1406" t="s">
        <v>110</v>
      </c>
      <c r="L1406">
        <v>126819.83</v>
      </c>
      <c r="M1406">
        <v>92161.11</v>
      </c>
      <c r="N1406" t="s">
        <v>73</v>
      </c>
      <c r="O1406">
        <v>17</v>
      </c>
      <c r="P1406">
        <v>36</v>
      </c>
      <c r="Q1406">
        <v>3</v>
      </c>
      <c r="R1406">
        <v>175</v>
      </c>
      <c r="S1406">
        <v>226.1</v>
      </c>
      <c r="T1406" t="s">
        <v>348</v>
      </c>
      <c r="U1406" s="3"/>
      <c r="V1406" s="3"/>
      <c r="W1406" s="3"/>
    </row>
    <row r="1407" spans="1:23">
      <c r="A1407" t="s">
        <v>3125</v>
      </c>
      <c r="B1407" t="s">
        <v>503</v>
      </c>
      <c r="C1407" t="s">
        <v>100</v>
      </c>
      <c r="D1407" s="2">
        <v>30492</v>
      </c>
      <c r="E1407" s="2">
        <v>45805</v>
      </c>
      <c r="F1407" s="2">
        <v>45809</v>
      </c>
      <c r="G1407" t="s">
        <v>31</v>
      </c>
      <c r="H1407" t="s">
        <v>32</v>
      </c>
      <c r="I1407" t="s">
        <v>33</v>
      </c>
      <c r="J1407" t="s">
        <v>663</v>
      </c>
      <c r="K1407" t="s">
        <v>27</v>
      </c>
      <c r="L1407">
        <v>25252.42</v>
      </c>
      <c r="M1407">
        <v>23670.29</v>
      </c>
      <c r="N1407" t="s">
        <v>106</v>
      </c>
      <c r="O1407">
        <v>4</v>
      </c>
      <c r="P1407">
        <v>132</v>
      </c>
      <c r="R1407">
        <v>114</v>
      </c>
      <c r="S1407">
        <v>97.4</v>
      </c>
      <c r="T1407" t="s">
        <v>65</v>
      </c>
      <c r="U1407" s="3"/>
      <c r="V1407" s="3"/>
      <c r="W1407" s="3"/>
    </row>
    <row r="1408" spans="1:23">
      <c r="A1408" t="s">
        <v>3126</v>
      </c>
      <c r="B1408" t="s">
        <v>234</v>
      </c>
      <c r="C1408" t="s">
        <v>100</v>
      </c>
      <c r="D1408" s="2">
        <v>39303</v>
      </c>
      <c r="E1408" s="2">
        <v>45156</v>
      </c>
      <c r="F1408" s="2">
        <v>45168</v>
      </c>
      <c r="G1408" t="s">
        <v>77</v>
      </c>
      <c r="H1408" t="s">
        <v>52</v>
      </c>
      <c r="I1408" t="s">
        <v>96</v>
      </c>
      <c r="J1408" t="s">
        <v>97</v>
      </c>
      <c r="K1408" t="s">
        <v>286</v>
      </c>
      <c r="L1408">
        <v>87238.92</v>
      </c>
      <c r="M1408">
        <v>59232.44</v>
      </c>
      <c r="N1408" t="s">
        <v>91</v>
      </c>
      <c r="O1408">
        <v>12</v>
      </c>
      <c r="P1408">
        <v>150</v>
      </c>
      <c r="Q1408">
        <v>3</v>
      </c>
      <c r="R1408">
        <v>174</v>
      </c>
      <c r="S1408">
        <v>252.3</v>
      </c>
      <c r="T1408" t="s">
        <v>65</v>
      </c>
      <c r="U1408" s="3"/>
      <c r="V1408" s="3"/>
      <c r="W1408" s="3"/>
    </row>
    <row r="1409" spans="1:23">
      <c r="A1409" t="s">
        <v>3127</v>
      </c>
      <c r="B1409" t="s">
        <v>164</v>
      </c>
      <c r="C1409" t="s">
        <v>60</v>
      </c>
      <c r="D1409" s="2">
        <v>29691</v>
      </c>
      <c r="E1409" s="2">
        <v>45640</v>
      </c>
      <c r="F1409" t="s">
        <v>3128</v>
      </c>
      <c r="G1409" t="s">
        <v>89</v>
      </c>
      <c r="H1409" t="s">
        <v>153</v>
      </c>
      <c r="I1409" t="s">
        <v>33</v>
      </c>
      <c r="K1409" t="s">
        <v>27</v>
      </c>
      <c r="L1409">
        <v>240321.38</v>
      </c>
      <c r="M1409">
        <v>177428.77</v>
      </c>
      <c r="N1409" t="s">
        <v>73</v>
      </c>
      <c r="O1409">
        <v>15</v>
      </c>
      <c r="P1409">
        <v>43</v>
      </c>
      <c r="Q1409">
        <v>2</v>
      </c>
      <c r="R1409">
        <v>120</v>
      </c>
      <c r="S1409">
        <v>130.9</v>
      </c>
      <c r="T1409" t="s">
        <v>37</v>
      </c>
      <c r="U1409" s="3"/>
      <c r="V1409" s="3"/>
      <c r="W1409" s="3"/>
    </row>
    <row r="1410" spans="1:23">
      <c r="A1410" t="s">
        <v>3129</v>
      </c>
      <c r="B1410" t="s">
        <v>116</v>
      </c>
      <c r="C1410" t="s">
        <v>84</v>
      </c>
      <c r="D1410" s="2">
        <v>37764</v>
      </c>
      <c r="E1410" t="s">
        <v>1702</v>
      </c>
      <c r="F1410" s="2">
        <v>45145</v>
      </c>
      <c r="H1410" t="s">
        <v>153</v>
      </c>
      <c r="I1410" t="s">
        <v>53</v>
      </c>
      <c r="J1410" t="s">
        <v>97</v>
      </c>
      <c r="K1410" t="s">
        <v>55</v>
      </c>
      <c r="L1410">
        <v>58966.44</v>
      </c>
      <c r="M1410">
        <v>57309.760000000002</v>
      </c>
      <c r="O1410">
        <v>6</v>
      </c>
      <c r="P1410">
        <v>147</v>
      </c>
      <c r="R1410">
        <v>190</v>
      </c>
      <c r="T1410" t="s">
        <v>65</v>
      </c>
      <c r="U1410" s="3"/>
      <c r="V1410" s="3"/>
      <c r="W1410" s="3"/>
    </row>
    <row r="1411" spans="1:23">
      <c r="A1411" t="s">
        <v>3130</v>
      </c>
      <c r="B1411" t="s">
        <v>419</v>
      </c>
      <c r="C1411" t="s">
        <v>206</v>
      </c>
      <c r="D1411" s="2">
        <v>30422</v>
      </c>
      <c r="E1411" t="s">
        <v>3131</v>
      </c>
      <c r="F1411" s="2">
        <v>45278</v>
      </c>
      <c r="G1411" t="s">
        <v>161</v>
      </c>
      <c r="H1411" t="s">
        <v>134</v>
      </c>
      <c r="I1411" t="s">
        <v>53</v>
      </c>
      <c r="J1411" t="s">
        <v>97</v>
      </c>
      <c r="K1411" t="s">
        <v>120</v>
      </c>
      <c r="L1411">
        <v>95506.57</v>
      </c>
      <c r="M1411">
        <v>81635.13</v>
      </c>
      <c r="N1411" t="s">
        <v>91</v>
      </c>
      <c r="O1411">
        <v>4</v>
      </c>
      <c r="P1411">
        <v>163</v>
      </c>
      <c r="Q1411">
        <v>4</v>
      </c>
      <c r="R1411">
        <v>147</v>
      </c>
      <c r="S1411">
        <v>82.8</v>
      </c>
      <c r="T1411" t="s">
        <v>37</v>
      </c>
      <c r="U1411" s="3"/>
      <c r="V1411" s="3"/>
      <c r="W1411" s="3"/>
    </row>
    <row r="1412" spans="1:23">
      <c r="A1412" t="s">
        <v>3132</v>
      </c>
      <c r="B1412" t="s">
        <v>2447</v>
      </c>
      <c r="C1412" t="s">
        <v>206</v>
      </c>
      <c r="D1412" s="2">
        <v>39077</v>
      </c>
      <c r="E1412" s="2">
        <v>45400</v>
      </c>
      <c r="F1412" s="2">
        <v>45418</v>
      </c>
      <c r="G1412" t="s">
        <v>94</v>
      </c>
      <c r="I1412" t="s">
        <v>45</v>
      </c>
      <c r="J1412" t="s">
        <v>34</v>
      </c>
      <c r="K1412" t="s">
        <v>55</v>
      </c>
      <c r="L1412">
        <v>17647.02</v>
      </c>
      <c r="M1412">
        <v>15396.3</v>
      </c>
      <c r="N1412" t="s">
        <v>56</v>
      </c>
      <c r="O1412">
        <v>18</v>
      </c>
      <c r="P1412" t="s">
        <v>2409</v>
      </c>
      <c r="Q1412">
        <v>3</v>
      </c>
      <c r="R1412">
        <v>129</v>
      </c>
      <c r="S1412">
        <v>230</v>
      </c>
      <c r="T1412" t="s">
        <v>65</v>
      </c>
      <c r="U1412" s="3"/>
      <c r="V1412" s="3"/>
      <c r="W1412" s="3"/>
    </row>
    <row r="1413" spans="1:23">
      <c r="A1413" t="s">
        <v>3133</v>
      </c>
      <c r="B1413" t="s">
        <v>2029</v>
      </c>
      <c r="C1413" t="s">
        <v>22</v>
      </c>
      <c r="D1413" s="2">
        <v>31385</v>
      </c>
      <c r="E1413" s="2">
        <v>45181</v>
      </c>
      <c r="G1413" t="s">
        <v>89</v>
      </c>
      <c r="H1413" t="s">
        <v>78</v>
      </c>
      <c r="I1413" t="s">
        <v>53</v>
      </c>
      <c r="L1413">
        <v>163847.66</v>
      </c>
      <c r="M1413">
        <v>140129.45000000001</v>
      </c>
      <c r="N1413" t="s">
        <v>56</v>
      </c>
      <c r="O1413" t="s">
        <v>102</v>
      </c>
      <c r="P1413">
        <v>87</v>
      </c>
      <c r="Q1413">
        <v>1</v>
      </c>
      <c r="R1413">
        <v>107</v>
      </c>
      <c r="S1413">
        <v>208.5</v>
      </c>
      <c r="T1413" t="s">
        <v>37</v>
      </c>
      <c r="U1413" s="3"/>
      <c r="V1413" s="3"/>
      <c r="W1413" s="3"/>
    </row>
    <row r="1414" spans="1:23">
      <c r="A1414" t="s">
        <v>3134</v>
      </c>
      <c r="B1414" t="s">
        <v>806</v>
      </c>
      <c r="C1414" t="s">
        <v>50</v>
      </c>
      <c r="D1414" s="2">
        <v>38814</v>
      </c>
      <c r="E1414" s="2">
        <v>44995</v>
      </c>
      <c r="F1414" s="2">
        <v>45010</v>
      </c>
      <c r="G1414" t="s">
        <v>43</v>
      </c>
      <c r="H1414" t="s">
        <v>134</v>
      </c>
      <c r="I1414" t="s">
        <v>79</v>
      </c>
      <c r="J1414" t="s">
        <v>34</v>
      </c>
      <c r="K1414" t="s">
        <v>120</v>
      </c>
      <c r="L1414">
        <v>17561.349999999999</v>
      </c>
      <c r="M1414">
        <v>13575.22</v>
      </c>
      <c r="N1414" t="s">
        <v>409</v>
      </c>
      <c r="O1414">
        <v>15</v>
      </c>
      <c r="P1414">
        <v>59</v>
      </c>
      <c r="Q1414">
        <v>4</v>
      </c>
      <c r="R1414">
        <v>101</v>
      </c>
      <c r="S1414">
        <v>89</v>
      </c>
      <c r="T1414" t="s">
        <v>37</v>
      </c>
      <c r="U1414" s="3"/>
      <c r="V1414" s="3"/>
      <c r="W1414" s="3"/>
    </row>
    <row r="1415" spans="1:23">
      <c r="A1415" t="s">
        <v>3135</v>
      </c>
      <c r="B1415" t="s">
        <v>2447</v>
      </c>
      <c r="C1415" t="s">
        <v>133</v>
      </c>
      <c r="D1415" s="2">
        <v>23605</v>
      </c>
      <c r="E1415" t="s">
        <v>3136</v>
      </c>
      <c r="G1415" t="s">
        <v>94</v>
      </c>
      <c r="H1415" t="s">
        <v>32</v>
      </c>
      <c r="I1415" t="s">
        <v>45</v>
      </c>
      <c r="J1415" t="s">
        <v>179</v>
      </c>
      <c r="K1415" t="s">
        <v>55</v>
      </c>
      <c r="L1415">
        <v>105006.74</v>
      </c>
      <c r="M1415">
        <v>82618.429999999993</v>
      </c>
      <c r="N1415" t="s">
        <v>192</v>
      </c>
      <c r="O1415">
        <v>15</v>
      </c>
      <c r="P1415">
        <v>230</v>
      </c>
      <c r="Q1415">
        <v>1</v>
      </c>
      <c r="R1415">
        <v>91</v>
      </c>
      <c r="S1415">
        <v>124.5</v>
      </c>
      <c r="T1415" t="s">
        <v>65</v>
      </c>
      <c r="U1415" s="3"/>
      <c r="V1415" s="3"/>
      <c r="W1415" s="3"/>
    </row>
    <row r="1416" spans="1:23">
      <c r="A1416" t="s">
        <v>3137</v>
      </c>
      <c r="B1416" t="s">
        <v>280</v>
      </c>
      <c r="C1416" t="s">
        <v>60</v>
      </c>
      <c r="D1416" s="2">
        <v>26817</v>
      </c>
      <c r="E1416" s="2">
        <v>45796</v>
      </c>
      <c r="F1416" s="2">
        <v>45807</v>
      </c>
      <c r="G1416" t="s">
        <v>117</v>
      </c>
      <c r="H1416" t="s">
        <v>113</v>
      </c>
      <c r="I1416" t="s">
        <v>25</v>
      </c>
      <c r="J1416" t="s">
        <v>46</v>
      </c>
      <c r="L1416" t="s">
        <v>3138</v>
      </c>
      <c r="M1416">
        <v>146633.18</v>
      </c>
      <c r="N1416" t="s">
        <v>35</v>
      </c>
      <c r="O1416">
        <v>11</v>
      </c>
      <c r="P1416">
        <v>239</v>
      </c>
      <c r="R1416">
        <v>169</v>
      </c>
      <c r="S1416">
        <v>190.8</v>
      </c>
      <c r="T1416" t="s">
        <v>47</v>
      </c>
      <c r="U1416" s="3"/>
      <c r="V1416" s="3"/>
      <c r="W1416" s="3"/>
    </row>
    <row r="1417" spans="1:23">
      <c r="A1417" t="s">
        <v>3139</v>
      </c>
      <c r="B1417" t="s">
        <v>622</v>
      </c>
      <c r="C1417" t="s">
        <v>196</v>
      </c>
      <c r="D1417" s="2">
        <v>18510</v>
      </c>
      <c r="E1417" s="2">
        <v>45775</v>
      </c>
      <c r="F1417" t="s">
        <v>3140</v>
      </c>
      <c r="G1417" t="s">
        <v>370</v>
      </c>
      <c r="H1417" t="s">
        <v>44</v>
      </c>
      <c r="I1417" t="s">
        <v>96</v>
      </c>
      <c r="J1417" t="s">
        <v>46</v>
      </c>
      <c r="K1417" t="s">
        <v>161</v>
      </c>
      <c r="L1417">
        <v>110270.25</v>
      </c>
      <c r="M1417">
        <v>78171.47</v>
      </c>
      <c r="O1417">
        <v>18</v>
      </c>
      <c r="P1417">
        <v>195</v>
      </c>
      <c r="R1417">
        <v>189</v>
      </c>
      <c r="S1417">
        <v>85.1</v>
      </c>
      <c r="U1417" s="3"/>
      <c r="V1417" s="3"/>
      <c r="W1417" s="3"/>
    </row>
    <row r="1418" spans="1:23">
      <c r="A1418" t="s">
        <v>3141</v>
      </c>
      <c r="B1418" t="s">
        <v>689</v>
      </c>
      <c r="C1418" t="s">
        <v>206</v>
      </c>
      <c r="D1418" s="2">
        <v>37012</v>
      </c>
      <c r="E1418" s="2">
        <v>45283</v>
      </c>
      <c r="F1418" s="2">
        <v>45285</v>
      </c>
      <c r="G1418" t="s">
        <v>43</v>
      </c>
      <c r="H1418" t="s">
        <v>113</v>
      </c>
      <c r="J1418" t="s">
        <v>46</v>
      </c>
      <c r="K1418" t="s">
        <v>161</v>
      </c>
      <c r="L1418">
        <v>151351.03</v>
      </c>
      <c r="N1418" t="s">
        <v>73</v>
      </c>
      <c r="O1418">
        <v>2</v>
      </c>
      <c r="P1418">
        <v>14</v>
      </c>
      <c r="Q1418">
        <v>1</v>
      </c>
      <c r="R1418">
        <v>99</v>
      </c>
      <c r="S1418">
        <v>112.6</v>
      </c>
      <c r="T1418" t="s">
        <v>65</v>
      </c>
      <c r="U1418" s="3"/>
      <c r="V1418" s="3"/>
      <c r="W1418" s="3"/>
    </row>
    <row r="1419" spans="1:23">
      <c r="A1419" t="s">
        <v>3142</v>
      </c>
      <c r="B1419" t="s">
        <v>1101</v>
      </c>
      <c r="C1419" t="s">
        <v>22</v>
      </c>
      <c r="D1419" s="2">
        <v>30437</v>
      </c>
      <c r="E1419" s="2">
        <v>45027</v>
      </c>
      <c r="G1419" t="s">
        <v>109</v>
      </c>
      <c r="H1419" t="s">
        <v>24</v>
      </c>
      <c r="I1419" t="s">
        <v>25</v>
      </c>
      <c r="L1419">
        <v>179019.58</v>
      </c>
      <c r="M1419">
        <v>170923.68</v>
      </c>
      <c r="N1419" t="s">
        <v>56</v>
      </c>
      <c r="O1419">
        <v>1</v>
      </c>
      <c r="P1419">
        <v>69</v>
      </c>
      <c r="R1419">
        <v>139</v>
      </c>
      <c r="S1419">
        <v>170.4</v>
      </c>
      <c r="T1419" t="s">
        <v>47</v>
      </c>
      <c r="U1419" s="3"/>
      <c r="V1419" s="3"/>
      <c r="W1419" s="3"/>
    </row>
    <row r="1420" spans="1:23">
      <c r="A1420" t="s">
        <v>3143</v>
      </c>
      <c r="B1420" t="s">
        <v>1104</v>
      </c>
      <c r="C1420" t="s">
        <v>133</v>
      </c>
      <c r="D1420" s="2">
        <v>20196</v>
      </c>
      <c r="E1420" t="s">
        <v>3144</v>
      </c>
      <c r="F1420" s="2">
        <v>45023</v>
      </c>
      <c r="G1420" t="s">
        <v>31</v>
      </c>
      <c r="H1420" t="s">
        <v>52</v>
      </c>
      <c r="I1420" t="s">
        <v>33</v>
      </c>
      <c r="J1420" t="s">
        <v>64</v>
      </c>
      <c r="K1420" t="s">
        <v>55</v>
      </c>
      <c r="L1420">
        <v>30246.080000000002</v>
      </c>
      <c r="M1420">
        <v>24879.67</v>
      </c>
      <c r="N1420" t="s">
        <v>73</v>
      </c>
      <c r="O1420">
        <v>16</v>
      </c>
      <c r="P1420">
        <v>207</v>
      </c>
      <c r="Q1420">
        <v>4</v>
      </c>
      <c r="R1420">
        <v>135</v>
      </c>
      <c r="S1420">
        <v>103.6</v>
      </c>
      <c r="U1420" s="3"/>
      <c r="V1420" s="3"/>
      <c r="W1420" s="3"/>
    </row>
    <row r="1421" spans="1:23">
      <c r="A1421" t="s">
        <v>3145</v>
      </c>
      <c r="B1421" t="s">
        <v>850</v>
      </c>
      <c r="C1421" t="s">
        <v>206</v>
      </c>
      <c r="D1421" s="2">
        <v>24159</v>
      </c>
      <c r="E1421" t="s">
        <v>1813</v>
      </c>
      <c r="F1421" s="2">
        <v>45822</v>
      </c>
      <c r="G1421" t="s">
        <v>70</v>
      </c>
      <c r="H1421" t="s">
        <v>226</v>
      </c>
      <c r="I1421" t="s">
        <v>79</v>
      </c>
      <c r="J1421" t="s">
        <v>80</v>
      </c>
      <c r="K1421" t="s">
        <v>120</v>
      </c>
      <c r="L1421">
        <v>205093.23</v>
      </c>
      <c r="M1421">
        <v>182072.14</v>
      </c>
      <c r="N1421" t="s">
        <v>91</v>
      </c>
      <c r="O1421">
        <v>9</v>
      </c>
      <c r="P1421">
        <v>181</v>
      </c>
      <c r="Q1421">
        <v>4</v>
      </c>
      <c r="R1421">
        <v>189</v>
      </c>
      <c r="S1421">
        <v>226.4</v>
      </c>
      <c r="U1421" s="3"/>
      <c r="V1421" s="3"/>
      <c r="W1421" s="3"/>
    </row>
    <row r="1422" spans="1:23">
      <c r="A1422" t="s">
        <v>3146</v>
      </c>
      <c r="B1422" t="s">
        <v>49</v>
      </c>
      <c r="C1422" t="s">
        <v>22</v>
      </c>
      <c r="D1422" s="2">
        <v>26985</v>
      </c>
      <c r="E1422" t="s">
        <v>3147</v>
      </c>
      <c r="F1422" s="2">
        <v>45304</v>
      </c>
      <c r="G1422" t="s">
        <v>161</v>
      </c>
      <c r="H1422" t="s">
        <v>113</v>
      </c>
      <c r="I1422" t="s">
        <v>45</v>
      </c>
      <c r="J1422" t="s">
        <v>97</v>
      </c>
      <c r="L1422">
        <v>128350.9</v>
      </c>
      <c r="M1422">
        <v>123222.43</v>
      </c>
      <c r="N1422" t="s">
        <v>56</v>
      </c>
      <c r="O1422">
        <v>9</v>
      </c>
      <c r="P1422">
        <v>224</v>
      </c>
      <c r="Q1422">
        <v>4</v>
      </c>
      <c r="R1422">
        <v>146</v>
      </c>
      <c r="S1422">
        <v>190.2</v>
      </c>
      <c r="T1422" t="s">
        <v>65</v>
      </c>
      <c r="U1422" s="3"/>
      <c r="V1422" s="3"/>
      <c r="W1422" s="3"/>
    </row>
    <row r="1423" spans="1:23">
      <c r="A1423" t="s">
        <v>3148</v>
      </c>
      <c r="B1423" t="s">
        <v>1464</v>
      </c>
      <c r="D1423" s="2">
        <v>25204</v>
      </c>
      <c r="E1423" t="s">
        <v>3149</v>
      </c>
      <c r="F1423" s="2">
        <v>45573</v>
      </c>
      <c r="G1423" t="s">
        <v>70</v>
      </c>
      <c r="I1423" t="s">
        <v>96</v>
      </c>
      <c r="J1423" t="s">
        <v>34</v>
      </c>
      <c r="K1423" t="s">
        <v>55</v>
      </c>
      <c r="L1423">
        <v>60570.31</v>
      </c>
      <c r="M1423">
        <v>40688.720000000001</v>
      </c>
      <c r="O1423">
        <v>13</v>
      </c>
      <c r="P1423">
        <v>196</v>
      </c>
      <c r="Q1423">
        <v>5</v>
      </c>
      <c r="R1423">
        <v>161</v>
      </c>
      <c r="S1423">
        <v>210.9</v>
      </c>
      <c r="T1423" t="s">
        <v>37</v>
      </c>
      <c r="U1423" s="3"/>
      <c r="V1423" s="3"/>
      <c r="W1423" s="3"/>
    </row>
    <row r="1424" spans="1:23">
      <c r="A1424" t="s">
        <v>3150</v>
      </c>
      <c r="B1424" t="s">
        <v>354</v>
      </c>
      <c r="C1424" t="s">
        <v>84</v>
      </c>
      <c r="D1424" s="2">
        <v>19153</v>
      </c>
      <c r="E1424" t="s">
        <v>3151</v>
      </c>
      <c r="F1424" s="2">
        <v>45493</v>
      </c>
      <c r="G1424" t="s">
        <v>117</v>
      </c>
      <c r="H1424" t="s">
        <v>52</v>
      </c>
      <c r="J1424" t="s">
        <v>26</v>
      </c>
      <c r="K1424" t="s">
        <v>55</v>
      </c>
      <c r="L1424">
        <v>107304.98</v>
      </c>
      <c r="M1424">
        <v>84164.17</v>
      </c>
      <c r="N1424" t="s">
        <v>192</v>
      </c>
      <c r="O1424">
        <v>5</v>
      </c>
      <c r="P1424">
        <v>83</v>
      </c>
      <c r="R1424" t="s">
        <v>1317</v>
      </c>
      <c r="S1424">
        <v>223.3</v>
      </c>
      <c r="T1424" t="s">
        <v>37</v>
      </c>
      <c r="U1424" s="3"/>
      <c r="V1424" s="3"/>
      <c r="W1424" s="3"/>
    </row>
    <row r="1425" spans="1:23">
      <c r="A1425" t="s">
        <v>3152</v>
      </c>
      <c r="B1425" t="s">
        <v>565</v>
      </c>
      <c r="C1425" t="s">
        <v>40</v>
      </c>
      <c r="D1425" s="2">
        <v>28699</v>
      </c>
      <c r="E1425" s="2">
        <v>45943</v>
      </c>
      <c r="F1425" t="s">
        <v>3153</v>
      </c>
      <c r="G1425" t="s">
        <v>105</v>
      </c>
      <c r="H1425" t="s">
        <v>134</v>
      </c>
      <c r="J1425" t="s">
        <v>46</v>
      </c>
      <c r="L1425">
        <v>144852.57</v>
      </c>
      <c r="M1425">
        <v>128702.26</v>
      </c>
      <c r="N1425" t="s">
        <v>192</v>
      </c>
      <c r="O1425">
        <v>1</v>
      </c>
      <c r="P1425">
        <v>221</v>
      </c>
      <c r="Q1425">
        <v>4</v>
      </c>
      <c r="R1425">
        <v>183</v>
      </c>
      <c r="S1425">
        <v>219.4</v>
      </c>
      <c r="U1425" s="3"/>
      <c r="V1425" s="3"/>
      <c r="W1425" s="3"/>
    </row>
    <row r="1426" spans="1:23">
      <c r="A1426" t="s">
        <v>3154</v>
      </c>
      <c r="B1426" t="s">
        <v>999</v>
      </c>
      <c r="C1426" t="s">
        <v>206</v>
      </c>
      <c r="D1426" s="2">
        <v>40183</v>
      </c>
      <c r="E1426" t="s">
        <v>3155</v>
      </c>
      <c r="F1426" t="s">
        <v>3156</v>
      </c>
      <c r="G1426" t="s">
        <v>105</v>
      </c>
      <c r="H1426" t="s">
        <v>1012</v>
      </c>
      <c r="I1426" t="s">
        <v>96</v>
      </c>
      <c r="J1426" t="s">
        <v>71</v>
      </c>
      <c r="K1426" t="s">
        <v>72</v>
      </c>
      <c r="L1426">
        <v>155381.25</v>
      </c>
      <c r="M1426">
        <v>138595.39000000001</v>
      </c>
      <c r="N1426" t="s">
        <v>192</v>
      </c>
      <c r="O1426">
        <v>1</v>
      </c>
      <c r="P1426">
        <v>205</v>
      </c>
      <c r="R1426">
        <v>131</v>
      </c>
      <c r="S1426">
        <v>157.1</v>
      </c>
      <c r="T1426" t="s">
        <v>65</v>
      </c>
      <c r="U1426" s="3"/>
      <c r="V1426" s="3"/>
      <c r="W1426" s="3"/>
    </row>
    <row r="1427" spans="1:23">
      <c r="A1427" t="s">
        <v>3157</v>
      </c>
      <c r="B1427" t="s">
        <v>1393</v>
      </c>
      <c r="C1427" t="s">
        <v>30</v>
      </c>
      <c r="D1427" s="2">
        <v>23128</v>
      </c>
      <c r="E1427" s="2">
        <v>45619</v>
      </c>
      <c r="F1427" s="2">
        <v>45628</v>
      </c>
      <c r="G1427" t="s">
        <v>1282</v>
      </c>
      <c r="H1427" t="s">
        <v>153</v>
      </c>
      <c r="I1427" t="s">
        <v>119</v>
      </c>
      <c r="J1427" t="s">
        <v>179</v>
      </c>
      <c r="K1427" t="s">
        <v>110</v>
      </c>
      <c r="L1427">
        <v>249922.52</v>
      </c>
      <c r="M1427">
        <v>246324.71</v>
      </c>
      <c r="O1427">
        <v>9</v>
      </c>
      <c r="P1427">
        <v>204</v>
      </c>
      <c r="Q1427">
        <v>1</v>
      </c>
      <c r="R1427">
        <v>177</v>
      </c>
      <c r="S1427">
        <v>155.4</v>
      </c>
      <c r="T1427" t="s">
        <v>37</v>
      </c>
      <c r="U1427" s="3"/>
      <c r="V1427" s="3"/>
      <c r="W1427" s="3"/>
    </row>
    <row r="1428" spans="1:23">
      <c r="A1428" t="s">
        <v>3158</v>
      </c>
      <c r="B1428" t="s">
        <v>1119</v>
      </c>
      <c r="C1428" t="s">
        <v>22</v>
      </c>
      <c r="D1428" s="2">
        <v>37704</v>
      </c>
      <c r="E1428" s="2">
        <v>45800</v>
      </c>
      <c r="G1428" t="s">
        <v>43</v>
      </c>
      <c r="H1428" t="s">
        <v>134</v>
      </c>
      <c r="I1428" t="s">
        <v>25</v>
      </c>
      <c r="J1428" t="s">
        <v>97</v>
      </c>
      <c r="K1428" t="s">
        <v>27</v>
      </c>
      <c r="L1428">
        <v>195022.36</v>
      </c>
      <c r="M1428">
        <v>167559.9</v>
      </c>
      <c r="N1428" t="s">
        <v>56</v>
      </c>
      <c r="O1428">
        <v>13</v>
      </c>
      <c r="P1428">
        <v>83</v>
      </c>
      <c r="Q1428">
        <v>5</v>
      </c>
      <c r="R1428">
        <v>159</v>
      </c>
      <c r="S1428">
        <v>102.8</v>
      </c>
      <c r="T1428" t="s">
        <v>57</v>
      </c>
      <c r="U1428" s="3"/>
      <c r="V1428" s="3"/>
      <c r="W1428" s="3"/>
    </row>
    <row r="1429" spans="1:23">
      <c r="A1429" t="s">
        <v>3159</v>
      </c>
      <c r="B1429" t="s">
        <v>373</v>
      </c>
      <c r="C1429" t="s">
        <v>84</v>
      </c>
      <c r="D1429" s="2">
        <v>24175</v>
      </c>
      <c r="E1429" s="2">
        <v>45932</v>
      </c>
      <c r="F1429" s="2">
        <v>45936</v>
      </c>
      <c r="G1429" t="s">
        <v>109</v>
      </c>
      <c r="H1429" t="s">
        <v>118</v>
      </c>
      <c r="I1429" t="s">
        <v>33</v>
      </c>
      <c r="K1429" t="s">
        <v>110</v>
      </c>
      <c r="L1429">
        <v>30144.83</v>
      </c>
      <c r="M1429">
        <v>29646.03</v>
      </c>
      <c r="O1429">
        <v>4</v>
      </c>
      <c r="P1429">
        <v>114</v>
      </c>
      <c r="Q1429">
        <v>5</v>
      </c>
      <c r="R1429">
        <v>92</v>
      </c>
      <c r="S1429">
        <v>232.4</v>
      </c>
      <c r="U1429" s="3"/>
      <c r="V1429" s="3"/>
      <c r="W1429" s="3"/>
    </row>
    <row r="1430" spans="1:23">
      <c r="A1430" t="s">
        <v>3160</v>
      </c>
      <c r="B1430" t="s">
        <v>624</v>
      </c>
      <c r="C1430" t="s">
        <v>133</v>
      </c>
      <c r="D1430" s="2">
        <v>29527</v>
      </c>
      <c r="E1430" s="2">
        <v>44970</v>
      </c>
      <c r="G1430" t="s">
        <v>94</v>
      </c>
      <c r="H1430" t="s">
        <v>78</v>
      </c>
      <c r="I1430" t="s">
        <v>96</v>
      </c>
      <c r="K1430" t="s">
        <v>161</v>
      </c>
      <c r="L1430">
        <v>7049.72</v>
      </c>
      <c r="M1430">
        <v>6937.51</v>
      </c>
      <c r="N1430" t="s">
        <v>192</v>
      </c>
      <c r="O1430">
        <v>17</v>
      </c>
      <c r="P1430">
        <v>127</v>
      </c>
      <c r="Q1430">
        <v>5</v>
      </c>
      <c r="R1430">
        <v>119</v>
      </c>
      <c r="S1430">
        <v>103.8</v>
      </c>
      <c r="T1430" t="s">
        <v>37</v>
      </c>
      <c r="U1430" s="3"/>
      <c r="V1430" s="3"/>
      <c r="W1430" s="3"/>
    </row>
    <row r="1431" spans="1:23">
      <c r="A1431" t="s">
        <v>3161</v>
      </c>
      <c r="B1431" t="s">
        <v>417</v>
      </c>
      <c r="C1431" t="s">
        <v>22</v>
      </c>
      <c r="D1431" s="2">
        <v>27882</v>
      </c>
      <c r="E1431" s="2">
        <v>45433</v>
      </c>
      <c r="F1431" s="2">
        <v>45436</v>
      </c>
      <c r="G1431" t="s">
        <v>89</v>
      </c>
      <c r="H1431" t="s">
        <v>124</v>
      </c>
      <c r="K1431" t="s">
        <v>55</v>
      </c>
      <c r="L1431">
        <v>226655.79</v>
      </c>
      <c r="M1431">
        <v>188213.55</v>
      </c>
      <c r="N1431" t="s">
        <v>192</v>
      </c>
      <c r="O1431">
        <v>3</v>
      </c>
      <c r="P1431">
        <v>96</v>
      </c>
      <c r="Q1431">
        <v>5</v>
      </c>
      <c r="R1431">
        <v>102</v>
      </c>
      <c r="S1431">
        <v>255.7</v>
      </c>
      <c r="U1431" s="3"/>
      <c r="V1431" s="3"/>
      <c r="W1431" s="3"/>
    </row>
    <row r="1432" spans="1:23">
      <c r="A1432" t="s">
        <v>3162</v>
      </c>
      <c r="B1432" t="s">
        <v>342</v>
      </c>
      <c r="D1432" s="2">
        <v>24173</v>
      </c>
      <c r="E1432" s="2">
        <v>45521</v>
      </c>
      <c r="F1432" s="2">
        <v>45528</v>
      </c>
      <c r="G1432" t="s">
        <v>94</v>
      </c>
      <c r="H1432" t="s">
        <v>153</v>
      </c>
      <c r="J1432" t="s">
        <v>46</v>
      </c>
      <c r="L1432">
        <v>220432.28</v>
      </c>
      <c r="M1432">
        <v>173081.72</v>
      </c>
      <c r="N1432" t="s">
        <v>91</v>
      </c>
      <c r="O1432">
        <v>7</v>
      </c>
      <c r="Q1432">
        <v>3</v>
      </c>
      <c r="R1432">
        <v>157</v>
      </c>
      <c r="S1432">
        <v>165.2</v>
      </c>
      <c r="T1432" t="s">
        <v>348</v>
      </c>
      <c r="U1432" s="3"/>
      <c r="V1432" s="3"/>
      <c r="W1432" s="3"/>
    </row>
    <row r="1433" spans="1:23">
      <c r="A1433" t="s">
        <v>3163</v>
      </c>
      <c r="B1433" t="s">
        <v>611</v>
      </c>
      <c r="C1433" t="s">
        <v>60</v>
      </c>
      <c r="D1433" s="2">
        <v>34015</v>
      </c>
      <c r="E1433" t="s">
        <v>3164</v>
      </c>
      <c r="F1433" s="2">
        <v>45348</v>
      </c>
      <c r="G1433" t="s">
        <v>105</v>
      </c>
      <c r="H1433" t="s">
        <v>24</v>
      </c>
      <c r="I1433" t="s">
        <v>119</v>
      </c>
      <c r="J1433" t="s">
        <v>46</v>
      </c>
      <c r="K1433" t="s">
        <v>27</v>
      </c>
      <c r="L1433">
        <v>51472.28</v>
      </c>
      <c r="M1433">
        <v>40735.24</v>
      </c>
      <c r="N1433" t="s">
        <v>56</v>
      </c>
      <c r="O1433">
        <v>3</v>
      </c>
      <c r="P1433">
        <v>160</v>
      </c>
      <c r="Q1433">
        <v>3</v>
      </c>
      <c r="R1433">
        <v>125</v>
      </c>
      <c r="S1433">
        <v>233.8</v>
      </c>
      <c r="U1433" s="3"/>
      <c r="V1433" s="3"/>
      <c r="W1433" s="3"/>
    </row>
    <row r="1434" spans="1:23">
      <c r="A1434" t="s">
        <v>3165</v>
      </c>
      <c r="B1434" t="s">
        <v>1700</v>
      </c>
      <c r="C1434" t="s">
        <v>22</v>
      </c>
      <c r="D1434" s="2">
        <v>38628</v>
      </c>
      <c r="E1434" s="2">
        <v>45278</v>
      </c>
      <c r="F1434" t="s">
        <v>3166</v>
      </c>
      <c r="G1434" t="s">
        <v>77</v>
      </c>
      <c r="H1434" t="s">
        <v>124</v>
      </c>
      <c r="J1434" t="s">
        <v>34</v>
      </c>
      <c r="K1434" t="s">
        <v>110</v>
      </c>
      <c r="L1434">
        <v>66134.960000000006</v>
      </c>
      <c r="M1434">
        <v>48513.86</v>
      </c>
      <c r="N1434" t="s">
        <v>192</v>
      </c>
      <c r="O1434">
        <v>17</v>
      </c>
      <c r="P1434">
        <v>162</v>
      </c>
      <c r="Q1434">
        <v>2</v>
      </c>
      <c r="R1434">
        <v>96</v>
      </c>
      <c r="S1434">
        <v>126</v>
      </c>
      <c r="T1434" t="s">
        <v>37</v>
      </c>
      <c r="U1434" s="3"/>
      <c r="V1434" s="3"/>
      <c r="W1434" s="3"/>
    </row>
    <row r="1435" spans="1:23">
      <c r="A1435" t="s">
        <v>3167</v>
      </c>
      <c r="B1435" t="s">
        <v>587</v>
      </c>
      <c r="C1435" t="s">
        <v>60</v>
      </c>
      <c r="D1435" s="2">
        <v>18749</v>
      </c>
      <c r="E1435" s="2">
        <v>45467</v>
      </c>
      <c r="F1435" s="2">
        <v>45470</v>
      </c>
      <c r="G1435" t="s">
        <v>152</v>
      </c>
      <c r="H1435" t="s">
        <v>32</v>
      </c>
      <c r="I1435" t="s">
        <v>33</v>
      </c>
      <c r="K1435" t="s">
        <v>110</v>
      </c>
      <c r="L1435">
        <v>19592.669999999998</v>
      </c>
      <c r="M1435">
        <v>16446.28</v>
      </c>
      <c r="N1435" t="s">
        <v>35</v>
      </c>
      <c r="O1435">
        <v>3</v>
      </c>
      <c r="P1435">
        <v>76</v>
      </c>
      <c r="Q1435">
        <v>4</v>
      </c>
      <c r="R1435">
        <v>190</v>
      </c>
      <c r="S1435">
        <v>200.8</v>
      </c>
      <c r="T1435" t="s">
        <v>37</v>
      </c>
      <c r="U1435" s="3"/>
      <c r="V1435" s="3"/>
      <c r="W1435" s="3"/>
    </row>
    <row r="1436" spans="1:23">
      <c r="A1436" t="s">
        <v>3168</v>
      </c>
      <c r="B1436" t="s">
        <v>2029</v>
      </c>
      <c r="C1436" t="s">
        <v>40</v>
      </c>
      <c r="D1436" s="2">
        <v>33635</v>
      </c>
      <c r="E1436" s="2">
        <v>45160</v>
      </c>
      <c r="F1436" t="s">
        <v>3169</v>
      </c>
      <c r="G1436" t="s">
        <v>105</v>
      </c>
      <c r="H1436" t="s">
        <v>134</v>
      </c>
      <c r="J1436" t="s">
        <v>80</v>
      </c>
      <c r="L1436">
        <v>238711.99</v>
      </c>
      <c r="M1436">
        <v>225292.5</v>
      </c>
      <c r="N1436" t="s">
        <v>73</v>
      </c>
      <c r="O1436">
        <v>11</v>
      </c>
      <c r="P1436">
        <v>127</v>
      </c>
      <c r="Q1436">
        <v>1</v>
      </c>
      <c r="R1436">
        <v>178</v>
      </c>
      <c r="S1436">
        <v>78.8</v>
      </c>
      <c r="T1436" t="s">
        <v>106</v>
      </c>
      <c r="U1436" s="3"/>
      <c r="V1436" s="3"/>
      <c r="W1436" s="3"/>
    </row>
    <row r="1437" spans="1:23">
      <c r="A1437" t="s">
        <v>3170</v>
      </c>
      <c r="B1437" t="s">
        <v>1200</v>
      </c>
      <c r="C1437" t="s">
        <v>206</v>
      </c>
      <c r="D1437" t="s">
        <v>3171</v>
      </c>
      <c r="E1437" t="s">
        <v>3172</v>
      </c>
      <c r="F1437" s="2">
        <v>45426</v>
      </c>
      <c r="G1437" t="s">
        <v>754</v>
      </c>
      <c r="H1437" t="s">
        <v>24</v>
      </c>
      <c r="I1437" t="s">
        <v>33</v>
      </c>
      <c r="J1437" t="s">
        <v>179</v>
      </c>
      <c r="K1437" t="s">
        <v>110</v>
      </c>
      <c r="L1437">
        <v>26682.39</v>
      </c>
      <c r="M1437">
        <v>23205.79</v>
      </c>
      <c r="N1437" t="s">
        <v>192</v>
      </c>
      <c r="O1437">
        <v>16</v>
      </c>
      <c r="P1437">
        <v>110</v>
      </c>
      <c r="Q1437">
        <v>3</v>
      </c>
      <c r="R1437">
        <v>99</v>
      </c>
      <c r="S1437">
        <v>227.1</v>
      </c>
      <c r="T1437" t="s">
        <v>37</v>
      </c>
      <c r="U1437" s="3"/>
      <c r="V1437" s="3"/>
      <c r="W1437" s="3"/>
    </row>
    <row r="1438" spans="1:23">
      <c r="A1438" t="s">
        <v>3173</v>
      </c>
      <c r="B1438" t="s">
        <v>852</v>
      </c>
      <c r="C1438" t="s">
        <v>30</v>
      </c>
      <c r="D1438" s="2">
        <v>19439</v>
      </c>
      <c r="E1438" t="s">
        <v>3174</v>
      </c>
      <c r="F1438" s="2">
        <v>45571</v>
      </c>
      <c r="G1438" t="s">
        <v>109</v>
      </c>
      <c r="H1438" t="s">
        <v>86</v>
      </c>
      <c r="I1438" t="s">
        <v>119</v>
      </c>
      <c r="J1438" t="s">
        <v>64</v>
      </c>
      <c r="K1438" t="s">
        <v>161</v>
      </c>
      <c r="L1438" t="s">
        <v>3175</v>
      </c>
      <c r="M1438">
        <v>171850.62</v>
      </c>
      <c r="N1438" t="s">
        <v>35</v>
      </c>
      <c r="O1438">
        <v>3</v>
      </c>
      <c r="P1438">
        <v>26</v>
      </c>
      <c r="Q1438">
        <v>2</v>
      </c>
      <c r="R1438">
        <v>161</v>
      </c>
      <c r="S1438">
        <v>205.1</v>
      </c>
      <c r="T1438" t="s">
        <v>37</v>
      </c>
      <c r="U1438" s="3"/>
      <c r="V1438" s="3"/>
      <c r="W1438" s="3"/>
    </row>
    <row r="1439" spans="1:23">
      <c r="A1439" t="s">
        <v>3176</v>
      </c>
      <c r="B1439" t="s">
        <v>1362</v>
      </c>
      <c r="D1439" s="2">
        <v>29422</v>
      </c>
      <c r="E1439" s="2">
        <v>45317</v>
      </c>
      <c r="F1439" s="2">
        <v>45326</v>
      </c>
      <c r="G1439" t="s">
        <v>70</v>
      </c>
      <c r="H1439" t="s">
        <v>32</v>
      </c>
      <c r="K1439" t="s">
        <v>72</v>
      </c>
      <c r="L1439" t="s">
        <v>3177</v>
      </c>
      <c r="M1439">
        <v>105594.87</v>
      </c>
      <c r="O1439">
        <v>9</v>
      </c>
      <c r="P1439">
        <v>70</v>
      </c>
      <c r="R1439">
        <v>132</v>
      </c>
      <c r="S1439">
        <v>141.4</v>
      </c>
      <c r="T1439" t="s">
        <v>65</v>
      </c>
      <c r="U1439" s="3"/>
      <c r="V1439" s="3"/>
      <c r="W1439" s="3"/>
    </row>
    <row r="1440" spans="1:23">
      <c r="A1440" t="s">
        <v>3178</v>
      </c>
      <c r="B1440" t="s">
        <v>394</v>
      </c>
      <c r="C1440" t="s">
        <v>40</v>
      </c>
      <c r="D1440" s="2">
        <v>36519</v>
      </c>
      <c r="E1440" s="2">
        <v>45934</v>
      </c>
      <c r="F1440" s="2">
        <v>45945</v>
      </c>
      <c r="G1440" t="s">
        <v>161</v>
      </c>
      <c r="H1440" t="s">
        <v>153</v>
      </c>
      <c r="I1440" t="s">
        <v>53</v>
      </c>
      <c r="J1440" t="s">
        <v>34</v>
      </c>
      <c r="K1440" t="s">
        <v>55</v>
      </c>
      <c r="L1440">
        <v>194850.95</v>
      </c>
      <c r="M1440">
        <v>182770.26</v>
      </c>
      <c r="N1440" t="s">
        <v>192</v>
      </c>
      <c r="O1440">
        <v>11</v>
      </c>
      <c r="P1440">
        <v>81</v>
      </c>
      <c r="R1440">
        <v>161</v>
      </c>
      <c r="S1440">
        <v>227.2</v>
      </c>
      <c r="T1440" t="s">
        <v>37</v>
      </c>
      <c r="U1440" s="3"/>
      <c r="V1440" s="3"/>
      <c r="W1440" s="3"/>
    </row>
    <row r="1441" spans="1:23">
      <c r="A1441" t="s">
        <v>3179</v>
      </c>
      <c r="B1441" t="s">
        <v>1153</v>
      </c>
      <c r="C1441" t="s">
        <v>84</v>
      </c>
      <c r="D1441" s="2">
        <v>27182</v>
      </c>
      <c r="E1441" t="s">
        <v>3180</v>
      </c>
      <c r="F1441" s="2">
        <v>45473</v>
      </c>
      <c r="G1441" t="s">
        <v>161</v>
      </c>
      <c r="H1441" t="s">
        <v>44</v>
      </c>
      <c r="I1441" t="s">
        <v>96</v>
      </c>
      <c r="J1441" t="s">
        <v>97</v>
      </c>
      <c r="K1441" t="s">
        <v>72</v>
      </c>
      <c r="L1441">
        <v>156972.47</v>
      </c>
      <c r="M1441">
        <v>145941.39000000001</v>
      </c>
      <c r="N1441" t="s">
        <v>35</v>
      </c>
      <c r="O1441">
        <v>9</v>
      </c>
      <c r="P1441">
        <v>196</v>
      </c>
      <c r="Q1441">
        <v>4</v>
      </c>
      <c r="R1441">
        <v>153</v>
      </c>
      <c r="S1441">
        <v>220.3</v>
      </c>
      <c r="T1441" t="s">
        <v>37</v>
      </c>
      <c r="U1441" s="3"/>
      <c r="V1441" s="3"/>
      <c r="W1441" s="3"/>
    </row>
    <row r="1442" spans="1:23">
      <c r="A1442" t="s">
        <v>3181</v>
      </c>
      <c r="B1442" t="s">
        <v>965</v>
      </c>
      <c r="D1442" s="2">
        <v>40392</v>
      </c>
      <c r="E1442" t="s">
        <v>3182</v>
      </c>
      <c r="F1442" s="2">
        <v>45532</v>
      </c>
      <c r="G1442" t="s">
        <v>23</v>
      </c>
      <c r="H1442" t="s">
        <v>153</v>
      </c>
      <c r="I1442" t="s">
        <v>33</v>
      </c>
      <c r="J1442" t="s">
        <v>71</v>
      </c>
      <c r="K1442" t="s">
        <v>55</v>
      </c>
      <c r="L1442">
        <v>39592.230000000003</v>
      </c>
      <c r="M1442">
        <v>33003.51</v>
      </c>
      <c r="N1442" t="s">
        <v>35</v>
      </c>
      <c r="O1442">
        <v>5</v>
      </c>
      <c r="P1442">
        <v>102</v>
      </c>
      <c r="R1442">
        <v>100</v>
      </c>
      <c r="S1442">
        <v>153.4</v>
      </c>
      <c r="T1442" t="s">
        <v>37</v>
      </c>
      <c r="U1442" s="3"/>
      <c r="V1442" s="3"/>
      <c r="W1442" s="3"/>
    </row>
    <row r="1443" spans="1:23">
      <c r="A1443" t="s">
        <v>3183</v>
      </c>
      <c r="B1443" t="s">
        <v>857</v>
      </c>
      <c r="C1443" t="s">
        <v>40</v>
      </c>
      <c r="D1443" t="s">
        <v>3184</v>
      </c>
      <c r="E1443" s="2">
        <v>45442</v>
      </c>
      <c r="F1443" s="2">
        <v>45446</v>
      </c>
      <c r="G1443" t="s">
        <v>70</v>
      </c>
      <c r="H1443" t="s">
        <v>52</v>
      </c>
      <c r="I1443" t="s">
        <v>119</v>
      </c>
      <c r="J1443" t="s">
        <v>179</v>
      </c>
      <c r="K1443" t="s">
        <v>55</v>
      </c>
      <c r="L1443">
        <v>9750.7900000000009</v>
      </c>
      <c r="M1443">
        <v>7685.96</v>
      </c>
      <c r="N1443" t="s">
        <v>35</v>
      </c>
      <c r="O1443">
        <v>4</v>
      </c>
      <c r="P1443">
        <v>25</v>
      </c>
      <c r="R1443">
        <v>134</v>
      </c>
      <c r="S1443">
        <v>214</v>
      </c>
      <c r="T1443" t="s">
        <v>37</v>
      </c>
      <c r="U1443" s="3"/>
      <c r="V1443" s="3"/>
      <c r="W1443" s="3"/>
    </row>
    <row r="1444" spans="1:23">
      <c r="A1444" t="s">
        <v>3185</v>
      </c>
      <c r="B1444" t="s">
        <v>760</v>
      </c>
      <c r="C1444" t="s">
        <v>133</v>
      </c>
      <c r="D1444" s="2">
        <v>28322</v>
      </c>
      <c r="E1444" s="2">
        <v>45195</v>
      </c>
      <c r="F1444" s="2">
        <v>45198</v>
      </c>
      <c r="G1444" t="s">
        <v>62</v>
      </c>
      <c r="H1444" t="s">
        <v>78</v>
      </c>
      <c r="I1444" t="s">
        <v>53</v>
      </c>
      <c r="J1444" t="s">
        <v>64</v>
      </c>
      <c r="K1444" t="s">
        <v>120</v>
      </c>
      <c r="L1444" t="s">
        <v>3186</v>
      </c>
      <c r="M1444">
        <v>166878.62</v>
      </c>
      <c r="N1444" t="s">
        <v>192</v>
      </c>
      <c r="O1444">
        <v>3</v>
      </c>
      <c r="P1444">
        <v>35</v>
      </c>
      <c r="Q1444">
        <v>5</v>
      </c>
      <c r="R1444" t="s">
        <v>1876</v>
      </c>
      <c r="S1444">
        <v>72</v>
      </c>
      <c r="U1444" s="3"/>
      <c r="V1444" s="3"/>
      <c r="W1444" s="3"/>
    </row>
    <row r="1445" spans="1:23">
      <c r="A1445" t="s">
        <v>3187</v>
      </c>
      <c r="B1445" t="s">
        <v>173</v>
      </c>
      <c r="C1445" t="s">
        <v>133</v>
      </c>
      <c r="D1445" t="s">
        <v>3188</v>
      </c>
      <c r="E1445" s="2">
        <v>45136</v>
      </c>
      <c r="F1445" s="2">
        <v>45142</v>
      </c>
      <c r="G1445" t="s">
        <v>1282</v>
      </c>
      <c r="H1445" t="s">
        <v>63</v>
      </c>
      <c r="I1445" t="s">
        <v>96</v>
      </c>
      <c r="J1445" t="s">
        <v>71</v>
      </c>
      <c r="K1445" t="s">
        <v>72</v>
      </c>
      <c r="L1445">
        <v>172798.26</v>
      </c>
      <c r="N1445" t="s">
        <v>192</v>
      </c>
      <c r="O1445">
        <v>6</v>
      </c>
      <c r="P1445" t="s">
        <v>1248</v>
      </c>
      <c r="R1445">
        <v>159</v>
      </c>
      <c r="T1445" t="s">
        <v>47</v>
      </c>
      <c r="U1445" s="3"/>
      <c r="V1445" s="3"/>
      <c r="W1445" s="3"/>
    </row>
    <row r="1446" spans="1:23">
      <c r="A1446" t="s">
        <v>3189</v>
      </c>
      <c r="B1446" t="s">
        <v>321</v>
      </c>
      <c r="C1446" t="s">
        <v>40</v>
      </c>
      <c r="D1446" s="2">
        <v>38196</v>
      </c>
      <c r="E1446" s="2">
        <v>45271</v>
      </c>
      <c r="F1446" s="2">
        <v>45273</v>
      </c>
      <c r="G1446" t="s">
        <v>43</v>
      </c>
      <c r="H1446" t="s">
        <v>153</v>
      </c>
      <c r="I1446" t="s">
        <v>45</v>
      </c>
      <c r="J1446" t="s">
        <v>34</v>
      </c>
      <c r="L1446">
        <v>17911.509999999998</v>
      </c>
      <c r="M1446">
        <v>17519.669999999998</v>
      </c>
      <c r="N1446" t="s">
        <v>192</v>
      </c>
      <c r="O1446">
        <v>2</v>
      </c>
      <c r="P1446">
        <v>163</v>
      </c>
      <c r="Q1446">
        <v>5</v>
      </c>
      <c r="R1446">
        <v>169</v>
      </c>
      <c r="S1446">
        <v>90.1</v>
      </c>
      <c r="T1446" t="s">
        <v>37</v>
      </c>
      <c r="U1446" s="3"/>
      <c r="V1446" s="3"/>
      <c r="W1446" s="3"/>
    </row>
    <row r="1447" spans="1:23">
      <c r="A1447" t="s">
        <v>3190</v>
      </c>
      <c r="B1447" t="s">
        <v>3191</v>
      </c>
      <c r="D1447" s="2">
        <v>21344</v>
      </c>
      <c r="E1447" s="2">
        <v>45696</v>
      </c>
      <c r="F1447" s="2">
        <v>45713</v>
      </c>
      <c r="G1447" t="s">
        <v>62</v>
      </c>
      <c r="H1447" t="s">
        <v>78</v>
      </c>
      <c r="I1447" t="s">
        <v>25</v>
      </c>
      <c r="K1447" t="s">
        <v>161</v>
      </c>
      <c r="L1447">
        <v>39172.58</v>
      </c>
      <c r="M1447">
        <v>37681.18</v>
      </c>
      <c r="N1447" t="s">
        <v>192</v>
      </c>
      <c r="O1447">
        <v>17</v>
      </c>
      <c r="P1447">
        <v>97</v>
      </c>
      <c r="Q1447">
        <v>1</v>
      </c>
      <c r="R1447" t="s">
        <v>3192</v>
      </c>
      <c r="S1447">
        <v>258.89999999999998</v>
      </c>
      <c r="T1447" t="s">
        <v>37</v>
      </c>
      <c r="U1447" s="3"/>
      <c r="V1447" s="3"/>
      <c r="W1447" s="3"/>
    </row>
    <row r="1448" spans="1:23">
      <c r="A1448" t="s">
        <v>3193</v>
      </c>
      <c r="B1448" t="s">
        <v>3194</v>
      </c>
      <c r="C1448" t="s">
        <v>100</v>
      </c>
      <c r="D1448" s="2">
        <v>32997</v>
      </c>
      <c r="E1448" s="2">
        <v>45041</v>
      </c>
      <c r="F1448" s="2">
        <v>45043</v>
      </c>
      <c r="G1448" t="s">
        <v>43</v>
      </c>
      <c r="H1448" t="s">
        <v>134</v>
      </c>
      <c r="I1448" t="s">
        <v>119</v>
      </c>
      <c r="J1448" t="s">
        <v>64</v>
      </c>
      <c r="K1448" t="s">
        <v>55</v>
      </c>
      <c r="M1448">
        <v>74812.91</v>
      </c>
      <c r="N1448" t="s">
        <v>192</v>
      </c>
      <c r="O1448">
        <v>2</v>
      </c>
      <c r="P1448">
        <v>66</v>
      </c>
      <c r="Q1448">
        <v>4</v>
      </c>
      <c r="R1448">
        <v>93</v>
      </c>
      <c r="S1448">
        <v>213.7</v>
      </c>
      <c r="T1448" t="s">
        <v>65</v>
      </c>
      <c r="U1448" s="3"/>
      <c r="V1448" s="3"/>
      <c r="W1448" s="3"/>
    </row>
    <row r="1449" spans="1:23">
      <c r="A1449" t="s">
        <v>3195</v>
      </c>
      <c r="B1449" t="s">
        <v>765</v>
      </c>
      <c r="C1449" t="s">
        <v>22</v>
      </c>
      <c r="D1449" t="s">
        <v>3196</v>
      </c>
      <c r="E1449" s="2">
        <v>45890</v>
      </c>
      <c r="F1449" s="2">
        <v>45902</v>
      </c>
      <c r="G1449" t="s">
        <v>152</v>
      </c>
      <c r="H1449" t="s">
        <v>44</v>
      </c>
      <c r="I1449" t="s">
        <v>96</v>
      </c>
      <c r="K1449" t="s">
        <v>110</v>
      </c>
      <c r="L1449">
        <v>221185.49</v>
      </c>
      <c r="M1449">
        <v>196995.7</v>
      </c>
      <c r="N1449" t="s">
        <v>326</v>
      </c>
      <c r="O1449">
        <v>12</v>
      </c>
      <c r="P1449">
        <v>85</v>
      </c>
      <c r="R1449">
        <v>121</v>
      </c>
      <c r="T1449" t="s">
        <v>37</v>
      </c>
      <c r="U1449" s="3"/>
      <c r="V1449" s="3"/>
      <c r="W1449" s="3"/>
    </row>
    <row r="1450" spans="1:23">
      <c r="A1450" t="s">
        <v>3197</v>
      </c>
      <c r="B1450" t="s">
        <v>1364</v>
      </c>
      <c r="C1450" t="s">
        <v>133</v>
      </c>
      <c r="D1450" t="s">
        <v>3198</v>
      </c>
      <c r="E1450" t="s">
        <v>3199</v>
      </c>
      <c r="F1450" s="2">
        <v>45614</v>
      </c>
      <c r="G1450" t="s">
        <v>77</v>
      </c>
      <c r="H1450" t="s">
        <v>86</v>
      </c>
      <c r="I1450" t="s">
        <v>25</v>
      </c>
      <c r="J1450" t="s">
        <v>64</v>
      </c>
      <c r="L1450">
        <v>72480.52</v>
      </c>
      <c r="M1450">
        <v>54550.67</v>
      </c>
      <c r="N1450" t="s">
        <v>35</v>
      </c>
      <c r="O1450">
        <v>16</v>
      </c>
      <c r="P1450">
        <v>102</v>
      </c>
      <c r="Q1450">
        <v>3</v>
      </c>
      <c r="R1450">
        <v>155</v>
      </c>
      <c r="S1450">
        <v>101.3</v>
      </c>
      <c r="T1450" t="s">
        <v>65</v>
      </c>
      <c r="U1450" s="3"/>
      <c r="V1450" s="3"/>
      <c r="W1450" s="3"/>
    </row>
    <row r="1451" spans="1:23">
      <c r="A1451" t="s">
        <v>3200</v>
      </c>
      <c r="B1451" t="s">
        <v>1350</v>
      </c>
      <c r="C1451" t="s">
        <v>50</v>
      </c>
      <c r="D1451" s="2">
        <v>22051</v>
      </c>
      <c r="E1451" s="2">
        <v>45092</v>
      </c>
      <c r="F1451" t="s">
        <v>3201</v>
      </c>
      <c r="G1451" t="s">
        <v>89</v>
      </c>
      <c r="J1451" t="s">
        <v>46</v>
      </c>
      <c r="K1451" t="s">
        <v>72</v>
      </c>
      <c r="L1451">
        <v>5831.03</v>
      </c>
      <c r="M1451">
        <v>4295.29</v>
      </c>
      <c r="N1451" t="s">
        <v>35</v>
      </c>
      <c r="O1451">
        <v>3</v>
      </c>
      <c r="P1451">
        <v>226</v>
      </c>
      <c r="Q1451">
        <v>2</v>
      </c>
      <c r="R1451">
        <v>157</v>
      </c>
      <c r="S1451">
        <v>190.7</v>
      </c>
      <c r="T1451" t="s">
        <v>81</v>
      </c>
      <c r="U1451" s="3"/>
      <c r="V1451" s="3"/>
      <c r="W1451" s="3"/>
    </row>
    <row r="1452" spans="1:23">
      <c r="A1452" t="s">
        <v>3202</v>
      </c>
      <c r="B1452" t="s">
        <v>39</v>
      </c>
      <c r="C1452" t="s">
        <v>50</v>
      </c>
      <c r="D1452" s="2">
        <v>19889</v>
      </c>
      <c r="E1452" t="s">
        <v>3203</v>
      </c>
      <c r="F1452" s="2">
        <v>45369</v>
      </c>
      <c r="G1452" t="s">
        <v>62</v>
      </c>
      <c r="H1452" t="s">
        <v>226</v>
      </c>
      <c r="I1452" t="s">
        <v>79</v>
      </c>
      <c r="K1452" t="s">
        <v>286</v>
      </c>
      <c r="L1452">
        <v>38486.31</v>
      </c>
      <c r="M1452">
        <v>31755.07</v>
      </c>
      <c r="N1452" t="s">
        <v>1048</v>
      </c>
      <c r="O1452">
        <v>7</v>
      </c>
      <c r="P1452" t="s">
        <v>3204</v>
      </c>
      <c r="Q1452">
        <v>5</v>
      </c>
      <c r="R1452">
        <v>147</v>
      </c>
      <c r="S1452">
        <v>113</v>
      </c>
      <c r="T1452" t="s">
        <v>37</v>
      </c>
      <c r="U1452" s="3"/>
      <c r="V1452" s="3"/>
      <c r="W1452" s="3"/>
    </row>
    <row r="1453" spans="1:23">
      <c r="A1453" t="s">
        <v>3205</v>
      </c>
      <c r="B1453" t="s">
        <v>229</v>
      </c>
      <c r="C1453" t="s">
        <v>40</v>
      </c>
      <c r="D1453" t="s">
        <v>3206</v>
      </c>
      <c r="E1453" s="2">
        <v>45179</v>
      </c>
      <c r="F1453" s="2">
        <v>45186</v>
      </c>
      <c r="G1453" t="s">
        <v>117</v>
      </c>
      <c r="I1453" t="s">
        <v>96</v>
      </c>
      <c r="K1453" t="s">
        <v>114</v>
      </c>
      <c r="L1453">
        <v>23920.77</v>
      </c>
      <c r="M1453">
        <v>16141.71</v>
      </c>
      <c r="N1453" t="s">
        <v>192</v>
      </c>
      <c r="O1453">
        <v>7</v>
      </c>
      <c r="P1453">
        <v>213</v>
      </c>
      <c r="Q1453">
        <v>2</v>
      </c>
      <c r="R1453">
        <v>162</v>
      </c>
      <c r="S1453">
        <v>112.1</v>
      </c>
      <c r="T1453" t="s">
        <v>37</v>
      </c>
      <c r="U1453" s="3"/>
      <c r="V1453" s="3"/>
      <c r="W1453" s="3"/>
    </row>
    <row r="1454" spans="1:23">
      <c r="A1454" t="s">
        <v>3207</v>
      </c>
      <c r="B1454" t="s">
        <v>1175</v>
      </c>
      <c r="C1454" t="s">
        <v>22</v>
      </c>
      <c r="D1454" s="2">
        <v>26863</v>
      </c>
      <c r="E1454" t="s">
        <v>3208</v>
      </c>
      <c r="G1454" t="s">
        <v>89</v>
      </c>
      <c r="H1454" t="s">
        <v>118</v>
      </c>
      <c r="I1454" t="s">
        <v>119</v>
      </c>
      <c r="J1454" t="s">
        <v>26</v>
      </c>
      <c r="K1454" t="s">
        <v>55</v>
      </c>
      <c r="L1454">
        <v>229246.34</v>
      </c>
      <c r="M1454">
        <v>198264.5</v>
      </c>
      <c r="O1454">
        <v>12</v>
      </c>
      <c r="P1454">
        <v>207</v>
      </c>
      <c r="Q1454">
        <v>2</v>
      </c>
      <c r="R1454">
        <v>158</v>
      </c>
      <c r="S1454">
        <v>155.1</v>
      </c>
      <c r="T1454" t="s">
        <v>37</v>
      </c>
      <c r="U1454" s="3"/>
      <c r="V1454" s="3"/>
      <c r="W1454" s="3"/>
    </row>
    <row r="1455" spans="1:23">
      <c r="A1455" t="s">
        <v>3209</v>
      </c>
      <c r="B1455" t="s">
        <v>1505</v>
      </c>
      <c r="C1455" t="s">
        <v>100</v>
      </c>
      <c r="D1455" s="2">
        <v>20778</v>
      </c>
      <c r="E1455" s="2">
        <v>45718</v>
      </c>
      <c r="F1455" t="s">
        <v>3210</v>
      </c>
      <c r="G1455" t="s">
        <v>501</v>
      </c>
      <c r="H1455" t="s">
        <v>24</v>
      </c>
      <c r="I1455" t="s">
        <v>53</v>
      </c>
      <c r="J1455" t="s">
        <v>34</v>
      </c>
      <c r="K1455" t="s">
        <v>55</v>
      </c>
      <c r="L1455">
        <v>6498.28</v>
      </c>
      <c r="M1455">
        <v>4596.07</v>
      </c>
      <c r="N1455" t="s">
        <v>192</v>
      </c>
      <c r="O1455">
        <v>1</v>
      </c>
      <c r="P1455">
        <v>84</v>
      </c>
      <c r="Q1455">
        <v>4</v>
      </c>
      <c r="R1455">
        <v>189</v>
      </c>
      <c r="S1455">
        <v>228.7</v>
      </c>
      <c r="T1455" t="s">
        <v>37</v>
      </c>
      <c r="U1455" s="3"/>
      <c r="V1455" s="3"/>
      <c r="W1455" s="3"/>
    </row>
    <row r="1456" spans="1:23">
      <c r="A1456" t="s">
        <v>3211</v>
      </c>
      <c r="B1456" t="s">
        <v>444</v>
      </c>
      <c r="C1456" t="s">
        <v>100</v>
      </c>
      <c r="D1456" s="2">
        <v>28004</v>
      </c>
      <c r="E1456" s="2">
        <v>45657</v>
      </c>
      <c r="F1456" t="s">
        <v>3212</v>
      </c>
      <c r="G1456" t="s">
        <v>411</v>
      </c>
      <c r="H1456" t="s">
        <v>86</v>
      </c>
      <c r="I1456" t="s">
        <v>25</v>
      </c>
      <c r="J1456" t="s">
        <v>64</v>
      </c>
      <c r="K1456" t="s">
        <v>161</v>
      </c>
      <c r="L1456">
        <v>194220.77</v>
      </c>
      <c r="M1456">
        <v>147680.47</v>
      </c>
      <c r="N1456" t="s">
        <v>192</v>
      </c>
      <c r="O1456">
        <v>7</v>
      </c>
      <c r="P1456">
        <v>231</v>
      </c>
      <c r="Q1456">
        <v>1</v>
      </c>
      <c r="R1456">
        <v>162</v>
      </c>
      <c r="T1456" t="s">
        <v>37</v>
      </c>
      <c r="U1456" s="3"/>
      <c r="V1456" s="3"/>
      <c r="W1456" s="3"/>
    </row>
    <row r="1457" spans="1:23">
      <c r="A1457" t="s">
        <v>3213</v>
      </c>
      <c r="B1457" t="s">
        <v>126</v>
      </c>
      <c r="C1457" t="s">
        <v>100</v>
      </c>
      <c r="D1457" s="2">
        <v>27623</v>
      </c>
      <c r="E1457" t="s">
        <v>3214</v>
      </c>
      <c r="F1457" t="s">
        <v>3215</v>
      </c>
      <c r="G1457" t="s">
        <v>161</v>
      </c>
      <c r="H1457" t="s">
        <v>134</v>
      </c>
      <c r="I1457" t="s">
        <v>79</v>
      </c>
      <c r="J1457" t="s">
        <v>179</v>
      </c>
      <c r="K1457" t="s">
        <v>55</v>
      </c>
      <c r="L1457">
        <v>5908.48</v>
      </c>
      <c r="M1457">
        <v>5366.39</v>
      </c>
      <c r="O1457">
        <v>17</v>
      </c>
      <c r="P1457">
        <v>134</v>
      </c>
      <c r="R1457">
        <v>98</v>
      </c>
      <c r="S1457">
        <v>236.3</v>
      </c>
      <c r="T1457" t="s">
        <v>47</v>
      </c>
      <c r="U1457" s="3"/>
      <c r="V1457" s="3"/>
      <c r="W1457" s="3"/>
    </row>
    <row r="1458" spans="1:23">
      <c r="A1458" t="s">
        <v>3216</v>
      </c>
      <c r="B1458" t="s">
        <v>234</v>
      </c>
      <c r="C1458" t="s">
        <v>60</v>
      </c>
      <c r="D1458" t="s">
        <v>3217</v>
      </c>
      <c r="E1458" s="2">
        <v>45133</v>
      </c>
      <c r="F1458" s="2">
        <v>45148</v>
      </c>
      <c r="G1458" t="s">
        <v>77</v>
      </c>
      <c r="H1458" t="s">
        <v>24</v>
      </c>
      <c r="I1458" t="s">
        <v>45</v>
      </c>
      <c r="J1458" t="s">
        <v>26</v>
      </c>
      <c r="K1458" t="s">
        <v>161</v>
      </c>
      <c r="L1458">
        <v>12718.69</v>
      </c>
      <c r="M1458">
        <v>10929.83</v>
      </c>
      <c r="N1458" t="s">
        <v>73</v>
      </c>
      <c r="O1458">
        <v>15</v>
      </c>
      <c r="P1458">
        <v>72</v>
      </c>
      <c r="R1458">
        <v>182</v>
      </c>
      <c r="S1458">
        <v>70.8</v>
      </c>
      <c r="T1458" t="s">
        <v>37</v>
      </c>
      <c r="U1458" s="3"/>
      <c r="V1458" s="3"/>
      <c r="W1458" s="3"/>
    </row>
    <row r="1459" spans="1:23">
      <c r="A1459" t="s">
        <v>3218</v>
      </c>
      <c r="B1459" t="s">
        <v>1263</v>
      </c>
      <c r="C1459" t="s">
        <v>50</v>
      </c>
      <c r="D1459" s="2">
        <v>30886</v>
      </c>
      <c r="E1459" s="2">
        <v>45864</v>
      </c>
      <c r="F1459" s="2">
        <v>45869</v>
      </c>
      <c r="G1459" t="s">
        <v>62</v>
      </c>
      <c r="H1459" t="s">
        <v>52</v>
      </c>
      <c r="I1459" t="s">
        <v>45</v>
      </c>
      <c r="J1459" t="s">
        <v>26</v>
      </c>
      <c r="K1459" t="s">
        <v>72</v>
      </c>
      <c r="L1459">
        <v>168316.66</v>
      </c>
      <c r="M1459">
        <v>137294.32</v>
      </c>
      <c r="N1459" t="s">
        <v>35</v>
      </c>
      <c r="O1459">
        <v>5</v>
      </c>
      <c r="P1459">
        <v>113</v>
      </c>
      <c r="Q1459">
        <v>4</v>
      </c>
      <c r="S1459">
        <v>208.2</v>
      </c>
      <c r="T1459" t="s">
        <v>65</v>
      </c>
      <c r="U1459" s="3"/>
      <c r="V1459" s="3"/>
      <c r="W1459" s="3"/>
    </row>
    <row r="1460" spans="1:23">
      <c r="A1460" t="s">
        <v>3219</v>
      </c>
      <c r="B1460" t="s">
        <v>354</v>
      </c>
      <c r="C1460" t="s">
        <v>84</v>
      </c>
      <c r="D1460" s="2">
        <v>22610</v>
      </c>
      <c r="E1460" s="2">
        <v>45611</v>
      </c>
      <c r="F1460" t="s">
        <v>3220</v>
      </c>
      <c r="G1460" t="s">
        <v>62</v>
      </c>
      <c r="H1460" t="s">
        <v>134</v>
      </c>
      <c r="J1460" t="s">
        <v>179</v>
      </c>
      <c r="L1460">
        <v>73614.45</v>
      </c>
      <c r="M1460">
        <v>58898.19</v>
      </c>
      <c r="N1460" t="s">
        <v>91</v>
      </c>
      <c r="O1460">
        <v>8</v>
      </c>
      <c r="P1460">
        <v>86</v>
      </c>
      <c r="R1460">
        <v>159</v>
      </c>
      <c r="S1460">
        <v>250.6</v>
      </c>
      <c r="T1460" t="s">
        <v>37</v>
      </c>
      <c r="U1460" s="3"/>
      <c r="V1460" s="3"/>
      <c r="W1460" s="3"/>
    </row>
    <row r="1461" spans="1:23">
      <c r="A1461" t="s">
        <v>3221</v>
      </c>
      <c r="B1461" t="s">
        <v>356</v>
      </c>
      <c r="C1461" t="s">
        <v>22</v>
      </c>
      <c r="D1461" s="2">
        <v>35193</v>
      </c>
      <c r="E1461" s="2">
        <v>45329</v>
      </c>
      <c r="F1461" s="2">
        <v>45333</v>
      </c>
      <c r="G1461" t="s">
        <v>89</v>
      </c>
      <c r="H1461" t="s">
        <v>124</v>
      </c>
      <c r="J1461" t="s">
        <v>80</v>
      </c>
      <c r="K1461" t="s">
        <v>55</v>
      </c>
      <c r="L1461">
        <v>181296.92</v>
      </c>
      <c r="N1461" t="s">
        <v>794</v>
      </c>
      <c r="O1461">
        <v>4</v>
      </c>
      <c r="P1461" t="s">
        <v>2243</v>
      </c>
      <c r="R1461">
        <v>142</v>
      </c>
      <c r="S1461">
        <v>152.6</v>
      </c>
      <c r="T1461" t="s">
        <v>37</v>
      </c>
      <c r="U1461" s="3"/>
      <c r="V1461" s="3"/>
      <c r="W1461" s="3"/>
    </row>
    <row r="1462" spans="1:23">
      <c r="A1462" t="s">
        <v>3222</v>
      </c>
      <c r="B1462" t="s">
        <v>274</v>
      </c>
      <c r="C1462" t="s">
        <v>40</v>
      </c>
      <c r="D1462" s="2">
        <v>32439</v>
      </c>
      <c r="E1462" t="s">
        <v>3223</v>
      </c>
      <c r="F1462" t="s">
        <v>3224</v>
      </c>
      <c r="H1462" t="s">
        <v>134</v>
      </c>
      <c r="I1462" t="s">
        <v>119</v>
      </c>
      <c r="J1462" t="s">
        <v>54</v>
      </c>
      <c r="L1462">
        <v>80733.649999999994</v>
      </c>
      <c r="M1462">
        <v>72595.42</v>
      </c>
      <c r="N1462" t="s">
        <v>192</v>
      </c>
      <c r="O1462">
        <v>17</v>
      </c>
      <c r="P1462">
        <v>81</v>
      </c>
      <c r="Q1462">
        <v>3</v>
      </c>
      <c r="R1462">
        <v>123</v>
      </c>
      <c r="S1462">
        <v>133.5</v>
      </c>
      <c r="T1462" t="s">
        <v>37</v>
      </c>
      <c r="U1462" s="3"/>
      <c r="V1462" s="3"/>
      <c r="W1462" s="3"/>
    </row>
    <row r="1463" spans="1:23">
      <c r="A1463" t="s">
        <v>3225</v>
      </c>
      <c r="B1463" t="s">
        <v>147</v>
      </c>
      <c r="C1463" t="s">
        <v>50</v>
      </c>
      <c r="D1463" s="2">
        <v>36284</v>
      </c>
      <c r="E1463" s="2">
        <v>45393</v>
      </c>
      <c r="F1463" s="2">
        <v>45410</v>
      </c>
      <c r="G1463" t="s">
        <v>31</v>
      </c>
      <c r="H1463" t="s">
        <v>86</v>
      </c>
      <c r="I1463" t="s">
        <v>79</v>
      </c>
      <c r="J1463" t="s">
        <v>64</v>
      </c>
      <c r="K1463" t="s">
        <v>110</v>
      </c>
      <c r="L1463">
        <v>132589.54999999999</v>
      </c>
      <c r="M1463">
        <v>117321.12</v>
      </c>
      <c r="N1463" t="s">
        <v>192</v>
      </c>
      <c r="O1463">
        <v>17</v>
      </c>
      <c r="P1463">
        <v>210</v>
      </c>
      <c r="Q1463">
        <v>4</v>
      </c>
      <c r="R1463" t="s">
        <v>3226</v>
      </c>
      <c r="S1463">
        <v>196.6</v>
      </c>
      <c r="T1463" t="s">
        <v>37</v>
      </c>
      <c r="U1463" s="3"/>
      <c r="V1463" s="3"/>
      <c r="W1463" s="3"/>
    </row>
    <row r="1464" spans="1:23">
      <c r="A1464" t="s">
        <v>3227</v>
      </c>
      <c r="B1464" t="s">
        <v>3228</v>
      </c>
      <c r="C1464" t="s">
        <v>307</v>
      </c>
      <c r="D1464" s="2">
        <v>26885</v>
      </c>
      <c r="E1464" t="s">
        <v>3229</v>
      </c>
      <c r="F1464" s="2">
        <v>45051</v>
      </c>
      <c r="G1464" t="s">
        <v>94</v>
      </c>
      <c r="H1464" t="s">
        <v>32</v>
      </c>
      <c r="I1464" t="s">
        <v>33</v>
      </c>
      <c r="J1464" t="s">
        <v>71</v>
      </c>
      <c r="K1464" t="s">
        <v>55</v>
      </c>
      <c r="L1464">
        <v>208527.15</v>
      </c>
      <c r="M1464">
        <v>140432.93</v>
      </c>
      <c r="N1464" t="s">
        <v>192</v>
      </c>
      <c r="O1464" t="s">
        <v>1857</v>
      </c>
      <c r="P1464">
        <v>42</v>
      </c>
      <c r="R1464">
        <v>119</v>
      </c>
      <c r="S1464">
        <v>189.1</v>
      </c>
      <c r="T1464" t="s">
        <v>81</v>
      </c>
      <c r="U1464" s="3"/>
      <c r="V1464" s="3"/>
      <c r="W1464" s="3"/>
    </row>
    <row r="1465" spans="1:23">
      <c r="A1465" t="s">
        <v>3230</v>
      </c>
      <c r="B1465" t="s">
        <v>99</v>
      </c>
      <c r="C1465" t="s">
        <v>133</v>
      </c>
      <c r="D1465" s="2">
        <v>31444</v>
      </c>
      <c r="E1465" t="s">
        <v>3231</v>
      </c>
      <c r="F1465" s="2">
        <v>45027</v>
      </c>
      <c r="G1465" t="s">
        <v>105</v>
      </c>
      <c r="I1465" t="s">
        <v>119</v>
      </c>
      <c r="J1465" t="s">
        <v>71</v>
      </c>
      <c r="K1465" t="s">
        <v>55</v>
      </c>
      <c r="L1465">
        <v>86605.08</v>
      </c>
      <c r="M1465">
        <v>84929.06</v>
      </c>
      <c r="N1465" t="s">
        <v>56</v>
      </c>
      <c r="O1465">
        <v>4</v>
      </c>
      <c r="P1465">
        <v>68</v>
      </c>
      <c r="Q1465">
        <v>1</v>
      </c>
      <c r="R1465">
        <v>96</v>
      </c>
      <c r="T1465" t="s">
        <v>37</v>
      </c>
      <c r="U1465" s="3"/>
      <c r="V1465" s="3"/>
      <c r="W1465" s="3"/>
    </row>
    <row r="1466" spans="1:23">
      <c r="A1466" t="s">
        <v>3232</v>
      </c>
      <c r="B1466" t="s">
        <v>895</v>
      </c>
      <c r="C1466" t="s">
        <v>60</v>
      </c>
      <c r="D1466" s="2">
        <v>26259</v>
      </c>
      <c r="E1466" s="2">
        <v>45964</v>
      </c>
      <c r="F1466" s="2">
        <v>45979</v>
      </c>
      <c r="H1466" t="s">
        <v>86</v>
      </c>
      <c r="I1466" t="s">
        <v>25</v>
      </c>
      <c r="J1466" t="s">
        <v>34</v>
      </c>
      <c r="K1466" t="s">
        <v>55</v>
      </c>
      <c r="L1466">
        <v>193997.99</v>
      </c>
      <c r="M1466">
        <v>144985.13</v>
      </c>
      <c r="N1466" t="s">
        <v>990</v>
      </c>
      <c r="O1466">
        <v>15</v>
      </c>
      <c r="P1466">
        <v>110</v>
      </c>
      <c r="Q1466">
        <v>4</v>
      </c>
      <c r="R1466">
        <v>137</v>
      </c>
      <c r="S1466">
        <v>226</v>
      </c>
      <c r="T1466" t="s">
        <v>37</v>
      </c>
      <c r="U1466" s="3"/>
      <c r="V1466" s="3"/>
      <c r="W1466" s="3"/>
    </row>
    <row r="1467" spans="1:23">
      <c r="A1467" t="s">
        <v>3233</v>
      </c>
      <c r="B1467" t="s">
        <v>3234</v>
      </c>
      <c r="C1467" t="s">
        <v>60</v>
      </c>
      <c r="D1467" s="2">
        <v>26299</v>
      </c>
      <c r="E1467" s="2">
        <v>45760</v>
      </c>
      <c r="F1467" s="2">
        <v>45769</v>
      </c>
      <c r="G1467" t="s">
        <v>77</v>
      </c>
      <c r="H1467" t="s">
        <v>134</v>
      </c>
      <c r="I1467" t="s">
        <v>96</v>
      </c>
      <c r="J1467" t="s">
        <v>80</v>
      </c>
      <c r="K1467" t="s">
        <v>55</v>
      </c>
      <c r="L1467">
        <v>79252.59</v>
      </c>
      <c r="M1467">
        <v>63760.07</v>
      </c>
      <c r="N1467" t="s">
        <v>73</v>
      </c>
      <c r="O1467">
        <v>9</v>
      </c>
      <c r="P1467">
        <v>200</v>
      </c>
      <c r="Q1467">
        <v>4</v>
      </c>
      <c r="R1467">
        <v>133</v>
      </c>
      <c r="S1467">
        <v>96.6</v>
      </c>
      <c r="T1467" t="s">
        <v>37</v>
      </c>
      <c r="U1467" s="3"/>
      <c r="V1467" s="3"/>
      <c r="W1467" s="3"/>
    </row>
    <row r="1468" spans="1:23">
      <c r="A1468" t="s">
        <v>3235</v>
      </c>
      <c r="B1468" t="s">
        <v>1305</v>
      </c>
      <c r="D1468" s="2">
        <v>38875</v>
      </c>
      <c r="E1468" t="s">
        <v>3236</v>
      </c>
      <c r="F1468" s="2">
        <v>45958</v>
      </c>
      <c r="G1468" t="s">
        <v>141</v>
      </c>
      <c r="H1468" t="s">
        <v>95</v>
      </c>
      <c r="J1468" t="s">
        <v>46</v>
      </c>
      <c r="K1468" t="s">
        <v>110</v>
      </c>
      <c r="L1468">
        <v>142035.56</v>
      </c>
      <c r="M1468">
        <v>91294.8</v>
      </c>
      <c r="N1468" t="s">
        <v>192</v>
      </c>
      <c r="O1468">
        <v>11</v>
      </c>
      <c r="Q1468">
        <v>2</v>
      </c>
      <c r="R1468">
        <v>176</v>
      </c>
      <c r="S1468">
        <v>135.4</v>
      </c>
      <c r="T1468" t="s">
        <v>65</v>
      </c>
      <c r="U1468" s="3"/>
      <c r="V1468" s="3"/>
      <c r="W1468" s="3"/>
    </row>
    <row r="1469" spans="1:23">
      <c r="A1469" t="s">
        <v>3237</v>
      </c>
      <c r="B1469" t="s">
        <v>1099</v>
      </c>
      <c r="C1469" t="s">
        <v>206</v>
      </c>
      <c r="D1469" s="2">
        <v>29198</v>
      </c>
      <c r="E1469" s="2">
        <v>45530</v>
      </c>
      <c r="F1469" s="2">
        <v>45540</v>
      </c>
      <c r="G1469" t="s">
        <v>70</v>
      </c>
      <c r="H1469" t="s">
        <v>153</v>
      </c>
      <c r="I1469" t="s">
        <v>53</v>
      </c>
      <c r="K1469" t="s">
        <v>55</v>
      </c>
      <c r="L1469">
        <v>176300.31</v>
      </c>
      <c r="M1469">
        <v>159328.16</v>
      </c>
      <c r="N1469" t="s">
        <v>56</v>
      </c>
      <c r="O1469">
        <v>10</v>
      </c>
      <c r="P1469">
        <v>139</v>
      </c>
      <c r="Q1469">
        <v>4</v>
      </c>
      <c r="R1469">
        <v>153</v>
      </c>
      <c r="S1469">
        <v>201.7</v>
      </c>
      <c r="U1469" s="3"/>
      <c r="V1469" s="3"/>
      <c r="W1469" s="3"/>
    </row>
    <row r="1470" spans="1:23">
      <c r="A1470" t="s">
        <v>3238</v>
      </c>
      <c r="B1470" t="s">
        <v>241</v>
      </c>
      <c r="C1470" t="s">
        <v>396</v>
      </c>
      <c r="D1470" t="s">
        <v>3239</v>
      </c>
      <c r="E1470" t="s">
        <v>3240</v>
      </c>
      <c r="F1470" s="2">
        <v>45536</v>
      </c>
      <c r="G1470" t="s">
        <v>152</v>
      </c>
      <c r="H1470" t="s">
        <v>134</v>
      </c>
      <c r="J1470" t="s">
        <v>26</v>
      </c>
      <c r="K1470" t="s">
        <v>27</v>
      </c>
      <c r="L1470">
        <v>7891.34</v>
      </c>
      <c r="M1470">
        <v>6190.93</v>
      </c>
      <c r="N1470" t="s">
        <v>192</v>
      </c>
      <c r="O1470">
        <v>4</v>
      </c>
      <c r="P1470">
        <v>148</v>
      </c>
      <c r="Q1470">
        <v>5</v>
      </c>
      <c r="R1470" t="s">
        <v>1539</v>
      </c>
      <c r="S1470">
        <v>257</v>
      </c>
      <c r="T1470" t="s">
        <v>37</v>
      </c>
      <c r="U1470" s="3"/>
      <c r="V1470" s="3"/>
      <c r="W1470" s="3"/>
    </row>
    <row r="1471" spans="1:23">
      <c r="A1471" t="s">
        <v>3241</v>
      </c>
      <c r="B1471" t="s">
        <v>917</v>
      </c>
      <c r="C1471" t="s">
        <v>60</v>
      </c>
      <c r="D1471" s="2">
        <v>25100</v>
      </c>
      <c r="E1471" t="s">
        <v>3242</v>
      </c>
      <c r="F1471" s="2">
        <v>45074</v>
      </c>
      <c r="G1471" t="s">
        <v>105</v>
      </c>
      <c r="H1471" t="s">
        <v>32</v>
      </c>
      <c r="I1471" t="s">
        <v>33</v>
      </c>
      <c r="J1471" t="s">
        <v>46</v>
      </c>
      <c r="K1471" t="s">
        <v>120</v>
      </c>
      <c r="L1471">
        <v>192337.2</v>
      </c>
      <c r="M1471">
        <v>159776.9</v>
      </c>
      <c r="N1471" t="s">
        <v>73</v>
      </c>
      <c r="O1471">
        <v>1</v>
      </c>
      <c r="P1471">
        <v>63</v>
      </c>
      <c r="Q1471">
        <v>5</v>
      </c>
      <c r="R1471">
        <v>176</v>
      </c>
      <c r="S1471">
        <v>257.7</v>
      </c>
      <c r="T1471" t="s">
        <v>37</v>
      </c>
      <c r="U1471" s="3"/>
      <c r="V1471" s="3"/>
      <c r="W1471" s="3"/>
    </row>
    <row r="1472" spans="1:23">
      <c r="A1472" t="s">
        <v>3243</v>
      </c>
      <c r="B1472" t="s">
        <v>833</v>
      </c>
      <c r="C1472" t="s">
        <v>100</v>
      </c>
      <c r="D1472" s="2">
        <v>20066</v>
      </c>
      <c r="E1472" s="2">
        <v>45600</v>
      </c>
      <c r="F1472" s="2">
        <v>45610</v>
      </c>
      <c r="G1472" t="s">
        <v>411</v>
      </c>
      <c r="H1472" t="s">
        <v>95</v>
      </c>
      <c r="I1472" t="s">
        <v>96</v>
      </c>
      <c r="J1472" t="s">
        <v>46</v>
      </c>
      <c r="K1472" t="s">
        <v>120</v>
      </c>
      <c r="L1472">
        <v>155795.93</v>
      </c>
      <c r="M1472">
        <v>111473.38</v>
      </c>
      <c r="N1472" t="s">
        <v>73</v>
      </c>
      <c r="O1472">
        <v>10</v>
      </c>
      <c r="P1472">
        <v>181</v>
      </c>
      <c r="Q1472">
        <v>2</v>
      </c>
      <c r="R1472">
        <v>109</v>
      </c>
      <c r="S1472">
        <v>169.4</v>
      </c>
      <c r="T1472" t="s">
        <v>37</v>
      </c>
      <c r="U1472" s="3"/>
      <c r="V1472" s="3"/>
      <c r="W1472" s="3"/>
    </row>
    <row r="1473" spans="1:23">
      <c r="A1473" t="s">
        <v>3244</v>
      </c>
      <c r="B1473" t="s">
        <v>112</v>
      </c>
      <c r="C1473" t="s">
        <v>206</v>
      </c>
      <c r="D1473" s="2">
        <v>33087</v>
      </c>
      <c r="E1473" t="s">
        <v>3245</v>
      </c>
      <c r="F1473" s="2">
        <v>45927</v>
      </c>
      <c r="G1473" t="s">
        <v>152</v>
      </c>
      <c r="H1473" t="s">
        <v>32</v>
      </c>
      <c r="I1473" t="s">
        <v>25</v>
      </c>
      <c r="L1473">
        <v>94329.15</v>
      </c>
      <c r="M1473">
        <v>73481.55</v>
      </c>
      <c r="N1473" t="s">
        <v>192</v>
      </c>
      <c r="O1473">
        <v>2</v>
      </c>
      <c r="P1473">
        <v>168</v>
      </c>
      <c r="Q1473">
        <v>4</v>
      </c>
      <c r="S1473">
        <v>143.1</v>
      </c>
      <c r="T1473" t="s">
        <v>47</v>
      </c>
      <c r="U1473" s="3"/>
      <c r="V1473" s="3"/>
      <c r="W1473" s="3"/>
    </row>
    <row r="1474" spans="1:23">
      <c r="A1474" t="s">
        <v>3246</v>
      </c>
      <c r="B1474" t="s">
        <v>433</v>
      </c>
      <c r="C1474" t="s">
        <v>84</v>
      </c>
      <c r="D1474" t="s">
        <v>3247</v>
      </c>
      <c r="E1474" s="2">
        <v>45932</v>
      </c>
      <c r="F1474" t="s">
        <v>3248</v>
      </c>
      <c r="G1474" t="s">
        <v>117</v>
      </c>
      <c r="H1474" t="s">
        <v>78</v>
      </c>
      <c r="I1474" t="s">
        <v>45</v>
      </c>
      <c r="J1474" t="s">
        <v>34</v>
      </c>
      <c r="K1474" t="s">
        <v>55</v>
      </c>
      <c r="L1474">
        <v>152055.79</v>
      </c>
      <c r="M1474">
        <v>116271.67</v>
      </c>
      <c r="N1474" t="s">
        <v>91</v>
      </c>
      <c r="O1474">
        <v>2</v>
      </c>
      <c r="P1474">
        <v>174</v>
      </c>
      <c r="Q1474">
        <v>5</v>
      </c>
      <c r="R1474">
        <v>110</v>
      </c>
      <c r="S1474">
        <v>203.1</v>
      </c>
      <c r="U1474" s="3"/>
      <c r="V1474" s="3"/>
      <c r="W1474" s="3"/>
    </row>
    <row r="1475" spans="1:23">
      <c r="A1475" t="s">
        <v>3249</v>
      </c>
      <c r="B1475" t="s">
        <v>1452</v>
      </c>
      <c r="C1475" t="s">
        <v>100</v>
      </c>
      <c r="D1475" s="2">
        <v>30117</v>
      </c>
      <c r="E1475" s="2">
        <v>45241</v>
      </c>
      <c r="F1475" t="s">
        <v>3250</v>
      </c>
      <c r="G1475" t="s">
        <v>902</v>
      </c>
      <c r="H1475" t="s">
        <v>124</v>
      </c>
      <c r="I1475" t="s">
        <v>25</v>
      </c>
      <c r="J1475" t="s">
        <v>26</v>
      </c>
      <c r="L1475">
        <v>106303.87</v>
      </c>
      <c r="M1475">
        <v>77750.429999999993</v>
      </c>
      <c r="O1475">
        <v>17</v>
      </c>
      <c r="P1475">
        <v>159</v>
      </c>
      <c r="Q1475">
        <v>5</v>
      </c>
      <c r="R1475">
        <v>111</v>
      </c>
      <c r="S1475">
        <v>161.5</v>
      </c>
      <c r="T1475" t="s">
        <v>65</v>
      </c>
      <c r="U1475" s="3"/>
      <c r="V1475" s="3"/>
      <c r="W1475" s="3"/>
    </row>
    <row r="1476" spans="1:23">
      <c r="A1476" t="s">
        <v>3251</v>
      </c>
      <c r="B1476" t="s">
        <v>850</v>
      </c>
      <c r="C1476" t="s">
        <v>100</v>
      </c>
      <c r="D1476" s="2">
        <v>33385</v>
      </c>
      <c r="E1476" t="s">
        <v>3252</v>
      </c>
      <c r="F1476" s="2">
        <v>45951</v>
      </c>
      <c r="G1476" t="s">
        <v>161</v>
      </c>
      <c r="H1476" t="s">
        <v>118</v>
      </c>
      <c r="I1476" t="s">
        <v>79</v>
      </c>
      <c r="J1476" t="s">
        <v>26</v>
      </c>
      <c r="K1476" t="s">
        <v>110</v>
      </c>
      <c r="L1476">
        <v>215194.17</v>
      </c>
      <c r="M1476">
        <v>165230.59</v>
      </c>
      <c r="N1476" t="s">
        <v>35</v>
      </c>
      <c r="O1476">
        <v>11</v>
      </c>
      <c r="P1476">
        <v>17</v>
      </c>
      <c r="Q1476">
        <v>3</v>
      </c>
      <c r="R1476">
        <v>104</v>
      </c>
      <c r="S1476">
        <v>222.5</v>
      </c>
      <c r="T1476" t="s">
        <v>37</v>
      </c>
      <c r="U1476" s="3"/>
      <c r="V1476" s="3"/>
      <c r="W1476" s="3"/>
    </row>
    <row r="1477" spans="1:23">
      <c r="A1477" t="s">
        <v>3253</v>
      </c>
      <c r="B1477" t="s">
        <v>584</v>
      </c>
      <c r="C1477" t="s">
        <v>133</v>
      </c>
      <c r="D1477" s="2">
        <v>26350</v>
      </c>
      <c r="E1477" s="2">
        <v>45183</v>
      </c>
      <c r="F1477" s="2">
        <v>45194</v>
      </c>
      <c r="G1477" t="s">
        <v>141</v>
      </c>
      <c r="H1477" t="s">
        <v>24</v>
      </c>
      <c r="I1477" t="s">
        <v>79</v>
      </c>
      <c r="J1477" t="s">
        <v>80</v>
      </c>
      <c r="K1477" t="s">
        <v>110</v>
      </c>
      <c r="L1477" t="s">
        <v>3254</v>
      </c>
      <c r="M1477">
        <v>15577.64</v>
      </c>
      <c r="N1477" t="s">
        <v>91</v>
      </c>
      <c r="O1477">
        <v>11</v>
      </c>
      <c r="P1477">
        <v>235</v>
      </c>
      <c r="Q1477">
        <v>4</v>
      </c>
      <c r="R1477">
        <v>153</v>
      </c>
      <c r="S1477">
        <v>228.6</v>
      </c>
      <c r="T1477" t="s">
        <v>37</v>
      </c>
      <c r="U1477" s="3"/>
      <c r="V1477" s="3"/>
      <c r="W1477" s="3"/>
    </row>
    <row r="1478" spans="1:23">
      <c r="A1478" t="s">
        <v>3255</v>
      </c>
      <c r="B1478" t="s">
        <v>560</v>
      </c>
      <c r="C1478" t="s">
        <v>60</v>
      </c>
      <c r="D1478" s="2">
        <v>22479</v>
      </c>
      <c r="E1478" s="2">
        <v>45901</v>
      </c>
      <c r="F1478" s="2">
        <v>45912</v>
      </c>
      <c r="G1478" t="s">
        <v>161</v>
      </c>
      <c r="H1478" t="s">
        <v>153</v>
      </c>
      <c r="I1478" t="s">
        <v>119</v>
      </c>
      <c r="J1478" t="s">
        <v>97</v>
      </c>
      <c r="K1478" t="s">
        <v>120</v>
      </c>
      <c r="L1478">
        <v>167912.59</v>
      </c>
      <c r="M1478">
        <v>144693.26999999999</v>
      </c>
      <c r="N1478" t="s">
        <v>91</v>
      </c>
      <c r="O1478">
        <v>11</v>
      </c>
      <c r="P1478">
        <v>39</v>
      </c>
      <c r="Q1478">
        <v>1</v>
      </c>
      <c r="R1478">
        <v>146</v>
      </c>
      <c r="S1478">
        <v>131.80000000000001</v>
      </c>
      <c r="T1478" t="s">
        <v>37</v>
      </c>
      <c r="U1478" s="3"/>
      <c r="V1478" s="3"/>
      <c r="W1478" s="3"/>
    </row>
    <row r="1479" spans="1:23">
      <c r="A1479" t="s">
        <v>3256</v>
      </c>
      <c r="B1479" t="s">
        <v>879</v>
      </c>
      <c r="D1479" s="2">
        <v>36112</v>
      </c>
      <c r="E1479" s="2">
        <v>45287</v>
      </c>
      <c r="F1479" s="2">
        <v>45296</v>
      </c>
      <c r="G1479" t="s">
        <v>89</v>
      </c>
      <c r="H1479" t="s">
        <v>538</v>
      </c>
      <c r="I1479" t="s">
        <v>25</v>
      </c>
      <c r="M1479">
        <v>191172.06</v>
      </c>
      <c r="N1479" t="s">
        <v>73</v>
      </c>
      <c r="O1479">
        <v>9</v>
      </c>
      <c r="P1479">
        <v>201</v>
      </c>
      <c r="R1479">
        <v>147</v>
      </c>
      <c r="S1479">
        <v>248.8</v>
      </c>
      <c r="T1479" t="s">
        <v>37</v>
      </c>
      <c r="U1479" s="3"/>
      <c r="V1479" s="3"/>
      <c r="W1479" s="3"/>
    </row>
    <row r="1480" spans="1:23">
      <c r="A1480" t="s">
        <v>3257</v>
      </c>
      <c r="B1480" t="s">
        <v>607</v>
      </c>
      <c r="C1480" t="s">
        <v>40</v>
      </c>
      <c r="D1480" t="s">
        <v>3258</v>
      </c>
      <c r="E1480" s="2">
        <v>45110</v>
      </c>
      <c r="F1480" s="2">
        <v>45128</v>
      </c>
      <c r="G1480" t="s">
        <v>62</v>
      </c>
      <c r="H1480" t="s">
        <v>24</v>
      </c>
      <c r="J1480" t="s">
        <v>46</v>
      </c>
      <c r="K1480" t="s">
        <v>55</v>
      </c>
      <c r="L1480">
        <v>145815.39000000001</v>
      </c>
      <c r="M1480">
        <v>114224.03</v>
      </c>
      <c r="N1480" t="s">
        <v>192</v>
      </c>
      <c r="O1480">
        <v>18</v>
      </c>
      <c r="P1480">
        <v>194</v>
      </c>
      <c r="Q1480">
        <v>5</v>
      </c>
      <c r="S1480">
        <v>151.6</v>
      </c>
      <c r="T1480" t="s">
        <v>37</v>
      </c>
      <c r="U1480" s="3"/>
      <c r="V1480" s="3"/>
      <c r="W1480" s="3"/>
    </row>
    <row r="1481" spans="1:23">
      <c r="A1481" t="s">
        <v>3259</v>
      </c>
      <c r="B1481" t="s">
        <v>1839</v>
      </c>
      <c r="C1481" t="s">
        <v>60</v>
      </c>
      <c r="D1481" s="2">
        <v>27710</v>
      </c>
      <c r="E1481" s="2">
        <v>45627</v>
      </c>
      <c r="F1481" t="s">
        <v>3260</v>
      </c>
      <c r="G1481" t="s">
        <v>109</v>
      </c>
      <c r="I1481" t="s">
        <v>119</v>
      </c>
      <c r="J1481" t="s">
        <v>34</v>
      </c>
      <c r="L1481">
        <v>211428.93</v>
      </c>
      <c r="M1481">
        <v>162458.76</v>
      </c>
      <c r="N1481" t="s">
        <v>106</v>
      </c>
      <c r="O1481">
        <v>15</v>
      </c>
      <c r="P1481">
        <v>122</v>
      </c>
      <c r="Q1481">
        <v>4</v>
      </c>
      <c r="R1481">
        <v>182</v>
      </c>
      <c r="S1481">
        <v>96.5</v>
      </c>
      <c r="U1481" s="3"/>
      <c r="V1481" s="3"/>
      <c r="W1481" s="3"/>
    </row>
    <row r="1482" spans="1:23">
      <c r="A1482" t="s">
        <v>3261</v>
      </c>
      <c r="B1482" t="s">
        <v>429</v>
      </c>
      <c r="D1482" t="s">
        <v>3262</v>
      </c>
      <c r="E1482" s="2">
        <v>45799</v>
      </c>
      <c r="F1482" s="2">
        <v>45805</v>
      </c>
      <c r="G1482" t="s">
        <v>31</v>
      </c>
      <c r="H1482" t="s">
        <v>32</v>
      </c>
      <c r="I1482" t="s">
        <v>25</v>
      </c>
      <c r="J1482" t="s">
        <v>34</v>
      </c>
      <c r="K1482" t="s">
        <v>27</v>
      </c>
      <c r="L1482">
        <v>209869.67</v>
      </c>
      <c r="M1482">
        <v>196431.77</v>
      </c>
      <c r="N1482" t="s">
        <v>73</v>
      </c>
      <c r="O1482">
        <v>6</v>
      </c>
      <c r="P1482">
        <v>90</v>
      </c>
      <c r="Q1482">
        <v>4</v>
      </c>
      <c r="R1482">
        <v>149</v>
      </c>
      <c r="S1482">
        <v>111.7</v>
      </c>
      <c r="T1482" t="s">
        <v>81</v>
      </c>
      <c r="U1482" s="3"/>
      <c r="V1482" s="3"/>
      <c r="W1482" s="3"/>
    </row>
    <row r="1483" spans="1:23">
      <c r="A1483" t="s">
        <v>3263</v>
      </c>
      <c r="B1483" t="s">
        <v>112</v>
      </c>
      <c r="C1483" t="s">
        <v>133</v>
      </c>
      <c r="D1483" s="2">
        <v>40112</v>
      </c>
      <c r="E1483" s="2">
        <v>45700</v>
      </c>
      <c r="F1483" s="2">
        <v>45704</v>
      </c>
      <c r="G1483" t="s">
        <v>152</v>
      </c>
      <c r="H1483" t="s">
        <v>32</v>
      </c>
      <c r="I1483" t="s">
        <v>33</v>
      </c>
      <c r="J1483" t="s">
        <v>179</v>
      </c>
      <c r="K1483" t="s">
        <v>72</v>
      </c>
      <c r="L1483">
        <v>109378.1</v>
      </c>
      <c r="M1483">
        <v>89601.7</v>
      </c>
      <c r="N1483" t="s">
        <v>326</v>
      </c>
      <c r="O1483">
        <v>4</v>
      </c>
      <c r="P1483">
        <v>18</v>
      </c>
      <c r="Q1483">
        <v>4</v>
      </c>
      <c r="R1483">
        <v>145</v>
      </c>
      <c r="S1483">
        <v>231</v>
      </c>
      <c r="T1483" t="s">
        <v>348</v>
      </c>
      <c r="U1483" s="3"/>
      <c r="V1483" s="3"/>
      <c r="W1483" s="3"/>
    </row>
    <row r="1484" spans="1:23">
      <c r="A1484" t="s">
        <v>3264</v>
      </c>
      <c r="B1484" t="s">
        <v>1830</v>
      </c>
      <c r="D1484" s="2">
        <v>25034</v>
      </c>
      <c r="E1484" s="2">
        <v>44993</v>
      </c>
      <c r="F1484" s="2">
        <v>45006</v>
      </c>
      <c r="G1484" t="s">
        <v>89</v>
      </c>
      <c r="H1484" t="s">
        <v>32</v>
      </c>
      <c r="I1484" t="s">
        <v>96</v>
      </c>
      <c r="K1484" t="s">
        <v>161</v>
      </c>
      <c r="L1484">
        <v>106497.3</v>
      </c>
      <c r="M1484">
        <v>102120.18</v>
      </c>
      <c r="N1484" t="s">
        <v>106</v>
      </c>
      <c r="O1484">
        <v>13</v>
      </c>
      <c r="P1484">
        <v>43</v>
      </c>
      <c r="R1484">
        <v>118</v>
      </c>
      <c r="S1484">
        <v>73.5</v>
      </c>
      <c r="U1484" s="3"/>
      <c r="V1484" s="3"/>
      <c r="W1484" s="3"/>
    </row>
    <row r="1485" spans="1:23">
      <c r="A1485" t="s">
        <v>3265</v>
      </c>
      <c r="B1485" t="s">
        <v>1563</v>
      </c>
      <c r="C1485" t="s">
        <v>30</v>
      </c>
      <c r="D1485" s="2">
        <v>31000</v>
      </c>
      <c r="E1485" t="s">
        <v>3266</v>
      </c>
      <c r="F1485" s="2">
        <v>45304</v>
      </c>
      <c r="G1485" t="s">
        <v>89</v>
      </c>
      <c r="H1485" t="s">
        <v>124</v>
      </c>
      <c r="I1485" t="s">
        <v>45</v>
      </c>
      <c r="J1485" t="s">
        <v>179</v>
      </c>
      <c r="K1485" t="s">
        <v>55</v>
      </c>
      <c r="L1485">
        <v>218495.44</v>
      </c>
      <c r="M1485">
        <v>190301.69</v>
      </c>
      <c r="N1485" t="s">
        <v>73</v>
      </c>
      <c r="O1485">
        <v>15</v>
      </c>
      <c r="P1485">
        <v>117</v>
      </c>
      <c r="Q1485">
        <v>2</v>
      </c>
      <c r="R1485">
        <v>131</v>
      </c>
      <c r="S1485">
        <v>118.9</v>
      </c>
      <c r="T1485" t="s">
        <v>65</v>
      </c>
      <c r="U1485" s="3"/>
      <c r="V1485" s="3"/>
      <c r="W1485" s="3"/>
    </row>
    <row r="1486" spans="1:23">
      <c r="A1486" t="s">
        <v>3267</v>
      </c>
      <c r="B1486" t="s">
        <v>500</v>
      </c>
      <c r="C1486" t="s">
        <v>206</v>
      </c>
      <c r="D1486" s="2">
        <v>36146</v>
      </c>
      <c r="E1486" s="2">
        <v>45062</v>
      </c>
      <c r="G1486" t="s">
        <v>62</v>
      </c>
      <c r="H1486" t="s">
        <v>95</v>
      </c>
      <c r="I1486" t="s">
        <v>53</v>
      </c>
      <c r="J1486" t="s">
        <v>71</v>
      </c>
      <c r="K1486" t="s">
        <v>72</v>
      </c>
      <c r="L1486">
        <v>188703.86</v>
      </c>
      <c r="M1486">
        <v>142083.98000000001</v>
      </c>
      <c r="N1486" t="s">
        <v>192</v>
      </c>
      <c r="O1486">
        <v>9</v>
      </c>
      <c r="P1486">
        <v>160</v>
      </c>
      <c r="Q1486">
        <v>2</v>
      </c>
      <c r="R1486">
        <v>172</v>
      </c>
      <c r="S1486">
        <v>115.6</v>
      </c>
      <c r="T1486" t="s">
        <v>37</v>
      </c>
      <c r="U1486" s="3"/>
      <c r="V1486" s="3"/>
      <c r="W1486" s="3"/>
    </row>
    <row r="1487" spans="1:23">
      <c r="A1487" t="s">
        <v>3268</v>
      </c>
      <c r="B1487" t="s">
        <v>67</v>
      </c>
      <c r="C1487" t="s">
        <v>40</v>
      </c>
      <c r="D1487" s="2">
        <v>36620</v>
      </c>
      <c r="E1487" t="s">
        <v>3269</v>
      </c>
      <c r="F1487" s="2">
        <v>45067</v>
      </c>
      <c r="G1487" t="s">
        <v>31</v>
      </c>
      <c r="H1487" t="s">
        <v>52</v>
      </c>
      <c r="I1487" t="s">
        <v>45</v>
      </c>
      <c r="J1487" t="s">
        <v>34</v>
      </c>
      <c r="K1487" t="s">
        <v>161</v>
      </c>
      <c r="L1487">
        <v>202269.38</v>
      </c>
      <c r="M1487">
        <v>143186.49</v>
      </c>
      <c r="N1487" t="s">
        <v>56</v>
      </c>
      <c r="O1487">
        <v>12</v>
      </c>
      <c r="P1487">
        <v>236</v>
      </c>
      <c r="R1487">
        <v>166</v>
      </c>
      <c r="S1487">
        <v>79.2</v>
      </c>
      <c r="T1487" t="s">
        <v>37</v>
      </c>
      <c r="U1487" s="3"/>
      <c r="V1487" s="3"/>
      <c r="W1487" s="3"/>
    </row>
    <row r="1488" spans="1:23">
      <c r="A1488" t="s">
        <v>3270</v>
      </c>
      <c r="B1488" t="s">
        <v>67</v>
      </c>
      <c r="D1488" s="2">
        <v>38776</v>
      </c>
      <c r="E1488" s="2">
        <v>45075</v>
      </c>
      <c r="F1488" t="s">
        <v>3271</v>
      </c>
      <c r="H1488" t="s">
        <v>95</v>
      </c>
      <c r="I1488" t="s">
        <v>25</v>
      </c>
      <c r="J1488" t="s">
        <v>179</v>
      </c>
      <c r="K1488" t="s">
        <v>120</v>
      </c>
      <c r="L1488">
        <v>156848.65</v>
      </c>
      <c r="M1488">
        <v>147093.63</v>
      </c>
      <c r="N1488" t="s">
        <v>56</v>
      </c>
      <c r="O1488">
        <v>6</v>
      </c>
      <c r="P1488">
        <v>17</v>
      </c>
      <c r="Q1488">
        <v>4</v>
      </c>
      <c r="R1488">
        <v>156</v>
      </c>
      <c r="S1488">
        <v>83.8</v>
      </c>
      <c r="T1488" t="s">
        <v>65</v>
      </c>
      <c r="U1488" s="3"/>
      <c r="V1488" s="3"/>
      <c r="W1488" s="3"/>
    </row>
    <row r="1489" spans="1:23">
      <c r="A1489" t="s">
        <v>3272</v>
      </c>
      <c r="B1489" t="s">
        <v>833</v>
      </c>
      <c r="C1489" t="s">
        <v>459</v>
      </c>
      <c r="D1489" t="s">
        <v>3273</v>
      </c>
      <c r="E1489" s="2">
        <v>45628</v>
      </c>
      <c r="F1489" t="s">
        <v>3274</v>
      </c>
      <c r="G1489" t="s">
        <v>105</v>
      </c>
      <c r="H1489" t="s">
        <v>95</v>
      </c>
      <c r="I1489" t="s">
        <v>53</v>
      </c>
      <c r="L1489">
        <v>249735.02</v>
      </c>
      <c r="M1489">
        <v>193915.14</v>
      </c>
      <c r="N1489" t="s">
        <v>73</v>
      </c>
      <c r="O1489">
        <v>17</v>
      </c>
      <c r="P1489">
        <v>170</v>
      </c>
      <c r="R1489">
        <v>152</v>
      </c>
      <c r="S1489">
        <v>205.2</v>
      </c>
      <c r="T1489" t="s">
        <v>37</v>
      </c>
      <c r="U1489" s="3"/>
      <c r="V1489" s="3"/>
      <c r="W1489" s="3"/>
    </row>
    <row r="1490" spans="1:23">
      <c r="A1490" t="s">
        <v>3275</v>
      </c>
      <c r="B1490" t="s">
        <v>392</v>
      </c>
      <c r="C1490" t="s">
        <v>84</v>
      </c>
      <c r="D1490" t="s">
        <v>3276</v>
      </c>
      <c r="E1490" s="2">
        <v>45238</v>
      </c>
      <c r="F1490" t="s">
        <v>3277</v>
      </c>
      <c r="G1490" t="s">
        <v>141</v>
      </c>
      <c r="H1490" t="s">
        <v>32</v>
      </c>
      <c r="I1490" t="s">
        <v>79</v>
      </c>
      <c r="K1490" t="s">
        <v>120</v>
      </c>
      <c r="L1490">
        <v>162203.82</v>
      </c>
      <c r="M1490">
        <v>143227.01999999999</v>
      </c>
      <c r="N1490" t="s">
        <v>73</v>
      </c>
      <c r="O1490" t="s">
        <v>266</v>
      </c>
      <c r="P1490">
        <v>155</v>
      </c>
      <c r="Q1490">
        <v>5</v>
      </c>
      <c r="R1490">
        <v>154</v>
      </c>
      <c r="S1490">
        <v>247.1</v>
      </c>
      <c r="T1490" t="s">
        <v>47</v>
      </c>
      <c r="U1490" s="3"/>
      <c r="V1490" s="3"/>
      <c r="W1490" s="3"/>
    </row>
    <row r="1491" spans="1:23">
      <c r="A1491" t="s">
        <v>3278</v>
      </c>
      <c r="B1491" t="s">
        <v>378</v>
      </c>
      <c r="C1491" t="s">
        <v>206</v>
      </c>
      <c r="D1491" s="2">
        <v>34548</v>
      </c>
      <c r="E1491" t="s">
        <v>3279</v>
      </c>
      <c r="F1491" t="s">
        <v>3280</v>
      </c>
      <c r="G1491" t="s">
        <v>106</v>
      </c>
      <c r="H1491" t="s">
        <v>113</v>
      </c>
      <c r="I1491" t="s">
        <v>53</v>
      </c>
      <c r="J1491" t="s">
        <v>34</v>
      </c>
      <c r="K1491" t="s">
        <v>161</v>
      </c>
      <c r="L1491">
        <v>127773.15</v>
      </c>
      <c r="M1491">
        <v>113092.07</v>
      </c>
      <c r="N1491" t="s">
        <v>56</v>
      </c>
      <c r="O1491">
        <v>11</v>
      </c>
      <c r="P1491">
        <v>195</v>
      </c>
      <c r="Q1491">
        <v>5</v>
      </c>
      <c r="R1491">
        <v>184</v>
      </c>
      <c r="S1491">
        <v>140.4</v>
      </c>
      <c r="T1491" t="s">
        <v>47</v>
      </c>
      <c r="U1491" s="3"/>
      <c r="V1491" s="3"/>
      <c r="W1491" s="3"/>
    </row>
    <row r="1492" spans="1:23">
      <c r="A1492" t="s">
        <v>3281</v>
      </c>
      <c r="B1492" t="s">
        <v>676</v>
      </c>
      <c r="C1492" t="s">
        <v>50</v>
      </c>
      <c r="D1492" s="2">
        <v>38390</v>
      </c>
      <c r="E1492" s="2">
        <v>45669</v>
      </c>
      <c r="F1492" s="2">
        <v>45681</v>
      </c>
      <c r="G1492" t="s">
        <v>94</v>
      </c>
      <c r="H1492" t="s">
        <v>90</v>
      </c>
      <c r="I1492" t="s">
        <v>45</v>
      </c>
      <c r="J1492" t="s">
        <v>645</v>
      </c>
      <c r="K1492" t="s">
        <v>72</v>
      </c>
      <c r="L1492">
        <v>91999.93</v>
      </c>
      <c r="M1492">
        <v>76791.009999999995</v>
      </c>
      <c r="N1492" t="s">
        <v>192</v>
      </c>
      <c r="O1492">
        <v>12</v>
      </c>
      <c r="P1492">
        <v>161</v>
      </c>
      <c r="R1492">
        <v>121</v>
      </c>
      <c r="S1492">
        <v>92.3</v>
      </c>
      <c r="T1492" t="s">
        <v>65</v>
      </c>
      <c r="U1492" s="3"/>
      <c r="V1492" s="3"/>
      <c r="W1492" s="3"/>
    </row>
    <row r="1493" spans="1:23">
      <c r="A1493" t="s">
        <v>3282</v>
      </c>
      <c r="B1493" t="s">
        <v>825</v>
      </c>
      <c r="D1493" s="2">
        <v>38909</v>
      </c>
      <c r="E1493" s="2">
        <v>45822</v>
      </c>
      <c r="F1493" s="2">
        <v>45828</v>
      </c>
      <c r="G1493" t="s">
        <v>77</v>
      </c>
      <c r="H1493" t="s">
        <v>86</v>
      </c>
      <c r="I1493" t="s">
        <v>45</v>
      </c>
      <c r="J1493" t="s">
        <v>46</v>
      </c>
      <c r="K1493" t="s">
        <v>161</v>
      </c>
      <c r="L1493">
        <v>7203.75</v>
      </c>
      <c r="M1493">
        <v>6247.06</v>
      </c>
      <c r="N1493" t="s">
        <v>35</v>
      </c>
      <c r="O1493">
        <v>6</v>
      </c>
      <c r="P1493">
        <v>224</v>
      </c>
      <c r="Q1493">
        <v>5</v>
      </c>
      <c r="R1493" t="s">
        <v>1021</v>
      </c>
      <c r="S1493">
        <v>132</v>
      </c>
      <c r="T1493" t="s">
        <v>37</v>
      </c>
      <c r="U1493" s="3"/>
      <c r="V1493" s="3"/>
      <c r="W1493" s="3"/>
    </row>
    <row r="1494" spans="1:23">
      <c r="A1494" t="s">
        <v>3283</v>
      </c>
      <c r="B1494" t="s">
        <v>288</v>
      </c>
      <c r="C1494" t="s">
        <v>60</v>
      </c>
      <c r="D1494" s="2">
        <v>31530</v>
      </c>
      <c r="E1494" s="2">
        <v>45852</v>
      </c>
      <c r="F1494" s="2">
        <v>45853</v>
      </c>
      <c r="G1494" t="s">
        <v>70</v>
      </c>
      <c r="H1494" t="s">
        <v>124</v>
      </c>
      <c r="I1494" t="s">
        <v>119</v>
      </c>
      <c r="J1494" t="s">
        <v>64</v>
      </c>
      <c r="K1494" t="s">
        <v>110</v>
      </c>
      <c r="L1494">
        <v>238057.14</v>
      </c>
      <c r="M1494">
        <v>154852.45000000001</v>
      </c>
      <c r="N1494" t="s">
        <v>162</v>
      </c>
      <c r="O1494">
        <v>1</v>
      </c>
      <c r="P1494">
        <v>9</v>
      </c>
      <c r="R1494">
        <v>97</v>
      </c>
      <c r="T1494" t="s">
        <v>37</v>
      </c>
      <c r="U1494" s="3"/>
      <c r="V1494" s="3"/>
      <c r="W1494" s="3"/>
    </row>
    <row r="1495" spans="1:23">
      <c r="A1495" t="s">
        <v>3284</v>
      </c>
      <c r="B1495" t="s">
        <v>2483</v>
      </c>
      <c r="C1495" t="s">
        <v>60</v>
      </c>
      <c r="D1495" s="2">
        <v>33109</v>
      </c>
      <c r="E1495" s="2">
        <v>44977</v>
      </c>
      <c r="F1495" s="2">
        <v>44984</v>
      </c>
      <c r="G1495" t="s">
        <v>70</v>
      </c>
      <c r="H1495" t="s">
        <v>52</v>
      </c>
      <c r="I1495" t="s">
        <v>96</v>
      </c>
      <c r="J1495" t="s">
        <v>34</v>
      </c>
      <c r="L1495">
        <v>120507.84</v>
      </c>
      <c r="M1495">
        <v>111727.15</v>
      </c>
      <c r="N1495" t="s">
        <v>91</v>
      </c>
      <c r="O1495">
        <v>7</v>
      </c>
      <c r="P1495">
        <v>222</v>
      </c>
      <c r="R1495">
        <v>155</v>
      </c>
      <c r="S1495">
        <v>202.4</v>
      </c>
      <c r="T1495" t="s">
        <v>37</v>
      </c>
      <c r="U1495" s="3"/>
      <c r="V1495" s="3"/>
      <c r="W1495" s="3"/>
    </row>
    <row r="1496" spans="1:23">
      <c r="A1496" t="s">
        <v>3285</v>
      </c>
      <c r="B1496" t="s">
        <v>1748</v>
      </c>
      <c r="C1496" t="s">
        <v>60</v>
      </c>
      <c r="D1496" s="2">
        <v>30973</v>
      </c>
      <c r="E1496" t="s">
        <v>3286</v>
      </c>
      <c r="F1496" s="2">
        <v>45087</v>
      </c>
      <c r="G1496" t="s">
        <v>141</v>
      </c>
      <c r="H1496" t="s">
        <v>78</v>
      </c>
      <c r="I1496" t="s">
        <v>45</v>
      </c>
      <c r="K1496" t="s">
        <v>161</v>
      </c>
      <c r="L1496">
        <v>99110.69</v>
      </c>
      <c r="M1496">
        <v>82843.679999999993</v>
      </c>
      <c r="N1496" t="s">
        <v>409</v>
      </c>
      <c r="O1496">
        <v>6</v>
      </c>
      <c r="P1496">
        <v>196</v>
      </c>
      <c r="Q1496">
        <v>5</v>
      </c>
      <c r="R1496">
        <v>114</v>
      </c>
      <c r="S1496">
        <v>214.3</v>
      </c>
      <c r="T1496" t="s">
        <v>37</v>
      </c>
      <c r="U1496" s="3"/>
      <c r="V1496" s="3"/>
      <c r="W1496" s="3"/>
    </row>
    <row r="1497" spans="1:23">
      <c r="A1497" t="s">
        <v>3287</v>
      </c>
      <c r="B1497" t="s">
        <v>295</v>
      </c>
      <c r="C1497" t="s">
        <v>22</v>
      </c>
      <c r="D1497" t="s">
        <v>3288</v>
      </c>
      <c r="E1497" t="s">
        <v>3289</v>
      </c>
      <c r="F1497" s="2">
        <v>45461</v>
      </c>
      <c r="G1497" t="s">
        <v>766</v>
      </c>
      <c r="H1497" t="s">
        <v>118</v>
      </c>
      <c r="I1497" t="s">
        <v>79</v>
      </c>
      <c r="J1497" t="s">
        <v>26</v>
      </c>
      <c r="K1497" t="s">
        <v>161</v>
      </c>
      <c r="L1497">
        <v>54400.53</v>
      </c>
      <c r="M1497">
        <v>45384.75</v>
      </c>
      <c r="N1497" t="s">
        <v>91</v>
      </c>
      <c r="O1497">
        <v>9</v>
      </c>
      <c r="P1497">
        <v>148</v>
      </c>
      <c r="Q1497">
        <v>4</v>
      </c>
      <c r="R1497">
        <v>95</v>
      </c>
      <c r="S1497">
        <v>244</v>
      </c>
      <c r="T1497" t="s">
        <v>37</v>
      </c>
      <c r="U1497" s="3"/>
      <c r="V1497" s="3"/>
      <c r="W1497" s="3"/>
    </row>
    <row r="1498" spans="1:23">
      <c r="A1498" t="s">
        <v>3290</v>
      </c>
      <c r="B1498" t="s">
        <v>1480</v>
      </c>
      <c r="C1498" t="s">
        <v>30</v>
      </c>
      <c r="D1498" s="2">
        <v>18406</v>
      </c>
      <c r="E1498" t="s">
        <v>3291</v>
      </c>
      <c r="F1498" s="2">
        <v>45322</v>
      </c>
      <c r="G1498" t="s">
        <v>31</v>
      </c>
      <c r="H1498" t="s">
        <v>32</v>
      </c>
      <c r="I1498" t="s">
        <v>33</v>
      </c>
      <c r="J1498" t="s">
        <v>179</v>
      </c>
      <c r="K1498" t="s">
        <v>110</v>
      </c>
      <c r="L1498">
        <v>63252.94</v>
      </c>
      <c r="M1498">
        <v>40710.6</v>
      </c>
      <c r="N1498" t="s">
        <v>192</v>
      </c>
      <c r="O1498">
        <v>16</v>
      </c>
      <c r="P1498">
        <v>8</v>
      </c>
      <c r="Q1498">
        <v>5</v>
      </c>
      <c r="R1498">
        <v>138</v>
      </c>
      <c r="S1498">
        <v>183.7</v>
      </c>
      <c r="U1498" s="3"/>
      <c r="V1498" s="3"/>
      <c r="W1498" s="3"/>
    </row>
    <row r="1499" spans="1:23">
      <c r="A1499" t="s">
        <v>3292</v>
      </c>
      <c r="B1499" t="s">
        <v>3110</v>
      </c>
      <c r="C1499" t="s">
        <v>396</v>
      </c>
      <c r="D1499" s="2">
        <v>38985</v>
      </c>
      <c r="E1499" t="s">
        <v>1495</v>
      </c>
      <c r="F1499" s="2">
        <v>46002</v>
      </c>
      <c r="G1499" t="s">
        <v>89</v>
      </c>
      <c r="H1499" t="s">
        <v>52</v>
      </c>
      <c r="I1499" t="s">
        <v>33</v>
      </c>
      <c r="J1499" t="s">
        <v>179</v>
      </c>
      <c r="K1499" t="s">
        <v>55</v>
      </c>
      <c r="L1499">
        <v>116446.48</v>
      </c>
      <c r="M1499">
        <v>102327.55</v>
      </c>
      <c r="N1499" t="s">
        <v>192</v>
      </c>
      <c r="O1499">
        <v>13</v>
      </c>
      <c r="P1499">
        <v>49</v>
      </c>
      <c r="Q1499">
        <v>4</v>
      </c>
      <c r="R1499">
        <v>180</v>
      </c>
      <c r="S1499">
        <v>146</v>
      </c>
      <c r="T1499" t="s">
        <v>721</v>
      </c>
      <c r="U1499" s="3"/>
      <c r="V1499" s="3"/>
      <c r="W1499" s="3"/>
    </row>
    <row r="1500" spans="1:23">
      <c r="A1500" t="s">
        <v>3293</v>
      </c>
      <c r="B1500" t="s">
        <v>579</v>
      </c>
      <c r="C1500" t="s">
        <v>100</v>
      </c>
      <c r="D1500" s="2">
        <v>22490</v>
      </c>
      <c r="E1500" t="s">
        <v>3294</v>
      </c>
      <c r="F1500" s="2">
        <v>45955</v>
      </c>
      <c r="G1500" t="s">
        <v>94</v>
      </c>
      <c r="I1500" t="s">
        <v>45</v>
      </c>
      <c r="J1500" t="s">
        <v>26</v>
      </c>
      <c r="K1500" t="s">
        <v>55</v>
      </c>
      <c r="L1500">
        <v>179488.06</v>
      </c>
      <c r="M1500">
        <v>162469.82999999999</v>
      </c>
      <c r="N1500" t="s">
        <v>91</v>
      </c>
      <c r="O1500">
        <v>16</v>
      </c>
      <c r="P1500">
        <v>134</v>
      </c>
      <c r="Q1500">
        <v>1</v>
      </c>
      <c r="R1500">
        <v>128</v>
      </c>
      <c r="S1500">
        <v>114.3</v>
      </c>
      <c r="T1500" t="s">
        <v>65</v>
      </c>
      <c r="U1500" s="3"/>
      <c r="V1500" s="3"/>
      <c r="W1500" s="3"/>
    </row>
    <row r="1501" spans="1:23">
      <c r="A1501" t="s">
        <v>3295</v>
      </c>
      <c r="B1501" t="s">
        <v>324</v>
      </c>
      <c r="C1501" t="s">
        <v>133</v>
      </c>
      <c r="D1501" s="2">
        <v>19995</v>
      </c>
      <c r="E1501" s="2">
        <v>45894</v>
      </c>
      <c r="F1501" s="2">
        <v>45903</v>
      </c>
      <c r="G1501" t="s">
        <v>117</v>
      </c>
      <c r="H1501" t="s">
        <v>52</v>
      </c>
      <c r="I1501" t="s">
        <v>45</v>
      </c>
      <c r="J1501" t="s">
        <v>197</v>
      </c>
      <c r="K1501" t="s">
        <v>110</v>
      </c>
      <c r="L1501">
        <v>32953.050000000003</v>
      </c>
      <c r="M1501">
        <v>25264.76</v>
      </c>
      <c r="N1501" t="s">
        <v>35</v>
      </c>
      <c r="O1501">
        <v>9</v>
      </c>
      <c r="P1501">
        <v>182</v>
      </c>
      <c r="R1501">
        <v>129</v>
      </c>
      <c r="S1501">
        <v>143.69999999999999</v>
      </c>
      <c r="T1501" t="s">
        <v>47</v>
      </c>
      <c r="U1501" s="3"/>
      <c r="V1501" s="3"/>
      <c r="W1501" s="3"/>
    </row>
    <row r="1502" spans="1:23">
      <c r="A1502" t="s">
        <v>3296</v>
      </c>
      <c r="B1502" t="s">
        <v>2270</v>
      </c>
      <c r="C1502" t="s">
        <v>50</v>
      </c>
      <c r="D1502" s="2">
        <v>30577</v>
      </c>
      <c r="E1502" s="2">
        <v>45115</v>
      </c>
      <c r="F1502" s="2">
        <v>45118</v>
      </c>
      <c r="G1502" t="s">
        <v>117</v>
      </c>
      <c r="H1502" t="s">
        <v>78</v>
      </c>
      <c r="I1502" t="s">
        <v>53</v>
      </c>
      <c r="J1502" t="s">
        <v>179</v>
      </c>
      <c r="K1502" t="s">
        <v>55</v>
      </c>
      <c r="L1502">
        <v>105089.99</v>
      </c>
      <c r="M1502">
        <v>100582.75</v>
      </c>
      <c r="N1502" t="s">
        <v>192</v>
      </c>
      <c r="O1502">
        <v>3</v>
      </c>
      <c r="Q1502">
        <v>4</v>
      </c>
      <c r="R1502">
        <v>134</v>
      </c>
      <c r="S1502">
        <v>94.8</v>
      </c>
      <c r="T1502" t="s">
        <v>37</v>
      </c>
      <c r="U1502" s="3"/>
      <c r="V1502" s="3"/>
      <c r="W1502" s="3"/>
    </row>
    <row r="1503" spans="1:23">
      <c r="A1503" t="s">
        <v>3297</v>
      </c>
      <c r="B1503" t="s">
        <v>666</v>
      </c>
      <c r="D1503" s="2">
        <v>35949</v>
      </c>
      <c r="E1503" s="2">
        <v>45388</v>
      </c>
      <c r="F1503" s="2">
        <v>45401</v>
      </c>
      <c r="G1503" t="s">
        <v>62</v>
      </c>
      <c r="H1503" t="s">
        <v>124</v>
      </c>
      <c r="I1503" t="s">
        <v>45</v>
      </c>
      <c r="J1503" t="s">
        <v>186</v>
      </c>
      <c r="K1503" t="s">
        <v>114</v>
      </c>
      <c r="L1503">
        <v>163954.84</v>
      </c>
      <c r="M1503">
        <v>125359.66</v>
      </c>
      <c r="N1503" t="s">
        <v>73</v>
      </c>
      <c r="O1503">
        <v>13</v>
      </c>
      <c r="P1503">
        <v>119</v>
      </c>
      <c r="Q1503">
        <v>1</v>
      </c>
      <c r="R1503">
        <v>112</v>
      </c>
      <c r="S1503">
        <v>75.7</v>
      </c>
      <c r="T1503" t="s">
        <v>37</v>
      </c>
      <c r="U1503" s="3"/>
      <c r="V1503" s="3"/>
      <c r="W1503" s="3"/>
    </row>
    <row r="1504" spans="1:23">
      <c r="A1504" t="s">
        <v>3298</v>
      </c>
      <c r="B1504" t="s">
        <v>492</v>
      </c>
      <c r="C1504" t="s">
        <v>206</v>
      </c>
      <c r="D1504" s="2">
        <v>21936</v>
      </c>
      <c r="E1504" t="s">
        <v>3299</v>
      </c>
      <c r="G1504" t="s">
        <v>370</v>
      </c>
      <c r="H1504" t="s">
        <v>118</v>
      </c>
      <c r="I1504" t="s">
        <v>25</v>
      </c>
      <c r="J1504" t="s">
        <v>34</v>
      </c>
      <c r="K1504" t="s">
        <v>55</v>
      </c>
      <c r="L1504">
        <v>184615.73</v>
      </c>
      <c r="M1504">
        <v>167440.6</v>
      </c>
      <c r="N1504" t="s">
        <v>73</v>
      </c>
      <c r="O1504">
        <v>12</v>
      </c>
      <c r="P1504">
        <v>232</v>
      </c>
      <c r="Q1504">
        <v>5</v>
      </c>
      <c r="R1504">
        <v>119</v>
      </c>
      <c r="S1504">
        <v>115.8</v>
      </c>
      <c r="T1504" t="s">
        <v>47</v>
      </c>
      <c r="U1504" s="3"/>
      <c r="V1504" s="3"/>
      <c r="W1504" s="3"/>
    </row>
    <row r="1505" spans="1:23">
      <c r="A1505" t="s">
        <v>3300</v>
      </c>
      <c r="B1505" t="s">
        <v>511</v>
      </c>
      <c r="C1505" t="s">
        <v>100</v>
      </c>
      <c r="D1505" t="s">
        <v>3301</v>
      </c>
      <c r="E1505" s="2">
        <v>45079</v>
      </c>
      <c r="F1505" s="2">
        <v>45090</v>
      </c>
      <c r="G1505" t="s">
        <v>94</v>
      </c>
      <c r="H1505" t="s">
        <v>376</v>
      </c>
      <c r="I1505" t="s">
        <v>53</v>
      </c>
      <c r="J1505" t="s">
        <v>179</v>
      </c>
      <c r="K1505" t="s">
        <v>191</v>
      </c>
      <c r="L1505">
        <v>148941.31</v>
      </c>
      <c r="M1505">
        <v>107663.59</v>
      </c>
      <c r="N1505" t="s">
        <v>56</v>
      </c>
      <c r="O1505">
        <v>11</v>
      </c>
      <c r="P1505" t="s">
        <v>2243</v>
      </c>
      <c r="Q1505">
        <v>3</v>
      </c>
      <c r="R1505">
        <v>127</v>
      </c>
      <c r="S1505">
        <v>255.3</v>
      </c>
      <c r="T1505" t="s">
        <v>37</v>
      </c>
      <c r="U1505" s="3"/>
      <c r="V1505" s="3"/>
      <c r="W1505" s="3"/>
    </row>
    <row r="1506" spans="1:23">
      <c r="A1506" t="s">
        <v>3302</v>
      </c>
      <c r="B1506" t="s">
        <v>658</v>
      </c>
      <c r="C1506" t="s">
        <v>206</v>
      </c>
      <c r="D1506" s="2">
        <v>24570</v>
      </c>
      <c r="E1506" s="2">
        <v>45134</v>
      </c>
      <c r="F1506" s="2">
        <v>45145</v>
      </c>
      <c r="G1506" t="s">
        <v>152</v>
      </c>
      <c r="H1506" t="s">
        <v>153</v>
      </c>
      <c r="I1506" t="s">
        <v>25</v>
      </c>
      <c r="J1506" t="s">
        <v>179</v>
      </c>
      <c r="K1506" t="s">
        <v>55</v>
      </c>
      <c r="L1506">
        <v>199363.45</v>
      </c>
      <c r="M1506">
        <v>145653.24</v>
      </c>
      <c r="N1506" t="s">
        <v>56</v>
      </c>
      <c r="O1506">
        <v>11</v>
      </c>
      <c r="P1506">
        <v>41</v>
      </c>
      <c r="Q1506">
        <v>4</v>
      </c>
      <c r="R1506">
        <v>152</v>
      </c>
      <c r="S1506">
        <v>138.5</v>
      </c>
      <c r="T1506" t="s">
        <v>37</v>
      </c>
      <c r="U1506" s="3"/>
      <c r="V1506" s="3"/>
      <c r="W1506" s="3"/>
    </row>
    <row r="1507" spans="1:23">
      <c r="A1507" t="s">
        <v>3303</v>
      </c>
      <c r="B1507" t="s">
        <v>1026</v>
      </c>
      <c r="C1507" t="s">
        <v>50</v>
      </c>
      <c r="D1507" s="2">
        <v>30307</v>
      </c>
      <c r="E1507" t="s">
        <v>3304</v>
      </c>
      <c r="F1507" s="2">
        <v>45534</v>
      </c>
      <c r="G1507" t="s">
        <v>109</v>
      </c>
      <c r="H1507" t="s">
        <v>113</v>
      </c>
      <c r="I1507" t="s">
        <v>53</v>
      </c>
      <c r="J1507" t="s">
        <v>179</v>
      </c>
      <c r="K1507" t="s">
        <v>55</v>
      </c>
      <c r="M1507">
        <v>24777.49</v>
      </c>
      <c r="N1507" t="s">
        <v>73</v>
      </c>
      <c r="O1507">
        <v>13</v>
      </c>
      <c r="P1507">
        <v>239</v>
      </c>
      <c r="Q1507">
        <v>1</v>
      </c>
      <c r="R1507">
        <v>107</v>
      </c>
      <c r="S1507">
        <v>110.6</v>
      </c>
      <c r="T1507" t="s">
        <v>37</v>
      </c>
      <c r="U1507" s="3"/>
      <c r="V1507" s="3"/>
      <c r="W1507" s="3"/>
    </row>
    <row r="1508" spans="1:23">
      <c r="A1508" t="s">
        <v>3305</v>
      </c>
      <c r="B1508" t="s">
        <v>1658</v>
      </c>
      <c r="C1508" t="s">
        <v>206</v>
      </c>
      <c r="D1508" s="2">
        <v>25988</v>
      </c>
      <c r="E1508" s="2">
        <v>45257</v>
      </c>
      <c r="F1508" s="2">
        <v>45270</v>
      </c>
      <c r="G1508" t="s">
        <v>77</v>
      </c>
      <c r="H1508" t="s">
        <v>32</v>
      </c>
      <c r="I1508" t="s">
        <v>119</v>
      </c>
      <c r="J1508" t="s">
        <v>179</v>
      </c>
      <c r="K1508" t="s">
        <v>27</v>
      </c>
      <c r="L1508">
        <v>71939.520000000004</v>
      </c>
      <c r="M1508">
        <v>69466.179999999993</v>
      </c>
      <c r="N1508" t="s">
        <v>794</v>
      </c>
      <c r="O1508">
        <v>13</v>
      </c>
      <c r="P1508">
        <v>170</v>
      </c>
      <c r="Q1508">
        <v>3</v>
      </c>
      <c r="R1508">
        <v>174</v>
      </c>
      <c r="S1508">
        <v>97.6</v>
      </c>
      <c r="U1508" s="3"/>
      <c r="V1508" s="3"/>
      <c r="W1508" s="3"/>
    </row>
    <row r="1509" spans="1:23">
      <c r="A1509" t="s">
        <v>3306</v>
      </c>
      <c r="B1509" t="s">
        <v>1537</v>
      </c>
      <c r="C1509" t="s">
        <v>60</v>
      </c>
      <c r="D1509" s="2">
        <v>38726</v>
      </c>
      <c r="E1509" s="2">
        <v>45922</v>
      </c>
      <c r="F1509" t="s">
        <v>3307</v>
      </c>
      <c r="H1509" t="s">
        <v>86</v>
      </c>
      <c r="I1509" t="s">
        <v>79</v>
      </c>
      <c r="J1509" t="s">
        <v>46</v>
      </c>
      <c r="K1509" t="s">
        <v>120</v>
      </c>
      <c r="L1509">
        <v>58801.9</v>
      </c>
      <c r="M1509">
        <v>45414.44</v>
      </c>
      <c r="O1509">
        <v>3</v>
      </c>
      <c r="P1509">
        <v>80</v>
      </c>
      <c r="Q1509">
        <v>2</v>
      </c>
      <c r="S1509">
        <v>125.4</v>
      </c>
      <c r="T1509" t="s">
        <v>47</v>
      </c>
      <c r="U1509" s="3"/>
      <c r="V1509" s="3"/>
      <c r="W1509" s="3"/>
    </row>
    <row r="1510" spans="1:23">
      <c r="A1510" t="s">
        <v>3308</v>
      </c>
      <c r="B1510" t="s">
        <v>88</v>
      </c>
      <c r="C1510" t="s">
        <v>133</v>
      </c>
      <c r="D1510" s="2">
        <v>21874</v>
      </c>
      <c r="E1510" s="2">
        <v>44964</v>
      </c>
      <c r="F1510" s="2">
        <v>44978</v>
      </c>
      <c r="G1510" t="s">
        <v>105</v>
      </c>
      <c r="H1510" t="s">
        <v>44</v>
      </c>
      <c r="J1510" t="s">
        <v>80</v>
      </c>
      <c r="K1510" t="s">
        <v>27</v>
      </c>
      <c r="L1510">
        <v>243535.81</v>
      </c>
      <c r="M1510">
        <v>225200.56</v>
      </c>
      <c r="N1510" t="s">
        <v>56</v>
      </c>
      <c r="O1510">
        <v>14</v>
      </c>
      <c r="P1510">
        <v>70</v>
      </c>
      <c r="Q1510">
        <v>3</v>
      </c>
      <c r="R1510">
        <v>147</v>
      </c>
      <c r="S1510">
        <v>200.7</v>
      </c>
      <c r="T1510" t="s">
        <v>37</v>
      </c>
      <c r="U1510" s="3"/>
      <c r="V1510" s="3"/>
      <c r="W1510" s="3"/>
    </row>
    <row r="1511" spans="1:23">
      <c r="A1511" t="s">
        <v>3309</v>
      </c>
      <c r="B1511" t="s">
        <v>39</v>
      </c>
      <c r="C1511" t="s">
        <v>30</v>
      </c>
      <c r="D1511" s="2">
        <v>33739</v>
      </c>
      <c r="E1511" s="2">
        <v>45011</v>
      </c>
      <c r="F1511" s="2">
        <v>45016</v>
      </c>
      <c r="G1511" t="s">
        <v>43</v>
      </c>
      <c r="H1511" t="s">
        <v>24</v>
      </c>
      <c r="J1511" t="s">
        <v>71</v>
      </c>
      <c r="K1511" t="s">
        <v>27</v>
      </c>
      <c r="L1511">
        <v>30305.57</v>
      </c>
      <c r="M1511">
        <v>28344.97</v>
      </c>
      <c r="N1511" t="s">
        <v>73</v>
      </c>
      <c r="O1511">
        <v>5</v>
      </c>
      <c r="P1511">
        <v>8</v>
      </c>
      <c r="Q1511">
        <v>3</v>
      </c>
      <c r="R1511">
        <v>112</v>
      </c>
      <c r="S1511">
        <v>139</v>
      </c>
      <c r="T1511" t="s">
        <v>65</v>
      </c>
      <c r="U1511" s="3"/>
      <c r="V1511" s="3"/>
      <c r="W1511" s="3"/>
    </row>
    <row r="1512" spans="1:23">
      <c r="A1512" t="s">
        <v>3310</v>
      </c>
      <c r="B1512" t="s">
        <v>3311</v>
      </c>
      <c r="C1512" t="s">
        <v>196</v>
      </c>
      <c r="D1512" s="2">
        <v>24778</v>
      </c>
      <c r="E1512" s="2">
        <v>45124</v>
      </c>
      <c r="F1512" s="2">
        <v>45137</v>
      </c>
      <c r="G1512" t="s">
        <v>77</v>
      </c>
      <c r="H1512" t="s">
        <v>118</v>
      </c>
      <c r="I1512" t="s">
        <v>25</v>
      </c>
      <c r="K1512" t="s">
        <v>55</v>
      </c>
      <c r="L1512">
        <v>193411.4</v>
      </c>
      <c r="M1512">
        <v>167560.07999999999</v>
      </c>
      <c r="N1512" t="s">
        <v>91</v>
      </c>
      <c r="O1512">
        <v>13</v>
      </c>
      <c r="P1512">
        <v>146</v>
      </c>
      <c r="Q1512">
        <v>2</v>
      </c>
      <c r="R1512">
        <v>147</v>
      </c>
      <c r="S1512">
        <v>105.7</v>
      </c>
      <c r="T1512" t="s">
        <v>47</v>
      </c>
      <c r="U1512" s="3"/>
      <c r="V1512" s="3"/>
      <c r="W1512" s="3"/>
    </row>
    <row r="1513" spans="1:23">
      <c r="A1513" t="s">
        <v>3312</v>
      </c>
      <c r="B1513" t="s">
        <v>909</v>
      </c>
      <c r="C1513" t="s">
        <v>151</v>
      </c>
      <c r="D1513" s="2">
        <v>21211</v>
      </c>
      <c r="E1513" t="s">
        <v>3313</v>
      </c>
      <c r="F1513" s="2">
        <v>45720</v>
      </c>
      <c r="G1513" t="s">
        <v>31</v>
      </c>
      <c r="H1513" t="s">
        <v>134</v>
      </c>
      <c r="J1513" t="s">
        <v>34</v>
      </c>
      <c r="K1513" t="s">
        <v>72</v>
      </c>
      <c r="L1513">
        <v>66779.09</v>
      </c>
      <c r="M1513">
        <v>56794.33</v>
      </c>
      <c r="N1513" t="s">
        <v>56</v>
      </c>
      <c r="O1513">
        <v>10</v>
      </c>
      <c r="P1513">
        <v>102</v>
      </c>
      <c r="Q1513">
        <v>3</v>
      </c>
      <c r="R1513">
        <v>132</v>
      </c>
      <c r="S1513">
        <v>240.8</v>
      </c>
      <c r="T1513" t="s">
        <v>37</v>
      </c>
      <c r="U1513" s="3"/>
      <c r="V1513" s="3"/>
      <c r="W1513" s="3"/>
    </row>
    <row r="1514" spans="1:23">
      <c r="A1514" t="s">
        <v>3314</v>
      </c>
      <c r="B1514" t="s">
        <v>1256</v>
      </c>
      <c r="C1514" t="s">
        <v>206</v>
      </c>
      <c r="D1514" s="2">
        <v>38736</v>
      </c>
      <c r="E1514" s="2">
        <v>45276</v>
      </c>
      <c r="F1514" s="2">
        <v>45293</v>
      </c>
      <c r="G1514" t="s">
        <v>152</v>
      </c>
      <c r="H1514" t="s">
        <v>124</v>
      </c>
      <c r="I1514" t="s">
        <v>119</v>
      </c>
      <c r="J1514" t="s">
        <v>46</v>
      </c>
      <c r="K1514" t="s">
        <v>27</v>
      </c>
      <c r="L1514">
        <v>191765.72</v>
      </c>
      <c r="M1514">
        <v>148669.31</v>
      </c>
      <c r="N1514" t="s">
        <v>35</v>
      </c>
      <c r="O1514">
        <v>17</v>
      </c>
      <c r="P1514">
        <v>140</v>
      </c>
      <c r="Q1514">
        <v>3</v>
      </c>
      <c r="R1514">
        <v>131</v>
      </c>
      <c r="S1514">
        <v>199.9</v>
      </c>
      <c r="T1514" t="s">
        <v>721</v>
      </c>
      <c r="U1514" s="3"/>
      <c r="V1514" s="3"/>
      <c r="W1514" s="3"/>
    </row>
    <row r="1515" spans="1:23">
      <c r="A1515" t="s">
        <v>3315</v>
      </c>
      <c r="B1515" t="s">
        <v>224</v>
      </c>
      <c r="C1515" t="s">
        <v>396</v>
      </c>
      <c r="D1515" s="2">
        <v>19151</v>
      </c>
      <c r="E1515" s="2">
        <v>46012</v>
      </c>
      <c r="F1515" s="2">
        <v>46019</v>
      </c>
      <c r="G1515" t="s">
        <v>70</v>
      </c>
      <c r="H1515" t="s">
        <v>24</v>
      </c>
      <c r="I1515" t="s">
        <v>119</v>
      </c>
      <c r="K1515" t="s">
        <v>27</v>
      </c>
      <c r="L1515">
        <v>6240.44</v>
      </c>
      <c r="M1515">
        <v>5019.57</v>
      </c>
      <c r="N1515" t="s">
        <v>35</v>
      </c>
      <c r="O1515">
        <v>7</v>
      </c>
      <c r="P1515">
        <v>232</v>
      </c>
      <c r="Q1515">
        <v>1</v>
      </c>
      <c r="R1515">
        <v>183</v>
      </c>
      <c r="S1515">
        <v>197.4</v>
      </c>
      <c r="T1515" t="s">
        <v>47</v>
      </c>
      <c r="U1515" s="3"/>
      <c r="V1515" s="3"/>
      <c r="W1515" s="3"/>
    </row>
    <row r="1516" spans="1:23">
      <c r="A1516" t="s">
        <v>3316</v>
      </c>
      <c r="B1516" t="s">
        <v>155</v>
      </c>
      <c r="C1516" t="s">
        <v>151</v>
      </c>
      <c r="D1516" t="s">
        <v>3317</v>
      </c>
      <c r="E1516" s="2">
        <v>44953</v>
      </c>
      <c r="F1516" t="s">
        <v>3318</v>
      </c>
      <c r="G1516" t="s">
        <v>117</v>
      </c>
      <c r="H1516" t="s">
        <v>32</v>
      </c>
      <c r="I1516" t="s">
        <v>25</v>
      </c>
      <c r="K1516" t="s">
        <v>55</v>
      </c>
      <c r="L1516">
        <v>90113.89</v>
      </c>
      <c r="M1516">
        <v>67456.789999999994</v>
      </c>
      <c r="N1516" t="s">
        <v>35</v>
      </c>
      <c r="O1516">
        <v>16</v>
      </c>
      <c r="P1516">
        <v>238</v>
      </c>
      <c r="Q1516">
        <v>5</v>
      </c>
      <c r="R1516">
        <v>134</v>
      </c>
      <c r="S1516">
        <v>247.9</v>
      </c>
      <c r="T1516" t="s">
        <v>65</v>
      </c>
      <c r="U1516" s="3"/>
      <c r="V1516" s="3"/>
      <c r="W1516" s="3"/>
    </row>
    <row r="1517" spans="1:23">
      <c r="A1517" t="s">
        <v>3319</v>
      </c>
      <c r="B1517" t="s">
        <v>796</v>
      </c>
      <c r="C1517" t="s">
        <v>50</v>
      </c>
      <c r="D1517" s="2">
        <v>35595</v>
      </c>
      <c r="E1517" s="2">
        <v>45941</v>
      </c>
      <c r="F1517" s="2">
        <v>45955</v>
      </c>
      <c r="G1517" t="s">
        <v>117</v>
      </c>
      <c r="H1517" t="s">
        <v>226</v>
      </c>
      <c r="I1517" t="s">
        <v>53</v>
      </c>
      <c r="L1517">
        <v>95840.48</v>
      </c>
      <c r="M1517">
        <v>67019.23</v>
      </c>
      <c r="N1517" t="s">
        <v>91</v>
      </c>
      <c r="O1517">
        <v>14</v>
      </c>
      <c r="P1517">
        <v>47</v>
      </c>
      <c r="R1517">
        <v>117</v>
      </c>
      <c r="S1517">
        <v>101.8</v>
      </c>
      <c r="T1517" t="s">
        <v>65</v>
      </c>
      <c r="U1517" s="3"/>
      <c r="V1517" s="3"/>
      <c r="W1517" s="3"/>
    </row>
    <row r="1518" spans="1:23">
      <c r="A1518" t="s">
        <v>3320</v>
      </c>
      <c r="B1518" t="s">
        <v>328</v>
      </c>
      <c r="C1518" t="s">
        <v>22</v>
      </c>
      <c r="D1518" s="2">
        <v>20036</v>
      </c>
      <c r="E1518" s="2">
        <v>45558</v>
      </c>
      <c r="G1518" t="s">
        <v>77</v>
      </c>
      <c r="H1518" t="s">
        <v>134</v>
      </c>
      <c r="I1518" t="s">
        <v>45</v>
      </c>
      <c r="J1518" t="s">
        <v>97</v>
      </c>
      <c r="K1518" t="s">
        <v>55</v>
      </c>
      <c r="L1518">
        <v>237457.88</v>
      </c>
      <c r="N1518" t="s">
        <v>192</v>
      </c>
      <c r="O1518">
        <v>7</v>
      </c>
      <c r="P1518">
        <v>212</v>
      </c>
      <c r="R1518">
        <v>100</v>
      </c>
      <c r="S1518">
        <v>191.8</v>
      </c>
      <c r="U1518" s="3"/>
      <c r="V1518" s="3"/>
      <c r="W1518" s="3"/>
    </row>
    <row r="1519" spans="1:23">
      <c r="A1519" t="s">
        <v>3321</v>
      </c>
      <c r="B1519" t="s">
        <v>652</v>
      </c>
      <c r="C1519" t="s">
        <v>22</v>
      </c>
      <c r="D1519" s="2">
        <v>35376</v>
      </c>
      <c r="E1519" s="2">
        <v>45874</v>
      </c>
      <c r="F1519" s="2">
        <v>45882</v>
      </c>
      <c r="G1519" t="s">
        <v>161</v>
      </c>
      <c r="H1519" t="s">
        <v>86</v>
      </c>
      <c r="I1519" t="s">
        <v>33</v>
      </c>
      <c r="J1519" t="s">
        <v>64</v>
      </c>
      <c r="K1519" t="s">
        <v>110</v>
      </c>
      <c r="L1519">
        <v>248836.71</v>
      </c>
      <c r="M1519">
        <v>195628.66</v>
      </c>
      <c r="N1519" t="s">
        <v>409</v>
      </c>
      <c r="O1519">
        <v>8</v>
      </c>
      <c r="Q1519">
        <v>5</v>
      </c>
      <c r="R1519">
        <v>176</v>
      </c>
      <c r="S1519">
        <v>161.5</v>
      </c>
      <c r="T1519" t="s">
        <v>37</v>
      </c>
      <c r="U1519" s="3"/>
      <c r="V1519" s="3"/>
      <c r="W1519" s="3"/>
    </row>
    <row r="1520" spans="1:23">
      <c r="A1520" t="s">
        <v>3322</v>
      </c>
      <c r="B1520" t="s">
        <v>2393</v>
      </c>
      <c r="C1520" t="s">
        <v>100</v>
      </c>
      <c r="D1520" s="2">
        <v>35226</v>
      </c>
      <c r="E1520" s="2">
        <v>45174</v>
      </c>
      <c r="F1520" s="2">
        <v>45183</v>
      </c>
      <c r="G1520" t="s">
        <v>105</v>
      </c>
      <c r="I1520" t="s">
        <v>79</v>
      </c>
      <c r="J1520" t="s">
        <v>71</v>
      </c>
      <c r="K1520" t="s">
        <v>55</v>
      </c>
      <c r="L1520">
        <v>114385.94</v>
      </c>
      <c r="M1520">
        <v>82273.61</v>
      </c>
      <c r="N1520" t="s">
        <v>192</v>
      </c>
      <c r="O1520">
        <v>9</v>
      </c>
      <c r="P1520">
        <v>30</v>
      </c>
      <c r="Q1520">
        <v>4</v>
      </c>
      <c r="R1520">
        <v>155</v>
      </c>
      <c r="S1520">
        <v>171.4</v>
      </c>
      <c r="T1520" t="s">
        <v>37</v>
      </c>
      <c r="U1520" s="3"/>
      <c r="V1520" s="3"/>
      <c r="W1520" s="3"/>
    </row>
    <row r="1521" spans="1:23">
      <c r="A1521" t="s">
        <v>3323</v>
      </c>
      <c r="B1521" t="s">
        <v>238</v>
      </c>
      <c r="C1521" t="s">
        <v>84</v>
      </c>
      <c r="D1521" s="2">
        <v>33771</v>
      </c>
      <c r="E1521" s="2">
        <v>45965</v>
      </c>
      <c r="F1521" t="s">
        <v>3324</v>
      </c>
      <c r="G1521" t="s">
        <v>43</v>
      </c>
      <c r="H1521" t="s">
        <v>24</v>
      </c>
      <c r="I1521" t="s">
        <v>25</v>
      </c>
      <c r="J1521" t="s">
        <v>71</v>
      </c>
      <c r="K1521" t="s">
        <v>110</v>
      </c>
      <c r="L1521">
        <v>224523.39</v>
      </c>
      <c r="M1521">
        <v>182901.83</v>
      </c>
      <c r="N1521" t="s">
        <v>192</v>
      </c>
      <c r="O1521">
        <v>4</v>
      </c>
      <c r="P1521" t="s">
        <v>2124</v>
      </c>
      <c r="Q1521">
        <v>3</v>
      </c>
      <c r="R1521">
        <v>126</v>
      </c>
      <c r="S1521">
        <v>124</v>
      </c>
      <c r="T1521" t="s">
        <v>37</v>
      </c>
      <c r="U1521" s="3"/>
      <c r="V1521" s="3"/>
      <c r="W1521" s="3"/>
    </row>
    <row r="1522" spans="1:23">
      <c r="A1522" t="s">
        <v>3325</v>
      </c>
      <c r="B1522" t="s">
        <v>1068</v>
      </c>
      <c r="C1522" t="s">
        <v>22</v>
      </c>
      <c r="D1522" s="2">
        <v>31525</v>
      </c>
      <c r="E1522" s="2">
        <v>45118</v>
      </c>
      <c r="F1522" t="s">
        <v>1497</v>
      </c>
      <c r="G1522" t="s">
        <v>77</v>
      </c>
      <c r="H1522" t="s">
        <v>124</v>
      </c>
      <c r="I1522" t="s">
        <v>53</v>
      </c>
      <c r="K1522" t="s">
        <v>27</v>
      </c>
      <c r="L1522">
        <v>185188.49</v>
      </c>
      <c r="M1522">
        <v>153890.71</v>
      </c>
      <c r="N1522" t="s">
        <v>35</v>
      </c>
      <c r="O1522" t="s">
        <v>102</v>
      </c>
      <c r="P1522">
        <v>6</v>
      </c>
      <c r="Q1522">
        <v>5</v>
      </c>
      <c r="R1522">
        <v>133</v>
      </c>
      <c r="S1522">
        <v>71.3</v>
      </c>
      <c r="T1522" t="s">
        <v>47</v>
      </c>
      <c r="U1522" s="3"/>
      <c r="V1522" s="3"/>
      <c r="W1522" s="3"/>
    </row>
    <row r="1523" spans="1:23">
      <c r="A1523" t="s">
        <v>3326</v>
      </c>
      <c r="B1523" t="s">
        <v>841</v>
      </c>
      <c r="C1523" t="s">
        <v>151</v>
      </c>
      <c r="D1523" t="s">
        <v>3327</v>
      </c>
      <c r="E1523" s="2">
        <v>45899</v>
      </c>
      <c r="F1523" t="s">
        <v>3328</v>
      </c>
      <c r="G1523" t="s">
        <v>62</v>
      </c>
      <c r="H1523" t="s">
        <v>113</v>
      </c>
      <c r="J1523" t="s">
        <v>64</v>
      </c>
      <c r="K1523" t="s">
        <v>55</v>
      </c>
      <c r="L1523">
        <v>28058.11</v>
      </c>
      <c r="M1523">
        <v>22702.76</v>
      </c>
      <c r="N1523" t="s">
        <v>91</v>
      </c>
      <c r="O1523">
        <v>5</v>
      </c>
      <c r="P1523">
        <v>234</v>
      </c>
      <c r="Q1523">
        <v>4</v>
      </c>
      <c r="R1523">
        <v>174</v>
      </c>
      <c r="S1523">
        <v>180.1</v>
      </c>
      <c r="T1523" t="s">
        <v>65</v>
      </c>
      <c r="U1523" s="3"/>
      <c r="V1523" s="3"/>
      <c r="W1523" s="3"/>
    </row>
    <row r="1524" spans="1:23">
      <c r="A1524" t="s">
        <v>3329</v>
      </c>
      <c r="B1524" t="s">
        <v>288</v>
      </c>
      <c r="C1524" t="s">
        <v>30</v>
      </c>
      <c r="D1524" t="s">
        <v>3330</v>
      </c>
      <c r="E1524" s="2">
        <v>45936</v>
      </c>
      <c r="F1524" s="2">
        <v>45946</v>
      </c>
      <c r="G1524" t="s">
        <v>152</v>
      </c>
      <c r="H1524" t="s">
        <v>32</v>
      </c>
      <c r="I1524" t="s">
        <v>53</v>
      </c>
      <c r="J1524" t="s">
        <v>34</v>
      </c>
      <c r="K1524" t="s">
        <v>120</v>
      </c>
      <c r="L1524">
        <v>228555.01</v>
      </c>
      <c r="M1524">
        <v>150611.63</v>
      </c>
      <c r="N1524" t="s">
        <v>91</v>
      </c>
      <c r="O1524">
        <v>10</v>
      </c>
      <c r="P1524">
        <v>135</v>
      </c>
      <c r="Q1524">
        <v>2</v>
      </c>
      <c r="R1524">
        <v>90</v>
      </c>
      <c r="S1524">
        <v>134.30000000000001</v>
      </c>
      <c r="T1524" t="s">
        <v>37</v>
      </c>
      <c r="U1524" s="3"/>
      <c r="V1524" s="3"/>
      <c r="W1524" s="3"/>
    </row>
    <row r="1525" spans="1:23">
      <c r="A1525" t="s">
        <v>3331</v>
      </c>
      <c r="B1525" t="s">
        <v>112</v>
      </c>
      <c r="C1525" t="s">
        <v>133</v>
      </c>
      <c r="D1525" s="2">
        <v>36408</v>
      </c>
      <c r="E1525" s="2">
        <v>45303</v>
      </c>
      <c r="F1525" s="2">
        <v>45318</v>
      </c>
      <c r="G1525" t="s">
        <v>89</v>
      </c>
      <c r="H1525" t="s">
        <v>52</v>
      </c>
      <c r="I1525" t="s">
        <v>96</v>
      </c>
      <c r="J1525" t="s">
        <v>34</v>
      </c>
      <c r="K1525" t="s">
        <v>110</v>
      </c>
      <c r="L1525">
        <v>144112.78</v>
      </c>
      <c r="M1525">
        <v>126541.04</v>
      </c>
      <c r="N1525" t="s">
        <v>91</v>
      </c>
      <c r="O1525" t="s">
        <v>1170</v>
      </c>
      <c r="P1525">
        <v>67</v>
      </c>
      <c r="Q1525">
        <v>4</v>
      </c>
      <c r="R1525">
        <v>165</v>
      </c>
      <c r="S1525">
        <v>168.2</v>
      </c>
      <c r="T1525" t="s">
        <v>47</v>
      </c>
      <c r="U1525" s="3"/>
      <c r="V1525" s="3"/>
      <c r="W1525" s="3"/>
    </row>
    <row r="1526" spans="1:23">
      <c r="A1526" t="s">
        <v>3332</v>
      </c>
      <c r="B1526" t="s">
        <v>194</v>
      </c>
      <c r="C1526" t="s">
        <v>133</v>
      </c>
      <c r="D1526" s="2">
        <v>37603</v>
      </c>
      <c r="E1526" s="2">
        <v>45947</v>
      </c>
      <c r="G1526" t="s">
        <v>141</v>
      </c>
      <c r="H1526" t="s">
        <v>634</v>
      </c>
      <c r="I1526" t="s">
        <v>96</v>
      </c>
      <c r="J1526" t="s">
        <v>34</v>
      </c>
      <c r="K1526" t="s">
        <v>114</v>
      </c>
      <c r="L1526">
        <v>124075.24</v>
      </c>
      <c r="M1526">
        <v>97161.48</v>
      </c>
      <c r="N1526" t="s">
        <v>56</v>
      </c>
      <c r="O1526">
        <v>18</v>
      </c>
      <c r="P1526">
        <v>24</v>
      </c>
      <c r="Q1526">
        <v>3</v>
      </c>
      <c r="R1526">
        <v>161</v>
      </c>
      <c r="S1526">
        <v>238.6</v>
      </c>
      <c r="T1526" t="s">
        <v>37</v>
      </c>
      <c r="U1526" s="3"/>
      <c r="V1526" s="3"/>
      <c r="W1526" s="3"/>
    </row>
    <row r="1527" spans="1:23">
      <c r="A1527" t="s">
        <v>3333</v>
      </c>
      <c r="B1527" t="s">
        <v>658</v>
      </c>
      <c r="C1527" t="s">
        <v>30</v>
      </c>
      <c r="D1527" s="2">
        <v>22398</v>
      </c>
      <c r="E1527" s="2">
        <v>45845</v>
      </c>
      <c r="F1527" t="s">
        <v>3334</v>
      </c>
      <c r="G1527" t="s">
        <v>89</v>
      </c>
      <c r="H1527" t="s">
        <v>134</v>
      </c>
      <c r="I1527" t="s">
        <v>33</v>
      </c>
      <c r="J1527" t="s">
        <v>34</v>
      </c>
      <c r="K1527" t="s">
        <v>120</v>
      </c>
      <c r="L1527">
        <v>231850.41</v>
      </c>
      <c r="M1527">
        <v>217783.75</v>
      </c>
      <c r="N1527" t="s">
        <v>73</v>
      </c>
      <c r="O1527">
        <v>18</v>
      </c>
      <c r="P1527" t="s">
        <v>3335</v>
      </c>
      <c r="Q1527">
        <v>4</v>
      </c>
      <c r="R1527" t="s">
        <v>1907</v>
      </c>
      <c r="S1527">
        <v>203.7</v>
      </c>
      <c r="T1527" t="s">
        <v>47</v>
      </c>
      <c r="U1527" s="3"/>
      <c r="V1527" s="3"/>
      <c r="W1527" s="3"/>
    </row>
    <row r="1528" spans="1:23">
      <c r="A1528" t="s">
        <v>3336</v>
      </c>
      <c r="B1528" t="s">
        <v>2447</v>
      </c>
      <c r="C1528" t="s">
        <v>100</v>
      </c>
      <c r="D1528" s="2">
        <v>38911</v>
      </c>
      <c r="E1528" s="2">
        <v>45426</v>
      </c>
      <c r="F1528" t="s">
        <v>1782</v>
      </c>
      <c r="I1528" t="s">
        <v>119</v>
      </c>
      <c r="J1528" t="s">
        <v>1381</v>
      </c>
      <c r="K1528" t="s">
        <v>72</v>
      </c>
      <c r="L1528">
        <v>195811.42</v>
      </c>
      <c r="M1528">
        <v>137760.54999999999</v>
      </c>
      <c r="O1528">
        <v>8</v>
      </c>
      <c r="P1528">
        <v>61</v>
      </c>
      <c r="Q1528">
        <v>5</v>
      </c>
      <c r="R1528" t="s">
        <v>1225</v>
      </c>
      <c r="S1528">
        <v>156</v>
      </c>
      <c r="T1528" t="s">
        <v>106</v>
      </c>
      <c r="U1528" s="3"/>
      <c r="V1528" s="3"/>
      <c r="W1528" s="3"/>
    </row>
    <row r="1529" spans="1:23">
      <c r="A1529" t="s">
        <v>3337</v>
      </c>
      <c r="B1529" t="s">
        <v>354</v>
      </c>
      <c r="C1529" t="s">
        <v>22</v>
      </c>
      <c r="D1529" s="2">
        <v>25465</v>
      </c>
      <c r="E1529" s="2">
        <v>45267</v>
      </c>
      <c r="F1529" s="2">
        <v>45274</v>
      </c>
      <c r="G1529" t="s">
        <v>43</v>
      </c>
      <c r="H1529" t="s">
        <v>24</v>
      </c>
      <c r="I1529" t="s">
        <v>96</v>
      </c>
      <c r="J1529" t="s">
        <v>97</v>
      </c>
      <c r="L1529">
        <v>68996.62</v>
      </c>
      <c r="M1529">
        <v>48387.6</v>
      </c>
      <c r="N1529" t="s">
        <v>73</v>
      </c>
      <c r="O1529">
        <v>7</v>
      </c>
      <c r="P1529">
        <v>94</v>
      </c>
      <c r="Q1529">
        <v>4</v>
      </c>
      <c r="R1529">
        <v>153</v>
      </c>
      <c r="S1529">
        <v>191.7</v>
      </c>
      <c r="T1529" t="s">
        <v>47</v>
      </c>
      <c r="U1529" s="3"/>
      <c r="V1529" s="3"/>
      <c r="W1529" s="3"/>
    </row>
    <row r="1530" spans="1:23">
      <c r="A1530" t="s">
        <v>3338</v>
      </c>
      <c r="B1530" t="s">
        <v>652</v>
      </c>
      <c r="C1530" t="s">
        <v>30</v>
      </c>
      <c r="D1530" s="2">
        <v>23089</v>
      </c>
      <c r="E1530" s="2">
        <v>45524</v>
      </c>
      <c r="F1530" s="2">
        <v>45525</v>
      </c>
      <c r="G1530" t="s">
        <v>70</v>
      </c>
      <c r="H1530" t="s">
        <v>95</v>
      </c>
      <c r="I1530" t="s">
        <v>25</v>
      </c>
      <c r="K1530" t="s">
        <v>55</v>
      </c>
      <c r="L1530">
        <v>55433.04</v>
      </c>
      <c r="M1530">
        <v>40300.269999999997</v>
      </c>
      <c r="N1530" t="s">
        <v>35</v>
      </c>
      <c r="O1530">
        <v>1</v>
      </c>
      <c r="P1530">
        <v>45</v>
      </c>
      <c r="Q1530">
        <v>4</v>
      </c>
      <c r="S1530">
        <v>239.5</v>
      </c>
      <c r="T1530" t="s">
        <v>37</v>
      </c>
      <c r="U1530" s="3"/>
      <c r="V1530" s="3"/>
      <c r="W1530" s="3"/>
    </row>
    <row r="1531" spans="1:23">
      <c r="A1531" t="s">
        <v>3339</v>
      </c>
      <c r="B1531" t="s">
        <v>2270</v>
      </c>
      <c r="C1531" t="s">
        <v>84</v>
      </c>
      <c r="D1531" s="2">
        <v>23310</v>
      </c>
      <c r="E1531" s="2">
        <v>45350</v>
      </c>
      <c r="F1531" s="2">
        <v>45353</v>
      </c>
      <c r="G1531" t="s">
        <v>117</v>
      </c>
      <c r="H1531" t="s">
        <v>44</v>
      </c>
      <c r="I1531" t="s">
        <v>25</v>
      </c>
      <c r="J1531" t="s">
        <v>97</v>
      </c>
      <c r="L1531">
        <v>169871.22</v>
      </c>
      <c r="M1531">
        <v>148877.82999999999</v>
      </c>
      <c r="N1531" t="s">
        <v>73</v>
      </c>
      <c r="O1531">
        <v>3</v>
      </c>
      <c r="P1531">
        <v>51</v>
      </c>
      <c r="Q1531">
        <v>5</v>
      </c>
      <c r="R1531">
        <v>95</v>
      </c>
      <c r="S1531">
        <v>82.5</v>
      </c>
      <c r="T1531" t="s">
        <v>37</v>
      </c>
      <c r="U1531" s="3"/>
      <c r="V1531" s="3"/>
      <c r="W1531" s="3"/>
    </row>
    <row r="1532" spans="1:23">
      <c r="A1532" t="s">
        <v>3340</v>
      </c>
      <c r="B1532" t="s">
        <v>427</v>
      </c>
      <c r="C1532" t="s">
        <v>50</v>
      </c>
      <c r="D1532" s="2">
        <v>27422</v>
      </c>
      <c r="E1532" s="2">
        <v>45617</v>
      </c>
      <c r="F1532" s="2">
        <v>45628</v>
      </c>
      <c r="G1532" t="s">
        <v>89</v>
      </c>
      <c r="I1532" t="s">
        <v>96</v>
      </c>
      <c r="J1532" t="s">
        <v>26</v>
      </c>
      <c r="K1532" t="s">
        <v>72</v>
      </c>
      <c r="L1532">
        <v>15071.36</v>
      </c>
      <c r="M1532">
        <v>10050.93</v>
      </c>
      <c r="N1532" t="s">
        <v>73</v>
      </c>
      <c r="O1532">
        <v>11</v>
      </c>
      <c r="P1532" t="s">
        <v>1370</v>
      </c>
      <c r="Q1532">
        <v>4</v>
      </c>
      <c r="R1532">
        <v>138</v>
      </c>
      <c r="S1532">
        <v>227.3</v>
      </c>
      <c r="T1532" t="s">
        <v>37</v>
      </c>
      <c r="U1532" s="3"/>
      <c r="V1532" s="3"/>
      <c r="W1532" s="3"/>
    </row>
    <row r="1533" spans="1:23">
      <c r="A1533" t="s">
        <v>3341</v>
      </c>
      <c r="B1533" t="s">
        <v>967</v>
      </c>
      <c r="D1533" s="2">
        <v>20216</v>
      </c>
      <c r="E1533" s="2">
        <v>45398</v>
      </c>
      <c r="F1533" s="2">
        <v>45411</v>
      </c>
      <c r="G1533" t="s">
        <v>77</v>
      </c>
      <c r="H1533" t="s">
        <v>63</v>
      </c>
      <c r="J1533" t="s">
        <v>46</v>
      </c>
      <c r="K1533" t="s">
        <v>55</v>
      </c>
      <c r="L1533">
        <v>212121.88</v>
      </c>
      <c r="M1533">
        <v>165212.65</v>
      </c>
      <c r="N1533" t="s">
        <v>192</v>
      </c>
      <c r="O1533">
        <v>13</v>
      </c>
      <c r="P1533">
        <v>206</v>
      </c>
      <c r="Q1533">
        <v>1</v>
      </c>
      <c r="R1533">
        <v>139</v>
      </c>
      <c r="S1533">
        <v>175.8</v>
      </c>
      <c r="T1533" t="s">
        <v>65</v>
      </c>
      <c r="U1533" s="3"/>
      <c r="V1533" s="3"/>
      <c r="W1533" s="3"/>
    </row>
    <row r="1534" spans="1:23">
      <c r="A1534" t="s">
        <v>3342</v>
      </c>
      <c r="B1534" t="s">
        <v>249</v>
      </c>
      <c r="C1534" t="s">
        <v>133</v>
      </c>
      <c r="D1534" t="s">
        <v>3343</v>
      </c>
      <c r="E1534" s="2">
        <v>45163</v>
      </c>
      <c r="F1534" s="2">
        <v>45180</v>
      </c>
      <c r="G1534" t="s">
        <v>501</v>
      </c>
      <c r="H1534" t="s">
        <v>95</v>
      </c>
      <c r="I1534" t="s">
        <v>25</v>
      </c>
      <c r="J1534" t="s">
        <v>71</v>
      </c>
      <c r="K1534" t="s">
        <v>120</v>
      </c>
      <c r="L1534">
        <v>29224.959999999999</v>
      </c>
      <c r="M1534">
        <v>17535.3</v>
      </c>
      <c r="N1534" t="s">
        <v>73</v>
      </c>
      <c r="O1534">
        <v>17</v>
      </c>
      <c r="P1534">
        <v>112</v>
      </c>
      <c r="Q1534">
        <v>4</v>
      </c>
      <c r="R1534">
        <v>129</v>
      </c>
      <c r="S1534">
        <v>170</v>
      </c>
      <c r="T1534" t="s">
        <v>65</v>
      </c>
      <c r="U1534" s="3"/>
      <c r="V1534" s="3"/>
      <c r="W1534" s="3"/>
    </row>
    <row r="1535" spans="1:23">
      <c r="A1535" t="s">
        <v>3344</v>
      </c>
      <c r="B1535" t="s">
        <v>565</v>
      </c>
      <c r="C1535" t="s">
        <v>133</v>
      </c>
      <c r="D1535" s="2">
        <v>32470</v>
      </c>
      <c r="E1535" s="2">
        <v>45523</v>
      </c>
      <c r="F1535" s="2">
        <v>45533</v>
      </c>
      <c r="G1535" t="s">
        <v>161</v>
      </c>
      <c r="H1535" t="s">
        <v>113</v>
      </c>
      <c r="I1535" t="s">
        <v>53</v>
      </c>
      <c r="J1535" t="s">
        <v>26</v>
      </c>
      <c r="K1535" t="s">
        <v>55</v>
      </c>
      <c r="L1535" t="s">
        <v>3345</v>
      </c>
      <c r="M1535">
        <v>197913.64</v>
      </c>
      <c r="N1535" t="s">
        <v>35</v>
      </c>
      <c r="O1535">
        <v>10</v>
      </c>
      <c r="P1535" t="s">
        <v>1291</v>
      </c>
      <c r="Q1535">
        <v>5</v>
      </c>
      <c r="R1535">
        <v>132</v>
      </c>
      <c r="S1535">
        <v>228</v>
      </c>
      <c r="T1535" t="s">
        <v>37</v>
      </c>
      <c r="U1535" s="3"/>
      <c r="V1535" s="3"/>
      <c r="W1535" s="3"/>
    </row>
    <row r="1536" spans="1:23">
      <c r="A1536" t="s">
        <v>3346</v>
      </c>
      <c r="B1536" t="s">
        <v>1101</v>
      </c>
      <c r="C1536" t="s">
        <v>206</v>
      </c>
      <c r="D1536" s="2">
        <v>38602</v>
      </c>
      <c r="E1536" s="2">
        <v>45832</v>
      </c>
      <c r="F1536" s="2">
        <v>45835</v>
      </c>
      <c r="G1536" t="s">
        <v>105</v>
      </c>
      <c r="H1536" t="s">
        <v>52</v>
      </c>
      <c r="I1536" t="s">
        <v>25</v>
      </c>
      <c r="J1536" t="s">
        <v>71</v>
      </c>
      <c r="K1536" t="s">
        <v>110</v>
      </c>
      <c r="L1536" t="s">
        <v>3347</v>
      </c>
      <c r="M1536">
        <v>21703</v>
      </c>
      <c r="N1536" t="s">
        <v>91</v>
      </c>
      <c r="O1536">
        <v>3</v>
      </c>
      <c r="P1536">
        <v>128</v>
      </c>
      <c r="Q1536">
        <v>4</v>
      </c>
      <c r="R1536">
        <v>152</v>
      </c>
      <c r="S1536">
        <v>185.2</v>
      </c>
      <c r="T1536" t="s">
        <v>37</v>
      </c>
      <c r="U1536" s="3"/>
      <c r="V1536" s="3"/>
      <c r="W1536" s="3"/>
    </row>
    <row r="1537" spans="1:23">
      <c r="A1537" t="s">
        <v>3348</v>
      </c>
      <c r="B1537" t="s">
        <v>967</v>
      </c>
      <c r="C1537" t="s">
        <v>60</v>
      </c>
      <c r="D1537" s="2">
        <v>18911</v>
      </c>
      <c r="E1537" s="2">
        <v>45612</v>
      </c>
      <c r="F1537" t="s">
        <v>3349</v>
      </c>
      <c r="G1537" t="s">
        <v>62</v>
      </c>
      <c r="H1537" t="s">
        <v>1500</v>
      </c>
      <c r="I1537" t="s">
        <v>96</v>
      </c>
      <c r="J1537" t="s">
        <v>71</v>
      </c>
      <c r="K1537" t="s">
        <v>55</v>
      </c>
      <c r="L1537">
        <v>52835.97</v>
      </c>
      <c r="M1537">
        <v>38555.58</v>
      </c>
      <c r="N1537" t="s">
        <v>91</v>
      </c>
      <c r="O1537">
        <v>9</v>
      </c>
      <c r="P1537">
        <v>101</v>
      </c>
      <c r="R1537">
        <v>141</v>
      </c>
      <c r="S1537">
        <v>178.6</v>
      </c>
      <c r="T1537" t="s">
        <v>37</v>
      </c>
      <c r="U1537" s="3"/>
      <c r="V1537" s="3"/>
      <c r="W1537" s="3"/>
    </row>
    <row r="1538" spans="1:23">
      <c r="A1538" t="s">
        <v>3350</v>
      </c>
      <c r="B1538" t="s">
        <v>67</v>
      </c>
      <c r="C1538" t="s">
        <v>30</v>
      </c>
      <c r="D1538" s="2">
        <v>23653</v>
      </c>
      <c r="E1538" t="s">
        <v>3351</v>
      </c>
      <c r="F1538" t="s">
        <v>3352</v>
      </c>
      <c r="G1538" t="s">
        <v>94</v>
      </c>
      <c r="H1538" t="s">
        <v>63</v>
      </c>
      <c r="I1538" t="s">
        <v>25</v>
      </c>
      <c r="K1538" t="s">
        <v>286</v>
      </c>
      <c r="L1538">
        <v>73112.320000000007</v>
      </c>
      <c r="M1538">
        <v>66247.039999999994</v>
      </c>
      <c r="O1538">
        <v>4</v>
      </c>
      <c r="P1538">
        <v>207</v>
      </c>
      <c r="Q1538">
        <v>5</v>
      </c>
      <c r="R1538">
        <v>123</v>
      </c>
      <c r="S1538">
        <v>158.6</v>
      </c>
      <c r="T1538" t="s">
        <v>47</v>
      </c>
      <c r="U1538" s="3"/>
      <c r="V1538" s="3"/>
      <c r="W1538" s="3"/>
    </row>
    <row r="1539" spans="1:23">
      <c r="A1539" t="s">
        <v>3353</v>
      </c>
      <c r="B1539" t="s">
        <v>986</v>
      </c>
      <c r="C1539" t="s">
        <v>206</v>
      </c>
      <c r="D1539" s="2">
        <v>24487</v>
      </c>
      <c r="E1539" s="2">
        <v>45577</v>
      </c>
      <c r="F1539" t="s">
        <v>3354</v>
      </c>
      <c r="G1539" t="s">
        <v>94</v>
      </c>
      <c r="H1539" t="s">
        <v>634</v>
      </c>
      <c r="I1539" t="s">
        <v>33</v>
      </c>
      <c r="J1539" t="s">
        <v>71</v>
      </c>
      <c r="K1539" t="s">
        <v>72</v>
      </c>
      <c r="L1539">
        <v>97002.87</v>
      </c>
      <c r="M1539">
        <v>74863.92</v>
      </c>
      <c r="N1539" t="s">
        <v>91</v>
      </c>
      <c r="O1539">
        <v>3</v>
      </c>
      <c r="P1539">
        <v>144</v>
      </c>
      <c r="Q1539">
        <v>3</v>
      </c>
      <c r="R1539">
        <v>161</v>
      </c>
      <c r="S1539">
        <v>248.7</v>
      </c>
      <c r="T1539" t="s">
        <v>37</v>
      </c>
      <c r="U1539" s="3"/>
      <c r="V1539" s="3"/>
      <c r="W1539" s="3"/>
    </row>
    <row r="1540" spans="1:23">
      <c r="A1540" t="s">
        <v>3355</v>
      </c>
      <c r="B1540" t="s">
        <v>1342</v>
      </c>
      <c r="C1540" t="s">
        <v>206</v>
      </c>
      <c r="D1540" s="2">
        <v>26302</v>
      </c>
      <c r="E1540" s="2">
        <v>45318</v>
      </c>
      <c r="F1540" t="s">
        <v>3356</v>
      </c>
      <c r="G1540" t="s">
        <v>117</v>
      </c>
      <c r="H1540" t="s">
        <v>113</v>
      </c>
      <c r="I1540" t="s">
        <v>53</v>
      </c>
      <c r="J1540" t="s">
        <v>204</v>
      </c>
      <c r="K1540" t="s">
        <v>120</v>
      </c>
      <c r="L1540">
        <v>99938.21</v>
      </c>
      <c r="M1540">
        <v>90313.59</v>
      </c>
      <c r="N1540" t="s">
        <v>91</v>
      </c>
      <c r="O1540">
        <v>7</v>
      </c>
      <c r="P1540">
        <v>127</v>
      </c>
      <c r="Q1540">
        <v>5</v>
      </c>
      <c r="R1540">
        <v>188</v>
      </c>
      <c r="S1540">
        <v>198.5</v>
      </c>
      <c r="T1540" t="s">
        <v>37</v>
      </c>
      <c r="U1540" s="3"/>
      <c r="V1540" s="3"/>
      <c r="W1540" s="3"/>
    </row>
    <row r="1541" spans="1:23">
      <c r="A1541" t="s">
        <v>3357</v>
      </c>
      <c r="B1541" t="s">
        <v>221</v>
      </c>
      <c r="C1541" t="s">
        <v>100</v>
      </c>
      <c r="D1541" s="2">
        <v>36641</v>
      </c>
      <c r="E1541" s="2">
        <v>45730</v>
      </c>
      <c r="F1541" s="2">
        <v>45737</v>
      </c>
      <c r="G1541" t="s">
        <v>161</v>
      </c>
      <c r="H1541" t="s">
        <v>86</v>
      </c>
      <c r="I1541" t="s">
        <v>25</v>
      </c>
      <c r="J1541" t="s">
        <v>361</v>
      </c>
      <c r="K1541" t="s">
        <v>55</v>
      </c>
      <c r="L1541">
        <v>37747.360000000001</v>
      </c>
      <c r="M1541">
        <v>26498.66</v>
      </c>
      <c r="N1541" t="s">
        <v>56</v>
      </c>
      <c r="O1541" t="s">
        <v>74</v>
      </c>
      <c r="P1541">
        <v>180</v>
      </c>
      <c r="R1541">
        <v>143</v>
      </c>
      <c r="S1541">
        <v>127.6</v>
      </c>
      <c r="T1541" t="s">
        <v>57</v>
      </c>
      <c r="U1541" s="3"/>
      <c r="V1541" s="3"/>
      <c r="W1541" s="3"/>
    </row>
    <row r="1542" spans="1:23">
      <c r="A1542" t="s">
        <v>3358</v>
      </c>
      <c r="B1542" t="s">
        <v>1509</v>
      </c>
      <c r="C1542" t="s">
        <v>22</v>
      </c>
      <c r="D1542" t="s">
        <v>3359</v>
      </c>
      <c r="E1542" t="s">
        <v>3360</v>
      </c>
      <c r="F1542" s="2">
        <v>45519</v>
      </c>
      <c r="G1542" t="s">
        <v>141</v>
      </c>
      <c r="I1542" t="s">
        <v>79</v>
      </c>
      <c r="K1542" t="s">
        <v>161</v>
      </c>
      <c r="L1542" t="s">
        <v>3361</v>
      </c>
      <c r="M1542">
        <v>11670.58</v>
      </c>
      <c r="N1542" t="s">
        <v>91</v>
      </c>
      <c r="O1542">
        <v>4</v>
      </c>
      <c r="Q1542">
        <v>2</v>
      </c>
      <c r="R1542">
        <v>179</v>
      </c>
      <c r="S1542">
        <v>103.6</v>
      </c>
      <c r="T1542" t="s">
        <v>37</v>
      </c>
      <c r="U1542" s="3"/>
      <c r="V1542" s="3"/>
      <c r="W1542" s="3"/>
    </row>
    <row r="1543" spans="1:23">
      <c r="A1543" t="s">
        <v>3362</v>
      </c>
      <c r="B1543" t="s">
        <v>2594</v>
      </c>
      <c r="C1543" t="s">
        <v>50</v>
      </c>
      <c r="D1543" s="2">
        <v>27651</v>
      </c>
      <c r="E1543" s="2">
        <v>45784</v>
      </c>
      <c r="G1543" t="s">
        <v>114</v>
      </c>
      <c r="H1543" t="s">
        <v>118</v>
      </c>
      <c r="I1543" t="s">
        <v>53</v>
      </c>
      <c r="J1543" t="s">
        <v>80</v>
      </c>
      <c r="L1543">
        <v>49065.57</v>
      </c>
      <c r="M1543">
        <v>36304.1</v>
      </c>
      <c r="N1543" t="s">
        <v>73</v>
      </c>
      <c r="O1543">
        <v>2</v>
      </c>
      <c r="P1543">
        <v>81</v>
      </c>
      <c r="Q1543">
        <v>1</v>
      </c>
      <c r="R1543">
        <v>124</v>
      </c>
      <c r="S1543">
        <v>239.5</v>
      </c>
      <c r="T1543" t="s">
        <v>37</v>
      </c>
      <c r="U1543" s="3"/>
      <c r="V1543" s="3"/>
      <c r="W1543" s="3"/>
    </row>
    <row r="1544" spans="1:23">
      <c r="A1544" t="s">
        <v>3363</v>
      </c>
      <c r="B1544" t="s">
        <v>999</v>
      </c>
      <c r="D1544" s="2">
        <v>35546</v>
      </c>
      <c r="E1544" s="2">
        <v>45421</v>
      </c>
      <c r="F1544" s="2">
        <v>45429</v>
      </c>
      <c r="G1544" t="s">
        <v>105</v>
      </c>
      <c r="H1544" t="s">
        <v>134</v>
      </c>
      <c r="I1544" t="s">
        <v>96</v>
      </c>
      <c r="J1544" t="s">
        <v>97</v>
      </c>
      <c r="K1544" t="s">
        <v>55</v>
      </c>
      <c r="L1544">
        <v>7431.01</v>
      </c>
      <c r="M1544">
        <v>5218.74</v>
      </c>
      <c r="N1544" t="s">
        <v>73</v>
      </c>
      <c r="O1544">
        <v>8</v>
      </c>
      <c r="P1544">
        <v>208</v>
      </c>
      <c r="Q1544">
        <v>5</v>
      </c>
      <c r="R1544">
        <v>147</v>
      </c>
      <c r="S1544">
        <v>144.80000000000001</v>
      </c>
      <c r="T1544" t="s">
        <v>37</v>
      </c>
      <c r="U1544" s="3"/>
      <c r="V1544" s="3"/>
      <c r="W1544" s="3"/>
    </row>
    <row r="1545" spans="1:23">
      <c r="A1545" t="s">
        <v>3364</v>
      </c>
      <c r="B1545" t="s">
        <v>1839</v>
      </c>
      <c r="C1545" t="s">
        <v>100</v>
      </c>
      <c r="D1545" s="2">
        <v>19977</v>
      </c>
      <c r="E1545" t="s">
        <v>2677</v>
      </c>
      <c r="F1545" s="2">
        <v>45072</v>
      </c>
      <c r="G1545" t="s">
        <v>141</v>
      </c>
      <c r="H1545" t="s">
        <v>124</v>
      </c>
      <c r="I1545" t="s">
        <v>79</v>
      </c>
      <c r="J1545" t="s">
        <v>46</v>
      </c>
      <c r="K1545" t="s">
        <v>55</v>
      </c>
      <c r="L1545">
        <v>207030.1</v>
      </c>
      <c r="M1545">
        <v>160798.10999999999</v>
      </c>
      <c r="N1545" t="s">
        <v>56</v>
      </c>
      <c r="O1545">
        <v>16</v>
      </c>
      <c r="P1545">
        <v>114</v>
      </c>
      <c r="Q1545">
        <v>5</v>
      </c>
      <c r="R1545">
        <v>179</v>
      </c>
      <c r="S1545">
        <v>239.7</v>
      </c>
      <c r="T1545" t="s">
        <v>65</v>
      </c>
      <c r="U1545" s="3"/>
      <c r="V1545" s="3"/>
      <c r="W1545" s="3"/>
    </row>
    <row r="1546" spans="1:23">
      <c r="A1546" t="s">
        <v>3365</v>
      </c>
      <c r="B1546" t="s">
        <v>251</v>
      </c>
      <c r="C1546" t="s">
        <v>22</v>
      </c>
      <c r="D1546" s="2">
        <v>33972</v>
      </c>
      <c r="E1546" t="s">
        <v>3366</v>
      </c>
      <c r="F1546" s="2">
        <v>45983</v>
      </c>
      <c r="G1546" t="s">
        <v>89</v>
      </c>
      <c r="H1546" t="s">
        <v>634</v>
      </c>
      <c r="I1546" t="s">
        <v>33</v>
      </c>
      <c r="J1546" t="s">
        <v>71</v>
      </c>
      <c r="K1546" t="s">
        <v>110</v>
      </c>
      <c r="L1546">
        <v>170712.81</v>
      </c>
      <c r="M1546">
        <v>169795.07</v>
      </c>
      <c r="N1546" t="s">
        <v>192</v>
      </c>
      <c r="O1546">
        <v>6</v>
      </c>
      <c r="P1546">
        <v>91</v>
      </c>
      <c r="Q1546">
        <v>5</v>
      </c>
      <c r="R1546">
        <v>113</v>
      </c>
      <c r="S1546">
        <v>135.1</v>
      </c>
      <c r="U1546" s="3"/>
      <c r="V1546" s="3"/>
      <c r="W1546" s="3"/>
    </row>
    <row r="1547" spans="1:23">
      <c r="A1547" t="s">
        <v>3367</v>
      </c>
      <c r="B1547" t="s">
        <v>737</v>
      </c>
      <c r="C1547" t="s">
        <v>206</v>
      </c>
      <c r="D1547" s="2">
        <v>36705</v>
      </c>
      <c r="E1547" s="2">
        <v>45076</v>
      </c>
      <c r="F1547" t="s">
        <v>3368</v>
      </c>
      <c r="G1547" t="s">
        <v>109</v>
      </c>
      <c r="H1547" t="s">
        <v>78</v>
      </c>
      <c r="I1547" t="s">
        <v>25</v>
      </c>
      <c r="J1547" t="s">
        <v>34</v>
      </c>
      <c r="K1547" t="s">
        <v>161</v>
      </c>
      <c r="L1547">
        <v>168983.41</v>
      </c>
      <c r="M1547">
        <v>110484.17</v>
      </c>
      <c r="N1547" t="s">
        <v>192</v>
      </c>
      <c r="O1547">
        <v>8</v>
      </c>
      <c r="P1547">
        <v>227</v>
      </c>
      <c r="Q1547">
        <v>5</v>
      </c>
      <c r="S1547">
        <v>141.1</v>
      </c>
      <c r="T1547" t="s">
        <v>37</v>
      </c>
      <c r="U1547" s="3"/>
      <c r="V1547" s="3"/>
      <c r="W1547" s="3"/>
    </row>
    <row r="1548" spans="1:23">
      <c r="A1548" t="s">
        <v>3369</v>
      </c>
      <c r="B1548" t="s">
        <v>363</v>
      </c>
      <c r="C1548" t="s">
        <v>40</v>
      </c>
      <c r="D1548" s="2">
        <v>32854</v>
      </c>
      <c r="E1548" s="2">
        <v>45857</v>
      </c>
      <c r="F1548" s="2">
        <v>45864</v>
      </c>
      <c r="G1548" t="s">
        <v>62</v>
      </c>
      <c r="H1548" t="s">
        <v>63</v>
      </c>
      <c r="I1548" t="s">
        <v>45</v>
      </c>
      <c r="J1548" t="s">
        <v>179</v>
      </c>
      <c r="K1548" t="s">
        <v>161</v>
      </c>
      <c r="L1548">
        <v>59928.59</v>
      </c>
      <c r="N1548" t="s">
        <v>56</v>
      </c>
      <c r="O1548">
        <v>7</v>
      </c>
      <c r="P1548">
        <v>101</v>
      </c>
      <c r="Q1548">
        <v>5</v>
      </c>
      <c r="R1548">
        <v>119</v>
      </c>
      <c r="S1548">
        <v>253.5</v>
      </c>
      <c r="T1548" t="s">
        <v>37</v>
      </c>
      <c r="U1548" s="3"/>
      <c r="V1548" s="3"/>
      <c r="W1548" s="3"/>
    </row>
    <row r="1549" spans="1:23">
      <c r="A1549" t="s">
        <v>3370</v>
      </c>
      <c r="B1549" t="s">
        <v>1068</v>
      </c>
      <c r="D1549" s="2">
        <v>26314</v>
      </c>
      <c r="E1549" t="s">
        <v>2600</v>
      </c>
      <c r="H1549" t="s">
        <v>1012</v>
      </c>
      <c r="I1549" t="s">
        <v>45</v>
      </c>
      <c r="K1549" t="s">
        <v>110</v>
      </c>
      <c r="L1549">
        <v>9175.5300000000007</v>
      </c>
      <c r="M1549">
        <v>7083.22</v>
      </c>
      <c r="N1549" t="s">
        <v>192</v>
      </c>
      <c r="O1549">
        <v>8</v>
      </c>
      <c r="P1549">
        <v>74</v>
      </c>
      <c r="Q1549">
        <v>4</v>
      </c>
      <c r="R1549">
        <v>113</v>
      </c>
      <c r="S1549">
        <v>211.7</v>
      </c>
      <c r="T1549" t="s">
        <v>47</v>
      </c>
      <c r="U1549" s="3"/>
      <c r="V1549" s="3"/>
      <c r="W1549" s="3"/>
    </row>
    <row r="1550" spans="1:23">
      <c r="A1550" t="s">
        <v>3371</v>
      </c>
      <c r="B1550" t="s">
        <v>737</v>
      </c>
      <c r="D1550" s="2">
        <v>29750</v>
      </c>
      <c r="E1550" s="2">
        <v>45633</v>
      </c>
      <c r="F1550" s="2">
        <v>45648</v>
      </c>
      <c r="G1550" t="s">
        <v>94</v>
      </c>
      <c r="I1550" t="s">
        <v>45</v>
      </c>
      <c r="K1550" t="s">
        <v>72</v>
      </c>
      <c r="L1550">
        <v>62629.64</v>
      </c>
      <c r="M1550">
        <v>52526.07</v>
      </c>
      <c r="N1550" t="s">
        <v>73</v>
      </c>
      <c r="O1550">
        <v>15</v>
      </c>
      <c r="Q1550">
        <v>2</v>
      </c>
      <c r="R1550">
        <v>93</v>
      </c>
      <c r="S1550">
        <v>179.9</v>
      </c>
      <c r="T1550" t="s">
        <v>65</v>
      </c>
      <c r="U1550" s="3"/>
      <c r="V1550" s="3"/>
      <c r="W1550" s="3"/>
    </row>
    <row r="1551" spans="1:23">
      <c r="A1551" t="s">
        <v>3372</v>
      </c>
      <c r="B1551" t="s">
        <v>531</v>
      </c>
      <c r="C1551" t="s">
        <v>396</v>
      </c>
      <c r="D1551" s="2">
        <v>24030</v>
      </c>
      <c r="E1551" s="2">
        <v>45988</v>
      </c>
      <c r="H1551" t="s">
        <v>52</v>
      </c>
      <c r="I1551" t="s">
        <v>79</v>
      </c>
      <c r="J1551" t="s">
        <v>204</v>
      </c>
      <c r="L1551">
        <v>158712.74</v>
      </c>
      <c r="M1551">
        <v>136722.44</v>
      </c>
      <c r="N1551" t="s">
        <v>35</v>
      </c>
      <c r="O1551">
        <v>7</v>
      </c>
      <c r="P1551" t="s">
        <v>536</v>
      </c>
      <c r="R1551">
        <v>127</v>
      </c>
      <c r="S1551">
        <v>146.80000000000001</v>
      </c>
      <c r="U1551" s="3"/>
      <c r="V1551" s="3"/>
      <c r="W1551" s="3"/>
    </row>
    <row r="1552" spans="1:23">
      <c r="A1552" t="s">
        <v>3373</v>
      </c>
      <c r="B1552" t="s">
        <v>728</v>
      </c>
      <c r="C1552" t="s">
        <v>84</v>
      </c>
      <c r="D1552" s="2">
        <v>37212</v>
      </c>
      <c r="E1552" s="2">
        <v>45842</v>
      </c>
      <c r="F1552" t="s">
        <v>1018</v>
      </c>
      <c r="H1552" t="s">
        <v>63</v>
      </c>
      <c r="I1552" t="s">
        <v>25</v>
      </c>
      <c r="K1552" t="s">
        <v>55</v>
      </c>
      <c r="L1552">
        <v>139161.22</v>
      </c>
      <c r="M1552">
        <v>125155.94</v>
      </c>
      <c r="N1552" t="s">
        <v>192</v>
      </c>
      <c r="O1552">
        <v>12</v>
      </c>
      <c r="P1552">
        <v>13</v>
      </c>
      <c r="R1552">
        <v>133</v>
      </c>
      <c r="S1552">
        <v>238.4</v>
      </c>
      <c r="U1552" s="3"/>
      <c r="V1552" s="3"/>
      <c r="W1552" s="3"/>
    </row>
    <row r="1553" spans="1:23">
      <c r="A1553" t="s">
        <v>3374</v>
      </c>
      <c r="B1553" t="s">
        <v>1088</v>
      </c>
      <c r="C1553" t="s">
        <v>206</v>
      </c>
      <c r="D1553" s="2">
        <v>29696</v>
      </c>
      <c r="E1553" s="2">
        <v>45270</v>
      </c>
      <c r="F1553" s="2">
        <v>45272</v>
      </c>
      <c r="G1553" t="s">
        <v>141</v>
      </c>
      <c r="H1553" t="s">
        <v>78</v>
      </c>
      <c r="I1553" t="s">
        <v>96</v>
      </c>
      <c r="J1553" t="s">
        <v>71</v>
      </c>
      <c r="K1553" t="s">
        <v>120</v>
      </c>
      <c r="L1553">
        <v>5725.1</v>
      </c>
      <c r="M1553">
        <v>4191.49</v>
      </c>
      <c r="N1553" t="s">
        <v>35</v>
      </c>
      <c r="O1553">
        <v>2</v>
      </c>
      <c r="P1553">
        <v>30</v>
      </c>
      <c r="R1553">
        <v>100</v>
      </c>
      <c r="S1553">
        <v>242.7</v>
      </c>
      <c r="U1553" s="3"/>
      <c r="V1553" s="3"/>
      <c r="W1553" s="3"/>
    </row>
    <row r="1554" spans="1:23">
      <c r="A1554" t="s">
        <v>3375</v>
      </c>
      <c r="B1554" t="s">
        <v>965</v>
      </c>
      <c r="C1554" t="s">
        <v>60</v>
      </c>
      <c r="D1554" s="2">
        <v>39266</v>
      </c>
      <c r="E1554" s="2">
        <v>45730</v>
      </c>
      <c r="F1554" s="2">
        <v>45744</v>
      </c>
      <c r="G1554" t="s">
        <v>190</v>
      </c>
      <c r="H1554" t="s">
        <v>32</v>
      </c>
      <c r="I1554" t="s">
        <v>33</v>
      </c>
      <c r="J1554" t="s">
        <v>179</v>
      </c>
      <c r="K1554" t="s">
        <v>27</v>
      </c>
      <c r="N1554" t="s">
        <v>35</v>
      </c>
      <c r="O1554">
        <v>14</v>
      </c>
      <c r="P1554">
        <v>51</v>
      </c>
      <c r="R1554">
        <v>133</v>
      </c>
      <c r="S1554">
        <v>149.9</v>
      </c>
      <c r="T1554" t="s">
        <v>47</v>
      </c>
      <c r="U1554" s="3"/>
      <c r="V1554" s="3"/>
      <c r="W1554" s="3"/>
    </row>
    <row r="1555" spans="1:23">
      <c r="A1555" t="s">
        <v>3376</v>
      </c>
      <c r="B1555" t="s">
        <v>2177</v>
      </c>
      <c r="C1555" t="s">
        <v>40</v>
      </c>
      <c r="D1555" s="2">
        <v>26011</v>
      </c>
      <c r="E1555" s="2">
        <v>45022</v>
      </c>
      <c r="F1555" s="2">
        <v>45024</v>
      </c>
      <c r="G1555" t="s">
        <v>77</v>
      </c>
      <c r="H1555" t="s">
        <v>44</v>
      </c>
      <c r="I1555" t="s">
        <v>33</v>
      </c>
      <c r="J1555" t="s">
        <v>34</v>
      </c>
      <c r="K1555" t="s">
        <v>27</v>
      </c>
      <c r="L1555">
        <v>219379.24</v>
      </c>
      <c r="M1555">
        <v>169451.17</v>
      </c>
      <c r="N1555" t="s">
        <v>192</v>
      </c>
      <c r="O1555">
        <v>2</v>
      </c>
      <c r="P1555">
        <v>58</v>
      </c>
      <c r="Q1555">
        <v>1</v>
      </c>
      <c r="R1555">
        <v>160</v>
      </c>
      <c r="S1555">
        <v>141.80000000000001</v>
      </c>
      <c r="T1555" t="s">
        <v>65</v>
      </c>
      <c r="U1555" s="3"/>
      <c r="V1555" s="3"/>
      <c r="W1555" s="3"/>
    </row>
    <row r="1556" spans="1:23">
      <c r="A1556" t="s">
        <v>3377</v>
      </c>
      <c r="B1556" t="s">
        <v>1276</v>
      </c>
      <c r="C1556" t="s">
        <v>30</v>
      </c>
      <c r="D1556" t="s">
        <v>3378</v>
      </c>
      <c r="E1556" t="s">
        <v>3379</v>
      </c>
      <c r="F1556" s="2">
        <v>45428</v>
      </c>
      <c r="G1556" t="s">
        <v>89</v>
      </c>
      <c r="H1556" t="s">
        <v>95</v>
      </c>
      <c r="I1556" t="s">
        <v>53</v>
      </c>
      <c r="J1556" t="s">
        <v>26</v>
      </c>
      <c r="L1556">
        <v>65770.09</v>
      </c>
      <c r="M1556">
        <v>43528.43</v>
      </c>
      <c r="N1556" t="s">
        <v>56</v>
      </c>
      <c r="O1556">
        <v>16</v>
      </c>
      <c r="P1556">
        <v>20</v>
      </c>
      <c r="R1556">
        <v>110</v>
      </c>
      <c r="S1556">
        <v>223.2</v>
      </c>
      <c r="T1556" t="s">
        <v>37</v>
      </c>
      <c r="U1556" s="3"/>
      <c r="V1556" s="3"/>
      <c r="W1556" s="3"/>
    </row>
    <row r="1557" spans="1:23">
      <c r="A1557" t="s">
        <v>3380</v>
      </c>
      <c r="B1557" t="s">
        <v>373</v>
      </c>
      <c r="C1557" t="s">
        <v>30</v>
      </c>
      <c r="D1557" s="2">
        <v>35599</v>
      </c>
      <c r="E1557" t="s">
        <v>2107</v>
      </c>
      <c r="F1557" s="2">
        <v>45700</v>
      </c>
      <c r="G1557" t="s">
        <v>77</v>
      </c>
      <c r="I1557" t="s">
        <v>25</v>
      </c>
      <c r="J1557" t="s">
        <v>80</v>
      </c>
      <c r="L1557">
        <v>201875.14</v>
      </c>
      <c r="M1557">
        <v>165444.66</v>
      </c>
      <c r="N1557" t="s">
        <v>56</v>
      </c>
      <c r="O1557">
        <v>15</v>
      </c>
      <c r="P1557">
        <v>123</v>
      </c>
      <c r="Q1557">
        <v>5</v>
      </c>
      <c r="R1557">
        <v>171</v>
      </c>
      <c r="S1557">
        <v>181.9</v>
      </c>
      <c r="U1557" s="3"/>
      <c r="V1557" s="3"/>
      <c r="W1557" s="3"/>
    </row>
    <row r="1558" spans="1:23">
      <c r="A1558" t="s">
        <v>3381</v>
      </c>
      <c r="B1558" t="s">
        <v>67</v>
      </c>
      <c r="C1558" t="s">
        <v>22</v>
      </c>
      <c r="D1558" s="2">
        <v>31044</v>
      </c>
      <c r="E1558" s="2">
        <v>45750</v>
      </c>
      <c r="F1558" s="2">
        <v>45761</v>
      </c>
      <c r="G1558" t="s">
        <v>70</v>
      </c>
      <c r="H1558" t="s">
        <v>24</v>
      </c>
      <c r="I1558" t="s">
        <v>25</v>
      </c>
      <c r="K1558" t="s">
        <v>55</v>
      </c>
      <c r="L1558">
        <v>80664.56</v>
      </c>
      <c r="M1558">
        <v>61150.11</v>
      </c>
      <c r="N1558" t="s">
        <v>192</v>
      </c>
      <c r="O1558">
        <v>11</v>
      </c>
      <c r="P1558">
        <v>229</v>
      </c>
      <c r="Q1558">
        <v>4</v>
      </c>
      <c r="R1558" t="s">
        <v>1907</v>
      </c>
      <c r="S1558">
        <v>120.1</v>
      </c>
      <c r="T1558" t="s">
        <v>37</v>
      </c>
      <c r="U1558" s="3"/>
      <c r="V1558" s="3"/>
      <c r="W1558" s="3"/>
    </row>
    <row r="1559" spans="1:23">
      <c r="A1559" t="s">
        <v>3382</v>
      </c>
      <c r="B1559" t="s">
        <v>1293</v>
      </c>
      <c r="C1559" t="s">
        <v>816</v>
      </c>
      <c r="D1559" s="2">
        <v>36863</v>
      </c>
      <c r="E1559" t="s">
        <v>2148</v>
      </c>
      <c r="F1559" s="2">
        <v>45803</v>
      </c>
      <c r="G1559" t="s">
        <v>105</v>
      </c>
      <c r="H1559" t="s">
        <v>52</v>
      </c>
      <c r="I1559" t="s">
        <v>33</v>
      </c>
      <c r="J1559" t="s">
        <v>34</v>
      </c>
      <c r="K1559" t="s">
        <v>120</v>
      </c>
      <c r="L1559">
        <v>213808.95</v>
      </c>
      <c r="M1559">
        <v>202275.78</v>
      </c>
      <c r="N1559" t="s">
        <v>192</v>
      </c>
      <c r="O1559">
        <v>7</v>
      </c>
      <c r="P1559">
        <v>167</v>
      </c>
      <c r="Q1559">
        <v>4</v>
      </c>
      <c r="R1559" t="s">
        <v>2376</v>
      </c>
      <c r="S1559">
        <v>106.6</v>
      </c>
      <c r="T1559" t="s">
        <v>65</v>
      </c>
      <c r="U1559" s="3"/>
      <c r="V1559" s="3"/>
      <c r="W1559" s="3"/>
    </row>
    <row r="1560" spans="1:23">
      <c r="A1560" t="s">
        <v>3383</v>
      </c>
      <c r="B1560" t="s">
        <v>59</v>
      </c>
      <c r="C1560" t="s">
        <v>133</v>
      </c>
      <c r="D1560" s="2">
        <v>31033</v>
      </c>
      <c r="E1560" s="2">
        <v>45806</v>
      </c>
      <c r="F1560" s="2">
        <v>45809</v>
      </c>
      <c r="G1560" t="s">
        <v>70</v>
      </c>
      <c r="H1560" t="s">
        <v>63</v>
      </c>
      <c r="I1560" t="s">
        <v>25</v>
      </c>
      <c r="J1560" t="s">
        <v>71</v>
      </c>
      <c r="K1560" t="s">
        <v>106</v>
      </c>
      <c r="L1560">
        <v>77875.67</v>
      </c>
      <c r="M1560">
        <v>55916.53</v>
      </c>
      <c r="N1560" t="s">
        <v>192</v>
      </c>
      <c r="O1560">
        <v>3</v>
      </c>
      <c r="P1560">
        <v>86</v>
      </c>
      <c r="R1560">
        <v>151</v>
      </c>
      <c r="S1560">
        <v>94.1</v>
      </c>
      <c r="T1560" t="s">
        <v>37</v>
      </c>
      <c r="U1560" s="3"/>
      <c r="V1560" s="3"/>
      <c r="W1560" s="3"/>
    </row>
    <row r="1561" spans="1:23">
      <c r="A1561" t="s">
        <v>3384</v>
      </c>
      <c r="B1561" t="s">
        <v>756</v>
      </c>
      <c r="C1561" t="s">
        <v>50</v>
      </c>
      <c r="D1561" s="2">
        <v>21227</v>
      </c>
      <c r="E1561" s="2">
        <v>45238</v>
      </c>
      <c r="F1561" s="2">
        <v>45252</v>
      </c>
      <c r="H1561" t="s">
        <v>113</v>
      </c>
      <c r="J1561" t="s">
        <v>26</v>
      </c>
      <c r="K1561" t="s">
        <v>55</v>
      </c>
      <c r="L1561">
        <v>20491.150000000001</v>
      </c>
      <c r="M1561">
        <v>18093.2</v>
      </c>
      <c r="N1561" t="s">
        <v>56</v>
      </c>
      <c r="O1561">
        <v>14</v>
      </c>
      <c r="P1561">
        <v>106</v>
      </c>
      <c r="R1561">
        <v>142</v>
      </c>
      <c r="S1561">
        <v>169.9</v>
      </c>
      <c r="T1561" t="s">
        <v>37</v>
      </c>
      <c r="U1561" s="3"/>
      <c r="V1561" s="3"/>
      <c r="W1561" s="3"/>
    </row>
    <row r="1562" spans="1:23">
      <c r="A1562" t="s">
        <v>3385</v>
      </c>
      <c r="B1562" t="s">
        <v>1230</v>
      </c>
      <c r="C1562" t="s">
        <v>206</v>
      </c>
      <c r="D1562" s="2">
        <v>24908</v>
      </c>
      <c r="E1562" t="s">
        <v>3386</v>
      </c>
      <c r="F1562" s="2">
        <v>45291</v>
      </c>
      <c r="G1562" t="s">
        <v>43</v>
      </c>
      <c r="H1562" t="s">
        <v>95</v>
      </c>
      <c r="J1562" t="s">
        <v>34</v>
      </c>
      <c r="K1562" t="s">
        <v>27</v>
      </c>
      <c r="L1562">
        <v>203282.37</v>
      </c>
      <c r="M1562">
        <v>183798.66</v>
      </c>
      <c r="N1562" t="s">
        <v>35</v>
      </c>
      <c r="O1562">
        <v>11</v>
      </c>
      <c r="P1562">
        <v>151</v>
      </c>
      <c r="Q1562">
        <v>5</v>
      </c>
      <c r="R1562">
        <v>101</v>
      </c>
      <c r="S1562">
        <v>143.69999999999999</v>
      </c>
      <c r="T1562" t="s">
        <v>348</v>
      </c>
      <c r="U1562" s="3"/>
      <c r="V1562" s="3"/>
      <c r="W1562" s="3"/>
    </row>
    <row r="1563" spans="1:23">
      <c r="A1563" t="s">
        <v>3387</v>
      </c>
      <c r="B1563" t="s">
        <v>1305</v>
      </c>
      <c r="C1563" t="s">
        <v>133</v>
      </c>
      <c r="D1563" s="2">
        <v>34207</v>
      </c>
      <c r="E1563" s="2">
        <v>45084</v>
      </c>
      <c r="F1563" t="s">
        <v>3388</v>
      </c>
      <c r="G1563" t="s">
        <v>70</v>
      </c>
      <c r="H1563" t="s">
        <v>52</v>
      </c>
      <c r="I1563" t="s">
        <v>79</v>
      </c>
      <c r="J1563" t="s">
        <v>80</v>
      </c>
      <c r="K1563" t="s">
        <v>120</v>
      </c>
      <c r="L1563">
        <v>37356.300000000003</v>
      </c>
      <c r="M1563">
        <v>33439.49</v>
      </c>
      <c r="N1563" t="s">
        <v>192</v>
      </c>
      <c r="O1563">
        <v>12</v>
      </c>
      <c r="P1563">
        <v>129</v>
      </c>
      <c r="R1563">
        <v>109</v>
      </c>
      <c r="S1563">
        <v>134</v>
      </c>
      <c r="T1563" t="s">
        <v>37</v>
      </c>
      <c r="U1563" s="3"/>
      <c r="V1563" s="3"/>
      <c r="W1563" s="3"/>
    </row>
    <row r="1564" spans="1:23">
      <c r="A1564" t="s">
        <v>3389</v>
      </c>
      <c r="B1564" t="s">
        <v>1438</v>
      </c>
      <c r="C1564" t="s">
        <v>22</v>
      </c>
      <c r="D1564" s="2">
        <v>20275</v>
      </c>
      <c r="E1564" t="s">
        <v>3390</v>
      </c>
      <c r="F1564" s="2">
        <v>44976</v>
      </c>
      <c r="G1564" t="s">
        <v>31</v>
      </c>
      <c r="H1564" t="s">
        <v>78</v>
      </c>
      <c r="I1564" t="s">
        <v>33</v>
      </c>
      <c r="J1564" t="s">
        <v>46</v>
      </c>
      <c r="K1564" t="s">
        <v>72</v>
      </c>
      <c r="L1564" t="s">
        <v>3391</v>
      </c>
      <c r="M1564">
        <v>126283.17</v>
      </c>
      <c r="N1564" t="s">
        <v>35</v>
      </c>
      <c r="O1564">
        <v>14</v>
      </c>
      <c r="P1564" t="s">
        <v>1857</v>
      </c>
      <c r="Q1564">
        <v>4</v>
      </c>
      <c r="R1564">
        <v>93</v>
      </c>
      <c r="S1564">
        <v>254.4</v>
      </c>
      <c r="T1564" t="s">
        <v>37</v>
      </c>
      <c r="U1564" s="3"/>
      <c r="V1564" s="3"/>
      <c r="W1564" s="3"/>
    </row>
    <row r="1565" spans="1:23">
      <c r="A1565" t="s">
        <v>3392</v>
      </c>
      <c r="B1565" t="s">
        <v>288</v>
      </c>
      <c r="C1565" t="s">
        <v>206</v>
      </c>
      <c r="D1565" t="s">
        <v>3393</v>
      </c>
      <c r="E1565" s="2">
        <v>45436</v>
      </c>
      <c r="F1565" s="2">
        <v>45446</v>
      </c>
      <c r="G1565" t="s">
        <v>109</v>
      </c>
      <c r="H1565" t="s">
        <v>153</v>
      </c>
      <c r="I1565" t="s">
        <v>96</v>
      </c>
      <c r="J1565" t="s">
        <v>26</v>
      </c>
      <c r="K1565" t="s">
        <v>55</v>
      </c>
      <c r="L1565">
        <v>176698.42</v>
      </c>
      <c r="M1565">
        <v>137025.65</v>
      </c>
      <c r="N1565" t="s">
        <v>35</v>
      </c>
      <c r="O1565">
        <v>10</v>
      </c>
      <c r="P1565">
        <v>29</v>
      </c>
      <c r="R1565">
        <v>152</v>
      </c>
      <c r="S1565">
        <v>211.6</v>
      </c>
      <c r="T1565" t="s">
        <v>47</v>
      </c>
      <c r="U1565" s="3"/>
      <c r="V1565" s="3"/>
      <c r="W1565" s="3"/>
    </row>
    <row r="1566" spans="1:23">
      <c r="A1566" t="s">
        <v>3394</v>
      </c>
      <c r="B1566" t="s">
        <v>417</v>
      </c>
      <c r="C1566" t="s">
        <v>50</v>
      </c>
      <c r="D1566" s="2">
        <v>20658</v>
      </c>
      <c r="E1566" t="s">
        <v>3395</v>
      </c>
      <c r="F1566" s="2">
        <v>45290</v>
      </c>
      <c r="G1566" t="s">
        <v>152</v>
      </c>
      <c r="H1566" t="s">
        <v>95</v>
      </c>
      <c r="I1566" t="s">
        <v>96</v>
      </c>
      <c r="J1566" t="s">
        <v>46</v>
      </c>
      <c r="K1566" t="s">
        <v>120</v>
      </c>
      <c r="L1566">
        <v>68041.259999999995</v>
      </c>
      <c r="M1566">
        <v>55337.15</v>
      </c>
      <c r="N1566" t="s">
        <v>73</v>
      </c>
      <c r="O1566">
        <v>18</v>
      </c>
      <c r="P1566">
        <v>117</v>
      </c>
      <c r="R1566">
        <v>116</v>
      </c>
      <c r="S1566">
        <v>112.4</v>
      </c>
      <c r="T1566" t="s">
        <v>47</v>
      </c>
      <c r="U1566" s="3"/>
      <c r="V1566" s="3"/>
      <c r="W1566" s="3"/>
    </row>
    <row r="1567" spans="1:23">
      <c r="A1567" t="s">
        <v>3396</v>
      </c>
      <c r="B1567" t="s">
        <v>999</v>
      </c>
      <c r="C1567" t="s">
        <v>22</v>
      </c>
      <c r="D1567" s="2">
        <v>24333</v>
      </c>
      <c r="E1567" t="s">
        <v>3397</v>
      </c>
      <c r="F1567" s="2">
        <v>45631</v>
      </c>
      <c r="G1567" t="s">
        <v>62</v>
      </c>
      <c r="H1567" t="s">
        <v>44</v>
      </c>
      <c r="I1567" t="s">
        <v>79</v>
      </c>
      <c r="K1567" t="s">
        <v>120</v>
      </c>
      <c r="L1567">
        <v>101775.81</v>
      </c>
      <c r="M1567">
        <v>99946.3</v>
      </c>
      <c r="N1567" t="s">
        <v>73</v>
      </c>
      <c r="O1567">
        <v>6</v>
      </c>
      <c r="P1567">
        <v>34</v>
      </c>
      <c r="Q1567">
        <v>4</v>
      </c>
      <c r="R1567">
        <v>165</v>
      </c>
      <c r="T1567" t="s">
        <v>37</v>
      </c>
      <c r="U1567" s="3"/>
      <c r="V1567" s="3"/>
      <c r="W1567" s="3"/>
    </row>
    <row r="1568" spans="1:23">
      <c r="A1568" t="s">
        <v>3398</v>
      </c>
      <c r="B1568" t="s">
        <v>1001</v>
      </c>
      <c r="C1568" t="s">
        <v>133</v>
      </c>
      <c r="D1568" t="s">
        <v>3399</v>
      </c>
      <c r="E1568" s="2">
        <v>45608</v>
      </c>
      <c r="F1568" s="2">
        <v>45625</v>
      </c>
      <c r="G1568" t="s">
        <v>77</v>
      </c>
      <c r="H1568" t="s">
        <v>134</v>
      </c>
      <c r="I1568" t="s">
        <v>79</v>
      </c>
      <c r="J1568" t="s">
        <v>71</v>
      </c>
      <c r="K1568" t="s">
        <v>55</v>
      </c>
      <c r="L1568">
        <v>134833.68</v>
      </c>
      <c r="M1568">
        <v>95798.2</v>
      </c>
      <c r="O1568">
        <v>17</v>
      </c>
      <c r="P1568">
        <v>62</v>
      </c>
      <c r="R1568">
        <v>175</v>
      </c>
      <c r="S1568">
        <v>117.4</v>
      </c>
      <c r="T1568" t="s">
        <v>47</v>
      </c>
      <c r="U1568" s="3"/>
      <c r="V1568" s="3"/>
      <c r="W1568" s="3"/>
    </row>
    <row r="1569" spans="1:23">
      <c r="A1569" t="s">
        <v>3400</v>
      </c>
      <c r="B1569" t="s">
        <v>576</v>
      </c>
      <c r="C1569" t="s">
        <v>22</v>
      </c>
      <c r="D1569" s="2">
        <v>37517</v>
      </c>
      <c r="E1569" s="2">
        <v>45170</v>
      </c>
      <c r="F1569" s="2">
        <v>45183</v>
      </c>
      <c r="G1569" t="s">
        <v>141</v>
      </c>
      <c r="H1569" t="s">
        <v>312</v>
      </c>
      <c r="I1569" t="s">
        <v>119</v>
      </c>
      <c r="J1569" t="s">
        <v>80</v>
      </c>
      <c r="K1569" t="s">
        <v>120</v>
      </c>
      <c r="L1569">
        <v>79031.06</v>
      </c>
      <c r="M1569">
        <v>62103.91</v>
      </c>
      <c r="N1569" t="s">
        <v>73</v>
      </c>
      <c r="O1569">
        <v>13</v>
      </c>
      <c r="P1569">
        <v>217</v>
      </c>
      <c r="Q1569">
        <v>5</v>
      </c>
      <c r="R1569">
        <v>129</v>
      </c>
      <c r="S1569">
        <v>147.4</v>
      </c>
      <c r="T1569" t="s">
        <v>65</v>
      </c>
      <c r="U1569" s="3"/>
      <c r="V1569" s="3"/>
      <c r="W1569" s="3"/>
    </row>
    <row r="1570" spans="1:23">
      <c r="A1570" t="s">
        <v>3401</v>
      </c>
      <c r="B1570" t="s">
        <v>2507</v>
      </c>
      <c r="C1570" t="s">
        <v>60</v>
      </c>
      <c r="D1570" s="2">
        <v>37911</v>
      </c>
      <c r="E1570" s="2">
        <v>45408</v>
      </c>
      <c r="F1570" s="2">
        <v>45419</v>
      </c>
      <c r="G1570" t="s">
        <v>109</v>
      </c>
      <c r="H1570" t="s">
        <v>95</v>
      </c>
      <c r="I1570" t="s">
        <v>25</v>
      </c>
      <c r="K1570" t="s">
        <v>72</v>
      </c>
      <c r="L1570">
        <v>35830.480000000003</v>
      </c>
      <c r="M1570">
        <v>24577.68</v>
      </c>
      <c r="N1570" t="s">
        <v>192</v>
      </c>
      <c r="O1570">
        <v>11</v>
      </c>
      <c r="P1570">
        <v>231</v>
      </c>
      <c r="R1570">
        <v>152</v>
      </c>
      <c r="S1570">
        <v>202.5</v>
      </c>
      <c r="T1570" t="s">
        <v>65</v>
      </c>
      <c r="U1570" s="3"/>
      <c r="V1570" s="3"/>
      <c r="W1570" s="3"/>
    </row>
    <row r="1571" spans="1:23">
      <c r="A1571" t="s">
        <v>3402</v>
      </c>
      <c r="B1571" t="s">
        <v>587</v>
      </c>
      <c r="C1571" t="s">
        <v>100</v>
      </c>
      <c r="D1571" s="2">
        <v>18891</v>
      </c>
      <c r="E1571" t="s">
        <v>3403</v>
      </c>
      <c r="F1571" s="2">
        <v>45260</v>
      </c>
      <c r="G1571" t="s">
        <v>152</v>
      </c>
      <c r="I1571" t="s">
        <v>79</v>
      </c>
      <c r="J1571" t="s">
        <v>71</v>
      </c>
      <c r="K1571" t="s">
        <v>27</v>
      </c>
      <c r="L1571" t="s">
        <v>3404</v>
      </c>
      <c r="M1571">
        <v>165300.07</v>
      </c>
      <c r="N1571" t="s">
        <v>192</v>
      </c>
      <c r="O1571">
        <v>6</v>
      </c>
      <c r="P1571">
        <v>104</v>
      </c>
      <c r="Q1571">
        <v>5</v>
      </c>
      <c r="R1571">
        <v>161</v>
      </c>
      <c r="T1571" t="s">
        <v>37</v>
      </c>
      <c r="U1571" s="3"/>
      <c r="V1571" s="3"/>
      <c r="W1571" s="3"/>
    </row>
    <row r="1572" spans="1:23">
      <c r="A1572" t="s">
        <v>3405</v>
      </c>
      <c r="B1572" t="s">
        <v>591</v>
      </c>
      <c r="D1572" t="s">
        <v>3406</v>
      </c>
      <c r="E1572" s="2">
        <v>45774</v>
      </c>
      <c r="F1572" s="2">
        <v>45776</v>
      </c>
      <c r="G1572" t="s">
        <v>89</v>
      </c>
      <c r="H1572" t="s">
        <v>24</v>
      </c>
      <c r="I1572" t="s">
        <v>119</v>
      </c>
      <c r="K1572" t="s">
        <v>27</v>
      </c>
      <c r="L1572">
        <v>137078.09</v>
      </c>
      <c r="M1572">
        <v>111931.29</v>
      </c>
      <c r="N1572" t="s">
        <v>35</v>
      </c>
      <c r="O1572">
        <v>2</v>
      </c>
      <c r="P1572">
        <v>225</v>
      </c>
      <c r="R1572">
        <v>188</v>
      </c>
      <c r="S1572">
        <v>174.8</v>
      </c>
      <c r="T1572" t="s">
        <v>81</v>
      </c>
      <c r="U1572" s="3"/>
      <c r="V1572" s="3"/>
      <c r="W1572" s="3"/>
    </row>
    <row r="1573" spans="1:23">
      <c r="A1573" t="s">
        <v>3407</v>
      </c>
      <c r="B1573" t="s">
        <v>2249</v>
      </c>
      <c r="C1573" t="s">
        <v>100</v>
      </c>
      <c r="D1573" s="2">
        <v>18478</v>
      </c>
      <c r="E1573" s="2">
        <v>45052</v>
      </c>
      <c r="G1573" t="s">
        <v>902</v>
      </c>
      <c r="H1573" t="s">
        <v>134</v>
      </c>
      <c r="I1573" t="s">
        <v>53</v>
      </c>
      <c r="J1573" t="s">
        <v>54</v>
      </c>
      <c r="K1573" t="s">
        <v>72</v>
      </c>
      <c r="L1573">
        <v>53254.45</v>
      </c>
      <c r="N1573" t="s">
        <v>73</v>
      </c>
      <c r="O1573">
        <v>18</v>
      </c>
      <c r="P1573">
        <v>101</v>
      </c>
      <c r="Q1573">
        <v>4</v>
      </c>
      <c r="R1573">
        <v>111</v>
      </c>
      <c r="S1573">
        <v>91.4</v>
      </c>
      <c r="T1573" t="s">
        <v>65</v>
      </c>
      <c r="U1573" s="3"/>
      <c r="V1573" s="3"/>
      <c r="W1573" s="3"/>
    </row>
    <row r="1574" spans="1:23">
      <c r="A1574" t="s">
        <v>3408</v>
      </c>
      <c r="B1574" t="s">
        <v>1099</v>
      </c>
      <c r="C1574" t="s">
        <v>60</v>
      </c>
      <c r="D1574" s="2">
        <v>37975</v>
      </c>
      <c r="E1574" s="2">
        <v>45558</v>
      </c>
      <c r="F1574" s="2">
        <v>45563</v>
      </c>
      <c r="G1574" t="s">
        <v>43</v>
      </c>
      <c r="H1574" t="s">
        <v>86</v>
      </c>
      <c r="I1574" t="s">
        <v>119</v>
      </c>
      <c r="J1574" t="s">
        <v>64</v>
      </c>
      <c r="K1574" t="s">
        <v>161</v>
      </c>
      <c r="L1574">
        <v>192805.44</v>
      </c>
      <c r="M1574">
        <v>152683.67000000001</v>
      </c>
      <c r="N1574" t="s">
        <v>106</v>
      </c>
      <c r="O1574">
        <v>5</v>
      </c>
      <c r="P1574">
        <v>47</v>
      </c>
      <c r="Q1574">
        <v>4</v>
      </c>
      <c r="R1574">
        <v>115</v>
      </c>
      <c r="S1574">
        <v>176.3</v>
      </c>
      <c r="U1574" s="3"/>
      <c r="V1574" s="3"/>
      <c r="W1574" s="3"/>
    </row>
    <row r="1575" spans="1:23">
      <c r="A1575" t="s">
        <v>3409</v>
      </c>
      <c r="B1575" t="s">
        <v>658</v>
      </c>
      <c r="C1575" t="s">
        <v>206</v>
      </c>
      <c r="D1575" s="2">
        <v>38063</v>
      </c>
      <c r="E1575" s="2">
        <v>45379</v>
      </c>
      <c r="F1575" s="2">
        <v>45388</v>
      </c>
      <c r="G1575" t="s">
        <v>94</v>
      </c>
      <c r="H1575" t="s">
        <v>113</v>
      </c>
      <c r="I1575" t="s">
        <v>33</v>
      </c>
      <c r="J1575" t="s">
        <v>34</v>
      </c>
      <c r="K1575" t="s">
        <v>55</v>
      </c>
      <c r="L1575">
        <v>22707.05</v>
      </c>
      <c r="M1575">
        <v>14469.41</v>
      </c>
      <c r="N1575" t="s">
        <v>192</v>
      </c>
      <c r="O1575">
        <v>9</v>
      </c>
      <c r="P1575">
        <v>87</v>
      </c>
      <c r="R1575">
        <v>152</v>
      </c>
      <c r="S1575">
        <v>139.5</v>
      </c>
      <c r="T1575" t="s">
        <v>81</v>
      </c>
      <c r="U1575" s="3"/>
      <c r="V1575" s="3"/>
      <c r="W1575" s="3"/>
    </row>
    <row r="1576" spans="1:23">
      <c r="A1576" t="s">
        <v>3410</v>
      </c>
      <c r="B1576" t="s">
        <v>451</v>
      </c>
      <c r="D1576" s="2">
        <v>25894</v>
      </c>
      <c r="E1576" s="2">
        <v>45248</v>
      </c>
      <c r="F1576" s="2">
        <v>45250</v>
      </c>
      <c r="G1576" t="s">
        <v>117</v>
      </c>
      <c r="H1576" t="s">
        <v>78</v>
      </c>
      <c r="I1576" t="s">
        <v>33</v>
      </c>
      <c r="J1576" t="s">
        <v>71</v>
      </c>
      <c r="K1576" t="s">
        <v>110</v>
      </c>
      <c r="L1576">
        <v>83753.919999999998</v>
      </c>
      <c r="M1576">
        <v>81797.539999999994</v>
      </c>
      <c r="O1576">
        <v>2</v>
      </c>
      <c r="P1576">
        <v>25</v>
      </c>
      <c r="Q1576">
        <v>2</v>
      </c>
      <c r="R1576">
        <v>161</v>
      </c>
      <c r="S1576">
        <v>251</v>
      </c>
      <c r="T1576" t="s">
        <v>37</v>
      </c>
      <c r="U1576" s="3"/>
      <c r="V1576" s="3"/>
      <c r="W1576" s="3"/>
    </row>
    <row r="1577" spans="1:23">
      <c r="A1577" t="s">
        <v>3411</v>
      </c>
      <c r="B1577" t="s">
        <v>980</v>
      </c>
      <c r="C1577" t="s">
        <v>84</v>
      </c>
      <c r="D1577" s="2">
        <v>39704</v>
      </c>
      <c r="E1577" s="2">
        <v>45636</v>
      </c>
      <c r="F1577" s="2">
        <v>45654</v>
      </c>
      <c r="G1577" t="s">
        <v>77</v>
      </c>
      <c r="H1577" t="s">
        <v>113</v>
      </c>
      <c r="I1577" t="s">
        <v>53</v>
      </c>
      <c r="J1577" t="s">
        <v>179</v>
      </c>
      <c r="K1577" t="s">
        <v>161</v>
      </c>
      <c r="L1577">
        <v>207487.68</v>
      </c>
      <c r="M1577">
        <v>166444.20000000001</v>
      </c>
      <c r="O1577">
        <v>18</v>
      </c>
      <c r="P1577">
        <v>10</v>
      </c>
      <c r="Q1577">
        <v>5</v>
      </c>
      <c r="R1577">
        <v>148</v>
      </c>
      <c r="S1577">
        <v>222.4</v>
      </c>
      <c r="T1577" t="s">
        <v>37</v>
      </c>
      <c r="U1577" s="3"/>
      <c r="V1577" s="3"/>
      <c r="W1577" s="3"/>
    </row>
    <row r="1578" spans="1:23">
      <c r="A1578" t="s">
        <v>3412</v>
      </c>
      <c r="B1578" t="s">
        <v>1026</v>
      </c>
      <c r="C1578" t="s">
        <v>30</v>
      </c>
      <c r="D1578" t="s">
        <v>3413</v>
      </c>
      <c r="E1578" t="s">
        <v>3414</v>
      </c>
      <c r="F1578" s="2">
        <v>45490</v>
      </c>
      <c r="G1578" t="s">
        <v>31</v>
      </c>
      <c r="H1578" t="s">
        <v>24</v>
      </c>
      <c r="I1578" t="s">
        <v>25</v>
      </c>
      <c r="J1578" t="s">
        <v>26</v>
      </c>
      <c r="K1578" t="s">
        <v>161</v>
      </c>
      <c r="L1578">
        <v>86516.47</v>
      </c>
      <c r="M1578">
        <v>63878.75</v>
      </c>
      <c r="N1578" t="s">
        <v>192</v>
      </c>
      <c r="O1578">
        <v>14</v>
      </c>
      <c r="P1578">
        <v>37</v>
      </c>
      <c r="Q1578">
        <v>4</v>
      </c>
      <c r="R1578">
        <v>138</v>
      </c>
      <c r="S1578">
        <v>232.9</v>
      </c>
      <c r="T1578" t="s">
        <v>65</v>
      </c>
      <c r="U1578" s="3"/>
      <c r="V1578" s="3"/>
      <c r="W1578" s="3"/>
    </row>
    <row r="1579" spans="1:23">
      <c r="A1579" t="s">
        <v>3415</v>
      </c>
      <c r="B1579" t="s">
        <v>1744</v>
      </c>
      <c r="C1579" t="s">
        <v>459</v>
      </c>
      <c r="D1579" s="2">
        <v>39151</v>
      </c>
      <c r="E1579" t="s">
        <v>3416</v>
      </c>
      <c r="G1579" t="s">
        <v>105</v>
      </c>
      <c r="H1579" t="s">
        <v>78</v>
      </c>
      <c r="J1579" t="s">
        <v>34</v>
      </c>
      <c r="K1579" t="s">
        <v>72</v>
      </c>
      <c r="L1579">
        <v>224641.07</v>
      </c>
      <c r="M1579">
        <v>193145.82</v>
      </c>
      <c r="N1579" t="s">
        <v>91</v>
      </c>
      <c r="O1579">
        <v>14</v>
      </c>
      <c r="P1579">
        <v>129</v>
      </c>
      <c r="Q1579">
        <v>5</v>
      </c>
      <c r="R1579">
        <v>148</v>
      </c>
      <c r="S1579">
        <v>143.4</v>
      </c>
      <c r="T1579" t="s">
        <v>37</v>
      </c>
      <c r="U1579" s="3"/>
      <c r="V1579" s="3"/>
      <c r="W1579" s="3"/>
    </row>
    <row r="1580" spans="1:23">
      <c r="A1580" t="s">
        <v>3417</v>
      </c>
      <c r="B1580" t="s">
        <v>553</v>
      </c>
      <c r="C1580" t="s">
        <v>459</v>
      </c>
      <c r="D1580" s="2">
        <v>25532</v>
      </c>
      <c r="E1580" t="s">
        <v>3418</v>
      </c>
      <c r="G1580" t="s">
        <v>190</v>
      </c>
      <c r="H1580" t="s">
        <v>78</v>
      </c>
      <c r="I1580" t="s">
        <v>53</v>
      </c>
      <c r="J1580" t="s">
        <v>179</v>
      </c>
      <c r="K1580" t="s">
        <v>110</v>
      </c>
      <c r="L1580">
        <v>170294.34</v>
      </c>
      <c r="M1580">
        <v>129155.78</v>
      </c>
      <c r="N1580" t="s">
        <v>192</v>
      </c>
      <c r="O1580">
        <v>17</v>
      </c>
      <c r="P1580">
        <v>85</v>
      </c>
      <c r="R1580">
        <v>134</v>
      </c>
      <c r="S1580">
        <v>156.80000000000001</v>
      </c>
      <c r="T1580" t="s">
        <v>47</v>
      </c>
      <c r="U1580" s="3"/>
      <c r="V1580" s="3"/>
      <c r="W1580" s="3"/>
    </row>
    <row r="1581" spans="1:23">
      <c r="A1581" t="s">
        <v>3419</v>
      </c>
      <c r="B1581" t="s">
        <v>129</v>
      </c>
      <c r="C1581" t="s">
        <v>84</v>
      </c>
      <c r="D1581" s="2">
        <v>26688</v>
      </c>
      <c r="E1581" s="2">
        <v>45799</v>
      </c>
      <c r="F1581" s="2">
        <v>45812</v>
      </c>
      <c r="G1581" t="s">
        <v>89</v>
      </c>
      <c r="H1581" t="s">
        <v>32</v>
      </c>
      <c r="I1581" t="s">
        <v>53</v>
      </c>
      <c r="J1581" t="s">
        <v>34</v>
      </c>
      <c r="K1581" t="s">
        <v>161</v>
      </c>
      <c r="L1581">
        <v>79195.27</v>
      </c>
      <c r="M1581">
        <v>60006.51</v>
      </c>
      <c r="N1581" t="s">
        <v>73</v>
      </c>
      <c r="O1581">
        <v>13</v>
      </c>
      <c r="P1581">
        <v>62</v>
      </c>
      <c r="Q1581">
        <v>1</v>
      </c>
      <c r="R1581">
        <v>96</v>
      </c>
      <c r="S1581">
        <v>80.2</v>
      </c>
      <c r="T1581" t="s">
        <v>65</v>
      </c>
      <c r="U1581" s="3"/>
      <c r="V1581" s="3"/>
      <c r="W1581" s="3"/>
    </row>
    <row r="1582" spans="1:23">
      <c r="A1582" t="s">
        <v>3420</v>
      </c>
      <c r="B1582" t="s">
        <v>737</v>
      </c>
      <c r="C1582" t="s">
        <v>22</v>
      </c>
      <c r="D1582" t="s">
        <v>3421</v>
      </c>
      <c r="E1582" s="2">
        <v>45169</v>
      </c>
      <c r="F1582" s="2">
        <v>45179</v>
      </c>
      <c r="G1582" t="s">
        <v>501</v>
      </c>
      <c r="H1582" t="s">
        <v>376</v>
      </c>
      <c r="I1582" t="s">
        <v>79</v>
      </c>
      <c r="J1582" t="s">
        <v>80</v>
      </c>
      <c r="K1582" t="s">
        <v>55</v>
      </c>
      <c r="L1582">
        <v>191874.84</v>
      </c>
      <c r="M1582">
        <v>129804.48</v>
      </c>
      <c r="N1582" t="s">
        <v>73</v>
      </c>
      <c r="O1582">
        <v>10</v>
      </c>
      <c r="P1582">
        <v>159</v>
      </c>
      <c r="Q1582">
        <v>5</v>
      </c>
      <c r="R1582">
        <v>173</v>
      </c>
      <c r="S1582">
        <v>90.1</v>
      </c>
      <c r="T1582" t="s">
        <v>37</v>
      </c>
      <c r="U1582" s="3"/>
      <c r="V1582" s="3"/>
      <c r="W1582" s="3"/>
    </row>
    <row r="1583" spans="1:23">
      <c r="A1583" t="s">
        <v>3422</v>
      </c>
      <c r="B1583" t="s">
        <v>1135</v>
      </c>
      <c r="C1583" t="s">
        <v>100</v>
      </c>
      <c r="D1583" s="2">
        <v>24051</v>
      </c>
      <c r="E1583" s="2">
        <v>45518</v>
      </c>
      <c r="F1583" t="s">
        <v>1798</v>
      </c>
      <c r="G1583" t="s">
        <v>144</v>
      </c>
      <c r="H1583" t="s">
        <v>32</v>
      </c>
      <c r="J1583" t="s">
        <v>26</v>
      </c>
      <c r="K1583" t="s">
        <v>27</v>
      </c>
      <c r="L1583">
        <v>22542.68</v>
      </c>
      <c r="M1583">
        <v>21600.98</v>
      </c>
      <c r="N1583" t="s">
        <v>56</v>
      </c>
      <c r="O1583">
        <v>3</v>
      </c>
      <c r="P1583">
        <v>187</v>
      </c>
      <c r="Q1583">
        <v>4</v>
      </c>
      <c r="R1583">
        <v>146</v>
      </c>
      <c r="S1583">
        <v>202.5</v>
      </c>
      <c r="T1583" t="s">
        <v>37</v>
      </c>
      <c r="U1583" s="3"/>
      <c r="V1583" s="3"/>
      <c r="W1583" s="3"/>
    </row>
    <row r="1584" spans="1:23">
      <c r="A1584" t="s">
        <v>3423</v>
      </c>
      <c r="B1584" t="s">
        <v>1598</v>
      </c>
      <c r="C1584" t="s">
        <v>30</v>
      </c>
      <c r="D1584" s="2">
        <v>31548</v>
      </c>
      <c r="E1584" s="2">
        <v>45444</v>
      </c>
      <c r="F1584" s="2">
        <v>45451</v>
      </c>
      <c r="G1584" t="s">
        <v>109</v>
      </c>
      <c r="H1584" t="s">
        <v>78</v>
      </c>
      <c r="J1584" t="s">
        <v>1381</v>
      </c>
      <c r="L1584">
        <v>175067.51</v>
      </c>
      <c r="M1584">
        <v>135496.59</v>
      </c>
      <c r="N1584" t="s">
        <v>73</v>
      </c>
      <c r="O1584">
        <v>7</v>
      </c>
      <c r="P1584">
        <v>59</v>
      </c>
      <c r="R1584">
        <v>143</v>
      </c>
      <c r="S1584">
        <v>85.5</v>
      </c>
      <c r="U1584" s="3"/>
      <c r="V1584" s="3"/>
      <c r="W1584" s="3"/>
    </row>
    <row r="1585" spans="1:23">
      <c r="A1585" t="s">
        <v>3424</v>
      </c>
      <c r="B1585" t="s">
        <v>887</v>
      </c>
      <c r="C1585" t="s">
        <v>40</v>
      </c>
      <c r="D1585" s="2">
        <v>39431</v>
      </c>
      <c r="E1585" s="2">
        <v>45001</v>
      </c>
      <c r="F1585" s="2">
        <v>45002</v>
      </c>
      <c r="G1585" t="s">
        <v>94</v>
      </c>
      <c r="H1585" t="s">
        <v>113</v>
      </c>
      <c r="I1585" t="s">
        <v>33</v>
      </c>
      <c r="J1585" t="s">
        <v>97</v>
      </c>
      <c r="K1585" t="s">
        <v>72</v>
      </c>
      <c r="L1585">
        <v>248224.99</v>
      </c>
      <c r="M1585">
        <v>201348.4</v>
      </c>
      <c r="N1585" t="s">
        <v>56</v>
      </c>
      <c r="O1585">
        <v>1</v>
      </c>
      <c r="P1585">
        <v>183</v>
      </c>
      <c r="R1585">
        <v>128</v>
      </c>
      <c r="S1585">
        <v>81.8</v>
      </c>
      <c r="U1585" s="3"/>
      <c r="V1585" s="3"/>
      <c r="W1585" s="3"/>
    </row>
    <row r="1586" spans="1:23">
      <c r="A1586" t="s">
        <v>3425</v>
      </c>
      <c r="B1586" t="s">
        <v>1135</v>
      </c>
      <c r="C1586" t="s">
        <v>100</v>
      </c>
      <c r="D1586" s="2">
        <v>19223</v>
      </c>
      <c r="E1586" s="2">
        <v>45422</v>
      </c>
      <c r="F1586" t="s">
        <v>3426</v>
      </c>
      <c r="G1586" t="s">
        <v>161</v>
      </c>
      <c r="H1586" t="s">
        <v>78</v>
      </c>
      <c r="I1586" t="s">
        <v>45</v>
      </c>
      <c r="J1586" t="s">
        <v>46</v>
      </c>
      <c r="K1586" t="s">
        <v>110</v>
      </c>
      <c r="L1586">
        <v>146426.5</v>
      </c>
      <c r="M1586">
        <v>107291.67</v>
      </c>
      <c r="N1586" t="s">
        <v>73</v>
      </c>
      <c r="O1586">
        <v>15</v>
      </c>
      <c r="P1586">
        <v>193</v>
      </c>
      <c r="Q1586">
        <v>4</v>
      </c>
      <c r="R1586">
        <v>187</v>
      </c>
      <c r="S1586">
        <v>211.3</v>
      </c>
      <c r="T1586" t="s">
        <v>65</v>
      </c>
      <c r="U1586" s="3"/>
      <c r="V1586" s="3"/>
      <c r="W1586" s="3"/>
    </row>
    <row r="1587" spans="1:23">
      <c r="A1587" t="s">
        <v>3427</v>
      </c>
      <c r="B1587" t="s">
        <v>274</v>
      </c>
      <c r="C1587" t="s">
        <v>206</v>
      </c>
      <c r="D1587" s="2">
        <v>24573</v>
      </c>
      <c r="E1587" s="2">
        <v>45137</v>
      </c>
      <c r="F1587" t="s">
        <v>3428</v>
      </c>
      <c r="G1587" t="s">
        <v>89</v>
      </c>
      <c r="I1587" t="s">
        <v>79</v>
      </c>
      <c r="J1587" t="s">
        <v>80</v>
      </c>
      <c r="K1587" t="s">
        <v>120</v>
      </c>
      <c r="L1587">
        <v>35614.92</v>
      </c>
      <c r="M1587">
        <v>21687.74</v>
      </c>
      <c r="N1587" t="s">
        <v>192</v>
      </c>
      <c r="O1587">
        <v>10</v>
      </c>
      <c r="P1587">
        <v>57</v>
      </c>
      <c r="Q1587">
        <v>2</v>
      </c>
      <c r="R1587">
        <v>149</v>
      </c>
      <c r="S1587">
        <v>118.7</v>
      </c>
      <c r="T1587" t="s">
        <v>81</v>
      </c>
      <c r="U1587" s="3"/>
      <c r="V1587" s="3"/>
      <c r="W1587" s="3"/>
    </row>
    <row r="1588" spans="1:23">
      <c r="A1588" t="s">
        <v>3429</v>
      </c>
      <c r="B1588" t="s">
        <v>1125</v>
      </c>
      <c r="C1588" t="s">
        <v>30</v>
      </c>
      <c r="D1588" s="2">
        <v>23125</v>
      </c>
      <c r="E1588" s="2">
        <v>45677</v>
      </c>
      <c r="F1588" s="2">
        <v>45690</v>
      </c>
      <c r="G1588" t="s">
        <v>31</v>
      </c>
      <c r="H1588" t="s">
        <v>134</v>
      </c>
      <c r="I1588" t="s">
        <v>53</v>
      </c>
      <c r="K1588" t="s">
        <v>161</v>
      </c>
      <c r="L1588">
        <v>201661.38</v>
      </c>
      <c r="M1588">
        <v>168460.79999999999</v>
      </c>
      <c r="N1588" t="s">
        <v>73</v>
      </c>
      <c r="O1588">
        <v>13</v>
      </c>
      <c r="P1588">
        <v>14</v>
      </c>
      <c r="Q1588">
        <v>3</v>
      </c>
      <c r="R1588">
        <v>132</v>
      </c>
      <c r="S1588">
        <v>98.6</v>
      </c>
      <c r="T1588" t="s">
        <v>127</v>
      </c>
      <c r="U1588" s="3"/>
      <c r="V1588" s="3"/>
      <c r="W1588" s="3"/>
    </row>
    <row r="1589" spans="1:23">
      <c r="A1589" t="s">
        <v>3430</v>
      </c>
      <c r="B1589" t="s">
        <v>1658</v>
      </c>
      <c r="C1589" t="s">
        <v>22</v>
      </c>
      <c r="D1589" s="2">
        <v>35425</v>
      </c>
      <c r="E1589" s="2">
        <v>45565</v>
      </c>
      <c r="F1589" s="2">
        <v>45583</v>
      </c>
      <c r="G1589" t="s">
        <v>43</v>
      </c>
      <c r="H1589" t="s">
        <v>24</v>
      </c>
      <c r="I1589" t="s">
        <v>53</v>
      </c>
      <c r="J1589" t="s">
        <v>80</v>
      </c>
      <c r="K1589" t="s">
        <v>27</v>
      </c>
      <c r="L1589">
        <v>85115.88</v>
      </c>
      <c r="N1589" t="s">
        <v>73</v>
      </c>
      <c r="O1589">
        <v>18</v>
      </c>
      <c r="P1589">
        <v>229</v>
      </c>
      <c r="Q1589">
        <v>3</v>
      </c>
      <c r="R1589">
        <v>122</v>
      </c>
      <c r="S1589">
        <v>76.8</v>
      </c>
      <c r="T1589" t="s">
        <v>65</v>
      </c>
      <c r="U1589" s="3"/>
      <c r="V1589" s="3"/>
      <c r="W1589" s="3"/>
    </row>
    <row r="1590" spans="1:23">
      <c r="A1590" t="s">
        <v>3431</v>
      </c>
      <c r="B1590" t="s">
        <v>378</v>
      </c>
      <c r="C1590" t="s">
        <v>50</v>
      </c>
      <c r="D1590" s="2">
        <v>38297</v>
      </c>
      <c r="E1590" s="2">
        <v>45329</v>
      </c>
      <c r="G1590" t="s">
        <v>77</v>
      </c>
      <c r="H1590" t="s">
        <v>24</v>
      </c>
      <c r="I1590" t="s">
        <v>119</v>
      </c>
      <c r="J1590" t="s">
        <v>34</v>
      </c>
      <c r="K1590" t="s">
        <v>120</v>
      </c>
      <c r="L1590">
        <v>141696.19</v>
      </c>
      <c r="M1590">
        <v>92455.87</v>
      </c>
      <c r="N1590" t="s">
        <v>73</v>
      </c>
      <c r="O1590">
        <v>9</v>
      </c>
      <c r="P1590">
        <v>90</v>
      </c>
      <c r="Q1590">
        <v>5</v>
      </c>
      <c r="R1590">
        <v>135</v>
      </c>
      <c r="S1590">
        <v>146.4</v>
      </c>
      <c r="T1590" t="s">
        <v>37</v>
      </c>
      <c r="U1590" s="3"/>
      <c r="V1590" s="3"/>
      <c r="W1590" s="3"/>
    </row>
    <row r="1591" spans="1:23">
      <c r="A1591" t="s">
        <v>3432</v>
      </c>
      <c r="B1591" t="s">
        <v>752</v>
      </c>
      <c r="C1591" t="s">
        <v>50</v>
      </c>
      <c r="D1591" t="s">
        <v>3433</v>
      </c>
      <c r="E1591" t="s">
        <v>2586</v>
      </c>
      <c r="F1591" s="2">
        <v>45361</v>
      </c>
      <c r="G1591" t="s">
        <v>152</v>
      </c>
      <c r="H1591" t="s">
        <v>32</v>
      </c>
      <c r="I1591" t="s">
        <v>53</v>
      </c>
      <c r="J1591" t="s">
        <v>34</v>
      </c>
      <c r="K1591" t="s">
        <v>120</v>
      </c>
      <c r="L1591">
        <v>158341.69</v>
      </c>
      <c r="M1591">
        <v>138295.87</v>
      </c>
      <c r="N1591" t="s">
        <v>35</v>
      </c>
      <c r="O1591">
        <v>7</v>
      </c>
      <c r="P1591">
        <v>78</v>
      </c>
      <c r="Q1591">
        <v>1</v>
      </c>
      <c r="R1591">
        <v>128</v>
      </c>
      <c r="S1591">
        <v>117.9</v>
      </c>
      <c r="T1591" t="s">
        <v>65</v>
      </c>
      <c r="U1591" s="3"/>
      <c r="V1591" s="3"/>
      <c r="W1591" s="3"/>
    </row>
    <row r="1592" spans="1:23">
      <c r="A1592" t="s">
        <v>3434</v>
      </c>
      <c r="B1592" t="s">
        <v>801</v>
      </c>
      <c r="C1592" t="s">
        <v>30</v>
      </c>
      <c r="D1592" s="2">
        <v>25824</v>
      </c>
      <c r="E1592" s="2">
        <v>45944</v>
      </c>
      <c r="F1592" s="2">
        <v>45949</v>
      </c>
      <c r="G1592" t="s">
        <v>62</v>
      </c>
      <c r="H1592" t="s">
        <v>538</v>
      </c>
      <c r="I1592" t="s">
        <v>53</v>
      </c>
      <c r="J1592" t="s">
        <v>179</v>
      </c>
      <c r="L1592">
        <v>64884.22</v>
      </c>
      <c r="M1592">
        <v>46611.37</v>
      </c>
      <c r="N1592" t="s">
        <v>192</v>
      </c>
      <c r="O1592">
        <v>5</v>
      </c>
      <c r="P1592">
        <v>66</v>
      </c>
      <c r="Q1592">
        <v>2</v>
      </c>
      <c r="R1592">
        <v>163</v>
      </c>
      <c r="S1592">
        <v>90</v>
      </c>
      <c r="T1592" t="s">
        <v>37</v>
      </c>
      <c r="U1592" s="3"/>
      <c r="V1592" s="3"/>
      <c r="W1592" s="3"/>
    </row>
    <row r="1593" spans="1:23">
      <c r="A1593" t="s">
        <v>3435</v>
      </c>
      <c r="B1593" t="s">
        <v>436</v>
      </c>
      <c r="C1593" t="s">
        <v>60</v>
      </c>
      <c r="D1593" s="2">
        <v>37648</v>
      </c>
      <c r="E1593" s="2">
        <v>45242</v>
      </c>
      <c r="F1593" s="2">
        <v>45260</v>
      </c>
      <c r="G1593" t="s">
        <v>62</v>
      </c>
      <c r="I1593" t="s">
        <v>53</v>
      </c>
      <c r="J1593" t="s">
        <v>80</v>
      </c>
      <c r="K1593" t="s">
        <v>72</v>
      </c>
      <c r="L1593">
        <v>41534.51</v>
      </c>
      <c r="N1593" t="s">
        <v>56</v>
      </c>
      <c r="O1593">
        <v>18</v>
      </c>
      <c r="P1593">
        <v>239</v>
      </c>
      <c r="Q1593">
        <v>2</v>
      </c>
      <c r="R1593">
        <v>124</v>
      </c>
      <c r="S1593">
        <v>70.400000000000006</v>
      </c>
      <c r="T1593" t="s">
        <v>47</v>
      </c>
      <c r="U1593" s="3"/>
      <c r="V1593" s="3"/>
      <c r="W1593" s="3"/>
    </row>
    <row r="1594" spans="1:23">
      <c r="A1594" t="s">
        <v>3436</v>
      </c>
      <c r="B1594" t="s">
        <v>875</v>
      </c>
      <c r="C1594" t="s">
        <v>40</v>
      </c>
      <c r="D1594" s="2">
        <v>22720</v>
      </c>
      <c r="E1594" s="2">
        <v>46005</v>
      </c>
      <c r="F1594" s="2">
        <v>46011</v>
      </c>
      <c r="G1594" t="s">
        <v>141</v>
      </c>
      <c r="H1594" t="s">
        <v>124</v>
      </c>
      <c r="I1594" t="s">
        <v>96</v>
      </c>
      <c r="J1594" t="s">
        <v>80</v>
      </c>
      <c r="K1594" t="s">
        <v>110</v>
      </c>
      <c r="L1594">
        <v>84895.42</v>
      </c>
      <c r="M1594">
        <v>63199.82</v>
      </c>
      <c r="N1594" t="s">
        <v>1048</v>
      </c>
      <c r="O1594">
        <v>6</v>
      </c>
      <c r="P1594">
        <v>130</v>
      </c>
      <c r="Q1594">
        <v>2</v>
      </c>
      <c r="R1594">
        <v>181</v>
      </c>
      <c r="S1594">
        <v>247.1</v>
      </c>
      <c r="T1594" t="s">
        <v>65</v>
      </c>
      <c r="U1594" s="3"/>
      <c r="V1594" s="3"/>
      <c r="W1594" s="3"/>
    </row>
    <row r="1595" spans="1:23">
      <c r="A1595" t="s">
        <v>3437</v>
      </c>
      <c r="B1595" t="s">
        <v>455</v>
      </c>
      <c r="C1595" t="s">
        <v>206</v>
      </c>
      <c r="D1595" s="2">
        <v>37082</v>
      </c>
      <c r="E1595" s="2">
        <v>45041</v>
      </c>
      <c r="F1595" t="s">
        <v>1875</v>
      </c>
      <c r="H1595" t="s">
        <v>118</v>
      </c>
      <c r="J1595" t="s">
        <v>34</v>
      </c>
      <c r="K1595" t="s">
        <v>55</v>
      </c>
      <c r="L1595">
        <v>146055.34</v>
      </c>
      <c r="M1595">
        <v>111682.57</v>
      </c>
      <c r="O1595">
        <v>18</v>
      </c>
      <c r="P1595" t="s">
        <v>3438</v>
      </c>
      <c r="Q1595">
        <v>5</v>
      </c>
      <c r="R1595">
        <v>90</v>
      </c>
      <c r="S1595">
        <v>174.8</v>
      </c>
      <c r="T1595" t="s">
        <v>37</v>
      </c>
      <c r="U1595" s="3"/>
      <c r="V1595" s="3"/>
      <c r="W1595" s="3"/>
    </row>
    <row r="1596" spans="1:23">
      <c r="A1596" t="s">
        <v>3439</v>
      </c>
      <c r="B1596" t="s">
        <v>451</v>
      </c>
      <c r="C1596" t="s">
        <v>60</v>
      </c>
      <c r="D1596" s="2">
        <v>27806</v>
      </c>
      <c r="E1596" s="2">
        <v>45332</v>
      </c>
      <c r="F1596" s="2">
        <v>45346</v>
      </c>
      <c r="G1596" t="s">
        <v>62</v>
      </c>
      <c r="H1596" t="s">
        <v>44</v>
      </c>
      <c r="I1596" t="s">
        <v>119</v>
      </c>
      <c r="K1596" t="s">
        <v>161</v>
      </c>
      <c r="L1596">
        <v>167956.43</v>
      </c>
      <c r="M1596">
        <v>127157.68</v>
      </c>
      <c r="N1596" t="s">
        <v>192</v>
      </c>
      <c r="O1596">
        <v>14</v>
      </c>
      <c r="P1596">
        <v>120</v>
      </c>
      <c r="R1596">
        <v>115</v>
      </c>
      <c r="S1596">
        <v>173.3</v>
      </c>
      <c r="U1596" s="3"/>
      <c r="V1596" s="3"/>
      <c r="W1596" s="3"/>
    </row>
    <row r="1597" spans="1:23">
      <c r="A1597" t="s">
        <v>3440</v>
      </c>
      <c r="B1597" t="s">
        <v>350</v>
      </c>
      <c r="C1597" t="s">
        <v>151</v>
      </c>
      <c r="D1597" s="2">
        <v>22900</v>
      </c>
      <c r="E1597" s="2">
        <v>45288</v>
      </c>
      <c r="F1597" s="2">
        <v>45294</v>
      </c>
      <c r="G1597" t="s">
        <v>117</v>
      </c>
      <c r="H1597" t="s">
        <v>24</v>
      </c>
      <c r="I1597" t="s">
        <v>79</v>
      </c>
      <c r="J1597" t="s">
        <v>97</v>
      </c>
      <c r="K1597" t="s">
        <v>161</v>
      </c>
      <c r="L1597" t="s">
        <v>3441</v>
      </c>
      <c r="M1597">
        <v>114213.9</v>
      </c>
      <c r="N1597" t="s">
        <v>73</v>
      </c>
      <c r="O1597">
        <v>6</v>
      </c>
      <c r="P1597">
        <v>225</v>
      </c>
      <c r="Q1597">
        <v>5</v>
      </c>
      <c r="R1597">
        <v>95</v>
      </c>
      <c r="S1597">
        <v>236.7</v>
      </c>
      <c r="U1597" s="3"/>
      <c r="V1597" s="3"/>
      <c r="W1597" s="3"/>
    </row>
    <row r="1598" spans="1:23">
      <c r="A1598" t="s">
        <v>3442</v>
      </c>
      <c r="B1598" t="s">
        <v>3443</v>
      </c>
      <c r="D1598" t="s">
        <v>3444</v>
      </c>
      <c r="E1598" t="s">
        <v>3445</v>
      </c>
      <c r="G1598" t="s">
        <v>43</v>
      </c>
      <c r="H1598" t="s">
        <v>124</v>
      </c>
      <c r="I1598" t="s">
        <v>45</v>
      </c>
      <c r="J1598" t="s">
        <v>80</v>
      </c>
      <c r="K1598" t="s">
        <v>388</v>
      </c>
      <c r="L1598">
        <v>161573.93</v>
      </c>
      <c r="M1598">
        <v>120263.58</v>
      </c>
      <c r="N1598" t="s">
        <v>91</v>
      </c>
      <c r="O1598">
        <v>12</v>
      </c>
      <c r="P1598">
        <v>95</v>
      </c>
      <c r="Q1598">
        <v>4</v>
      </c>
      <c r="S1598">
        <v>175</v>
      </c>
      <c r="U1598" s="3"/>
      <c r="V1598" s="3"/>
      <c r="W1598" s="3"/>
    </row>
    <row r="1599" spans="1:23">
      <c r="A1599" t="s">
        <v>3446</v>
      </c>
      <c r="B1599" t="s">
        <v>527</v>
      </c>
      <c r="D1599" s="2">
        <v>32105</v>
      </c>
      <c r="E1599" t="s">
        <v>214</v>
      </c>
      <c r="F1599" s="2">
        <v>45486</v>
      </c>
      <c r="G1599" t="s">
        <v>105</v>
      </c>
      <c r="H1599" t="s">
        <v>118</v>
      </c>
      <c r="J1599" t="s">
        <v>179</v>
      </c>
      <c r="K1599" t="s">
        <v>55</v>
      </c>
      <c r="L1599">
        <v>128419.81</v>
      </c>
      <c r="M1599">
        <v>103199.33</v>
      </c>
      <c r="N1599" t="s">
        <v>91</v>
      </c>
      <c r="O1599">
        <v>11</v>
      </c>
      <c r="P1599">
        <v>237</v>
      </c>
      <c r="R1599">
        <v>106</v>
      </c>
      <c r="S1599">
        <v>112.7</v>
      </c>
      <c r="U1599" s="3"/>
      <c r="V1599" s="3"/>
      <c r="W1599" s="3"/>
    </row>
    <row r="1600" spans="1:23">
      <c r="A1600" t="s">
        <v>3447</v>
      </c>
      <c r="B1600" t="s">
        <v>550</v>
      </c>
      <c r="C1600" t="s">
        <v>206</v>
      </c>
      <c r="D1600" s="2">
        <v>35394</v>
      </c>
      <c r="E1600" t="s">
        <v>3448</v>
      </c>
      <c r="F1600" s="2">
        <v>45649</v>
      </c>
      <c r="G1600" t="s">
        <v>161</v>
      </c>
      <c r="I1600" t="s">
        <v>45</v>
      </c>
      <c r="J1600" t="s">
        <v>46</v>
      </c>
      <c r="K1600" t="s">
        <v>110</v>
      </c>
      <c r="L1600">
        <v>238649.55</v>
      </c>
      <c r="M1600">
        <v>217836.95</v>
      </c>
      <c r="N1600" t="s">
        <v>192</v>
      </c>
      <c r="O1600">
        <v>6</v>
      </c>
      <c r="P1600">
        <v>15</v>
      </c>
      <c r="R1600">
        <v>171</v>
      </c>
      <c r="S1600">
        <v>216.5</v>
      </c>
      <c r="T1600" t="s">
        <v>37</v>
      </c>
      <c r="U1600" s="3"/>
      <c r="V1600" s="3"/>
      <c r="W1600" s="3"/>
    </row>
    <row r="1601" spans="1:23">
      <c r="A1601" t="s">
        <v>3449</v>
      </c>
      <c r="B1601" t="s">
        <v>965</v>
      </c>
      <c r="C1601" t="s">
        <v>40</v>
      </c>
      <c r="D1601" s="2">
        <v>36580</v>
      </c>
      <c r="E1601" s="2">
        <v>45054</v>
      </c>
      <c r="F1601" s="2">
        <v>45066</v>
      </c>
      <c r="G1601" t="s">
        <v>43</v>
      </c>
      <c r="H1601" t="s">
        <v>124</v>
      </c>
      <c r="I1601" t="s">
        <v>96</v>
      </c>
      <c r="J1601" t="s">
        <v>26</v>
      </c>
      <c r="K1601" t="s">
        <v>55</v>
      </c>
      <c r="L1601">
        <v>37851.589999999997</v>
      </c>
      <c r="M1601">
        <v>26461.29</v>
      </c>
      <c r="N1601" t="s">
        <v>56</v>
      </c>
      <c r="O1601">
        <v>12</v>
      </c>
      <c r="P1601">
        <v>112</v>
      </c>
      <c r="R1601">
        <v>93</v>
      </c>
      <c r="S1601">
        <v>219.3</v>
      </c>
      <c r="T1601" t="s">
        <v>37</v>
      </c>
      <c r="U1601" s="3"/>
      <c r="V1601" s="3"/>
      <c r="W1601" s="3"/>
    </row>
    <row r="1602" spans="1:23">
      <c r="A1602" t="s">
        <v>3450</v>
      </c>
      <c r="B1602" t="s">
        <v>932</v>
      </c>
      <c r="C1602" t="s">
        <v>60</v>
      </c>
      <c r="D1602" t="s">
        <v>3451</v>
      </c>
      <c r="E1602" s="2">
        <v>45481</v>
      </c>
      <c r="F1602" s="2">
        <v>45489</v>
      </c>
      <c r="G1602" t="s">
        <v>43</v>
      </c>
      <c r="H1602" t="s">
        <v>113</v>
      </c>
      <c r="I1602" t="s">
        <v>33</v>
      </c>
      <c r="J1602" t="s">
        <v>71</v>
      </c>
      <c r="K1602" t="s">
        <v>27</v>
      </c>
      <c r="L1602">
        <v>247164.82</v>
      </c>
      <c r="M1602">
        <v>237412.43</v>
      </c>
      <c r="N1602" t="s">
        <v>56</v>
      </c>
      <c r="O1602">
        <v>8</v>
      </c>
      <c r="P1602">
        <v>183</v>
      </c>
      <c r="Q1602">
        <v>4</v>
      </c>
      <c r="R1602">
        <v>151</v>
      </c>
      <c r="T1602" t="s">
        <v>721</v>
      </c>
      <c r="U1602" s="3"/>
      <c r="V1602" s="3"/>
      <c r="W1602" s="3"/>
    </row>
    <row r="1603" spans="1:23">
      <c r="A1603" t="s">
        <v>3452</v>
      </c>
      <c r="B1603" t="s">
        <v>403</v>
      </c>
      <c r="C1603" t="s">
        <v>40</v>
      </c>
      <c r="D1603" s="2">
        <v>35495</v>
      </c>
      <c r="E1603" s="2">
        <v>45671</v>
      </c>
      <c r="F1603" t="s">
        <v>3453</v>
      </c>
      <c r="G1603" t="s">
        <v>70</v>
      </c>
      <c r="H1603" t="s">
        <v>134</v>
      </c>
      <c r="I1603" t="s">
        <v>96</v>
      </c>
      <c r="K1603" t="s">
        <v>161</v>
      </c>
      <c r="L1603">
        <v>112443.42</v>
      </c>
      <c r="M1603">
        <v>92369.09</v>
      </c>
      <c r="N1603" t="s">
        <v>192</v>
      </c>
      <c r="O1603">
        <v>6</v>
      </c>
      <c r="P1603">
        <v>20</v>
      </c>
      <c r="Q1603">
        <v>4</v>
      </c>
      <c r="R1603">
        <v>146</v>
      </c>
      <c r="S1603">
        <v>193.6</v>
      </c>
      <c r="T1603" t="s">
        <v>106</v>
      </c>
      <c r="U1603" s="3"/>
      <c r="V1603" s="3"/>
      <c r="W1603" s="3"/>
    </row>
    <row r="1604" spans="1:23">
      <c r="A1604" t="s">
        <v>3454</v>
      </c>
      <c r="B1604" t="s">
        <v>673</v>
      </c>
      <c r="D1604" s="2">
        <v>35068</v>
      </c>
      <c r="E1604" t="s">
        <v>3455</v>
      </c>
      <c r="F1604" s="2">
        <v>45213</v>
      </c>
      <c r="G1604" t="s">
        <v>109</v>
      </c>
      <c r="H1604" t="s">
        <v>95</v>
      </c>
      <c r="I1604" t="s">
        <v>25</v>
      </c>
      <c r="J1604" t="s">
        <v>46</v>
      </c>
      <c r="K1604" t="s">
        <v>55</v>
      </c>
      <c r="L1604">
        <v>99452.88</v>
      </c>
      <c r="M1604">
        <v>66714.42</v>
      </c>
      <c r="N1604" t="s">
        <v>56</v>
      </c>
      <c r="O1604">
        <v>10</v>
      </c>
      <c r="P1604">
        <v>37</v>
      </c>
      <c r="Q1604">
        <v>2</v>
      </c>
      <c r="R1604">
        <v>104</v>
      </c>
      <c r="S1604">
        <v>210.4</v>
      </c>
      <c r="T1604" t="s">
        <v>37</v>
      </c>
      <c r="U1604" s="3"/>
      <c r="V1604" s="3"/>
      <c r="W1604" s="3"/>
    </row>
    <row r="1605" spans="1:23">
      <c r="A1605" t="s">
        <v>3456</v>
      </c>
      <c r="B1605" t="s">
        <v>1108</v>
      </c>
      <c r="D1605" s="2">
        <v>22291</v>
      </c>
      <c r="E1605" t="s">
        <v>3457</v>
      </c>
      <c r="F1605" s="2">
        <v>45353</v>
      </c>
      <c r="G1605" t="s">
        <v>43</v>
      </c>
      <c r="H1605" t="s">
        <v>538</v>
      </c>
      <c r="J1605" t="s">
        <v>71</v>
      </c>
      <c r="K1605" t="s">
        <v>72</v>
      </c>
      <c r="L1605">
        <v>23685.63</v>
      </c>
      <c r="M1605">
        <v>16999.150000000001</v>
      </c>
      <c r="N1605" t="s">
        <v>35</v>
      </c>
      <c r="O1605">
        <v>1</v>
      </c>
      <c r="P1605">
        <v>15</v>
      </c>
      <c r="Q1605">
        <v>5</v>
      </c>
      <c r="R1605">
        <v>177</v>
      </c>
      <c r="S1605">
        <v>253.9</v>
      </c>
      <c r="T1605" t="s">
        <v>37</v>
      </c>
      <c r="U1605" s="3"/>
      <c r="V1605" s="3"/>
      <c r="W1605" s="3"/>
    </row>
    <row r="1606" spans="1:23">
      <c r="A1606" t="s">
        <v>3458</v>
      </c>
      <c r="B1606" t="s">
        <v>545</v>
      </c>
      <c r="C1606" t="s">
        <v>50</v>
      </c>
      <c r="D1606" t="s">
        <v>3459</v>
      </c>
      <c r="E1606" t="s">
        <v>1165</v>
      </c>
      <c r="F1606" s="2">
        <v>45173</v>
      </c>
      <c r="G1606" t="s">
        <v>105</v>
      </c>
      <c r="H1606" t="s">
        <v>52</v>
      </c>
      <c r="I1606" t="s">
        <v>119</v>
      </c>
      <c r="J1606" t="s">
        <v>34</v>
      </c>
      <c r="K1606" t="s">
        <v>120</v>
      </c>
      <c r="L1606">
        <v>7702.34</v>
      </c>
      <c r="M1606">
        <v>5669.94</v>
      </c>
      <c r="N1606" t="s">
        <v>192</v>
      </c>
      <c r="O1606">
        <v>9</v>
      </c>
      <c r="P1606">
        <v>189</v>
      </c>
      <c r="Q1606">
        <v>3</v>
      </c>
      <c r="R1606">
        <v>148</v>
      </c>
      <c r="S1606">
        <v>160.1</v>
      </c>
      <c r="U1606" s="3"/>
      <c r="V1606" s="3"/>
      <c r="W1606" s="3"/>
    </row>
    <row r="1607" spans="1:23">
      <c r="A1607" t="s">
        <v>3460</v>
      </c>
      <c r="B1607" t="s">
        <v>2270</v>
      </c>
      <c r="C1607" t="s">
        <v>40</v>
      </c>
      <c r="D1607" s="2">
        <v>24222</v>
      </c>
      <c r="E1607" s="2">
        <v>45684</v>
      </c>
      <c r="F1607" t="s">
        <v>3461</v>
      </c>
      <c r="G1607" t="s">
        <v>152</v>
      </c>
      <c r="H1607" t="s">
        <v>134</v>
      </c>
      <c r="I1607" t="s">
        <v>33</v>
      </c>
      <c r="J1607" t="s">
        <v>34</v>
      </c>
      <c r="K1607" t="s">
        <v>120</v>
      </c>
      <c r="L1607">
        <v>240962.55</v>
      </c>
      <c r="N1607" t="s">
        <v>1048</v>
      </c>
      <c r="O1607">
        <v>7</v>
      </c>
      <c r="P1607">
        <v>183</v>
      </c>
      <c r="R1607">
        <v>113</v>
      </c>
      <c r="S1607">
        <v>249.9</v>
      </c>
      <c r="T1607" t="s">
        <v>65</v>
      </c>
      <c r="U1607" s="3"/>
      <c r="V1607" s="3"/>
      <c r="W1607" s="3"/>
    </row>
    <row r="1608" spans="1:23">
      <c r="A1608" t="s">
        <v>3462</v>
      </c>
      <c r="B1608" t="s">
        <v>283</v>
      </c>
      <c r="C1608" t="s">
        <v>60</v>
      </c>
      <c r="D1608" t="s">
        <v>3463</v>
      </c>
      <c r="E1608" s="2">
        <v>45986</v>
      </c>
      <c r="F1608" s="2">
        <v>46000</v>
      </c>
      <c r="G1608" t="s">
        <v>1282</v>
      </c>
      <c r="H1608" t="s">
        <v>153</v>
      </c>
      <c r="I1608" t="s">
        <v>79</v>
      </c>
      <c r="K1608" t="s">
        <v>120</v>
      </c>
      <c r="L1608">
        <v>34261.4</v>
      </c>
      <c r="M1608">
        <v>32334.880000000001</v>
      </c>
      <c r="N1608" t="s">
        <v>91</v>
      </c>
      <c r="O1608">
        <v>14</v>
      </c>
      <c r="Q1608">
        <v>1</v>
      </c>
      <c r="R1608">
        <v>102</v>
      </c>
      <c r="S1608">
        <v>197.7</v>
      </c>
      <c r="T1608" t="s">
        <v>37</v>
      </c>
      <c r="U1608" s="3"/>
      <c r="V1608" s="3"/>
      <c r="W1608" s="3"/>
    </row>
    <row r="1609" spans="1:23">
      <c r="A1609" t="s">
        <v>3464</v>
      </c>
      <c r="B1609" t="s">
        <v>368</v>
      </c>
      <c r="D1609" s="2">
        <v>28828</v>
      </c>
      <c r="E1609" s="2">
        <v>45204</v>
      </c>
      <c r="F1609" s="2">
        <v>45210</v>
      </c>
      <c r="G1609" t="s">
        <v>77</v>
      </c>
      <c r="I1609" t="s">
        <v>96</v>
      </c>
      <c r="J1609" t="s">
        <v>26</v>
      </c>
      <c r="K1609" t="s">
        <v>72</v>
      </c>
      <c r="L1609">
        <v>85519.16</v>
      </c>
      <c r="M1609">
        <v>73816.87</v>
      </c>
      <c r="N1609" t="s">
        <v>56</v>
      </c>
      <c r="O1609">
        <v>6</v>
      </c>
      <c r="P1609">
        <v>70</v>
      </c>
      <c r="Q1609">
        <v>3</v>
      </c>
      <c r="R1609" t="s">
        <v>3465</v>
      </c>
      <c r="S1609">
        <v>120.3</v>
      </c>
      <c r="T1609" t="s">
        <v>47</v>
      </c>
      <c r="U1609" s="3"/>
      <c r="V1609" s="3"/>
      <c r="W1609" s="3"/>
    </row>
    <row r="1610" spans="1:23">
      <c r="A1610" t="s">
        <v>3466</v>
      </c>
      <c r="B1610" t="s">
        <v>852</v>
      </c>
      <c r="C1610" t="s">
        <v>22</v>
      </c>
      <c r="D1610" s="2">
        <v>31081</v>
      </c>
      <c r="E1610" s="2">
        <v>45003</v>
      </c>
      <c r="G1610" t="s">
        <v>70</v>
      </c>
      <c r="I1610" t="s">
        <v>53</v>
      </c>
      <c r="K1610" t="s">
        <v>55</v>
      </c>
      <c r="L1610">
        <v>39232.36</v>
      </c>
      <c r="M1610">
        <v>29687.43</v>
      </c>
      <c r="N1610" t="s">
        <v>91</v>
      </c>
      <c r="O1610">
        <v>11</v>
      </c>
      <c r="P1610">
        <v>193</v>
      </c>
      <c r="Q1610">
        <v>4</v>
      </c>
      <c r="R1610">
        <v>153</v>
      </c>
      <c r="S1610">
        <v>159.4</v>
      </c>
      <c r="T1610" t="s">
        <v>37</v>
      </c>
      <c r="U1610" s="3"/>
      <c r="V1610" s="3"/>
      <c r="W1610" s="3"/>
    </row>
    <row r="1611" spans="1:23">
      <c r="A1611" t="s">
        <v>3467</v>
      </c>
      <c r="B1611" t="s">
        <v>607</v>
      </c>
      <c r="C1611" t="s">
        <v>100</v>
      </c>
      <c r="D1611" t="s">
        <v>3468</v>
      </c>
      <c r="E1611" s="2">
        <v>45125</v>
      </c>
      <c r="F1611" s="2">
        <v>45137</v>
      </c>
      <c r="G1611" t="s">
        <v>62</v>
      </c>
      <c r="H1611" t="s">
        <v>24</v>
      </c>
      <c r="I1611" t="s">
        <v>53</v>
      </c>
      <c r="J1611" t="s">
        <v>80</v>
      </c>
      <c r="K1611" t="s">
        <v>110</v>
      </c>
      <c r="L1611">
        <v>198384.65</v>
      </c>
      <c r="M1611">
        <v>136669.28</v>
      </c>
      <c r="O1611">
        <v>12</v>
      </c>
      <c r="P1611">
        <v>186</v>
      </c>
      <c r="Q1611">
        <v>4</v>
      </c>
      <c r="R1611">
        <v>172</v>
      </c>
      <c r="S1611">
        <v>101.2</v>
      </c>
      <c r="T1611" t="s">
        <v>37</v>
      </c>
      <c r="U1611" s="3"/>
      <c r="V1611" s="3"/>
      <c r="W1611" s="3"/>
    </row>
    <row r="1612" spans="1:23">
      <c r="A1612" t="s">
        <v>3469</v>
      </c>
      <c r="B1612" t="s">
        <v>513</v>
      </c>
      <c r="C1612" t="s">
        <v>30</v>
      </c>
      <c r="D1612" t="s">
        <v>3470</v>
      </c>
      <c r="E1612" t="s">
        <v>746</v>
      </c>
      <c r="F1612" t="s">
        <v>3471</v>
      </c>
      <c r="G1612" t="s">
        <v>141</v>
      </c>
      <c r="H1612" t="s">
        <v>86</v>
      </c>
      <c r="I1612" t="s">
        <v>25</v>
      </c>
      <c r="K1612" t="s">
        <v>55</v>
      </c>
      <c r="L1612">
        <v>47181.01</v>
      </c>
      <c r="M1612">
        <v>36152.94</v>
      </c>
      <c r="N1612" t="s">
        <v>35</v>
      </c>
      <c r="O1612">
        <v>18</v>
      </c>
      <c r="P1612">
        <v>127</v>
      </c>
      <c r="Q1612">
        <v>4</v>
      </c>
      <c r="R1612">
        <v>151</v>
      </c>
      <c r="S1612">
        <v>111.1</v>
      </c>
      <c r="T1612" t="s">
        <v>37</v>
      </c>
      <c r="U1612" s="3"/>
      <c r="V1612" s="3"/>
      <c r="W1612" s="3"/>
    </row>
    <row r="1613" spans="1:23">
      <c r="A1613" t="s">
        <v>3472</v>
      </c>
      <c r="B1613" t="s">
        <v>1393</v>
      </c>
      <c r="C1613" t="s">
        <v>133</v>
      </c>
      <c r="D1613" s="2">
        <v>36871</v>
      </c>
      <c r="E1613" s="2">
        <v>45652</v>
      </c>
      <c r="F1613" s="2">
        <v>45653</v>
      </c>
      <c r="G1613" t="s">
        <v>152</v>
      </c>
      <c r="H1613" t="s">
        <v>376</v>
      </c>
      <c r="I1613" t="s">
        <v>25</v>
      </c>
      <c r="J1613" t="s">
        <v>46</v>
      </c>
      <c r="K1613" t="s">
        <v>72</v>
      </c>
      <c r="L1613">
        <v>208290.88</v>
      </c>
      <c r="M1613">
        <v>188218.51</v>
      </c>
      <c r="N1613" t="s">
        <v>192</v>
      </c>
      <c r="O1613">
        <v>1</v>
      </c>
      <c r="P1613">
        <v>18</v>
      </c>
      <c r="R1613">
        <v>117</v>
      </c>
      <c r="S1613">
        <v>78.2</v>
      </c>
      <c r="U1613" s="3"/>
      <c r="V1613" s="3"/>
      <c r="W1613" s="3"/>
    </row>
    <row r="1614" spans="1:23">
      <c r="A1614" t="s">
        <v>3473</v>
      </c>
      <c r="B1614" t="s">
        <v>155</v>
      </c>
      <c r="D1614" s="2">
        <v>35575</v>
      </c>
      <c r="E1614" s="2">
        <v>45065</v>
      </c>
      <c r="F1614" s="2">
        <v>45070</v>
      </c>
      <c r="G1614" t="s">
        <v>43</v>
      </c>
      <c r="H1614" t="s">
        <v>52</v>
      </c>
      <c r="I1614" t="s">
        <v>79</v>
      </c>
      <c r="J1614" t="s">
        <v>179</v>
      </c>
      <c r="K1614" t="s">
        <v>120</v>
      </c>
      <c r="L1614">
        <v>94520.98</v>
      </c>
      <c r="M1614">
        <v>60579.91</v>
      </c>
      <c r="N1614" t="s">
        <v>73</v>
      </c>
      <c r="O1614">
        <v>5</v>
      </c>
      <c r="P1614">
        <v>167</v>
      </c>
      <c r="Q1614">
        <v>1</v>
      </c>
      <c r="R1614">
        <v>146</v>
      </c>
      <c r="S1614">
        <v>145.80000000000001</v>
      </c>
      <c r="T1614" t="s">
        <v>37</v>
      </c>
      <c r="U1614" s="3"/>
      <c r="V1614" s="3"/>
      <c r="W1614" s="3"/>
    </row>
    <row r="1615" spans="1:23">
      <c r="A1615" t="s">
        <v>3474</v>
      </c>
      <c r="B1615" t="s">
        <v>83</v>
      </c>
      <c r="C1615" t="s">
        <v>206</v>
      </c>
      <c r="D1615" s="2">
        <v>24772</v>
      </c>
      <c r="E1615" s="2">
        <v>45118</v>
      </c>
      <c r="F1615" s="2">
        <v>45122</v>
      </c>
      <c r="G1615" t="s">
        <v>43</v>
      </c>
      <c r="H1615" t="s">
        <v>32</v>
      </c>
      <c r="I1615" t="s">
        <v>119</v>
      </c>
      <c r="J1615" t="s">
        <v>46</v>
      </c>
      <c r="K1615" t="s">
        <v>27</v>
      </c>
      <c r="L1615">
        <v>8264.43</v>
      </c>
      <c r="M1615">
        <v>7018.08</v>
      </c>
      <c r="N1615" t="s">
        <v>467</v>
      </c>
      <c r="O1615">
        <v>4</v>
      </c>
      <c r="P1615">
        <v>207</v>
      </c>
      <c r="Q1615">
        <v>1</v>
      </c>
      <c r="R1615">
        <v>125</v>
      </c>
      <c r="S1615">
        <v>105.8</v>
      </c>
      <c r="T1615" t="s">
        <v>37</v>
      </c>
      <c r="U1615" s="3"/>
      <c r="V1615" s="3"/>
      <c r="W1615" s="3"/>
    </row>
    <row r="1616" spans="1:23">
      <c r="A1616" t="s">
        <v>3475</v>
      </c>
      <c r="B1616" t="s">
        <v>572</v>
      </c>
      <c r="C1616" t="s">
        <v>84</v>
      </c>
      <c r="D1616" s="2">
        <v>27401</v>
      </c>
      <c r="E1616" s="2">
        <v>45047</v>
      </c>
      <c r="F1616" s="2">
        <v>45054</v>
      </c>
      <c r="G1616" t="s">
        <v>109</v>
      </c>
      <c r="H1616" t="s">
        <v>1500</v>
      </c>
      <c r="I1616" t="s">
        <v>79</v>
      </c>
      <c r="J1616" t="s">
        <v>34</v>
      </c>
      <c r="K1616" t="s">
        <v>27</v>
      </c>
      <c r="L1616">
        <v>212955.34</v>
      </c>
      <c r="M1616">
        <v>170260.94</v>
      </c>
      <c r="N1616" t="s">
        <v>73</v>
      </c>
      <c r="O1616">
        <v>7</v>
      </c>
      <c r="Q1616">
        <v>4</v>
      </c>
      <c r="R1616">
        <v>188</v>
      </c>
      <c r="S1616">
        <v>221</v>
      </c>
      <c r="T1616" t="s">
        <v>37</v>
      </c>
      <c r="U1616" s="3"/>
      <c r="V1616" s="3"/>
      <c r="W1616" s="3"/>
    </row>
    <row r="1617" spans="1:23">
      <c r="A1617" t="s">
        <v>3476</v>
      </c>
      <c r="B1617" t="s">
        <v>88</v>
      </c>
      <c r="C1617" t="s">
        <v>133</v>
      </c>
      <c r="D1617" s="2">
        <v>23241</v>
      </c>
      <c r="E1617" t="s">
        <v>3477</v>
      </c>
      <c r="F1617" s="2">
        <v>45110</v>
      </c>
      <c r="G1617" t="s">
        <v>94</v>
      </c>
      <c r="H1617" t="s">
        <v>113</v>
      </c>
      <c r="I1617" t="s">
        <v>53</v>
      </c>
      <c r="J1617" t="s">
        <v>179</v>
      </c>
      <c r="L1617">
        <v>126937.57</v>
      </c>
      <c r="M1617">
        <v>98646.34</v>
      </c>
      <c r="N1617" t="s">
        <v>35</v>
      </c>
      <c r="O1617">
        <v>1</v>
      </c>
      <c r="P1617">
        <v>29</v>
      </c>
      <c r="Q1617">
        <v>4</v>
      </c>
      <c r="R1617" t="s">
        <v>1193</v>
      </c>
      <c r="T1617" t="s">
        <v>37</v>
      </c>
      <c r="U1617" s="3"/>
      <c r="V1617" s="3"/>
      <c r="W1617" s="3"/>
    </row>
    <row r="1618" spans="1:23">
      <c r="A1618" t="s">
        <v>3478</v>
      </c>
      <c r="B1618" t="s">
        <v>1313</v>
      </c>
      <c r="C1618" t="s">
        <v>816</v>
      </c>
      <c r="D1618" s="2">
        <v>39357</v>
      </c>
      <c r="E1618" t="s">
        <v>3479</v>
      </c>
      <c r="F1618" s="2">
        <v>45509</v>
      </c>
      <c r="G1618" t="s">
        <v>109</v>
      </c>
      <c r="H1618" t="s">
        <v>160</v>
      </c>
      <c r="I1618" t="s">
        <v>79</v>
      </c>
      <c r="J1618" t="s">
        <v>26</v>
      </c>
      <c r="K1618" t="s">
        <v>55</v>
      </c>
      <c r="L1618">
        <v>109957.14</v>
      </c>
      <c r="M1618">
        <v>69386.7</v>
      </c>
      <c r="N1618" t="s">
        <v>192</v>
      </c>
      <c r="O1618">
        <v>8</v>
      </c>
      <c r="P1618">
        <v>181</v>
      </c>
      <c r="Q1618">
        <v>3</v>
      </c>
      <c r="R1618">
        <v>149</v>
      </c>
      <c r="S1618">
        <v>201.1</v>
      </c>
      <c r="T1618" t="s">
        <v>37</v>
      </c>
      <c r="U1618" s="3"/>
      <c r="V1618" s="3"/>
      <c r="W1618" s="3"/>
    </row>
    <row r="1619" spans="1:23">
      <c r="A1619" t="s">
        <v>3480</v>
      </c>
      <c r="B1619" t="s">
        <v>139</v>
      </c>
      <c r="C1619" t="s">
        <v>30</v>
      </c>
      <c r="D1619" s="2">
        <v>26644</v>
      </c>
      <c r="E1619" s="2">
        <v>45218</v>
      </c>
      <c r="F1619" s="2">
        <v>45221</v>
      </c>
      <c r="G1619" t="s">
        <v>117</v>
      </c>
      <c r="H1619" t="s">
        <v>63</v>
      </c>
      <c r="I1619" t="s">
        <v>79</v>
      </c>
      <c r="J1619" t="s">
        <v>64</v>
      </c>
      <c r="K1619" t="s">
        <v>72</v>
      </c>
      <c r="L1619">
        <v>128017.79</v>
      </c>
      <c r="M1619">
        <v>118086.09</v>
      </c>
      <c r="N1619" t="s">
        <v>56</v>
      </c>
      <c r="O1619">
        <v>3</v>
      </c>
      <c r="P1619">
        <v>228</v>
      </c>
      <c r="Q1619">
        <v>4</v>
      </c>
      <c r="R1619">
        <v>114</v>
      </c>
      <c r="S1619">
        <v>197</v>
      </c>
      <c r="T1619" t="s">
        <v>348</v>
      </c>
      <c r="U1619" s="3"/>
      <c r="V1619" s="3"/>
      <c r="W1619" s="3"/>
    </row>
    <row r="1620" spans="1:23">
      <c r="A1620" t="s">
        <v>3481</v>
      </c>
      <c r="B1620" t="s">
        <v>1302</v>
      </c>
      <c r="C1620" t="s">
        <v>100</v>
      </c>
      <c r="D1620" s="2">
        <v>35427</v>
      </c>
      <c r="E1620" t="s">
        <v>3482</v>
      </c>
      <c r="F1620" s="2">
        <v>45401</v>
      </c>
      <c r="G1620" t="s">
        <v>43</v>
      </c>
      <c r="H1620" t="s">
        <v>78</v>
      </c>
      <c r="I1620" t="s">
        <v>25</v>
      </c>
      <c r="L1620">
        <v>242366.98</v>
      </c>
      <c r="M1620">
        <v>206891.03</v>
      </c>
      <c r="N1620" t="s">
        <v>56</v>
      </c>
      <c r="O1620">
        <v>15</v>
      </c>
      <c r="Q1620">
        <v>5</v>
      </c>
      <c r="R1620">
        <v>118</v>
      </c>
      <c r="S1620">
        <v>217.8</v>
      </c>
      <c r="T1620" t="s">
        <v>37</v>
      </c>
      <c r="U1620" s="3"/>
      <c r="V1620" s="3"/>
      <c r="W1620" s="3"/>
    </row>
    <row r="1621" spans="1:23">
      <c r="A1621" t="s">
        <v>3483</v>
      </c>
      <c r="B1621" t="s">
        <v>3484</v>
      </c>
      <c r="C1621" t="s">
        <v>206</v>
      </c>
      <c r="D1621" t="s">
        <v>3485</v>
      </c>
      <c r="E1621" t="s">
        <v>3486</v>
      </c>
      <c r="F1621" s="2">
        <v>45352</v>
      </c>
      <c r="G1621" t="s">
        <v>141</v>
      </c>
      <c r="H1621" t="s">
        <v>52</v>
      </c>
      <c r="I1621" t="s">
        <v>119</v>
      </c>
      <c r="J1621" t="s">
        <v>26</v>
      </c>
      <c r="K1621" t="s">
        <v>55</v>
      </c>
      <c r="L1621">
        <v>197899.47</v>
      </c>
      <c r="M1621">
        <v>145141.16</v>
      </c>
      <c r="N1621" t="s">
        <v>192</v>
      </c>
      <c r="O1621">
        <v>10</v>
      </c>
      <c r="P1621">
        <v>213</v>
      </c>
      <c r="Q1621">
        <v>4</v>
      </c>
      <c r="R1621">
        <v>152</v>
      </c>
      <c r="S1621">
        <v>146.6</v>
      </c>
      <c r="T1621" t="s">
        <v>37</v>
      </c>
      <c r="U1621" s="3"/>
      <c r="V1621" s="3"/>
      <c r="W1621" s="3"/>
    </row>
    <row r="1622" spans="1:23">
      <c r="A1622" t="s">
        <v>3487</v>
      </c>
      <c r="B1622" t="s">
        <v>1026</v>
      </c>
      <c r="C1622" t="s">
        <v>30</v>
      </c>
      <c r="D1622" s="2">
        <v>26912</v>
      </c>
      <c r="E1622" s="2">
        <v>45374</v>
      </c>
      <c r="F1622" s="2">
        <v>45392</v>
      </c>
      <c r="G1622" t="s">
        <v>109</v>
      </c>
      <c r="H1622" t="s">
        <v>153</v>
      </c>
      <c r="I1622" t="s">
        <v>25</v>
      </c>
      <c r="J1622" t="s">
        <v>71</v>
      </c>
      <c r="K1622" t="s">
        <v>161</v>
      </c>
      <c r="L1622">
        <v>181170</v>
      </c>
      <c r="M1622">
        <v>123353.37</v>
      </c>
      <c r="N1622" t="s">
        <v>91</v>
      </c>
      <c r="O1622">
        <v>18</v>
      </c>
      <c r="P1622">
        <v>181</v>
      </c>
      <c r="Q1622">
        <v>4</v>
      </c>
      <c r="R1622">
        <v>163</v>
      </c>
      <c r="S1622">
        <v>174.6</v>
      </c>
      <c r="T1622" t="s">
        <v>47</v>
      </c>
      <c r="U1622" s="3"/>
      <c r="V1622" s="3"/>
      <c r="W1622" s="3"/>
    </row>
    <row r="1623" spans="1:23">
      <c r="A1623" t="s">
        <v>3488</v>
      </c>
      <c r="B1623" t="s">
        <v>1099</v>
      </c>
      <c r="C1623" t="s">
        <v>30</v>
      </c>
      <c r="D1623" s="2">
        <v>36685</v>
      </c>
      <c r="E1623" t="s">
        <v>3489</v>
      </c>
      <c r="F1623" s="2">
        <v>45320</v>
      </c>
      <c r="G1623" t="s">
        <v>94</v>
      </c>
      <c r="I1623" t="s">
        <v>33</v>
      </c>
      <c r="J1623" t="s">
        <v>46</v>
      </c>
      <c r="K1623" t="s">
        <v>161</v>
      </c>
      <c r="L1623">
        <v>166542.15</v>
      </c>
      <c r="M1623">
        <v>117686.65</v>
      </c>
      <c r="N1623" t="s">
        <v>326</v>
      </c>
      <c r="O1623">
        <v>18</v>
      </c>
      <c r="P1623">
        <v>9</v>
      </c>
      <c r="R1623">
        <v>166</v>
      </c>
      <c r="S1623">
        <v>221.6</v>
      </c>
      <c r="T1623" t="s">
        <v>37</v>
      </c>
      <c r="U1623" s="3"/>
      <c r="V1623" s="3"/>
      <c r="W1623" s="3"/>
    </row>
    <row r="1624" spans="1:23">
      <c r="A1624" t="s">
        <v>3490</v>
      </c>
      <c r="B1624" t="s">
        <v>485</v>
      </c>
      <c r="C1624" t="s">
        <v>22</v>
      </c>
      <c r="D1624" s="2">
        <v>37045</v>
      </c>
      <c r="E1624" t="s">
        <v>3491</v>
      </c>
      <c r="F1624" t="s">
        <v>3492</v>
      </c>
      <c r="G1624" t="s">
        <v>141</v>
      </c>
      <c r="H1624" t="s">
        <v>153</v>
      </c>
      <c r="I1624" t="s">
        <v>96</v>
      </c>
      <c r="J1624" t="s">
        <v>46</v>
      </c>
      <c r="K1624" t="s">
        <v>161</v>
      </c>
      <c r="L1624">
        <v>70160.13</v>
      </c>
      <c r="M1624">
        <v>59803.49</v>
      </c>
      <c r="O1624">
        <v>17</v>
      </c>
      <c r="P1624">
        <v>56</v>
      </c>
      <c r="R1624">
        <v>161</v>
      </c>
      <c r="S1624">
        <v>169</v>
      </c>
      <c r="T1624" t="s">
        <v>65</v>
      </c>
      <c r="U1624" s="3"/>
      <c r="V1624" s="3"/>
      <c r="W1624" s="3"/>
    </row>
    <row r="1625" spans="1:23">
      <c r="A1625" t="s">
        <v>3493</v>
      </c>
      <c r="B1625" t="s">
        <v>801</v>
      </c>
      <c r="C1625" t="s">
        <v>133</v>
      </c>
      <c r="D1625" s="2">
        <v>28747</v>
      </c>
      <c r="E1625" s="2">
        <v>45842</v>
      </c>
      <c r="F1625" s="2">
        <v>45857</v>
      </c>
      <c r="G1625" t="s">
        <v>105</v>
      </c>
      <c r="H1625" t="s">
        <v>24</v>
      </c>
      <c r="I1625" t="s">
        <v>25</v>
      </c>
      <c r="J1625" t="s">
        <v>46</v>
      </c>
      <c r="L1625" t="s">
        <v>3494</v>
      </c>
      <c r="M1625">
        <v>33510.449999999997</v>
      </c>
      <c r="N1625" t="s">
        <v>192</v>
      </c>
      <c r="O1625">
        <v>15</v>
      </c>
      <c r="P1625">
        <v>208</v>
      </c>
      <c r="Q1625">
        <v>4</v>
      </c>
      <c r="R1625" t="s">
        <v>3495</v>
      </c>
      <c r="S1625">
        <v>81.3</v>
      </c>
      <c r="T1625" t="s">
        <v>47</v>
      </c>
      <c r="U1625" s="3"/>
      <c r="V1625" s="3"/>
      <c r="W1625" s="3"/>
    </row>
    <row r="1626" spans="1:23">
      <c r="A1626" t="s">
        <v>3496</v>
      </c>
      <c r="B1626" t="s">
        <v>455</v>
      </c>
      <c r="C1626" t="s">
        <v>296</v>
      </c>
      <c r="D1626" t="s">
        <v>3497</v>
      </c>
      <c r="E1626" s="2">
        <v>45821</v>
      </c>
      <c r="F1626" t="s">
        <v>3498</v>
      </c>
      <c r="G1626" t="s">
        <v>141</v>
      </c>
      <c r="H1626" t="s">
        <v>44</v>
      </c>
      <c r="I1626" t="s">
        <v>53</v>
      </c>
      <c r="J1626" t="s">
        <v>71</v>
      </c>
      <c r="K1626" t="s">
        <v>72</v>
      </c>
      <c r="L1626" t="s">
        <v>3499</v>
      </c>
      <c r="M1626">
        <v>123173.75</v>
      </c>
      <c r="O1626">
        <v>14</v>
      </c>
      <c r="Q1626">
        <v>2</v>
      </c>
      <c r="R1626">
        <v>146</v>
      </c>
      <c r="S1626">
        <v>170.2</v>
      </c>
      <c r="U1626" s="3"/>
      <c r="V1626" s="3"/>
      <c r="W1626" s="3"/>
    </row>
    <row r="1627" spans="1:23">
      <c r="A1627" t="s">
        <v>3500</v>
      </c>
      <c r="B1627" t="s">
        <v>155</v>
      </c>
      <c r="C1627" t="s">
        <v>30</v>
      </c>
      <c r="D1627" s="2">
        <v>25227</v>
      </c>
      <c r="E1627" s="2">
        <v>45050</v>
      </c>
      <c r="F1627" s="2">
        <v>45052</v>
      </c>
      <c r="G1627" t="s">
        <v>117</v>
      </c>
      <c r="H1627" t="s">
        <v>124</v>
      </c>
      <c r="I1627" t="s">
        <v>119</v>
      </c>
      <c r="J1627" t="s">
        <v>34</v>
      </c>
      <c r="L1627" t="s">
        <v>3501</v>
      </c>
      <c r="M1627">
        <v>165111.56</v>
      </c>
      <c r="N1627" t="s">
        <v>192</v>
      </c>
      <c r="O1627">
        <v>2</v>
      </c>
      <c r="Q1627">
        <v>5</v>
      </c>
      <c r="R1627">
        <v>166</v>
      </c>
      <c r="S1627">
        <v>194.4</v>
      </c>
      <c r="T1627" t="s">
        <v>37</v>
      </c>
      <c r="U1627" s="3"/>
      <c r="V1627" s="3"/>
      <c r="W1627" s="3"/>
    </row>
    <row r="1628" spans="1:23">
      <c r="A1628" t="s">
        <v>3502</v>
      </c>
      <c r="B1628" t="s">
        <v>825</v>
      </c>
      <c r="C1628" t="s">
        <v>40</v>
      </c>
      <c r="D1628" s="2">
        <v>24993</v>
      </c>
      <c r="E1628" s="2">
        <v>45322</v>
      </c>
      <c r="F1628" s="2">
        <v>45337</v>
      </c>
      <c r="G1628" t="s">
        <v>152</v>
      </c>
      <c r="H1628" t="s">
        <v>78</v>
      </c>
      <c r="I1628" t="s">
        <v>53</v>
      </c>
      <c r="J1628" t="s">
        <v>64</v>
      </c>
      <c r="L1628">
        <v>162754.31</v>
      </c>
      <c r="M1628">
        <v>134344.76999999999</v>
      </c>
      <c r="N1628" t="s">
        <v>192</v>
      </c>
      <c r="O1628">
        <v>15</v>
      </c>
      <c r="P1628">
        <v>96</v>
      </c>
      <c r="Q1628">
        <v>4</v>
      </c>
      <c r="R1628">
        <v>133</v>
      </c>
      <c r="S1628">
        <v>104.4</v>
      </c>
      <c r="T1628" t="s">
        <v>47</v>
      </c>
      <c r="U1628" s="3"/>
      <c r="V1628" s="3"/>
      <c r="W1628" s="3"/>
    </row>
    <row r="1629" spans="1:23">
      <c r="A1629" t="s">
        <v>3503</v>
      </c>
      <c r="B1629" t="s">
        <v>1438</v>
      </c>
      <c r="D1629" s="2">
        <v>24030</v>
      </c>
      <c r="E1629" t="s">
        <v>3504</v>
      </c>
      <c r="F1629" s="2">
        <v>45678</v>
      </c>
      <c r="G1629" t="s">
        <v>43</v>
      </c>
      <c r="H1629" t="s">
        <v>113</v>
      </c>
      <c r="I1629" t="s">
        <v>96</v>
      </c>
      <c r="J1629" t="s">
        <v>54</v>
      </c>
      <c r="K1629" t="s">
        <v>55</v>
      </c>
      <c r="L1629">
        <v>47347.73</v>
      </c>
      <c r="M1629">
        <v>45302.85</v>
      </c>
      <c r="O1629">
        <v>12</v>
      </c>
      <c r="P1629">
        <v>72</v>
      </c>
      <c r="R1629">
        <v>94</v>
      </c>
      <c r="S1629">
        <v>133</v>
      </c>
      <c r="T1629" t="s">
        <v>65</v>
      </c>
      <c r="U1629" s="3"/>
      <c r="V1629" s="3"/>
      <c r="W1629" s="3"/>
    </row>
    <row r="1630" spans="1:23">
      <c r="A1630" t="s">
        <v>3505</v>
      </c>
      <c r="B1630" t="s">
        <v>1104</v>
      </c>
      <c r="D1630" t="s">
        <v>3506</v>
      </c>
      <c r="E1630" s="2">
        <v>45485</v>
      </c>
      <c r="F1630" s="2">
        <v>45493</v>
      </c>
      <c r="G1630" t="s">
        <v>105</v>
      </c>
      <c r="H1630" t="s">
        <v>153</v>
      </c>
      <c r="I1630" t="s">
        <v>53</v>
      </c>
      <c r="J1630" t="s">
        <v>64</v>
      </c>
      <c r="K1630" t="s">
        <v>27</v>
      </c>
      <c r="L1630">
        <v>114059.1</v>
      </c>
      <c r="M1630">
        <v>106165.42</v>
      </c>
      <c r="N1630" t="s">
        <v>794</v>
      </c>
      <c r="O1630">
        <v>8</v>
      </c>
      <c r="P1630">
        <v>137</v>
      </c>
      <c r="Q1630">
        <v>4</v>
      </c>
      <c r="R1630">
        <v>124</v>
      </c>
      <c r="S1630">
        <v>193.8</v>
      </c>
      <c r="U1630" s="3"/>
      <c r="V1630" s="3"/>
      <c r="W1630" s="3"/>
    </row>
    <row r="1631" spans="1:23">
      <c r="A1631" t="s">
        <v>3507</v>
      </c>
      <c r="B1631" t="s">
        <v>568</v>
      </c>
      <c r="C1631" t="s">
        <v>60</v>
      </c>
      <c r="D1631" s="2">
        <v>32655</v>
      </c>
      <c r="E1631" s="2">
        <v>44942</v>
      </c>
      <c r="F1631" t="s">
        <v>1788</v>
      </c>
      <c r="G1631" t="s">
        <v>89</v>
      </c>
      <c r="H1631" t="s">
        <v>95</v>
      </c>
      <c r="I1631" t="s">
        <v>79</v>
      </c>
      <c r="K1631" t="s">
        <v>110</v>
      </c>
      <c r="L1631">
        <v>178533.26</v>
      </c>
      <c r="M1631">
        <v>143146.75</v>
      </c>
      <c r="N1631" t="s">
        <v>56</v>
      </c>
      <c r="O1631">
        <v>10</v>
      </c>
      <c r="P1631" t="s">
        <v>1673</v>
      </c>
      <c r="R1631">
        <v>181</v>
      </c>
      <c r="S1631">
        <v>155.80000000000001</v>
      </c>
      <c r="T1631" t="s">
        <v>47</v>
      </c>
      <c r="U1631" s="3"/>
      <c r="V1631" s="3"/>
      <c r="W1631" s="3"/>
    </row>
    <row r="1632" spans="1:23">
      <c r="A1632" t="s">
        <v>3508</v>
      </c>
      <c r="B1632" t="s">
        <v>911</v>
      </c>
      <c r="C1632" t="s">
        <v>307</v>
      </c>
      <c r="D1632" s="2">
        <v>21007</v>
      </c>
      <c r="E1632" t="s">
        <v>3509</v>
      </c>
      <c r="F1632" s="2">
        <v>45076</v>
      </c>
      <c r="G1632" t="s">
        <v>77</v>
      </c>
      <c r="I1632" t="s">
        <v>33</v>
      </c>
      <c r="J1632" t="s">
        <v>80</v>
      </c>
      <c r="K1632" t="s">
        <v>120</v>
      </c>
      <c r="L1632">
        <v>186158.02</v>
      </c>
      <c r="M1632">
        <v>134273.49</v>
      </c>
      <c r="N1632" t="s">
        <v>73</v>
      </c>
      <c r="O1632">
        <v>16</v>
      </c>
      <c r="P1632">
        <v>21</v>
      </c>
      <c r="Q1632">
        <v>5</v>
      </c>
      <c r="R1632">
        <v>92</v>
      </c>
      <c r="S1632">
        <v>202.8</v>
      </c>
      <c r="T1632" t="s">
        <v>47</v>
      </c>
      <c r="U1632" s="3"/>
      <c r="V1632" s="3"/>
      <c r="W1632" s="3"/>
    </row>
    <row r="1633" spans="1:23">
      <c r="A1633" t="s">
        <v>3510</v>
      </c>
      <c r="B1633" t="s">
        <v>458</v>
      </c>
      <c r="C1633" t="s">
        <v>30</v>
      </c>
      <c r="D1633" s="2">
        <v>29408</v>
      </c>
      <c r="E1633" s="2">
        <v>45082</v>
      </c>
      <c r="F1633" s="2">
        <v>45099</v>
      </c>
      <c r="G1633" t="s">
        <v>190</v>
      </c>
      <c r="H1633" t="s">
        <v>32</v>
      </c>
      <c r="I1633" t="s">
        <v>53</v>
      </c>
      <c r="J1633" t="s">
        <v>97</v>
      </c>
      <c r="K1633" t="s">
        <v>120</v>
      </c>
      <c r="L1633">
        <v>66264.259999999995</v>
      </c>
      <c r="M1633">
        <v>56383.74</v>
      </c>
      <c r="O1633">
        <v>17</v>
      </c>
      <c r="P1633">
        <v>232</v>
      </c>
      <c r="R1633">
        <v>144</v>
      </c>
      <c r="S1633">
        <v>153.6</v>
      </c>
      <c r="T1633" t="s">
        <v>106</v>
      </c>
      <c r="U1633" s="3"/>
      <c r="V1633" s="3"/>
      <c r="W1633" s="3"/>
    </row>
    <row r="1634" spans="1:23">
      <c r="A1634" t="s">
        <v>3511</v>
      </c>
      <c r="B1634" t="s">
        <v>194</v>
      </c>
      <c r="C1634" t="s">
        <v>50</v>
      </c>
      <c r="D1634" t="s">
        <v>3512</v>
      </c>
      <c r="E1634" s="2">
        <v>45039</v>
      </c>
      <c r="F1634" s="2">
        <v>45040</v>
      </c>
      <c r="G1634" t="s">
        <v>94</v>
      </c>
      <c r="H1634" t="s">
        <v>44</v>
      </c>
      <c r="I1634" t="s">
        <v>33</v>
      </c>
      <c r="J1634" t="s">
        <v>80</v>
      </c>
      <c r="K1634" t="s">
        <v>72</v>
      </c>
      <c r="L1634">
        <v>194885.39</v>
      </c>
      <c r="M1634">
        <v>151102.51</v>
      </c>
      <c r="N1634" t="s">
        <v>73</v>
      </c>
      <c r="O1634">
        <v>1</v>
      </c>
      <c r="P1634">
        <v>73</v>
      </c>
      <c r="Q1634">
        <v>3</v>
      </c>
      <c r="R1634">
        <v>126</v>
      </c>
      <c r="S1634">
        <v>160.9</v>
      </c>
      <c r="T1634" t="s">
        <v>37</v>
      </c>
      <c r="U1634" s="3"/>
      <c r="V1634" s="3"/>
      <c r="W1634" s="3"/>
    </row>
    <row r="1635" spans="1:23">
      <c r="A1635" t="s">
        <v>3513</v>
      </c>
      <c r="B1635" t="s">
        <v>345</v>
      </c>
      <c r="C1635" t="s">
        <v>206</v>
      </c>
      <c r="D1635" t="s">
        <v>3514</v>
      </c>
      <c r="E1635" s="2">
        <v>45861</v>
      </c>
      <c r="F1635" t="s">
        <v>3515</v>
      </c>
      <c r="G1635" t="s">
        <v>141</v>
      </c>
      <c r="H1635" t="s">
        <v>118</v>
      </c>
      <c r="I1635" t="s">
        <v>45</v>
      </c>
      <c r="K1635" t="s">
        <v>161</v>
      </c>
      <c r="L1635">
        <v>54359.28</v>
      </c>
      <c r="M1635">
        <v>50119.09</v>
      </c>
      <c r="N1635" t="s">
        <v>192</v>
      </c>
      <c r="O1635">
        <v>16</v>
      </c>
      <c r="P1635">
        <v>81</v>
      </c>
      <c r="Q1635">
        <v>5</v>
      </c>
      <c r="R1635">
        <v>121</v>
      </c>
      <c r="S1635">
        <v>175.2</v>
      </c>
      <c r="T1635" t="s">
        <v>47</v>
      </c>
      <c r="U1635" s="3"/>
      <c r="V1635" s="3"/>
      <c r="W1635" s="3"/>
    </row>
    <row r="1636" spans="1:23">
      <c r="A1636" t="s">
        <v>3516</v>
      </c>
      <c r="B1636" t="s">
        <v>1839</v>
      </c>
      <c r="C1636" t="s">
        <v>40</v>
      </c>
      <c r="D1636" s="2">
        <v>22077</v>
      </c>
      <c r="E1636" t="s">
        <v>3517</v>
      </c>
      <c r="F1636" s="2">
        <v>45768</v>
      </c>
      <c r="H1636" t="s">
        <v>118</v>
      </c>
      <c r="I1636" t="s">
        <v>33</v>
      </c>
      <c r="J1636" t="s">
        <v>663</v>
      </c>
      <c r="K1636" t="s">
        <v>55</v>
      </c>
      <c r="L1636">
        <v>145882.64000000001</v>
      </c>
      <c r="M1636">
        <v>109317.49</v>
      </c>
      <c r="O1636" t="s">
        <v>1170</v>
      </c>
      <c r="P1636">
        <v>222</v>
      </c>
      <c r="R1636">
        <v>150</v>
      </c>
      <c r="S1636">
        <v>78</v>
      </c>
      <c r="T1636" t="s">
        <v>37</v>
      </c>
      <c r="U1636" s="3"/>
      <c r="V1636" s="3"/>
      <c r="W1636" s="3"/>
    </row>
    <row r="1637" spans="1:23">
      <c r="A1637" t="s">
        <v>3518</v>
      </c>
      <c r="B1637" t="s">
        <v>283</v>
      </c>
      <c r="C1637" t="s">
        <v>30</v>
      </c>
      <c r="D1637" s="2">
        <v>37007</v>
      </c>
      <c r="E1637" s="2">
        <v>45738</v>
      </c>
      <c r="F1637" t="s">
        <v>3519</v>
      </c>
      <c r="G1637" t="s">
        <v>89</v>
      </c>
      <c r="H1637" t="s">
        <v>113</v>
      </c>
      <c r="I1637" t="s">
        <v>45</v>
      </c>
      <c r="J1637" t="s">
        <v>34</v>
      </c>
      <c r="K1637" t="s">
        <v>55</v>
      </c>
      <c r="L1637">
        <v>126386.71</v>
      </c>
      <c r="M1637">
        <v>104371.03</v>
      </c>
      <c r="N1637" t="s">
        <v>73</v>
      </c>
      <c r="O1637">
        <v>16</v>
      </c>
      <c r="P1637">
        <v>223</v>
      </c>
      <c r="Q1637">
        <v>5</v>
      </c>
      <c r="R1637">
        <v>175</v>
      </c>
      <c r="S1637">
        <v>129.30000000000001</v>
      </c>
      <c r="T1637" t="s">
        <v>65</v>
      </c>
      <c r="U1637" s="3"/>
      <c r="V1637" s="3"/>
      <c r="W1637" s="3"/>
    </row>
    <row r="1638" spans="1:23">
      <c r="A1638" t="s">
        <v>3520</v>
      </c>
      <c r="B1638" t="s">
        <v>2594</v>
      </c>
      <c r="C1638" t="s">
        <v>60</v>
      </c>
      <c r="D1638" s="2">
        <v>38635</v>
      </c>
      <c r="E1638" s="2">
        <v>45227</v>
      </c>
      <c r="F1638" t="s">
        <v>3521</v>
      </c>
      <c r="G1638" t="s">
        <v>161</v>
      </c>
      <c r="H1638" t="s">
        <v>118</v>
      </c>
      <c r="I1638" t="s">
        <v>53</v>
      </c>
      <c r="J1638" t="s">
        <v>71</v>
      </c>
      <c r="K1638" t="s">
        <v>110</v>
      </c>
      <c r="L1638">
        <v>113107.38</v>
      </c>
      <c r="M1638">
        <v>100969.7</v>
      </c>
      <c r="O1638">
        <v>5</v>
      </c>
      <c r="P1638">
        <v>207</v>
      </c>
      <c r="Q1638">
        <v>5</v>
      </c>
      <c r="R1638">
        <v>96</v>
      </c>
      <c r="S1638">
        <v>151.9</v>
      </c>
      <c r="U1638" s="3"/>
      <c r="V1638" s="3"/>
      <c r="W1638" s="3"/>
    </row>
    <row r="1639" spans="1:23">
      <c r="A1639" t="s">
        <v>3522</v>
      </c>
      <c r="B1639" t="s">
        <v>132</v>
      </c>
      <c r="C1639" t="s">
        <v>84</v>
      </c>
      <c r="D1639" s="2">
        <v>22944</v>
      </c>
      <c r="E1639" s="2">
        <v>45010</v>
      </c>
      <c r="F1639" s="2">
        <v>45014</v>
      </c>
      <c r="G1639" t="s">
        <v>152</v>
      </c>
      <c r="H1639" t="s">
        <v>78</v>
      </c>
      <c r="I1639" t="s">
        <v>119</v>
      </c>
      <c r="J1639" t="s">
        <v>106</v>
      </c>
      <c r="K1639" t="s">
        <v>286</v>
      </c>
      <c r="M1639">
        <v>75360.070000000007</v>
      </c>
      <c r="N1639" t="s">
        <v>192</v>
      </c>
      <c r="O1639">
        <v>4</v>
      </c>
      <c r="P1639">
        <v>114</v>
      </c>
      <c r="Q1639">
        <v>2</v>
      </c>
      <c r="R1639">
        <v>145</v>
      </c>
      <c r="S1639">
        <v>176.2</v>
      </c>
      <c r="T1639" t="s">
        <v>37</v>
      </c>
      <c r="U1639" s="3"/>
      <c r="V1639" s="3"/>
      <c r="W1639" s="3"/>
    </row>
    <row r="1640" spans="1:23">
      <c r="A1640" t="s">
        <v>3523</v>
      </c>
      <c r="B1640" t="s">
        <v>587</v>
      </c>
      <c r="C1640" t="s">
        <v>40</v>
      </c>
      <c r="D1640" t="s">
        <v>3524</v>
      </c>
      <c r="E1640" s="2">
        <v>45337</v>
      </c>
      <c r="F1640" s="2">
        <v>45341</v>
      </c>
      <c r="G1640" t="s">
        <v>109</v>
      </c>
      <c r="H1640" t="s">
        <v>86</v>
      </c>
      <c r="I1640" t="s">
        <v>45</v>
      </c>
      <c r="J1640" t="s">
        <v>34</v>
      </c>
      <c r="K1640" t="s">
        <v>72</v>
      </c>
      <c r="L1640">
        <v>2740.61</v>
      </c>
      <c r="M1640">
        <v>2324.2600000000002</v>
      </c>
      <c r="N1640" t="s">
        <v>73</v>
      </c>
      <c r="O1640">
        <v>4</v>
      </c>
      <c r="P1640">
        <v>55</v>
      </c>
      <c r="Q1640">
        <v>3</v>
      </c>
      <c r="R1640">
        <v>103</v>
      </c>
      <c r="S1640">
        <v>209.7</v>
      </c>
      <c r="T1640" t="s">
        <v>37</v>
      </c>
      <c r="U1640" s="3"/>
      <c r="V1640" s="3"/>
      <c r="W1640" s="3"/>
    </row>
    <row r="1641" spans="1:23">
      <c r="A1641" t="s">
        <v>3525</v>
      </c>
      <c r="B1641" t="s">
        <v>1830</v>
      </c>
      <c r="D1641" s="2">
        <v>37920</v>
      </c>
      <c r="E1641" s="2">
        <v>45023</v>
      </c>
      <c r="F1641" s="2">
        <v>45026</v>
      </c>
      <c r="G1641" t="s">
        <v>109</v>
      </c>
      <c r="H1641" t="s">
        <v>52</v>
      </c>
      <c r="K1641" t="s">
        <v>55</v>
      </c>
      <c r="L1641">
        <v>80956.100000000006</v>
      </c>
      <c r="M1641">
        <v>59914.85</v>
      </c>
      <c r="N1641" t="s">
        <v>91</v>
      </c>
      <c r="O1641">
        <v>3</v>
      </c>
      <c r="Q1641">
        <v>5</v>
      </c>
      <c r="R1641">
        <v>163</v>
      </c>
      <c r="S1641">
        <v>127.5</v>
      </c>
      <c r="U1641" s="3"/>
      <c r="V1641" s="3"/>
      <c r="W1641" s="3"/>
    </row>
    <row r="1642" spans="1:23">
      <c r="A1642" t="s">
        <v>3526</v>
      </c>
      <c r="B1642" t="s">
        <v>932</v>
      </c>
      <c r="C1642" t="s">
        <v>30</v>
      </c>
      <c r="D1642" s="2">
        <v>18914</v>
      </c>
      <c r="E1642" s="2">
        <v>45524</v>
      </c>
      <c r="F1642" t="s">
        <v>3527</v>
      </c>
      <c r="G1642" t="s">
        <v>105</v>
      </c>
      <c r="H1642" t="s">
        <v>113</v>
      </c>
      <c r="I1642" t="s">
        <v>45</v>
      </c>
      <c r="J1642" t="s">
        <v>71</v>
      </c>
      <c r="K1642" t="s">
        <v>27</v>
      </c>
      <c r="L1642">
        <v>223977.72</v>
      </c>
      <c r="M1642">
        <v>162195.39000000001</v>
      </c>
      <c r="N1642" t="s">
        <v>73</v>
      </c>
      <c r="O1642">
        <v>7</v>
      </c>
      <c r="P1642">
        <v>20</v>
      </c>
      <c r="Q1642">
        <v>1</v>
      </c>
      <c r="R1642">
        <v>164</v>
      </c>
      <c r="S1642">
        <v>148.69999999999999</v>
      </c>
      <c r="T1642" t="s">
        <v>37</v>
      </c>
      <c r="U1642" s="3"/>
      <c r="V1642" s="3"/>
      <c r="W1642" s="3"/>
    </row>
    <row r="1643" spans="1:23">
      <c r="A1643" t="s">
        <v>3528</v>
      </c>
      <c r="B1643" t="s">
        <v>1727</v>
      </c>
      <c r="C1643" t="s">
        <v>84</v>
      </c>
      <c r="D1643" s="2">
        <v>31044</v>
      </c>
      <c r="E1643" s="2">
        <v>44962</v>
      </c>
      <c r="F1643" t="s">
        <v>3529</v>
      </c>
      <c r="G1643" t="s">
        <v>411</v>
      </c>
      <c r="H1643" t="s">
        <v>24</v>
      </c>
      <c r="I1643" t="s">
        <v>96</v>
      </c>
      <c r="J1643" t="s">
        <v>34</v>
      </c>
      <c r="K1643" t="s">
        <v>110</v>
      </c>
      <c r="L1643">
        <v>70878.13</v>
      </c>
      <c r="M1643">
        <v>48145.23</v>
      </c>
      <c r="N1643" t="s">
        <v>91</v>
      </c>
      <c r="O1643">
        <v>10</v>
      </c>
      <c r="P1643">
        <v>96</v>
      </c>
      <c r="Q1643">
        <v>2</v>
      </c>
      <c r="R1643">
        <v>177</v>
      </c>
      <c r="S1643">
        <v>146.9</v>
      </c>
      <c r="U1643" s="3"/>
      <c r="V1643" s="3"/>
      <c r="W1643" s="3"/>
    </row>
    <row r="1644" spans="1:23">
      <c r="A1644" t="s">
        <v>3530</v>
      </c>
      <c r="B1644" t="s">
        <v>112</v>
      </c>
      <c r="C1644" t="s">
        <v>50</v>
      </c>
      <c r="D1644" s="2">
        <v>22923</v>
      </c>
      <c r="E1644" s="2">
        <v>44930</v>
      </c>
      <c r="F1644" s="2">
        <v>44938</v>
      </c>
      <c r="G1644" t="s">
        <v>70</v>
      </c>
      <c r="H1644" t="s">
        <v>118</v>
      </c>
      <c r="I1644" t="s">
        <v>33</v>
      </c>
      <c r="J1644" t="s">
        <v>34</v>
      </c>
      <c r="K1644" t="s">
        <v>120</v>
      </c>
      <c r="L1644" t="s">
        <v>3531</v>
      </c>
      <c r="M1644">
        <v>164627.57999999999</v>
      </c>
      <c r="N1644" t="s">
        <v>192</v>
      </c>
      <c r="O1644">
        <v>8</v>
      </c>
      <c r="P1644">
        <v>180</v>
      </c>
      <c r="Q1644">
        <v>1</v>
      </c>
      <c r="R1644">
        <v>169</v>
      </c>
      <c r="S1644">
        <v>234.8</v>
      </c>
      <c r="T1644" t="s">
        <v>65</v>
      </c>
      <c r="U1644" s="3"/>
      <c r="V1644" s="3"/>
      <c r="W1644" s="3"/>
    </row>
    <row r="1645" spans="1:23">
      <c r="A1645" t="s">
        <v>3532</v>
      </c>
      <c r="B1645" t="s">
        <v>150</v>
      </c>
      <c r="C1645" t="s">
        <v>60</v>
      </c>
      <c r="D1645" s="2">
        <v>31779</v>
      </c>
      <c r="E1645" t="s">
        <v>3533</v>
      </c>
      <c r="F1645" s="2">
        <v>45998</v>
      </c>
      <c r="G1645" t="s">
        <v>62</v>
      </c>
      <c r="H1645" t="s">
        <v>63</v>
      </c>
      <c r="I1645" t="s">
        <v>119</v>
      </c>
      <c r="J1645" t="s">
        <v>34</v>
      </c>
      <c r="L1645">
        <v>129695.64</v>
      </c>
      <c r="M1645">
        <v>114472.18</v>
      </c>
      <c r="N1645" t="s">
        <v>91</v>
      </c>
      <c r="O1645">
        <v>17</v>
      </c>
      <c r="P1645">
        <v>214</v>
      </c>
      <c r="R1645">
        <v>95</v>
      </c>
      <c r="S1645">
        <v>106.4</v>
      </c>
      <c r="T1645" t="s">
        <v>37</v>
      </c>
      <c r="U1645" s="3"/>
      <c r="V1645" s="3"/>
      <c r="W1645" s="3"/>
    </row>
    <row r="1646" spans="1:23">
      <c r="A1646" t="s">
        <v>3534</v>
      </c>
      <c r="B1646" t="s">
        <v>932</v>
      </c>
      <c r="C1646" t="s">
        <v>133</v>
      </c>
      <c r="D1646" t="s">
        <v>3535</v>
      </c>
      <c r="E1646" t="s">
        <v>3536</v>
      </c>
      <c r="G1646" t="s">
        <v>94</v>
      </c>
      <c r="H1646" t="s">
        <v>44</v>
      </c>
      <c r="I1646" t="s">
        <v>25</v>
      </c>
      <c r="K1646" t="s">
        <v>27</v>
      </c>
      <c r="M1646">
        <v>55558.79</v>
      </c>
      <c r="N1646" t="s">
        <v>73</v>
      </c>
      <c r="O1646">
        <v>18</v>
      </c>
      <c r="P1646">
        <v>75</v>
      </c>
      <c r="Q1646">
        <v>1</v>
      </c>
      <c r="R1646">
        <v>130</v>
      </c>
      <c r="S1646">
        <v>80.900000000000006</v>
      </c>
      <c r="T1646" t="s">
        <v>37</v>
      </c>
      <c r="U1646" s="3"/>
      <c r="V1646" s="3"/>
      <c r="W1646" s="3"/>
    </row>
    <row r="1647" spans="1:23">
      <c r="A1647" t="s">
        <v>3537</v>
      </c>
      <c r="B1647" t="s">
        <v>1200</v>
      </c>
      <c r="C1647" t="s">
        <v>60</v>
      </c>
      <c r="D1647" s="2">
        <v>34081</v>
      </c>
      <c r="E1647" t="s">
        <v>3538</v>
      </c>
      <c r="F1647" t="s">
        <v>3539</v>
      </c>
      <c r="G1647" t="s">
        <v>152</v>
      </c>
      <c r="I1647" t="s">
        <v>96</v>
      </c>
      <c r="J1647" t="s">
        <v>46</v>
      </c>
      <c r="K1647" t="s">
        <v>120</v>
      </c>
      <c r="L1647" t="s">
        <v>3540</v>
      </c>
      <c r="M1647">
        <v>41929.269999999997</v>
      </c>
      <c r="N1647" t="s">
        <v>192</v>
      </c>
      <c r="O1647">
        <v>17</v>
      </c>
      <c r="P1647">
        <v>184</v>
      </c>
      <c r="Q1647">
        <v>4</v>
      </c>
      <c r="R1647">
        <v>108</v>
      </c>
      <c r="S1647">
        <v>131.4</v>
      </c>
      <c r="T1647" t="s">
        <v>127</v>
      </c>
      <c r="U1647" s="3"/>
      <c r="V1647" s="3"/>
      <c r="W1647" s="3"/>
    </row>
    <row r="1648" spans="1:23">
      <c r="A1648" t="s">
        <v>3541</v>
      </c>
      <c r="B1648" t="s">
        <v>181</v>
      </c>
      <c r="C1648" t="s">
        <v>100</v>
      </c>
      <c r="D1648" t="s">
        <v>3542</v>
      </c>
      <c r="E1648" s="2">
        <v>45609</v>
      </c>
      <c r="F1648" s="2">
        <v>45614</v>
      </c>
      <c r="G1648" t="s">
        <v>161</v>
      </c>
      <c r="H1648" t="s">
        <v>32</v>
      </c>
      <c r="I1648" t="s">
        <v>79</v>
      </c>
      <c r="J1648" t="s">
        <v>26</v>
      </c>
      <c r="K1648" t="s">
        <v>72</v>
      </c>
      <c r="L1648">
        <v>29893.98</v>
      </c>
      <c r="M1648">
        <v>25545.360000000001</v>
      </c>
      <c r="N1648" t="s">
        <v>192</v>
      </c>
      <c r="O1648">
        <v>5</v>
      </c>
      <c r="P1648">
        <v>64</v>
      </c>
      <c r="Q1648">
        <v>3</v>
      </c>
      <c r="R1648">
        <v>122</v>
      </c>
      <c r="S1648">
        <v>212.5</v>
      </c>
      <c r="T1648" t="s">
        <v>37</v>
      </c>
      <c r="U1648" s="3"/>
      <c r="V1648" s="3"/>
      <c r="W1648" s="3"/>
    </row>
    <row r="1649" spans="1:23">
      <c r="A1649" t="s">
        <v>3543</v>
      </c>
      <c r="B1649" t="s">
        <v>1135</v>
      </c>
      <c r="C1649" t="s">
        <v>133</v>
      </c>
      <c r="D1649" t="s">
        <v>3544</v>
      </c>
      <c r="E1649" t="s">
        <v>1422</v>
      </c>
      <c r="F1649" s="2">
        <v>45271</v>
      </c>
      <c r="G1649" t="s">
        <v>31</v>
      </c>
      <c r="H1649" t="s">
        <v>24</v>
      </c>
      <c r="I1649" t="s">
        <v>33</v>
      </c>
      <c r="J1649" t="s">
        <v>34</v>
      </c>
      <c r="K1649" t="s">
        <v>27</v>
      </c>
      <c r="L1649">
        <v>115052.25</v>
      </c>
      <c r="M1649">
        <v>87568.45</v>
      </c>
      <c r="N1649" t="s">
        <v>192</v>
      </c>
      <c r="O1649">
        <v>7</v>
      </c>
      <c r="P1649">
        <v>99</v>
      </c>
      <c r="Q1649">
        <v>4</v>
      </c>
      <c r="R1649">
        <v>173</v>
      </c>
      <c r="S1649">
        <v>158.30000000000001</v>
      </c>
      <c r="T1649" t="s">
        <v>47</v>
      </c>
      <c r="U1649" s="3"/>
      <c r="V1649" s="3"/>
      <c r="W1649" s="3"/>
    </row>
    <row r="1650" spans="1:23">
      <c r="A1650" t="s">
        <v>3545</v>
      </c>
      <c r="B1650" t="s">
        <v>1017</v>
      </c>
      <c r="C1650" t="s">
        <v>84</v>
      </c>
      <c r="D1650" s="2">
        <v>18978</v>
      </c>
      <c r="E1650" s="2">
        <v>45467</v>
      </c>
      <c r="F1650" s="2">
        <v>45469</v>
      </c>
      <c r="G1650" t="s">
        <v>94</v>
      </c>
      <c r="H1650" t="s">
        <v>95</v>
      </c>
      <c r="I1650" t="s">
        <v>25</v>
      </c>
      <c r="J1650" t="s">
        <v>204</v>
      </c>
      <c r="K1650" t="s">
        <v>27</v>
      </c>
      <c r="L1650">
        <v>183204.65</v>
      </c>
      <c r="M1650">
        <v>128650.42</v>
      </c>
      <c r="N1650" t="s">
        <v>192</v>
      </c>
      <c r="O1650">
        <v>2</v>
      </c>
      <c r="P1650">
        <v>200</v>
      </c>
      <c r="Q1650">
        <v>5</v>
      </c>
      <c r="R1650">
        <v>110</v>
      </c>
      <c r="S1650">
        <v>169.7</v>
      </c>
      <c r="T1650" t="s">
        <v>37</v>
      </c>
      <c r="U1650" s="3"/>
      <c r="V1650" s="3"/>
      <c r="W1650" s="3"/>
    </row>
    <row r="1651" spans="1:23">
      <c r="A1651" t="s">
        <v>3546</v>
      </c>
      <c r="B1651" t="s">
        <v>752</v>
      </c>
      <c r="C1651" t="s">
        <v>50</v>
      </c>
      <c r="D1651" s="2">
        <v>31820</v>
      </c>
      <c r="E1651" s="2">
        <v>45870</v>
      </c>
      <c r="F1651" s="2">
        <v>45887</v>
      </c>
      <c r="G1651" t="s">
        <v>31</v>
      </c>
      <c r="H1651" t="s">
        <v>52</v>
      </c>
      <c r="I1651" t="s">
        <v>119</v>
      </c>
      <c r="J1651" t="s">
        <v>46</v>
      </c>
      <c r="K1651" t="s">
        <v>72</v>
      </c>
      <c r="L1651" t="s">
        <v>3547</v>
      </c>
      <c r="M1651">
        <v>61208.26</v>
      </c>
      <c r="N1651" t="s">
        <v>91</v>
      </c>
      <c r="O1651">
        <v>17</v>
      </c>
      <c r="P1651">
        <v>96</v>
      </c>
      <c r="Q1651">
        <v>5</v>
      </c>
      <c r="R1651">
        <v>111</v>
      </c>
      <c r="S1651">
        <v>188.3</v>
      </c>
      <c r="T1651" t="s">
        <v>127</v>
      </c>
      <c r="U1651" s="3"/>
      <c r="V1651" s="3"/>
      <c r="W1651" s="3"/>
    </row>
    <row r="1652" spans="1:23">
      <c r="A1652" t="s">
        <v>3548</v>
      </c>
      <c r="B1652" t="s">
        <v>88</v>
      </c>
      <c r="C1652" t="s">
        <v>60</v>
      </c>
      <c r="D1652" s="2">
        <v>18707</v>
      </c>
      <c r="E1652" s="2">
        <v>45082</v>
      </c>
      <c r="F1652" s="2">
        <v>45097</v>
      </c>
      <c r="G1652" t="s">
        <v>43</v>
      </c>
      <c r="H1652" t="s">
        <v>63</v>
      </c>
      <c r="I1652" t="s">
        <v>33</v>
      </c>
      <c r="J1652" t="s">
        <v>361</v>
      </c>
      <c r="K1652" t="s">
        <v>191</v>
      </c>
      <c r="L1652">
        <v>180451.02</v>
      </c>
      <c r="M1652">
        <v>128088.72</v>
      </c>
      <c r="N1652" t="s">
        <v>91</v>
      </c>
      <c r="O1652">
        <v>15</v>
      </c>
      <c r="P1652">
        <v>165</v>
      </c>
      <c r="Q1652">
        <v>5</v>
      </c>
      <c r="R1652">
        <v>152</v>
      </c>
      <c r="S1652">
        <v>168</v>
      </c>
      <c r="T1652" t="s">
        <v>37</v>
      </c>
      <c r="U1652" s="3"/>
      <c r="V1652" s="3"/>
      <c r="W1652" s="3"/>
    </row>
    <row r="1653" spans="1:23">
      <c r="A1653" t="s">
        <v>3549</v>
      </c>
      <c r="B1653" t="s">
        <v>429</v>
      </c>
      <c r="C1653" t="s">
        <v>133</v>
      </c>
      <c r="D1653" s="2">
        <v>20858</v>
      </c>
      <c r="E1653" s="2">
        <v>45061</v>
      </c>
      <c r="F1653" s="2">
        <v>45071</v>
      </c>
      <c r="H1653" t="s">
        <v>44</v>
      </c>
      <c r="I1653" t="s">
        <v>53</v>
      </c>
      <c r="K1653" t="s">
        <v>183</v>
      </c>
      <c r="L1653">
        <v>72294.12</v>
      </c>
      <c r="M1653">
        <v>61307.24</v>
      </c>
      <c r="N1653" t="s">
        <v>192</v>
      </c>
      <c r="O1653">
        <v>10</v>
      </c>
      <c r="P1653">
        <v>133</v>
      </c>
      <c r="Q1653">
        <v>1</v>
      </c>
      <c r="R1653">
        <v>137</v>
      </c>
      <c r="S1653">
        <v>133.80000000000001</v>
      </c>
      <c r="T1653" t="s">
        <v>57</v>
      </c>
      <c r="U1653" s="3"/>
      <c r="V1653" s="3"/>
      <c r="W1653" s="3"/>
    </row>
    <row r="1654" spans="1:23">
      <c r="A1654" t="s">
        <v>3550</v>
      </c>
      <c r="B1654" t="s">
        <v>433</v>
      </c>
      <c r="D1654" t="s">
        <v>3551</v>
      </c>
      <c r="E1654" t="s">
        <v>3552</v>
      </c>
      <c r="F1654" s="2">
        <v>45315</v>
      </c>
      <c r="G1654" t="s">
        <v>117</v>
      </c>
      <c r="H1654" t="s">
        <v>134</v>
      </c>
      <c r="I1654" t="s">
        <v>96</v>
      </c>
      <c r="J1654" t="s">
        <v>26</v>
      </c>
      <c r="K1654" t="s">
        <v>106</v>
      </c>
      <c r="L1654">
        <v>18250.5</v>
      </c>
      <c r="M1654">
        <v>12859.76</v>
      </c>
      <c r="N1654" t="s">
        <v>409</v>
      </c>
      <c r="O1654">
        <v>12</v>
      </c>
      <c r="P1654">
        <v>119</v>
      </c>
      <c r="Q1654">
        <v>4</v>
      </c>
      <c r="R1654">
        <v>190</v>
      </c>
      <c r="S1654">
        <v>125.1</v>
      </c>
      <c r="T1654" t="s">
        <v>37</v>
      </c>
      <c r="U1654" s="3"/>
      <c r="V1654" s="3"/>
      <c r="W1654" s="3"/>
    </row>
    <row r="1655" spans="1:23">
      <c r="A1655" t="s">
        <v>3553</v>
      </c>
      <c r="B1655" t="s">
        <v>93</v>
      </c>
      <c r="C1655" t="s">
        <v>50</v>
      </c>
      <c r="D1655" s="2">
        <v>19688</v>
      </c>
      <c r="E1655" t="s">
        <v>3554</v>
      </c>
      <c r="F1655" s="2">
        <v>45662</v>
      </c>
      <c r="G1655" t="s">
        <v>161</v>
      </c>
      <c r="H1655" t="s">
        <v>52</v>
      </c>
      <c r="I1655" t="s">
        <v>53</v>
      </c>
      <c r="J1655" t="s">
        <v>34</v>
      </c>
      <c r="K1655" t="s">
        <v>27</v>
      </c>
      <c r="L1655">
        <v>204103.51</v>
      </c>
      <c r="M1655">
        <v>187707.18</v>
      </c>
      <c r="N1655" t="s">
        <v>91</v>
      </c>
      <c r="O1655">
        <v>6</v>
      </c>
      <c r="P1655">
        <v>41</v>
      </c>
      <c r="Q1655">
        <v>3</v>
      </c>
      <c r="R1655">
        <v>179</v>
      </c>
      <c r="S1655">
        <v>140.19999999999999</v>
      </c>
      <c r="T1655" t="s">
        <v>37</v>
      </c>
      <c r="U1655" s="3"/>
      <c r="V1655" s="3"/>
      <c r="W1655" s="3"/>
    </row>
    <row r="1656" spans="1:23">
      <c r="A1656" t="s">
        <v>3555</v>
      </c>
      <c r="B1656" t="s">
        <v>444</v>
      </c>
      <c r="D1656" s="2">
        <v>39037</v>
      </c>
      <c r="E1656" s="2">
        <v>45556</v>
      </c>
      <c r="F1656" t="s">
        <v>3556</v>
      </c>
      <c r="G1656" t="s">
        <v>43</v>
      </c>
      <c r="H1656" t="s">
        <v>118</v>
      </c>
      <c r="J1656" t="s">
        <v>179</v>
      </c>
      <c r="L1656">
        <v>123215.15</v>
      </c>
      <c r="M1656">
        <v>108563.47</v>
      </c>
      <c r="N1656" t="s">
        <v>73</v>
      </c>
      <c r="O1656">
        <v>10</v>
      </c>
      <c r="P1656">
        <v>139</v>
      </c>
      <c r="Q1656">
        <v>5</v>
      </c>
      <c r="R1656">
        <v>98</v>
      </c>
      <c r="S1656">
        <v>220.4</v>
      </c>
      <c r="T1656" t="s">
        <v>37</v>
      </c>
      <c r="U1656" s="3"/>
      <c r="V1656" s="3"/>
      <c r="W1656" s="3"/>
    </row>
    <row r="1657" spans="1:23">
      <c r="A1657" t="s">
        <v>3557</v>
      </c>
      <c r="B1657" t="s">
        <v>1125</v>
      </c>
      <c r="C1657" t="s">
        <v>30</v>
      </c>
      <c r="D1657" s="2">
        <v>25269</v>
      </c>
      <c r="E1657" t="s">
        <v>1274</v>
      </c>
      <c r="F1657" s="2">
        <v>45758</v>
      </c>
      <c r="G1657" t="s">
        <v>109</v>
      </c>
      <c r="H1657" t="s">
        <v>63</v>
      </c>
      <c r="J1657" t="s">
        <v>34</v>
      </c>
      <c r="K1657" t="s">
        <v>55</v>
      </c>
      <c r="L1657" t="s">
        <v>3558</v>
      </c>
      <c r="M1657">
        <v>154952.23000000001</v>
      </c>
      <c r="N1657" t="s">
        <v>73</v>
      </c>
      <c r="O1657">
        <v>6</v>
      </c>
      <c r="P1657">
        <v>212</v>
      </c>
      <c r="Q1657">
        <v>5</v>
      </c>
      <c r="R1657">
        <v>149</v>
      </c>
      <c r="S1657">
        <v>192.9</v>
      </c>
      <c r="T1657" t="s">
        <v>37</v>
      </c>
      <c r="U1657" s="3"/>
      <c r="V1657" s="3"/>
      <c r="W1657" s="3"/>
    </row>
    <row r="1658" spans="1:23">
      <c r="A1658" t="s">
        <v>3559</v>
      </c>
      <c r="B1658" t="s">
        <v>1302</v>
      </c>
      <c r="C1658" t="s">
        <v>133</v>
      </c>
      <c r="D1658" s="2">
        <v>19442</v>
      </c>
      <c r="E1658" s="2">
        <v>45925</v>
      </c>
      <c r="F1658" s="2">
        <v>45934</v>
      </c>
      <c r="G1658" t="s">
        <v>117</v>
      </c>
      <c r="H1658" t="s">
        <v>538</v>
      </c>
      <c r="I1658" t="s">
        <v>53</v>
      </c>
      <c r="J1658" t="s">
        <v>71</v>
      </c>
      <c r="K1658" t="s">
        <v>161</v>
      </c>
      <c r="L1658">
        <v>78442.850000000006</v>
      </c>
      <c r="M1658">
        <v>65301.17</v>
      </c>
      <c r="N1658" t="s">
        <v>56</v>
      </c>
      <c r="O1658">
        <v>9</v>
      </c>
      <c r="P1658">
        <v>216</v>
      </c>
      <c r="Q1658">
        <v>4</v>
      </c>
      <c r="R1658">
        <v>141</v>
      </c>
      <c r="S1658">
        <v>144</v>
      </c>
      <c r="T1658" t="s">
        <v>37</v>
      </c>
      <c r="U1658" s="3"/>
      <c r="V1658" s="3"/>
      <c r="W1658" s="3"/>
    </row>
    <row r="1659" spans="1:23">
      <c r="A1659" t="s">
        <v>3560</v>
      </c>
      <c r="B1659" t="s">
        <v>373</v>
      </c>
      <c r="C1659" t="s">
        <v>100</v>
      </c>
      <c r="D1659" s="2">
        <v>25065</v>
      </c>
      <c r="E1659" s="2">
        <v>45517</v>
      </c>
      <c r="F1659" s="2">
        <v>45531</v>
      </c>
      <c r="G1659" t="s">
        <v>89</v>
      </c>
      <c r="H1659" t="s">
        <v>153</v>
      </c>
      <c r="I1659" t="s">
        <v>96</v>
      </c>
      <c r="J1659" t="s">
        <v>46</v>
      </c>
      <c r="K1659" t="s">
        <v>72</v>
      </c>
      <c r="L1659">
        <v>175814.66</v>
      </c>
      <c r="M1659">
        <v>161811.69</v>
      </c>
      <c r="N1659" t="s">
        <v>73</v>
      </c>
      <c r="O1659">
        <v>14</v>
      </c>
      <c r="P1659">
        <v>182</v>
      </c>
      <c r="Q1659">
        <v>4</v>
      </c>
      <c r="R1659">
        <v>172</v>
      </c>
      <c r="S1659">
        <v>190.5</v>
      </c>
      <c r="T1659" t="s">
        <v>37</v>
      </c>
      <c r="U1659" s="3"/>
      <c r="V1659" s="3"/>
      <c r="W1659" s="3"/>
    </row>
    <row r="1660" spans="1:23">
      <c r="A1660" t="s">
        <v>3561</v>
      </c>
      <c r="B1660" t="s">
        <v>234</v>
      </c>
      <c r="C1660" t="s">
        <v>459</v>
      </c>
      <c r="D1660" s="2">
        <v>32897</v>
      </c>
      <c r="E1660" s="2">
        <v>45869</v>
      </c>
      <c r="F1660" s="2">
        <v>45871</v>
      </c>
      <c r="G1660" t="s">
        <v>77</v>
      </c>
      <c r="H1660" t="s">
        <v>113</v>
      </c>
      <c r="I1660" t="s">
        <v>25</v>
      </c>
      <c r="J1660" t="s">
        <v>71</v>
      </c>
      <c r="K1660" t="s">
        <v>161</v>
      </c>
      <c r="L1660">
        <v>158650.88</v>
      </c>
      <c r="M1660">
        <v>127113.8</v>
      </c>
      <c r="N1660" t="s">
        <v>73</v>
      </c>
      <c r="O1660">
        <v>2</v>
      </c>
      <c r="P1660">
        <v>58</v>
      </c>
      <c r="Q1660">
        <v>1</v>
      </c>
      <c r="R1660">
        <v>92</v>
      </c>
      <c r="S1660">
        <v>83.5</v>
      </c>
      <c r="T1660" t="s">
        <v>47</v>
      </c>
      <c r="U1660" s="3"/>
      <c r="V1660" s="3"/>
      <c r="W1660" s="3"/>
    </row>
    <row r="1661" spans="1:23">
      <c r="A1661" t="s">
        <v>3562</v>
      </c>
      <c r="B1661" t="s">
        <v>563</v>
      </c>
      <c r="C1661" t="s">
        <v>133</v>
      </c>
      <c r="D1661" t="s">
        <v>3563</v>
      </c>
      <c r="E1661" s="2">
        <v>45259</v>
      </c>
      <c r="F1661" s="2">
        <v>45270</v>
      </c>
      <c r="G1661" t="s">
        <v>161</v>
      </c>
      <c r="H1661" t="s">
        <v>32</v>
      </c>
      <c r="J1661" t="s">
        <v>71</v>
      </c>
      <c r="K1661" t="s">
        <v>27</v>
      </c>
      <c r="M1661">
        <v>132340.54</v>
      </c>
      <c r="N1661" t="s">
        <v>56</v>
      </c>
      <c r="O1661">
        <v>11</v>
      </c>
      <c r="P1661">
        <v>44</v>
      </c>
      <c r="Q1661">
        <v>4</v>
      </c>
      <c r="R1661">
        <v>129</v>
      </c>
      <c r="U1661" s="3"/>
      <c r="V1661" s="3"/>
      <c r="W1661" s="3"/>
    </row>
    <row r="1662" spans="1:23">
      <c r="A1662" t="s">
        <v>3564</v>
      </c>
      <c r="B1662" t="s">
        <v>49</v>
      </c>
      <c r="C1662" t="s">
        <v>133</v>
      </c>
      <c r="D1662" s="2">
        <v>28927</v>
      </c>
      <c r="E1662" t="s">
        <v>3565</v>
      </c>
      <c r="F1662" s="2">
        <v>45630</v>
      </c>
      <c r="H1662" t="s">
        <v>113</v>
      </c>
      <c r="I1662" t="s">
        <v>33</v>
      </c>
      <c r="J1662" t="s">
        <v>71</v>
      </c>
      <c r="K1662" t="s">
        <v>55</v>
      </c>
      <c r="L1662">
        <v>129603.12</v>
      </c>
      <c r="M1662">
        <v>87925.77</v>
      </c>
      <c r="N1662" t="s">
        <v>35</v>
      </c>
      <c r="O1662">
        <v>6</v>
      </c>
      <c r="P1662">
        <v>110</v>
      </c>
      <c r="R1662">
        <v>119</v>
      </c>
      <c r="S1662">
        <v>153.4</v>
      </c>
      <c r="T1662" t="s">
        <v>65</v>
      </c>
      <c r="U1662" s="3"/>
      <c r="V1662" s="3"/>
      <c r="W1662" s="3"/>
    </row>
    <row r="1663" spans="1:23">
      <c r="A1663" t="s">
        <v>3566</v>
      </c>
      <c r="B1663" t="s">
        <v>1305</v>
      </c>
      <c r="C1663" t="s">
        <v>133</v>
      </c>
      <c r="D1663" s="2">
        <v>28471</v>
      </c>
      <c r="E1663" s="2">
        <v>45012</v>
      </c>
      <c r="F1663" s="2">
        <v>45025</v>
      </c>
      <c r="G1663" t="s">
        <v>43</v>
      </c>
      <c r="H1663" t="s">
        <v>113</v>
      </c>
      <c r="I1663" t="s">
        <v>33</v>
      </c>
      <c r="J1663" t="s">
        <v>46</v>
      </c>
      <c r="K1663" t="s">
        <v>120</v>
      </c>
      <c r="L1663">
        <v>229030.12</v>
      </c>
      <c r="M1663">
        <v>159959.9</v>
      </c>
      <c r="N1663" t="s">
        <v>794</v>
      </c>
      <c r="O1663">
        <v>13</v>
      </c>
      <c r="P1663">
        <v>176</v>
      </c>
      <c r="Q1663">
        <v>5</v>
      </c>
      <c r="R1663">
        <v>106</v>
      </c>
      <c r="S1663">
        <v>111.3</v>
      </c>
      <c r="T1663" t="s">
        <v>65</v>
      </c>
      <c r="U1663" s="3"/>
      <c r="V1663" s="3"/>
      <c r="W1663" s="3"/>
    </row>
    <row r="1664" spans="1:23">
      <c r="A1664" t="s">
        <v>3567</v>
      </c>
      <c r="B1664" t="s">
        <v>2918</v>
      </c>
      <c r="C1664" t="s">
        <v>30</v>
      </c>
      <c r="D1664" t="s">
        <v>3568</v>
      </c>
      <c r="E1664" t="s">
        <v>3569</v>
      </c>
      <c r="F1664" s="2">
        <v>45136</v>
      </c>
      <c r="H1664" t="s">
        <v>32</v>
      </c>
      <c r="I1664" t="s">
        <v>119</v>
      </c>
      <c r="J1664" t="s">
        <v>26</v>
      </c>
      <c r="K1664" t="s">
        <v>27</v>
      </c>
      <c r="L1664">
        <v>151568.37</v>
      </c>
      <c r="M1664">
        <v>126289.58</v>
      </c>
      <c r="N1664" t="s">
        <v>73</v>
      </c>
      <c r="O1664">
        <v>12</v>
      </c>
      <c r="P1664">
        <v>50</v>
      </c>
      <c r="Q1664">
        <v>4</v>
      </c>
      <c r="R1664">
        <v>93</v>
      </c>
      <c r="S1664">
        <v>134.1</v>
      </c>
      <c r="T1664" t="s">
        <v>37</v>
      </c>
      <c r="U1664" s="3"/>
      <c r="V1664" s="3"/>
      <c r="W1664" s="3"/>
    </row>
    <row r="1665" spans="1:23">
      <c r="A1665" t="s">
        <v>3570</v>
      </c>
      <c r="B1665" t="s">
        <v>917</v>
      </c>
      <c r="C1665" t="s">
        <v>206</v>
      </c>
      <c r="D1665" s="2">
        <v>28920</v>
      </c>
      <c r="E1665" t="s">
        <v>3571</v>
      </c>
      <c r="F1665" s="2">
        <v>45238</v>
      </c>
      <c r="G1665" t="s">
        <v>117</v>
      </c>
      <c r="H1665" t="s">
        <v>634</v>
      </c>
      <c r="I1665" t="s">
        <v>119</v>
      </c>
      <c r="J1665" t="s">
        <v>64</v>
      </c>
      <c r="L1665" t="s">
        <v>3572</v>
      </c>
      <c r="M1665">
        <v>99460.46</v>
      </c>
      <c r="N1665" t="s">
        <v>73</v>
      </c>
      <c r="O1665">
        <v>18</v>
      </c>
      <c r="P1665">
        <v>80</v>
      </c>
      <c r="Q1665">
        <v>3</v>
      </c>
      <c r="R1665">
        <v>159</v>
      </c>
      <c r="S1665">
        <v>208.2</v>
      </c>
      <c r="T1665" t="s">
        <v>37</v>
      </c>
      <c r="U1665" s="3"/>
      <c r="V1665" s="3"/>
      <c r="W1665" s="3"/>
    </row>
    <row r="1666" spans="1:23">
      <c r="A1666" t="s">
        <v>3573</v>
      </c>
      <c r="B1666" t="s">
        <v>1167</v>
      </c>
      <c r="C1666" t="s">
        <v>40</v>
      </c>
      <c r="D1666" s="2">
        <v>19816</v>
      </c>
      <c r="E1666" s="2">
        <v>45643</v>
      </c>
      <c r="F1666" t="s">
        <v>3574</v>
      </c>
      <c r="G1666" t="s">
        <v>117</v>
      </c>
      <c r="H1666" t="s">
        <v>90</v>
      </c>
      <c r="I1666" t="s">
        <v>45</v>
      </c>
      <c r="J1666" t="s">
        <v>64</v>
      </c>
      <c r="K1666" t="s">
        <v>449</v>
      </c>
      <c r="L1666">
        <v>57574.02</v>
      </c>
      <c r="M1666">
        <v>42857.17</v>
      </c>
      <c r="N1666" t="s">
        <v>35</v>
      </c>
      <c r="O1666">
        <v>6</v>
      </c>
      <c r="P1666">
        <v>124</v>
      </c>
      <c r="R1666">
        <v>132</v>
      </c>
      <c r="S1666">
        <v>78.400000000000006</v>
      </c>
      <c r="T1666" t="s">
        <v>127</v>
      </c>
      <c r="U1666" s="3"/>
      <c r="V1666" s="3"/>
      <c r="W1666" s="3"/>
    </row>
    <row r="1667" spans="1:23">
      <c r="A1667" t="s">
        <v>3575</v>
      </c>
      <c r="B1667" t="s">
        <v>270</v>
      </c>
      <c r="C1667" t="s">
        <v>40</v>
      </c>
      <c r="D1667" t="s">
        <v>3576</v>
      </c>
      <c r="E1667" t="s">
        <v>3453</v>
      </c>
      <c r="F1667" s="2">
        <v>45688</v>
      </c>
      <c r="G1667" t="s">
        <v>62</v>
      </c>
      <c r="H1667" t="s">
        <v>32</v>
      </c>
      <c r="I1667" t="s">
        <v>45</v>
      </c>
      <c r="J1667" t="s">
        <v>80</v>
      </c>
      <c r="K1667" t="s">
        <v>55</v>
      </c>
      <c r="L1667">
        <v>165525.47</v>
      </c>
      <c r="M1667">
        <v>125233.88</v>
      </c>
      <c r="N1667" t="s">
        <v>192</v>
      </c>
      <c r="O1667">
        <v>11</v>
      </c>
      <c r="P1667">
        <v>38</v>
      </c>
      <c r="Q1667">
        <v>2</v>
      </c>
      <c r="R1667">
        <v>128</v>
      </c>
      <c r="S1667">
        <v>197.4</v>
      </c>
      <c r="T1667" t="s">
        <v>37</v>
      </c>
      <c r="U1667" s="3"/>
      <c r="V1667" s="3"/>
      <c r="W1667" s="3"/>
    </row>
    <row r="1668" spans="1:23">
      <c r="A1668" t="s">
        <v>3577</v>
      </c>
      <c r="B1668" t="s">
        <v>806</v>
      </c>
      <c r="D1668" s="2">
        <v>35455</v>
      </c>
      <c r="E1668" s="2">
        <v>45470</v>
      </c>
      <c r="F1668" s="2">
        <v>45477</v>
      </c>
      <c r="H1668" t="s">
        <v>207</v>
      </c>
      <c r="I1668" t="s">
        <v>53</v>
      </c>
      <c r="K1668" t="s">
        <v>27</v>
      </c>
      <c r="L1668">
        <v>165908.12</v>
      </c>
      <c r="M1668">
        <v>154048.98000000001</v>
      </c>
      <c r="N1668" t="s">
        <v>192</v>
      </c>
      <c r="O1668">
        <v>7</v>
      </c>
      <c r="P1668" t="s">
        <v>580</v>
      </c>
      <c r="Q1668">
        <v>5</v>
      </c>
      <c r="S1668">
        <v>109.1</v>
      </c>
      <c r="T1668" t="s">
        <v>37</v>
      </c>
      <c r="U1668" s="3"/>
      <c r="V1668" s="3"/>
      <c r="W1668" s="3"/>
    </row>
    <row r="1669" spans="1:23">
      <c r="A1669" t="s">
        <v>3578</v>
      </c>
      <c r="B1669" t="s">
        <v>1140</v>
      </c>
      <c r="C1669" t="s">
        <v>50</v>
      </c>
      <c r="D1669" s="2">
        <v>38386</v>
      </c>
      <c r="E1669" s="2">
        <v>44991</v>
      </c>
      <c r="F1669" s="2">
        <v>45004</v>
      </c>
      <c r="G1669" t="s">
        <v>43</v>
      </c>
      <c r="H1669" t="s">
        <v>153</v>
      </c>
      <c r="I1669" t="s">
        <v>45</v>
      </c>
      <c r="J1669" t="s">
        <v>97</v>
      </c>
      <c r="K1669" t="s">
        <v>120</v>
      </c>
      <c r="L1669">
        <v>215714.31</v>
      </c>
      <c r="M1669">
        <v>150587.17000000001</v>
      </c>
      <c r="N1669" t="s">
        <v>73</v>
      </c>
      <c r="O1669">
        <v>13</v>
      </c>
      <c r="P1669">
        <v>159</v>
      </c>
      <c r="Q1669">
        <v>2</v>
      </c>
      <c r="R1669">
        <v>187</v>
      </c>
      <c r="S1669">
        <v>91.9</v>
      </c>
      <c r="T1669" t="s">
        <v>37</v>
      </c>
      <c r="U1669" s="3"/>
      <c r="V1669" s="3"/>
      <c r="W1669" s="3"/>
    </row>
    <row r="1670" spans="1:23">
      <c r="A1670" t="s">
        <v>3579</v>
      </c>
      <c r="B1670" t="s">
        <v>480</v>
      </c>
      <c r="C1670" t="s">
        <v>106</v>
      </c>
      <c r="D1670" t="s">
        <v>3580</v>
      </c>
      <c r="E1670" s="2">
        <v>45453</v>
      </c>
      <c r="F1670" s="2">
        <v>45456</v>
      </c>
      <c r="G1670" t="s">
        <v>105</v>
      </c>
      <c r="H1670" t="s">
        <v>78</v>
      </c>
      <c r="J1670" t="s">
        <v>1381</v>
      </c>
      <c r="K1670" t="s">
        <v>55</v>
      </c>
      <c r="L1670">
        <v>23943.1</v>
      </c>
      <c r="M1670">
        <v>18476.759999999998</v>
      </c>
      <c r="N1670" t="s">
        <v>91</v>
      </c>
      <c r="O1670">
        <v>3</v>
      </c>
      <c r="P1670">
        <v>129</v>
      </c>
      <c r="Q1670">
        <v>3</v>
      </c>
      <c r="R1670">
        <v>110</v>
      </c>
      <c r="S1670">
        <v>197.3</v>
      </c>
      <c r="T1670" t="s">
        <v>65</v>
      </c>
      <c r="U1670" s="3"/>
      <c r="V1670" s="3"/>
      <c r="W1670" s="3"/>
    </row>
    <row r="1671" spans="1:23">
      <c r="A1671" t="s">
        <v>3581</v>
      </c>
      <c r="B1671" t="s">
        <v>791</v>
      </c>
      <c r="D1671" s="2">
        <v>38295</v>
      </c>
      <c r="E1671" t="s">
        <v>3582</v>
      </c>
      <c r="F1671" s="2">
        <v>45653</v>
      </c>
      <c r="G1671" t="s">
        <v>43</v>
      </c>
      <c r="H1671" t="s">
        <v>95</v>
      </c>
      <c r="I1671" t="s">
        <v>79</v>
      </c>
      <c r="J1671" t="s">
        <v>34</v>
      </c>
      <c r="K1671" t="s">
        <v>55</v>
      </c>
      <c r="M1671">
        <v>139746.85</v>
      </c>
      <c r="N1671" t="s">
        <v>91</v>
      </c>
      <c r="O1671">
        <v>6</v>
      </c>
      <c r="P1671">
        <v>10</v>
      </c>
      <c r="R1671" t="s">
        <v>1822</v>
      </c>
      <c r="S1671">
        <v>140.19999999999999</v>
      </c>
      <c r="T1671" t="s">
        <v>65</v>
      </c>
      <c r="U1671" s="3"/>
      <c r="V1671" s="3"/>
      <c r="W1671" s="3"/>
    </row>
    <row r="1672" spans="1:23">
      <c r="A1672" t="s">
        <v>3583</v>
      </c>
      <c r="B1672" t="s">
        <v>517</v>
      </c>
      <c r="C1672" t="s">
        <v>60</v>
      </c>
      <c r="D1672" s="2">
        <v>31055</v>
      </c>
      <c r="E1672" t="s">
        <v>3584</v>
      </c>
      <c r="F1672" s="2">
        <v>45396</v>
      </c>
      <c r="G1672" t="s">
        <v>109</v>
      </c>
      <c r="H1672" t="s">
        <v>124</v>
      </c>
      <c r="I1672" t="s">
        <v>33</v>
      </c>
      <c r="J1672" t="s">
        <v>80</v>
      </c>
      <c r="K1672" t="s">
        <v>55</v>
      </c>
      <c r="L1672">
        <v>201607.85</v>
      </c>
      <c r="M1672">
        <v>168316.82</v>
      </c>
      <c r="N1672" t="s">
        <v>162</v>
      </c>
      <c r="O1672">
        <v>15</v>
      </c>
      <c r="P1672">
        <v>50</v>
      </c>
      <c r="R1672">
        <v>162</v>
      </c>
      <c r="S1672">
        <v>113.3</v>
      </c>
      <c r="T1672" t="s">
        <v>47</v>
      </c>
      <c r="U1672" s="3"/>
      <c r="V1672" s="3"/>
      <c r="W1672" s="3"/>
    </row>
    <row r="1673" spans="1:23">
      <c r="A1673" t="s">
        <v>3585</v>
      </c>
      <c r="B1673" t="s">
        <v>314</v>
      </c>
      <c r="C1673" t="s">
        <v>100</v>
      </c>
      <c r="D1673" t="s">
        <v>3586</v>
      </c>
      <c r="E1673" s="2">
        <v>45973</v>
      </c>
      <c r="F1673" s="2">
        <v>45980</v>
      </c>
      <c r="G1673" t="s">
        <v>109</v>
      </c>
      <c r="H1673" t="s">
        <v>24</v>
      </c>
      <c r="J1673" t="s">
        <v>97</v>
      </c>
      <c r="K1673" t="s">
        <v>120</v>
      </c>
      <c r="L1673">
        <v>200055.86</v>
      </c>
      <c r="M1673">
        <v>130651.99</v>
      </c>
      <c r="N1673" t="s">
        <v>192</v>
      </c>
      <c r="O1673">
        <v>7</v>
      </c>
      <c r="P1673">
        <v>162</v>
      </c>
      <c r="Q1673">
        <v>5</v>
      </c>
      <c r="R1673">
        <v>168</v>
      </c>
      <c r="S1673">
        <v>165.4</v>
      </c>
      <c r="U1673" s="3"/>
      <c r="V1673" s="3"/>
      <c r="W1673" s="3"/>
    </row>
    <row r="1674" spans="1:23">
      <c r="A1674" t="s">
        <v>3587</v>
      </c>
      <c r="B1674" t="s">
        <v>936</v>
      </c>
      <c r="C1674" t="s">
        <v>60</v>
      </c>
      <c r="D1674" s="2">
        <v>28558</v>
      </c>
      <c r="E1674" s="2">
        <v>45545</v>
      </c>
      <c r="F1674" s="2">
        <v>45556</v>
      </c>
      <c r="G1674" t="s">
        <v>62</v>
      </c>
      <c r="H1674" t="s">
        <v>32</v>
      </c>
      <c r="I1674" t="s">
        <v>119</v>
      </c>
      <c r="K1674" t="s">
        <v>110</v>
      </c>
      <c r="L1674">
        <v>66600.45</v>
      </c>
      <c r="M1674">
        <v>53562.07</v>
      </c>
      <c r="O1674">
        <v>11</v>
      </c>
      <c r="P1674">
        <v>209</v>
      </c>
      <c r="Q1674">
        <v>3</v>
      </c>
      <c r="R1674">
        <v>178</v>
      </c>
      <c r="S1674">
        <v>203.7</v>
      </c>
      <c r="U1674" s="3"/>
      <c r="V1674" s="3"/>
      <c r="W1674" s="3"/>
    </row>
    <row r="1675" spans="1:23">
      <c r="A1675" t="s">
        <v>3588</v>
      </c>
      <c r="B1675" t="s">
        <v>295</v>
      </c>
      <c r="C1675" t="s">
        <v>1149</v>
      </c>
      <c r="D1675" s="2">
        <v>31633</v>
      </c>
      <c r="E1675" s="2">
        <v>45667</v>
      </c>
      <c r="F1675" s="2">
        <v>45671</v>
      </c>
      <c r="G1675" t="s">
        <v>141</v>
      </c>
      <c r="H1675" t="s">
        <v>134</v>
      </c>
      <c r="I1675" t="s">
        <v>119</v>
      </c>
      <c r="J1675" t="s">
        <v>26</v>
      </c>
      <c r="K1675" t="s">
        <v>27</v>
      </c>
      <c r="L1675">
        <v>106965.53</v>
      </c>
      <c r="M1675">
        <v>78911.11</v>
      </c>
      <c r="N1675" t="s">
        <v>91</v>
      </c>
      <c r="O1675">
        <v>4</v>
      </c>
      <c r="P1675">
        <v>203</v>
      </c>
      <c r="Q1675">
        <v>5</v>
      </c>
      <c r="R1675">
        <v>165</v>
      </c>
      <c r="S1675">
        <v>218.8</v>
      </c>
      <c r="T1675" t="s">
        <v>37</v>
      </c>
      <c r="U1675" s="3"/>
      <c r="V1675" s="3"/>
      <c r="W1675" s="3"/>
    </row>
    <row r="1676" spans="1:23">
      <c r="A1676" t="s">
        <v>3589</v>
      </c>
      <c r="B1676" t="s">
        <v>249</v>
      </c>
      <c r="C1676" t="s">
        <v>22</v>
      </c>
      <c r="D1676" t="s">
        <v>3590</v>
      </c>
      <c r="E1676" s="2">
        <v>45118</v>
      </c>
      <c r="F1676" t="s">
        <v>2185</v>
      </c>
      <c r="G1676" t="s">
        <v>62</v>
      </c>
      <c r="H1676" t="s">
        <v>113</v>
      </c>
      <c r="I1676" t="s">
        <v>25</v>
      </c>
      <c r="J1676" t="s">
        <v>34</v>
      </c>
      <c r="K1676" t="s">
        <v>72</v>
      </c>
      <c r="L1676">
        <v>40873.25</v>
      </c>
      <c r="M1676">
        <v>30295.43</v>
      </c>
      <c r="N1676" t="s">
        <v>73</v>
      </c>
      <c r="O1676">
        <v>17</v>
      </c>
      <c r="P1676">
        <v>154</v>
      </c>
      <c r="Q1676">
        <v>2</v>
      </c>
      <c r="R1676">
        <v>158</v>
      </c>
      <c r="S1676">
        <v>120</v>
      </c>
      <c r="T1676" t="s">
        <v>37</v>
      </c>
      <c r="U1676" s="3"/>
      <c r="V1676" s="3"/>
      <c r="W1676" s="3"/>
    </row>
    <row r="1677" spans="1:23">
      <c r="A1677" t="s">
        <v>3591</v>
      </c>
      <c r="B1677" t="s">
        <v>1153</v>
      </c>
      <c r="C1677" t="s">
        <v>30</v>
      </c>
      <c r="D1677" s="2">
        <v>33401</v>
      </c>
      <c r="E1677" s="2">
        <v>45081</v>
      </c>
      <c r="F1677" s="2">
        <v>45094</v>
      </c>
      <c r="G1677" t="s">
        <v>43</v>
      </c>
      <c r="H1677" t="s">
        <v>634</v>
      </c>
      <c r="J1677" t="s">
        <v>34</v>
      </c>
      <c r="K1677" t="s">
        <v>120</v>
      </c>
      <c r="L1677">
        <v>17706.91</v>
      </c>
      <c r="M1677">
        <v>13127.43</v>
      </c>
      <c r="N1677" t="s">
        <v>73</v>
      </c>
      <c r="O1677">
        <v>13</v>
      </c>
      <c r="P1677">
        <v>101</v>
      </c>
      <c r="Q1677">
        <v>5</v>
      </c>
      <c r="R1677">
        <v>129</v>
      </c>
      <c r="S1677">
        <v>178.7</v>
      </c>
      <c r="T1677" t="s">
        <v>37</v>
      </c>
      <c r="U1677" s="3"/>
      <c r="V1677" s="3"/>
      <c r="W1677" s="3"/>
    </row>
    <row r="1678" spans="1:23">
      <c r="A1678" t="s">
        <v>3592</v>
      </c>
      <c r="B1678" t="s">
        <v>980</v>
      </c>
      <c r="C1678" t="s">
        <v>30</v>
      </c>
      <c r="D1678" s="2">
        <v>22693</v>
      </c>
      <c r="E1678" t="s">
        <v>3593</v>
      </c>
      <c r="F1678" t="s">
        <v>3594</v>
      </c>
      <c r="G1678" t="s">
        <v>370</v>
      </c>
      <c r="I1678" t="s">
        <v>53</v>
      </c>
      <c r="J1678" t="s">
        <v>97</v>
      </c>
      <c r="K1678" t="s">
        <v>120</v>
      </c>
      <c r="L1678" t="s">
        <v>3595</v>
      </c>
      <c r="M1678">
        <v>34727.26</v>
      </c>
      <c r="N1678" t="s">
        <v>91</v>
      </c>
      <c r="O1678">
        <v>16</v>
      </c>
      <c r="P1678">
        <v>38</v>
      </c>
      <c r="Q1678">
        <v>2</v>
      </c>
      <c r="R1678">
        <v>181</v>
      </c>
      <c r="S1678">
        <v>220.9</v>
      </c>
      <c r="T1678" t="s">
        <v>37</v>
      </c>
      <c r="U1678" s="3"/>
      <c r="V1678" s="3"/>
      <c r="W1678" s="3"/>
    </row>
    <row r="1679" spans="1:23">
      <c r="A1679" t="s">
        <v>3596</v>
      </c>
      <c r="B1679" t="s">
        <v>417</v>
      </c>
      <c r="C1679" t="s">
        <v>50</v>
      </c>
      <c r="D1679" t="s">
        <v>3597</v>
      </c>
      <c r="E1679" s="2">
        <v>45596</v>
      </c>
      <c r="F1679" s="2">
        <v>45597</v>
      </c>
      <c r="G1679" t="s">
        <v>94</v>
      </c>
      <c r="H1679" t="s">
        <v>86</v>
      </c>
      <c r="I1679" t="s">
        <v>53</v>
      </c>
      <c r="J1679" t="s">
        <v>34</v>
      </c>
      <c r="K1679" t="s">
        <v>27</v>
      </c>
      <c r="L1679">
        <v>27527.58</v>
      </c>
      <c r="M1679">
        <v>21863.01</v>
      </c>
      <c r="N1679" t="s">
        <v>192</v>
      </c>
      <c r="O1679">
        <v>1</v>
      </c>
      <c r="P1679">
        <v>193</v>
      </c>
      <c r="Q1679">
        <v>5</v>
      </c>
      <c r="R1679" t="s">
        <v>3598</v>
      </c>
      <c r="S1679">
        <v>253.4</v>
      </c>
      <c r="T1679" t="s">
        <v>65</v>
      </c>
      <c r="U1679" s="3"/>
      <c r="V1679" s="3"/>
      <c r="W1679" s="3"/>
    </row>
    <row r="1680" spans="1:23">
      <c r="A1680" t="s">
        <v>3599</v>
      </c>
      <c r="B1680" t="s">
        <v>922</v>
      </c>
      <c r="C1680" t="s">
        <v>100</v>
      </c>
      <c r="D1680" t="s">
        <v>3600</v>
      </c>
      <c r="E1680" s="2">
        <v>45840</v>
      </c>
      <c r="F1680" s="2">
        <v>45843</v>
      </c>
      <c r="H1680" t="s">
        <v>44</v>
      </c>
      <c r="I1680" t="s">
        <v>45</v>
      </c>
      <c r="J1680" t="s">
        <v>80</v>
      </c>
      <c r="K1680" t="s">
        <v>110</v>
      </c>
      <c r="L1680">
        <v>234354.66</v>
      </c>
      <c r="M1680">
        <v>169674.37</v>
      </c>
      <c r="N1680" t="s">
        <v>192</v>
      </c>
      <c r="O1680">
        <v>3</v>
      </c>
      <c r="P1680">
        <v>235</v>
      </c>
      <c r="Q1680">
        <v>3</v>
      </c>
      <c r="R1680">
        <v>131</v>
      </c>
      <c r="S1680">
        <v>127.5</v>
      </c>
      <c r="T1680" t="s">
        <v>37</v>
      </c>
      <c r="U1680" s="3"/>
      <c r="V1680" s="3"/>
      <c r="W1680" s="3"/>
    </row>
    <row r="1681" spans="1:23">
      <c r="A1681" t="s">
        <v>3601</v>
      </c>
      <c r="B1681" t="s">
        <v>926</v>
      </c>
      <c r="C1681" t="s">
        <v>84</v>
      </c>
      <c r="D1681" s="2">
        <v>39945</v>
      </c>
      <c r="E1681" t="s">
        <v>3602</v>
      </c>
      <c r="F1681" s="2">
        <v>45874</v>
      </c>
      <c r="G1681" t="s">
        <v>43</v>
      </c>
      <c r="H1681" t="s">
        <v>634</v>
      </c>
      <c r="I1681" t="s">
        <v>33</v>
      </c>
      <c r="K1681" t="s">
        <v>120</v>
      </c>
      <c r="L1681">
        <v>166793.06</v>
      </c>
      <c r="M1681">
        <v>148846.32</v>
      </c>
      <c r="N1681" t="s">
        <v>91</v>
      </c>
      <c r="O1681" t="s">
        <v>903</v>
      </c>
      <c r="P1681">
        <v>114</v>
      </c>
      <c r="Q1681">
        <v>3</v>
      </c>
      <c r="R1681">
        <v>137</v>
      </c>
      <c r="S1681">
        <v>248.9</v>
      </c>
      <c r="T1681" t="s">
        <v>37</v>
      </c>
      <c r="U1681" s="3"/>
      <c r="V1681" s="3"/>
      <c r="W1681" s="3"/>
    </row>
    <row r="1682" spans="1:23">
      <c r="A1682" t="s">
        <v>3603</v>
      </c>
      <c r="B1682" t="s">
        <v>247</v>
      </c>
      <c r="C1682" t="s">
        <v>22</v>
      </c>
      <c r="D1682" s="2">
        <v>38171</v>
      </c>
      <c r="E1682" t="s">
        <v>3604</v>
      </c>
      <c r="F1682" s="2">
        <v>45813</v>
      </c>
      <c r="G1682" t="s">
        <v>152</v>
      </c>
      <c r="H1682" t="s">
        <v>63</v>
      </c>
      <c r="I1682" t="s">
        <v>96</v>
      </c>
      <c r="J1682" t="s">
        <v>80</v>
      </c>
      <c r="K1682" t="s">
        <v>161</v>
      </c>
      <c r="L1682">
        <v>58562.91</v>
      </c>
      <c r="M1682">
        <v>35141.19</v>
      </c>
      <c r="O1682">
        <v>4</v>
      </c>
      <c r="P1682">
        <v>197</v>
      </c>
      <c r="Q1682">
        <v>4</v>
      </c>
      <c r="R1682">
        <v>138</v>
      </c>
      <c r="S1682">
        <v>159.19999999999999</v>
      </c>
      <c r="T1682" t="s">
        <v>47</v>
      </c>
      <c r="U1682" s="3"/>
      <c r="V1682" s="3"/>
      <c r="W1682" s="3"/>
    </row>
    <row r="1683" spans="1:23">
      <c r="A1683" t="s">
        <v>3605</v>
      </c>
      <c r="B1683" t="s">
        <v>150</v>
      </c>
      <c r="C1683" t="s">
        <v>133</v>
      </c>
      <c r="D1683" s="2">
        <v>33921</v>
      </c>
      <c r="E1683" s="2">
        <v>45850</v>
      </c>
      <c r="F1683" s="2">
        <v>45855</v>
      </c>
      <c r="G1683" t="s">
        <v>23</v>
      </c>
      <c r="H1683" t="s">
        <v>226</v>
      </c>
      <c r="I1683" t="s">
        <v>53</v>
      </c>
      <c r="J1683" t="s">
        <v>179</v>
      </c>
      <c r="L1683">
        <v>70030.92</v>
      </c>
      <c r="M1683">
        <v>52250.69</v>
      </c>
      <c r="N1683" t="s">
        <v>192</v>
      </c>
      <c r="O1683">
        <v>5</v>
      </c>
      <c r="P1683">
        <v>161</v>
      </c>
      <c r="Q1683">
        <v>4</v>
      </c>
      <c r="S1683">
        <v>187</v>
      </c>
      <c r="T1683" t="s">
        <v>37</v>
      </c>
      <c r="U1683" s="3"/>
      <c r="V1683" s="3"/>
      <c r="W1683" s="3"/>
    </row>
    <row r="1684" spans="1:23">
      <c r="A1684" t="s">
        <v>3606</v>
      </c>
      <c r="B1684" t="s">
        <v>1830</v>
      </c>
      <c r="C1684" t="s">
        <v>60</v>
      </c>
      <c r="D1684" s="2">
        <v>33036</v>
      </c>
      <c r="E1684" s="2">
        <v>45432</v>
      </c>
      <c r="F1684" s="2">
        <v>45436</v>
      </c>
      <c r="G1684" t="s">
        <v>105</v>
      </c>
      <c r="H1684" t="s">
        <v>63</v>
      </c>
      <c r="I1684" t="s">
        <v>25</v>
      </c>
      <c r="J1684" t="s">
        <v>71</v>
      </c>
      <c r="K1684" t="s">
        <v>27</v>
      </c>
      <c r="L1684">
        <v>99295.21</v>
      </c>
      <c r="M1684">
        <v>82448.479999999996</v>
      </c>
      <c r="N1684" t="s">
        <v>35</v>
      </c>
      <c r="O1684">
        <v>4</v>
      </c>
      <c r="P1684">
        <v>80</v>
      </c>
      <c r="Q1684">
        <v>4</v>
      </c>
      <c r="R1684">
        <v>159</v>
      </c>
      <c r="S1684">
        <v>230.7</v>
      </c>
      <c r="T1684" t="s">
        <v>65</v>
      </c>
      <c r="U1684" s="3"/>
      <c r="V1684" s="3"/>
      <c r="W1684" s="3"/>
    </row>
    <row r="1685" spans="1:23">
      <c r="A1685" t="s">
        <v>3607</v>
      </c>
      <c r="B1685" t="s">
        <v>940</v>
      </c>
      <c r="C1685" t="s">
        <v>60</v>
      </c>
      <c r="D1685" s="2">
        <v>26628</v>
      </c>
      <c r="E1685" s="2">
        <v>45053</v>
      </c>
      <c r="F1685" s="2">
        <v>45065</v>
      </c>
      <c r="G1685" t="s">
        <v>23</v>
      </c>
      <c r="H1685" t="s">
        <v>113</v>
      </c>
      <c r="I1685" t="s">
        <v>25</v>
      </c>
      <c r="J1685" t="s">
        <v>80</v>
      </c>
      <c r="K1685" t="s">
        <v>55</v>
      </c>
      <c r="L1685">
        <v>128589.56</v>
      </c>
      <c r="M1685">
        <v>87073.48</v>
      </c>
      <c r="N1685" t="s">
        <v>192</v>
      </c>
      <c r="O1685">
        <v>12</v>
      </c>
      <c r="P1685">
        <v>134</v>
      </c>
      <c r="R1685">
        <v>113</v>
      </c>
      <c r="S1685">
        <v>106.1</v>
      </c>
      <c r="T1685" t="s">
        <v>47</v>
      </c>
      <c r="U1685" s="3"/>
      <c r="V1685" s="3"/>
      <c r="W1685" s="3"/>
    </row>
    <row r="1686" spans="1:23">
      <c r="A1686" t="s">
        <v>3608</v>
      </c>
      <c r="B1686" t="s">
        <v>1678</v>
      </c>
      <c r="C1686" t="s">
        <v>206</v>
      </c>
      <c r="D1686" s="2">
        <v>27867</v>
      </c>
      <c r="E1686" s="2">
        <v>45668</v>
      </c>
      <c r="F1686" t="s">
        <v>3609</v>
      </c>
      <c r="G1686" t="s">
        <v>31</v>
      </c>
      <c r="H1686" t="s">
        <v>78</v>
      </c>
      <c r="I1686" t="s">
        <v>53</v>
      </c>
      <c r="J1686" t="s">
        <v>97</v>
      </c>
      <c r="K1686" t="s">
        <v>55</v>
      </c>
      <c r="L1686">
        <v>85190.86</v>
      </c>
      <c r="M1686">
        <v>65843.990000000005</v>
      </c>
      <c r="N1686" t="s">
        <v>192</v>
      </c>
      <c r="O1686">
        <v>17</v>
      </c>
      <c r="P1686">
        <v>74</v>
      </c>
      <c r="Q1686">
        <v>4</v>
      </c>
      <c r="R1686">
        <v>152</v>
      </c>
      <c r="S1686">
        <v>201.5</v>
      </c>
      <c r="T1686" t="s">
        <v>47</v>
      </c>
      <c r="U1686" s="3"/>
      <c r="V1686" s="3"/>
      <c r="W1686" s="3"/>
    </row>
    <row r="1687" spans="1:23">
      <c r="A1687" t="s">
        <v>3610</v>
      </c>
      <c r="B1687" t="s">
        <v>168</v>
      </c>
      <c r="C1687" t="s">
        <v>100</v>
      </c>
      <c r="D1687" s="2">
        <v>32275</v>
      </c>
      <c r="E1687" s="2">
        <v>45024</v>
      </c>
      <c r="F1687" s="2">
        <v>45038</v>
      </c>
      <c r="G1687" t="s">
        <v>89</v>
      </c>
      <c r="H1687" t="s">
        <v>118</v>
      </c>
      <c r="I1687" t="s">
        <v>119</v>
      </c>
      <c r="J1687" t="s">
        <v>64</v>
      </c>
      <c r="K1687" t="s">
        <v>110</v>
      </c>
      <c r="L1687">
        <v>195163.99</v>
      </c>
      <c r="M1687">
        <v>172149.26</v>
      </c>
      <c r="O1687">
        <v>14</v>
      </c>
      <c r="P1687">
        <v>142</v>
      </c>
      <c r="Q1687">
        <v>4</v>
      </c>
      <c r="R1687">
        <v>120</v>
      </c>
      <c r="S1687">
        <v>218.5</v>
      </c>
      <c r="T1687" t="s">
        <v>37</v>
      </c>
      <c r="U1687" s="3"/>
      <c r="V1687" s="3"/>
      <c r="W1687" s="3"/>
    </row>
    <row r="1688" spans="1:23">
      <c r="A1688" t="s">
        <v>3611</v>
      </c>
      <c r="B1688" t="s">
        <v>1108</v>
      </c>
      <c r="D1688" t="s">
        <v>3612</v>
      </c>
      <c r="E1688" t="s">
        <v>3613</v>
      </c>
      <c r="F1688" t="s">
        <v>1287</v>
      </c>
      <c r="G1688" t="s">
        <v>190</v>
      </c>
      <c r="H1688" t="s">
        <v>153</v>
      </c>
      <c r="J1688" t="s">
        <v>106</v>
      </c>
      <c r="K1688" t="s">
        <v>114</v>
      </c>
      <c r="L1688">
        <v>101841.5</v>
      </c>
      <c r="M1688">
        <v>71992.179999999993</v>
      </c>
      <c r="O1688">
        <v>3</v>
      </c>
      <c r="P1688">
        <v>237</v>
      </c>
      <c r="Q1688">
        <v>3</v>
      </c>
      <c r="R1688">
        <v>160</v>
      </c>
      <c r="S1688">
        <v>251.3</v>
      </c>
      <c r="T1688" t="s">
        <v>65</v>
      </c>
      <c r="U1688" s="3"/>
      <c r="V1688" s="3"/>
      <c r="W1688" s="3"/>
    </row>
    <row r="1689" spans="1:23">
      <c r="A1689" t="s">
        <v>3614</v>
      </c>
      <c r="B1689" t="s">
        <v>311</v>
      </c>
      <c r="C1689" t="s">
        <v>22</v>
      </c>
      <c r="D1689" s="2">
        <v>39674</v>
      </c>
      <c r="E1689" s="2">
        <v>45705</v>
      </c>
      <c r="G1689" t="s">
        <v>77</v>
      </c>
      <c r="H1689" t="s">
        <v>78</v>
      </c>
      <c r="K1689" t="s">
        <v>120</v>
      </c>
      <c r="L1689">
        <v>203452.43</v>
      </c>
      <c r="M1689">
        <v>153878.07</v>
      </c>
      <c r="N1689" t="s">
        <v>467</v>
      </c>
      <c r="O1689">
        <v>8</v>
      </c>
      <c r="P1689">
        <v>175</v>
      </c>
      <c r="Q1689">
        <v>1</v>
      </c>
      <c r="R1689">
        <v>164</v>
      </c>
      <c r="S1689">
        <v>75.400000000000006</v>
      </c>
      <c r="U1689" s="3"/>
      <c r="V1689" s="3"/>
      <c r="W1689" s="3"/>
    </row>
    <row r="1690" spans="1:23">
      <c r="A1690" t="s">
        <v>3615</v>
      </c>
      <c r="B1690" t="s">
        <v>423</v>
      </c>
      <c r="C1690" t="s">
        <v>40</v>
      </c>
      <c r="D1690" s="2">
        <v>29603</v>
      </c>
      <c r="E1690" s="2">
        <v>45240</v>
      </c>
      <c r="F1690" s="2">
        <v>45245</v>
      </c>
      <c r="G1690" t="s">
        <v>144</v>
      </c>
      <c r="H1690" t="s">
        <v>124</v>
      </c>
      <c r="I1690" t="s">
        <v>119</v>
      </c>
      <c r="J1690" t="s">
        <v>197</v>
      </c>
      <c r="K1690" t="s">
        <v>120</v>
      </c>
      <c r="L1690">
        <v>189873.1</v>
      </c>
      <c r="M1690">
        <v>168124.15</v>
      </c>
      <c r="N1690" t="s">
        <v>73</v>
      </c>
      <c r="O1690">
        <v>5</v>
      </c>
      <c r="P1690">
        <v>6</v>
      </c>
      <c r="Q1690">
        <v>3</v>
      </c>
      <c r="R1690">
        <v>164</v>
      </c>
      <c r="S1690">
        <v>200.8</v>
      </c>
      <c r="T1690" t="s">
        <v>37</v>
      </c>
      <c r="U1690" s="3"/>
      <c r="V1690" s="3"/>
      <c r="W1690" s="3"/>
    </row>
    <row r="1691" spans="1:23">
      <c r="A1691" t="s">
        <v>3616</v>
      </c>
      <c r="B1691" t="s">
        <v>652</v>
      </c>
      <c r="C1691" t="s">
        <v>84</v>
      </c>
      <c r="D1691" s="2">
        <v>23000</v>
      </c>
      <c r="E1691" s="2">
        <v>44984</v>
      </c>
      <c r="F1691" t="s">
        <v>3617</v>
      </c>
      <c r="G1691" t="s">
        <v>77</v>
      </c>
      <c r="H1691" t="s">
        <v>63</v>
      </c>
      <c r="J1691" t="s">
        <v>71</v>
      </c>
      <c r="K1691" t="s">
        <v>55</v>
      </c>
      <c r="L1691">
        <v>80043.77</v>
      </c>
      <c r="M1691">
        <v>56548.01</v>
      </c>
      <c r="N1691" t="s">
        <v>56</v>
      </c>
      <c r="O1691">
        <v>9</v>
      </c>
      <c r="P1691">
        <v>39</v>
      </c>
      <c r="Q1691">
        <v>4</v>
      </c>
      <c r="R1691">
        <v>119</v>
      </c>
      <c r="S1691">
        <v>107.2</v>
      </c>
      <c r="T1691" t="s">
        <v>47</v>
      </c>
      <c r="U1691" s="3"/>
      <c r="V1691" s="3"/>
      <c r="W1691" s="3"/>
    </row>
    <row r="1692" spans="1:23">
      <c r="A1692" t="s">
        <v>3618</v>
      </c>
      <c r="B1692" t="s">
        <v>613</v>
      </c>
      <c r="C1692" t="s">
        <v>133</v>
      </c>
      <c r="D1692" s="2">
        <v>27723</v>
      </c>
      <c r="E1692" s="2">
        <v>45448</v>
      </c>
      <c r="F1692" s="2">
        <v>45457</v>
      </c>
      <c r="G1692" t="s">
        <v>152</v>
      </c>
      <c r="H1692" t="s">
        <v>86</v>
      </c>
      <c r="I1692" t="s">
        <v>119</v>
      </c>
      <c r="K1692" t="s">
        <v>27</v>
      </c>
      <c r="L1692">
        <v>62663.839999999997</v>
      </c>
      <c r="M1692">
        <v>61296.43</v>
      </c>
      <c r="N1692" t="s">
        <v>1048</v>
      </c>
      <c r="O1692">
        <v>9</v>
      </c>
      <c r="P1692">
        <v>35</v>
      </c>
      <c r="R1692">
        <v>177</v>
      </c>
      <c r="S1692">
        <v>162</v>
      </c>
      <c r="U1692" s="3"/>
      <c r="V1692" s="3"/>
      <c r="W1692" s="3"/>
    </row>
    <row r="1693" spans="1:23">
      <c r="A1693" t="s">
        <v>3619</v>
      </c>
      <c r="B1693" t="s">
        <v>541</v>
      </c>
      <c r="C1693" t="s">
        <v>60</v>
      </c>
      <c r="D1693" t="s">
        <v>3620</v>
      </c>
      <c r="E1693" t="s">
        <v>3279</v>
      </c>
      <c r="F1693" s="2">
        <v>46021</v>
      </c>
      <c r="G1693" t="s">
        <v>43</v>
      </c>
      <c r="H1693" t="s">
        <v>113</v>
      </c>
      <c r="I1693" t="s">
        <v>25</v>
      </c>
      <c r="J1693" t="s">
        <v>34</v>
      </c>
      <c r="K1693" t="s">
        <v>120</v>
      </c>
      <c r="L1693">
        <v>167124.98000000001</v>
      </c>
      <c r="M1693">
        <v>112732.45</v>
      </c>
      <c r="N1693" t="s">
        <v>73</v>
      </c>
      <c r="O1693">
        <v>6</v>
      </c>
      <c r="P1693">
        <v>61</v>
      </c>
      <c r="Q1693">
        <v>2</v>
      </c>
      <c r="R1693">
        <v>157</v>
      </c>
      <c r="S1693">
        <v>246.4</v>
      </c>
      <c r="T1693" t="s">
        <v>37</v>
      </c>
      <c r="U1693" s="3"/>
      <c r="V1693" s="3"/>
      <c r="W1693" s="3"/>
    </row>
    <row r="1694" spans="1:23">
      <c r="A1694" t="s">
        <v>3621</v>
      </c>
      <c r="B1694" t="s">
        <v>522</v>
      </c>
      <c r="C1694" t="s">
        <v>206</v>
      </c>
      <c r="D1694" s="2">
        <v>39472</v>
      </c>
      <c r="E1694" s="2">
        <v>45214</v>
      </c>
      <c r="F1694" s="2">
        <v>45226</v>
      </c>
      <c r="G1694" t="s">
        <v>105</v>
      </c>
      <c r="H1694" t="s">
        <v>86</v>
      </c>
      <c r="I1694" t="s">
        <v>119</v>
      </c>
      <c r="J1694" t="s">
        <v>34</v>
      </c>
      <c r="K1694" t="s">
        <v>55</v>
      </c>
      <c r="L1694">
        <v>79128.22</v>
      </c>
      <c r="M1694">
        <v>48369.36</v>
      </c>
      <c r="N1694" t="s">
        <v>192</v>
      </c>
      <c r="O1694">
        <v>12</v>
      </c>
      <c r="P1694">
        <v>22</v>
      </c>
      <c r="Q1694">
        <v>4</v>
      </c>
      <c r="R1694">
        <v>134</v>
      </c>
      <c r="S1694">
        <v>125.5</v>
      </c>
      <c r="T1694" t="s">
        <v>37</v>
      </c>
      <c r="U1694" s="3"/>
      <c r="V1694" s="3"/>
      <c r="W1694" s="3"/>
    </row>
    <row r="1695" spans="1:23">
      <c r="A1695" t="s">
        <v>3622</v>
      </c>
      <c r="B1695" t="s">
        <v>2249</v>
      </c>
      <c r="C1695" t="s">
        <v>100</v>
      </c>
      <c r="D1695" s="2">
        <v>19957</v>
      </c>
      <c r="E1695" s="2">
        <v>45633</v>
      </c>
      <c r="F1695" s="2">
        <v>45636</v>
      </c>
      <c r="G1695" t="s">
        <v>152</v>
      </c>
      <c r="H1695" t="s">
        <v>118</v>
      </c>
      <c r="I1695" t="s">
        <v>25</v>
      </c>
      <c r="K1695" t="s">
        <v>27</v>
      </c>
      <c r="L1695">
        <v>161568.74</v>
      </c>
      <c r="M1695">
        <v>104012.79</v>
      </c>
      <c r="N1695" t="s">
        <v>192</v>
      </c>
      <c r="O1695">
        <v>3</v>
      </c>
      <c r="P1695">
        <v>177</v>
      </c>
      <c r="Q1695">
        <v>5</v>
      </c>
      <c r="R1695">
        <v>188</v>
      </c>
      <c r="S1695">
        <v>161.1</v>
      </c>
      <c r="T1695" t="s">
        <v>37</v>
      </c>
      <c r="U1695" s="3"/>
      <c r="V1695" s="3"/>
      <c r="W1695" s="3"/>
    </row>
    <row r="1696" spans="1:23">
      <c r="A1696" t="s">
        <v>3623</v>
      </c>
      <c r="B1696" t="s">
        <v>2029</v>
      </c>
      <c r="C1696" t="s">
        <v>84</v>
      </c>
      <c r="D1696" s="2">
        <v>22506</v>
      </c>
      <c r="E1696" s="2">
        <v>45582</v>
      </c>
      <c r="F1696" s="2">
        <v>45589</v>
      </c>
      <c r="G1696" t="s">
        <v>109</v>
      </c>
      <c r="H1696" t="s">
        <v>95</v>
      </c>
      <c r="K1696" t="s">
        <v>72</v>
      </c>
      <c r="L1696">
        <v>173832.66</v>
      </c>
      <c r="M1696">
        <v>127781.77</v>
      </c>
      <c r="N1696" t="s">
        <v>73</v>
      </c>
      <c r="O1696">
        <v>7</v>
      </c>
      <c r="P1696">
        <v>138</v>
      </c>
      <c r="Q1696">
        <v>3</v>
      </c>
      <c r="R1696">
        <v>120</v>
      </c>
      <c r="S1696">
        <v>252.9</v>
      </c>
      <c r="T1696" t="s">
        <v>65</v>
      </c>
      <c r="U1696" s="3"/>
      <c r="V1696" s="3"/>
      <c r="W1696" s="3"/>
    </row>
    <row r="1697" spans="1:23">
      <c r="A1697" t="s">
        <v>3624</v>
      </c>
      <c r="B1697" t="s">
        <v>1302</v>
      </c>
      <c r="C1697" t="s">
        <v>22</v>
      </c>
      <c r="D1697" t="s">
        <v>3625</v>
      </c>
      <c r="E1697" s="2">
        <v>45216</v>
      </c>
      <c r="F1697" s="2">
        <v>45217</v>
      </c>
      <c r="G1697" t="s">
        <v>152</v>
      </c>
      <c r="H1697" t="s">
        <v>63</v>
      </c>
      <c r="I1697" t="s">
        <v>33</v>
      </c>
      <c r="J1697" t="s">
        <v>64</v>
      </c>
      <c r="L1697">
        <v>214231.19</v>
      </c>
      <c r="M1697">
        <v>143313.76</v>
      </c>
      <c r="O1697">
        <v>1</v>
      </c>
      <c r="P1697">
        <v>53</v>
      </c>
      <c r="Q1697">
        <v>3</v>
      </c>
      <c r="R1697">
        <v>111</v>
      </c>
      <c r="S1697">
        <v>89.5</v>
      </c>
      <c r="U1697" s="3"/>
      <c r="V1697" s="3"/>
      <c r="W1697" s="3"/>
    </row>
    <row r="1698" spans="1:23">
      <c r="A1698" t="s">
        <v>3626</v>
      </c>
      <c r="B1698" t="s">
        <v>304</v>
      </c>
      <c r="C1698" t="s">
        <v>60</v>
      </c>
      <c r="D1698" s="2">
        <v>18606</v>
      </c>
      <c r="E1698" s="2">
        <v>45143</v>
      </c>
      <c r="F1698" s="2">
        <v>45145</v>
      </c>
      <c r="G1698" t="s">
        <v>77</v>
      </c>
      <c r="H1698" t="s">
        <v>124</v>
      </c>
      <c r="I1698" t="s">
        <v>33</v>
      </c>
      <c r="J1698" t="s">
        <v>179</v>
      </c>
      <c r="K1698" t="s">
        <v>110</v>
      </c>
      <c r="L1698">
        <v>246848.58</v>
      </c>
      <c r="M1698">
        <v>185765.46</v>
      </c>
      <c r="N1698" t="s">
        <v>73</v>
      </c>
      <c r="O1698">
        <v>2</v>
      </c>
      <c r="P1698">
        <v>157</v>
      </c>
      <c r="Q1698">
        <v>5</v>
      </c>
      <c r="R1698">
        <v>147</v>
      </c>
      <c r="S1698">
        <v>132.1</v>
      </c>
      <c r="T1698" t="s">
        <v>65</v>
      </c>
      <c r="U1698" s="3"/>
      <c r="V1698" s="3"/>
      <c r="W1698" s="3"/>
    </row>
    <row r="1699" spans="1:23">
      <c r="A1699" t="s">
        <v>3627</v>
      </c>
      <c r="B1699" t="s">
        <v>427</v>
      </c>
      <c r="C1699" t="s">
        <v>60</v>
      </c>
      <c r="D1699" s="2">
        <v>22071</v>
      </c>
      <c r="E1699" s="2">
        <v>45883</v>
      </c>
      <c r="F1699" s="2">
        <v>45896</v>
      </c>
      <c r="H1699" t="s">
        <v>95</v>
      </c>
      <c r="I1699" t="s">
        <v>53</v>
      </c>
      <c r="J1699" t="s">
        <v>26</v>
      </c>
      <c r="K1699" t="s">
        <v>110</v>
      </c>
      <c r="L1699">
        <v>226760.06</v>
      </c>
      <c r="M1699">
        <v>169257.43</v>
      </c>
      <c r="N1699" t="s">
        <v>73</v>
      </c>
      <c r="O1699">
        <v>13</v>
      </c>
      <c r="P1699">
        <v>46</v>
      </c>
      <c r="Q1699">
        <v>2</v>
      </c>
      <c r="R1699">
        <v>116</v>
      </c>
      <c r="S1699">
        <v>110.7</v>
      </c>
      <c r="T1699" t="s">
        <v>65</v>
      </c>
      <c r="U1699" s="3"/>
      <c r="V1699" s="3"/>
      <c r="W1699" s="3"/>
    </row>
    <row r="1700" spans="1:23">
      <c r="A1700" t="s">
        <v>3628</v>
      </c>
      <c r="B1700" t="s">
        <v>345</v>
      </c>
      <c r="D1700" t="s">
        <v>3629</v>
      </c>
      <c r="E1700" s="2">
        <v>45549</v>
      </c>
      <c r="G1700" t="s">
        <v>109</v>
      </c>
      <c r="H1700" t="s">
        <v>32</v>
      </c>
      <c r="I1700" t="s">
        <v>119</v>
      </c>
      <c r="J1700" t="s">
        <v>80</v>
      </c>
      <c r="K1700" t="s">
        <v>72</v>
      </c>
      <c r="L1700">
        <v>190848.47</v>
      </c>
      <c r="M1700">
        <v>172928.14</v>
      </c>
      <c r="N1700" t="s">
        <v>192</v>
      </c>
      <c r="O1700">
        <v>10</v>
      </c>
      <c r="P1700">
        <v>198</v>
      </c>
      <c r="R1700">
        <v>187</v>
      </c>
      <c r="S1700">
        <v>175.6</v>
      </c>
      <c r="U1700" s="3"/>
      <c r="V1700" s="3"/>
      <c r="W1700" s="3"/>
    </row>
    <row r="1701" spans="1:23">
      <c r="A1701" t="s">
        <v>3630</v>
      </c>
      <c r="B1701" t="s">
        <v>879</v>
      </c>
      <c r="C1701" t="s">
        <v>206</v>
      </c>
      <c r="D1701" s="2">
        <v>29921</v>
      </c>
      <c r="E1701" t="s">
        <v>3631</v>
      </c>
      <c r="F1701" s="2">
        <v>45589</v>
      </c>
      <c r="H1701" t="s">
        <v>63</v>
      </c>
      <c r="I1701" t="s">
        <v>25</v>
      </c>
      <c r="J1701" t="s">
        <v>34</v>
      </c>
      <c r="K1701" t="s">
        <v>72</v>
      </c>
      <c r="L1701">
        <v>117329.88</v>
      </c>
      <c r="M1701">
        <v>92971.64</v>
      </c>
      <c r="N1701" t="s">
        <v>326</v>
      </c>
      <c r="O1701">
        <v>4</v>
      </c>
      <c r="P1701">
        <v>110</v>
      </c>
      <c r="Q1701">
        <v>5</v>
      </c>
      <c r="R1701">
        <v>133</v>
      </c>
      <c r="S1701">
        <v>82.7</v>
      </c>
      <c r="T1701" t="s">
        <v>65</v>
      </c>
      <c r="U1701" s="3"/>
      <c r="V1701" s="3"/>
      <c r="W1701" s="3"/>
    </row>
    <row r="1702" spans="1:23">
      <c r="A1702" t="s">
        <v>3632</v>
      </c>
      <c r="B1702" t="s">
        <v>433</v>
      </c>
      <c r="C1702" t="s">
        <v>50</v>
      </c>
      <c r="D1702" t="s">
        <v>3633</v>
      </c>
      <c r="E1702" s="2">
        <v>45023</v>
      </c>
      <c r="F1702" s="2">
        <v>45033</v>
      </c>
      <c r="G1702" t="s">
        <v>43</v>
      </c>
      <c r="I1702" t="s">
        <v>25</v>
      </c>
      <c r="J1702" t="s">
        <v>34</v>
      </c>
      <c r="K1702" t="s">
        <v>120</v>
      </c>
      <c r="L1702">
        <v>57042.080000000002</v>
      </c>
      <c r="M1702">
        <v>45317.82</v>
      </c>
      <c r="N1702" t="s">
        <v>56</v>
      </c>
      <c r="O1702">
        <v>10</v>
      </c>
      <c r="P1702">
        <v>217</v>
      </c>
      <c r="Q1702">
        <v>3</v>
      </c>
      <c r="R1702">
        <v>154</v>
      </c>
      <c r="S1702">
        <v>140.5</v>
      </c>
      <c r="U1702" s="3"/>
      <c r="V1702" s="3"/>
      <c r="W1702" s="3"/>
    </row>
    <row r="1703" spans="1:23">
      <c r="A1703" t="s">
        <v>3634</v>
      </c>
      <c r="B1703" t="s">
        <v>368</v>
      </c>
      <c r="C1703" t="s">
        <v>100</v>
      </c>
      <c r="D1703" t="s">
        <v>3635</v>
      </c>
      <c r="E1703" s="2">
        <v>45503</v>
      </c>
      <c r="F1703" t="s">
        <v>3636</v>
      </c>
      <c r="G1703" t="s">
        <v>43</v>
      </c>
      <c r="I1703" t="s">
        <v>53</v>
      </c>
      <c r="J1703" t="s">
        <v>645</v>
      </c>
      <c r="K1703" t="s">
        <v>120</v>
      </c>
      <c r="L1703">
        <v>96063.21</v>
      </c>
      <c r="M1703">
        <v>94804.85</v>
      </c>
      <c r="O1703">
        <v>9</v>
      </c>
      <c r="P1703">
        <v>29</v>
      </c>
      <c r="Q1703">
        <v>5</v>
      </c>
      <c r="R1703">
        <v>155</v>
      </c>
      <c r="S1703">
        <v>158.19999999999999</v>
      </c>
      <c r="T1703" t="s">
        <v>37</v>
      </c>
      <c r="U1703" s="3"/>
      <c r="V1703" s="3"/>
      <c r="W1703" s="3"/>
    </row>
    <row r="1704" spans="1:23">
      <c r="A1704" t="s">
        <v>3637</v>
      </c>
      <c r="B1704" t="s">
        <v>202</v>
      </c>
      <c r="C1704" t="s">
        <v>100</v>
      </c>
      <c r="D1704" s="2">
        <v>26204</v>
      </c>
      <c r="E1704" s="2">
        <v>45527</v>
      </c>
      <c r="F1704" s="2">
        <v>45530</v>
      </c>
      <c r="G1704" t="s">
        <v>105</v>
      </c>
      <c r="H1704" t="s">
        <v>86</v>
      </c>
      <c r="I1704" t="s">
        <v>119</v>
      </c>
      <c r="K1704" t="s">
        <v>55</v>
      </c>
      <c r="L1704">
        <v>178796.05</v>
      </c>
      <c r="M1704">
        <v>132316.43</v>
      </c>
      <c r="N1704" t="s">
        <v>192</v>
      </c>
      <c r="O1704">
        <v>3</v>
      </c>
      <c r="P1704">
        <v>188</v>
      </c>
      <c r="R1704">
        <v>173</v>
      </c>
      <c r="S1704">
        <v>199.1</v>
      </c>
      <c r="T1704" t="s">
        <v>37</v>
      </c>
      <c r="U1704" s="3"/>
      <c r="V1704" s="3"/>
      <c r="W1704" s="3"/>
    </row>
    <row r="1705" spans="1:23">
      <c r="A1705" t="s">
        <v>3638</v>
      </c>
      <c r="B1705" t="s">
        <v>1293</v>
      </c>
      <c r="C1705" t="s">
        <v>100</v>
      </c>
      <c r="D1705" s="2">
        <v>23220</v>
      </c>
      <c r="E1705" s="2">
        <v>44979</v>
      </c>
      <c r="F1705" s="2">
        <v>44997</v>
      </c>
      <c r="G1705" t="s">
        <v>161</v>
      </c>
      <c r="I1705" t="s">
        <v>25</v>
      </c>
      <c r="J1705" t="s">
        <v>204</v>
      </c>
      <c r="K1705" t="s">
        <v>106</v>
      </c>
      <c r="L1705">
        <v>168189.08</v>
      </c>
      <c r="M1705">
        <v>151667.37</v>
      </c>
      <c r="N1705" t="s">
        <v>73</v>
      </c>
      <c r="O1705">
        <v>18</v>
      </c>
      <c r="P1705">
        <v>197</v>
      </c>
      <c r="Q1705">
        <v>5</v>
      </c>
      <c r="R1705">
        <v>167</v>
      </c>
      <c r="S1705">
        <v>212.9</v>
      </c>
      <c r="U1705" s="3"/>
      <c r="V1705" s="3"/>
      <c r="W1705" s="3"/>
    </row>
    <row r="1706" spans="1:23">
      <c r="A1706" t="s">
        <v>3639</v>
      </c>
      <c r="B1706" t="s">
        <v>283</v>
      </c>
      <c r="D1706" s="2">
        <v>35556</v>
      </c>
      <c r="E1706" s="2">
        <v>45109</v>
      </c>
      <c r="F1706" s="2">
        <v>45110</v>
      </c>
      <c r="G1706" t="s">
        <v>62</v>
      </c>
      <c r="H1706" t="s">
        <v>24</v>
      </c>
      <c r="I1706" t="s">
        <v>96</v>
      </c>
      <c r="J1706" t="s">
        <v>26</v>
      </c>
      <c r="K1706" t="s">
        <v>110</v>
      </c>
      <c r="L1706">
        <v>219412.78</v>
      </c>
      <c r="M1706">
        <v>189485.54</v>
      </c>
      <c r="O1706">
        <v>1</v>
      </c>
      <c r="P1706">
        <v>109</v>
      </c>
      <c r="Q1706">
        <v>5</v>
      </c>
      <c r="R1706">
        <v>124</v>
      </c>
      <c r="S1706">
        <v>178.4</v>
      </c>
      <c r="T1706" t="s">
        <v>37</v>
      </c>
      <c r="U1706" s="3"/>
      <c r="V1706" s="3"/>
      <c r="W1706" s="3"/>
    </row>
    <row r="1707" spans="1:23">
      <c r="A1707" t="s">
        <v>3640</v>
      </c>
      <c r="B1707" t="s">
        <v>545</v>
      </c>
      <c r="C1707" t="s">
        <v>206</v>
      </c>
      <c r="D1707" s="2">
        <v>18502</v>
      </c>
      <c r="E1707" s="2">
        <v>45703</v>
      </c>
      <c r="F1707" s="2">
        <v>45704</v>
      </c>
      <c r="G1707" t="s">
        <v>141</v>
      </c>
      <c r="H1707" t="s">
        <v>134</v>
      </c>
      <c r="I1707" t="s">
        <v>33</v>
      </c>
      <c r="J1707" t="s">
        <v>34</v>
      </c>
      <c r="K1707" t="s">
        <v>55</v>
      </c>
      <c r="L1707" t="s">
        <v>3641</v>
      </c>
      <c r="M1707">
        <v>112806.27</v>
      </c>
      <c r="N1707" t="s">
        <v>91</v>
      </c>
      <c r="O1707">
        <v>1</v>
      </c>
      <c r="P1707">
        <v>98</v>
      </c>
      <c r="Q1707">
        <v>2</v>
      </c>
      <c r="R1707">
        <v>111</v>
      </c>
      <c r="S1707">
        <v>225.3</v>
      </c>
      <c r="T1707" t="s">
        <v>65</v>
      </c>
      <c r="U1707" s="3"/>
      <c r="V1707" s="3"/>
      <c r="W1707" s="3"/>
    </row>
    <row r="1708" spans="1:23">
      <c r="A1708" t="s">
        <v>3642</v>
      </c>
      <c r="B1708" t="s">
        <v>513</v>
      </c>
      <c r="D1708" s="2">
        <v>38051</v>
      </c>
      <c r="E1708" s="2">
        <v>45778</v>
      </c>
      <c r="F1708" s="2">
        <v>45782</v>
      </c>
      <c r="G1708" t="s">
        <v>43</v>
      </c>
      <c r="H1708" t="s">
        <v>118</v>
      </c>
      <c r="I1708" t="s">
        <v>96</v>
      </c>
      <c r="J1708" t="s">
        <v>106</v>
      </c>
      <c r="K1708" t="s">
        <v>110</v>
      </c>
      <c r="L1708">
        <v>9584.2999999999993</v>
      </c>
      <c r="M1708">
        <v>9155.65</v>
      </c>
      <c r="N1708" t="s">
        <v>35</v>
      </c>
      <c r="O1708">
        <v>4</v>
      </c>
      <c r="P1708">
        <v>170</v>
      </c>
      <c r="Q1708">
        <v>3</v>
      </c>
      <c r="R1708">
        <v>153</v>
      </c>
      <c r="S1708">
        <v>150.69999999999999</v>
      </c>
      <c r="T1708" t="s">
        <v>37</v>
      </c>
      <c r="U1708" s="3"/>
      <c r="V1708" s="3"/>
      <c r="W1708" s="3"/>
    </row>
    <row r="1709" spans="1:23">
      <c r="A1709" t="s">
        <v>3643</v>
      </c>
      <c r="B1709" t="s">
        <v>522</v>
      </c>
      <c r="C1709" t="s">
        <v>40</v>
      </c>
      <c r="D1709" s="2">
        <v>26152</v>
      </c>
      <c r="E1709" s="2">
        <v>45461</v>
      </c>
      <c r="F1709" t="s">
        <v>3644</v>
      </c>
      <c r="G1709" t="s">
        <v>89</v>
      </c>
      <c r="H1709" t="s">
        <v>1012</v>
      </c>
      <c r="I1709" t="s">
        <v>79</v>
      </c>
      <c r="J1709" t="s">
        <v>80</v>
      </c>
      <c r="L1709">
        <v>53118.09</v>
      </c>
      <c r="M1709">
        <v>46219.46</v>
      </c>
      <c r="O1709">
        <v>9</v>
      </c>
      <c r="P1709" t="s">
        <v>3645</v>
      </c>
      <c r="Q1709">
        <v>5</v>
      </c>
      <c r="R1709">
        <v>165</v>
      </c>
      <c r="S1709">
        <v>201.6</v>
      </c>
      <c r="T1709" t="s">
        <v>47</v>
      </c>
      <c r="U1709" s="3"/>
      <c r="V1709" s="3"/>
      <c r="W1709" s="3"/>
    </row>
    <row r="1710" spans="1:23">
      <c r="A1710" t="s">
        <v>3646</v>
      </c>
      <c r="B1710" t="s">
        <v>433</v>
      </c>
      <c r="C1710" t="s">
        <v>50</v>
      </c>
      <c r="D1710" s="2">
        <v>39027</v>
      </c>
      <c r="E1710" t="s">
        <v>778</v>
      </c>
      <c r="F1710" s="2">
        <v>45360</v>
      </c>
      <c r="G1710" t="s">
        <v>94</v>
      </c>
      <c r="H1710" t="s">
        <v>90</v>
      </c>
      <c r="I1710" t="s">
        <v>96</v>
      </c>
      <c r="J1710" t="s">
        <v>26</v>
      </c>
      <c r="K1710" t="s">
        <v>27</v>
      </c>
      <c r="L1710">
        <v>158300.98000000001</v>
      </c>
      <c r="M1710">
        <v>105831.94</v>
      </c>
      <c r="N1710" t="s">
        <v>192</v>
      </c>
      <c r="O1710" t="s">
        <v>74</v>
      </c>
      <c r="P1710" t="s">
        <v>1241</v>
      </c>
      <c r="Q1710">
        <v>2</v>
      </c>
      <c r="R1710">
        <v>108</v>
      </c>
      <c r="S1710">
        <v>163</v>
      </c>
      <c r="T1710" t="s">
        <v>37</v>
      </c>
      <c r="U1710" s="3"/>
      <c r="V1710" s="3"/>
      <c r="W1710" s="3"/>
    </row>
    <row r="1711" spans="1:23">
      <c r="A1711" t="s">
        <v>3647</v>
      </c>
      <c r="B1711" t="s">
        <v>752</v>
      </c>
      <c r="C1711" t="s">
        <v>84</v>
      </c>
      <c r="D1711" s="2">
        <v>40243</v>
      </c>
      <c r="E1711" t="s">
        <v>3648</v>
      </c>
      <c r="F1711" s="2">
        <v>45047</v>
      </c>
      <c r="G1711" t="s">
        <v>109</v>
      </c>
      <c r="H1711" t="s">
        <v>113</v>
      </c>
      <c r="I1711" t="s">
        <v>45</v>
      </c>
      <c r="J1711" t="s">
        <v>46</v>
      </c>
      <c r="L1711">
        <v>30273.32</v>
      </c>
      <c r="M1711">
        <v>24574.32</v>
      </c>
      <c r="N1711" t="s">
        <v>73</v>
      </c>
      <c r="O1711">
        <v>10</v>
      </c>
      <c r="P1711">
        <v>229</v>
      </c>
      <c r="R1711">
        <v>102</v>
      </c>
      <c r="T1711" t="s">
        <v>65</v>
      </c>
      <c r="U1711" s="3"/>
      <c r="V1711" s="3"/>
      <c r="W1711" s="3"/>
    </row>
    <row r="1712" spans="1:23">
      <c r="A1712" t="s">
        <v>3649</v>
      </c>
      <c r="B1712" t="s">
        <v>986</v>
      </c>
      <c r="C1712" t="s">
        <v>22</v>
      </c>
      <c r="D1712" s="2">
        <v>21984</v>
      </c>
      <c r="E1712" s="2">
        <v>45126</v>
      </c>
      <c r="G1712" t="s">
        <v>161</v>
      </c>
      <c r="H1712" t="s">
        <v>95</v>
      </c>
      <c r="I1712" t="s">
        <v>45</v>
      </c>
      <c r="J1712" t="s">
        <v>26</v>
      </c>
      <c r="L1712">
        <v>61543.21</v>
      </c>
      <c r="M1712">
        <v>52782.53</v>
      </c>
      <c r="N1712" t="s">
        <v>73</v>
      </c>
      <c r="O1712">
        <v>16</v>
      </c>
      <c r="P1712">
        <v>58</v>
      </c>
      <c r="Q1712">
        <v>5</v>
      </c>
      <c r="R1712">
        <v>94</v>
      </c>
      <c r="S1712">
        <v>112.6</v>
      </c>
      <c r="T1712" t="s">
        <v>37</v>
      </c>
      <c r="U1712" s="3"/>
      <c r="V1712" s="3"/>
      <c r="W1712" s="3"/>
    </row>
    <row r="1713" spans="1:23">
      <c r="A1713" t="s">
        <v>3650</v>
      </c>
      <c r="B1713" t="s">
        <v>1731</v>
      </c>
      <c r="C1713" t="s">
        <v>60</v>
      </c>
      <c r="D1713" s="2">
        <v>19411</v>
      </c>
      <c r="E1713" t="s">
        <v>2030</v>
      </c>
      <c r="F1713" s="2">
        <v>45617</v>
      </c>
      <c r="G1713" t="s">
        <v>31</v>
      </c>
      <c r="H1713" t="s">
        <v>32</v>
      </c>
      <c r="I1713" t="s">
        <v>79</v>
      </c>
      <c r="J1713" t="s">
        <v>64</v>
      </c>
      <c r="K1713" t="s">
        <v>55</v>
      </c>
      <c r="L1713">
        <v>93584.31</v>
      </c>
      <c r="M1713">
        <v>76852.69</v>
      </c>
      <c r="N1713" t="s">
        <v>35</v>
      </c>
      <c r="O1713" t="s">
        <v>1036</v>
      </c>
      <c r="P1713">
        <v>25</v>
      </c>
      <c r="Q1713">
        <v>2</v>
      </c>
      <c r="R1713">
        <v>139</v>
      </c>
      <c r="S1713">
        <v>251.1</v>
      </c>
      <c r="T1713" t="s">
        <v>37</v>
      </c>
      <c r="U1713" s="3"/>
      <c r="V1713" s="3"/>
      <c r="W1713" s="3"/>
    </row>
    <row r="1714" spans="1:23">
      <c r="A1714" t="s">
        <v>3651</v>
      </c>
      <c r="B1714" t="s">
        <v>879</v>
      </c>
      <c r="C1714" t="s">
        <v>100</v>
      </c>
      <c r="D1714" s="2">
        <v>27115</v>
      </c>
      <c r="E1714" t="s">
        <v>3652</v>
      </c>
      <c r="F1714" s="2">
        <v>45192</v>
      </c>
      <c r="G1714" t="s">
        <v>94</v>
      </c>
      <c r="H1714" t="s">
        <v>153</v>
      </c>
      <c r="I1714" t="s">
        <v>119</v>
      </c>
      <c r="J1714" t="s">
        <v>166</v>
      </c>
      <c r="K1714" t="s">
        <v>55</v>
      </c>
      <c r="L1714">
        <v>159164.07</v>
      </c>
      <c r="M1714">
        <v>116422.44</v>
      </c>
      <c r="N1714" t="s">
        <v>73</v>
      </c>
      <c r="O1714">
        <v>4</v>
      </c>
      <c r="P1714">
        <v>74</v>
      </c>
      <c r="Q1714">
        <v>5</v>
      </c>
      <c r="R1714">
        <v>167</v>
      </c>
      <c r="S1714">
        <v>141.6</v>
      </c>
      <c r="U1714" s="3"/>
      <c r="V1714" s="3"/>
      <c r="W1714" s="3"/>
    </row>
    <row r="1715" spans="1:23">
      <c r="A1715" t="s">
        <v>3653</v>
      </c>
      <c r="B1715" t="s">
        <v>116</v>
      </c>
      <c r="D1715" s="2">
        <v>28561</v>
      </c>
      <c r="E1715" t="s">
        <v>3654</v>
      </c>
      <c r="F1715" s="2">
        <v>45545</v>
      </c>
      <c r="G1715" t="s">
        <v>141</v>
      </c>
      <c r="H1715" t="s">
        <v>78</v>
      </c>
      <c r="I1715" t="s">
        <v>25</v>
      </c>
      <c r="J1715" t="s">
        <v>71</v>
      </c>
      <c r="K1715" t="s">
        <v>161</v>
      </c>
      <c r="L1715">
        <v>123650.21</v>
      </c>
      <c r="M1715">
        <v>123339.73</v>
      </c>
      <c r="N1715" t="s">
        <v>1048</v>
      </c>
      <c r="O1715">
        <v>15</v>
      </c>
      <c r="P1715">
        <v>178</v>
      </c>
      <c r="Q1715">
        <v>2</v>
      </c>
      <c r="R1715">
        <v>147</v>
      </c>
      <c r="S1715">
        <v>229</v>
      </c>
      <c r="T1715" t="s">
        <v>37</v>
      </c>
      <c r="U1715" s="3"/>
      <c r="V1715" s="3"/>
      <c r="W1715" s="3"/>
    </row>
    <row r="1716" spans="1:23">
      <c r="A1716" t="s">
        <v>3655</v>
      </c>
      <c r="B1716" t="s">
        <v>1464</v>
      </c>
      <c r="C1716" t="s">
        <v>40</v>
      </c>
      <c r="D1716" t="s">
        <v>3656</v>
      </c>
      <c r="E1716" s="2">
        <v>45578</v>
      </c>
      <c r="F1716" t="s">
        <v>3657</v>
      </c>
      <c r="G1716" t="s">
        <v>31</v>
      </c>
      <c r="H1716" t="s">
        <v>95</v>
      </c>
      <c r="I1716" t="s">
        <v>79</v>
      </c>
      <c r="J1716" t="s">
        <v>71</v>
      </c>
      <c r="K1716" t="s">
        <v>161</v>
      </c>
      <c r="L1716">
        <v>96279.4</v>
      </c>
      <c r="M1716">
        <v>92951.38</v>
      </c>
      <c r="O1716">
        <v>6</v>
      </c>
      <c r="P1716">
        <v>161</v>
      </c>
      <c r="Q1716">
        <v>4</v>
      </c>
      <c r="R1716" t="s">
        <v>1907</v>
      </c>
      <c r="S1716">
        <v>117.5</v>
      </c>
      <c r="T1716" t="s">
        <v>37</v>
      </c>
      <c r="U1716" s="3"/>
      <c r="V1716" s="3"/>
      <c r="W1716" s="3"/>
    </row>
    <row r="1717" spans="1:23">
      <c r="A1717" t="s">
        <v>3658</v>
      </c>
      <c r="B1717" t="s">
        <v>565</v>
      </c>
      <c r="C1717" t="s">
        <v>206</v>
      </c>
      <c r="D1717" s="2">
        <v>29803</v>
      </c>
      <c r="E1717" s="2">
        <v>45830</v>
      </c>
      <c r="F1717" s="2">
        <v>45834</v>
      </c>
      <c r="G1717" t="s">
        <v>109</v>
      </c>
      <c r="I1717" t="s">
        <v>53</v>
      </c>
      <c r="J1717" t="s">
        <v>97</v>
      </c>
      <c r="K1717" t="s">
        <v>161</v>
      </c>
      <c r="L1717">
        <v>66202.95</v>
      </c>
      <c r="M1717">
        <v>66114.25</v>
      </c>
      <c r="N1717" t="s">
        <v>1048</v>
      </c>
      <c r="O1717">
        <v>4</v>
      </c>
      <c r="P1717">
        <v>200</v>
      </c>
      <c r="Q1717">
        <v>1</v>
      </c>
      <c r="R1717">
        <v>181</v>
      </c>
      <c r="S1717">
        <v>108.7</v>
      </c>
      <c r="T1717" t="s">
        <v>37</v>
      </c>
      <c r="U1717" s="3"/>
      <c r="V1717" s="3"/>
      <c r="W1717" s="3"/>
    </row>
    <row r="1718" spans="1:23">
      <c r="A1718" t="s">
        <v>3659</v>
      </c>
      <c r="B1718" t="s">
        <v>155</v>
      </c>
      <c r="C1718" t="s">
        <v>206</v>
      </c>
      <c r="D1718" s="2">
        <v>26416</v>
      </c>
      <c r="E1718" s="2">
        <v>45904</v>
      </c>
      <c r="F1718" s="2">
        <v>45906</v>
      </c>
      <c r="G1718" t="s">
        <v>152</v>
      </c>
      <c r="I1718" t="s">
        <v>79</v>
      </c>
      <c r="J1718" t="s">
        <v>80</v>
      </c>
      <c r="K1718" t="s">
        <v>27</v>
      </c>
      <c r="L1718">
        <v>42395.75</v>
      </c>
      <c r="M1718">
        <v>37206.480000000003</v>
      </c>
      <c r="O1718">
        <v>2</v>
      </c>
      <c r="P1718">
        <v>159</v>
      </c>
      <c r="R1718">
        <v>174</v>
      </c>
      <c r="S1718">
        <v>189.1</v>
      </c>
      <c r="T1718" t="s">
        <v>37</v>
      </c>
      <c r="U1718" s="3"/>
      <c r="V1718" s="3"/>
      <c r="W1718" s="3"/>
    </row>
    <row r="1719" spans="1:23">
      <c r="A1719" t="s">
        <v>3660</v>
      </c>
      <c r="B1719" t="s">
        <v>591</v>
      </c>
      <c r="C1719" t="s">
        <v>1149</v>
      </c>
      <c r="D1719" s="2">
        <v>27856</v>
      </c>
      <c r="E1719" s="2">
        <v>45106</v>
      </c>
      <c r="F1719" s="2">
        <v>45123</v>
      </c>
      <c r="G1719" t="s">
        <v>70</v>
      </c>
      <c r="H1719" t="s">
        <v>78</v>
      </c>
      <c r="I1719" t="s">
        <v>119</v>
      </c>
      <c r="J1719" t="s">
        <v>26</v>
      </c>
      <c r="K1719" t="s">
        <v>120</v>
      </c>
      <c r="L1719">
        <v>182497.01</v>
      </c>
      <c r="M1719">
        <v>140759.23000000001</v>
      </c>
      <c r="N1719" t="s">
        <v>73</v>
      </c>
      <c r="O1719" t="s">
        <v>102</v>
      </c>
      <c r="P1719">
        <v>200</v>
      </c>
      <c r="R1719">
        <v>162</v>
      </c>
      <c r="S1719">
        <v>204.1</v>
      </c>
      <c r="T1719" t="s">
        <v>37</v>
      </c>
      <c r="U1719" s="3"/>
      <c r="V1719" s="3"/>
      <c r="W1719" s="3"/>
    </row>
    <row r="1720" spans="1:23">
      <c r="A1720" t="s">
        <v>3661</v>
      </c>
      <c r="B1720" t="s">
        <v>833</v>
      </c>
      <c r="C1720" t="s">
        <v>22</v>
      </c>
      <c r="D1720" t="s">
        <v>3662</v>
      </c>
      <c r="E1720" s="2">
        <v>45580</v>
      </c>
      <c r="F1720" t="s">
        <v>3663</v>
      </c>
      <c r="G1720" t="s">
        <v>109</v>
      </c>
      <c r="H1720" t="s">
        <v>86</v>
      </c>
      <c r="I1720" t="s">
        <v>45</v>
      </c>
      <c r="J1720" t="s">
        <v>71</v>
      </c>
      <c r="K1720" t="s">
        <v>27</v>
      </c>
      <c r="L1720">
        <v>142049.94</v>
      </c>
      <c r="M1720">
        <v>123299.6</v>
      </c>
      <c r="N1720" t="s">
        <v>35</v>
      </c>
      <c r="O1720">
        <v>11</v>
      </c>
      <c r="R1720">
        <v>106</v>
      </c>
      <c r="T1720" t="s">
        <v>127</v>
      </c>
      <c r="U1720" s="3"/>
      <c r="V1720" s="3"/>
      <c r="W1720" s="3"/>
    </row>
    <row r="1721" spans="1:23">
      <c r="A1721" t="s">
        <v>3664</v>
      </c>
      <c r="B1721" t="s">
        <v>845</v>
      </c>
      <c r="C1721" t="s">
        <v>40</v>
      </c>
      <c r="D1721" t="s">
        <v>3665</v>
      </c>
      <c r="E1721" s="2">
        <v>45200</v>
      </c>
      <c r="F1721" s="2">
        <v>45210</v>
      </c>
      <c r="G1721" t="s">
        <v>152</v>
      </c>
      <c r="H1721" t="s">
        <v>113</v>
      </c>
      <c r="J1721" t="s">
        <v>97</v>
      </c>
      <c r="K1721" t="s">
        <v>110</v>
      </c>
      <c r="L1721">
        <v>78180.88</v>
      </c>
      <c r="M1721">
        <v>63191.81</v>
      </c>
      <c r="N1721" t="s">
        <v>73</v>
      </c>
      <c r="O1721">
        <v>10</v>
      </c>
      <c r="P1721" t="s">
        <v>3666</v>
      </c>
      <c r="Q1721">
        <v>1</v>
      </c>
      <c r="R1721">
        <v>152</v>
      </c>
      <c r="S1721">
        <v>92.6</v>
      </c>
      <c r="T1721" t="s">
        <v>47</v>
      </c>
      <c r="U1721" s="3"/>
      <c r="V1721" s="3"/>
      <c r="W1721" s="3"/>
    </row>
    <row r="1722" spans="1:23">
      <c r="A1722" t="s">
        <v>3667</v>
      </c>
      <c r="B1722" t="s">
        <v>3015</v>
      </c>
      <c r="C1722" t="s">
        <v>60</v>
      </c>
      <c r="D1722" s="2">
        <v>29289</v>
      </c>
      <c r="E1722" s="2">
        <v>45522</v>
      </c>
      <c r="F1722" t="s">
        <v>3098</v>
      </c>
      <c r="G1722" t="s">
        <v>152</v>
      </c>
      <c r="H1722" t="s">
        <v>32</v>
      </c>
      <c r="I1722" t="s">
        <v>79</v>
      </c>
      <c r="L1722">
        <v>146769.49</v>
      </c>
      <c r="M1722">
        <v>118398.76</v>
      </c>
      <c r="O1722">
        <v>12</v>
      </c>
      <c r="P1722">
        <v>213</v>
      </c>
      <c r="R1722">
        <v>116</v>
      </c>
      <c r="S1722">
        <v>86.2</v>
      </c>
      <c r="T1722" t="s">
        <v>37</v>
      </c>
      <c r="U1722" s="3"/>
      <c r="V1722" s="3"/>
      <c r="W1722" s="3"/>
    </row>
    <row r="1723" spans="1:23">
      <c r="A1723" t="s">
        <v>3668</v>
      </c>
      <c r="B1723" t="s">
        <v>2918</v>
      </c>
      <c r="C1723" t="s">
        <v>60</v>
      </c>
      <c r="D1723" s="2">
        <v>29080</v>
      </c>
      <c r="E1723" s="2">
        <v>45048</v>
      </c>
      <c r="F1723" t="s">
        <v>3669</v>
      </c>
      <c r="G1723" t="s">
        <v>62</v>
      </c>
      <c r="H1723" t="s">
        <v>86</v>
      </c>
      <c r="I1723" t="s">
        <v>33</v>
      </c>
      <c r="J1723" t="s">
        <v>34</v>
      </c>
      <c r="L1723">
        <v>36559.89</v>
      </c>
      <c r="M1723">
        <v>28145.599999999999</v>
      </c>
      <c r="N1723" t="s">
        <v>73</v>
      </c>
      <c r="O1723" t="s">
        <v>903</v>
      </c>
      <c r="P1723">
        <v>11</v>
      </c>
      <c r="Q1723">
        <v>1</v>
      </c>
      <c r="R1723">
        <v>92</v>
      </c>
      <c r="S1723">
        <v>111</v>
      </c>
      <c r="T1723" t="s">
        <v>37</v>
      </c>
      <c r="U1723" s="3"/>
      <c r="V1723" s="3"/>
      <c r="W1723" s="3"/>
    </row>
    <row r="1724" spans="1:23">
      <c r="A1724" t="s">
        <v>3670</v>
      </c>
      <c r="B1724" t="s">
        <v>2389</v>
      </c>
      <c r="C1724" t="s">
        <v>84</v>
      </c>
      <c r="D1724" s="2">
        <v>24640</v>
      </c>
      <c r="E1724" s="2">
        <v>45079</v>
      </c>
      <c r="F1724" s="2">
        <v>45092</v>
      </c>
      <c r="G1724" t="s">
        <v>152</v>
      </c>
      <c r="H1724" t="s">
        <v>124</v>
      </c>
      <c r="I1724" t="s">
        <v>33</v>
      </c>
      <c r="J1724" t="s">
        <v>97</v>
      </c>
      <c r="K1724" t="s">
        <v>72</v>
      </c>
      <c r="L1724">
        <v>149080.12</v>
      </c>
      <c r="M1724">
        <v>128326.13</v>
      </c>
      <c r="N1724" t="s">
        <v>192</v>
      </c>
      <c r="O1724">
        <v>13</v>
      </c>
      <c r="P1724" t="s">
        <v>659</v>
      </c>
      <c r="Q1724">
        <v>4</v>
      </c>
      <c r="R1724">
        <v>114</v>
      </c>
      <c r="S1724">
        <v>256.60000000000002</v>
      </c>
      <c r="T1724" t="s">
        <v>37</v>
      </c>
      <c r="U1724" s="3"/>
      <c r="V1724" s="3"/>
      <c r="W1724" s="3"/>
    </row>
    <row r="1725" spans="1:23">
      <c r="A1725" t="s">
        <v>3671</v>
      </c>
      <c r="B1725" t="s">
        <v>274</v>
      </c>
      <c r="C1725" t="s">
        <v>100</v>
      </c>
      <c r="D1725" t="s">
        <v>3672</v>
      </c>
      <c r="E1725" s="2">
        <v>45002</v>
      </c>
      <c r="F1725" s="2">
        <v>45015</v>
      </c>
      <c r="G1725" t="s">
        <v>141</v>
      </c>
      <c r="H1725" t="s">
        <v>538</v>
      </c>
      <c r="I1725" t="s">
        <v>53</v>
      </c>
      <c r="J1725" t="s">
        <v>46</v>
      </c>
      <c r="L1725">
        <v>42117.1</v>
      </c>
      <c r="M1725">
        <v>36756.76</v>
      </c>
      <c r="N1725" t="s">
        <v>56</v>
      </c>
      <c r="O1725">
        <v>13</v>
      </c>
      <c r="P1725">
        <v>88</v>
      </c>
      <c r="Q1725">
        <v>5</v>
      </c>
      <c r="R1725">
        <v>140</v>
      </c>
      <c r="S1725">
        <v>134</v>
      </c>
      <c r="U1725" s="3"/>
      <c r="V1725" s="3"/>
      <c r="W1725" s="3"/>
    </row>
    <row r="1726" spans="1:23">
      <c r="A1726" t="s">
        <v>3673</v>
      </c>
      <c r="B1726" t="s">
        <v>1097</v>
      </c>
      <c r="C1726" t="s">
        <v>22</v>
      </c>
      <c r="D1726" s="2">
        <v>22021</v>
      </c>
      <c r="E1726" s="2">
        <v>45253</v>
      </c>
      <c r="F1726" t="s">
        <v>3674</v>
      </c>
      <c r="G1726" t="s">
        <v>77</v>
      </c>
      <c r="I1726" t="s">
        <v>79</v>
      </c>
      <c r="J1726" t="s">
        <v>97</v>
      </c>
      <c r="K1726" t="s">
        <v>161</v>
      </c>
      <c r="L1726">
        <v>43922.5</v>
      </c>
      <c r="M1726">
        <v>31530.57</v>
      </c>
      <c r="N1726" t="s">
        <v>35</v>
      </c>
      <c r="O1726">
        <v>9</v>
      </c>
      <c r="P1726">
        <v>23</v>
      </c>
      <c r="R1726">
        <v>128</v>
      </c>
      <c r="S1726">
        <v>192.4</v>
      </c>
      <c r="T1726" t="s">
        <v>57</v>
      </c>
      <c r="U1726" s="3"/>
      <c r="V1726" s="3"/>
      <c r="W1726" s="3"/>
    </row>
    <row r="1727" spans="1:23">
      <c r="A1727" t="s">
        <v>3675</v>
      </c>
      <c r="B1727" t="s">
        <v>251</v>
      </c>
      <c r="C1727" t="s">
        <v>60</v>
      </c>
      <c r="D1727" s="2">
        <v>26804</v>
      </c>
      <c r="E1727" s="2">
        <v>45848</v>
      </c>
      <c r="G1727" t="s">
        <v>109</v>
      </c>
      <c r="H1727" t="s">
        <v>86</v>
      </c>
      <c r="J1727" t="s">
        <v>26</v>
      </c>
      <c r="K1727" t="s">
        <v>27</v>
      </c>
      <c r="L1727">
        <v>155302.85999999999</v>
      </c>
      <c r="M1727">
        <v>129114.39</v>
      </c>
      <c r="O1727">
        <v>18</v>
      </c>
      <c r="P1727">
        <v>15</v>
      </c>
      <c r="Q1727">
        <v>4</v>
      </c>
      <c r="R1727">
        <v>127</v>
      </c>
      <c r="S1727">
        <v>231.6</v>
      </c>
      <c r="T1727" t="s">
        <v>37</v>
      </c>
      <c r="U1727" s="3"/>
      <c r="V1727" s="3"/>
      <c r="W1727" s="3"/>
    </row>
    <row r="1728" spans="1:23">
      <c r="A1728" t="s">
        <v>3676</v>
      </c>
      <c r="B1728" t="s">
        <v>796</v>
      </c>
      <c r="C1728" t="s">
        <v>50</v>
      </c>
      <c r="D1728" s="2">
        <v>24540</v>
      </c>
      <c r="E1728" s="2">
        <v>44936</v>
      </c>
      <c r="F1728" s="2">
        <v>44939</v>
      </c>
      <c r="G1728" t="s">
        <v>141</v>
      </c>
      <c r="H1728" t="s">
        <v>153</v>
      </c>
      <c r="I1728" t="s">
        <v>96</v>
      </c>
      <c r="J1728" t="s">
        <v>80</v>
      </c>
      <c r="K1728" t="s">
        <v>27</v>
      </c>
      <c r="L1728">
        <v>210553.05</v>
      </c>
      <c r="M1728">
        <v>176686.37</v>
      </c>
      <c r="N1728" t="s">
        <v>35</v>
      </c>
      <c r="O1728">
        <v>3</v>
      </c>
      <c r="P1728">
        <v>206</v>
      </c>
      <c r="Q1728">
        <v>1</v>
      </c>
      <c r="R1728">
        <v>180</v>
      </c>
      <c r="S1728">
        <v>169.7</v>
      </c>
      <c r="T1728" t="s">
        <v>37</v>
      </c>
      <c r="U1728" s="3"/>
      <c r="V1728" s="3"/>
      <c r="W1728" s="3"/>
    </row>
    <row r="1729" spans="1:23">
      <c r="A1729" t="s">
        <v>3677</v>
      </c>
      <c r="B1729" t="s">
        <v>298</v>
      </c>
      <c r="C1729" t="s">
        <v>50</v>
      </c>
      <c r="D1729" t="s">
        <v>3678</v>
      </c>
      <c r="E1729" s="2">
        <v>45916</v>
      </c>
      <c r="F1729" t="s">
        <v>3679</v>
      </c>
      <c r="G1729" t="s">
        <v>31</v>
      </c>
      <c r="H1729" t="s">
        <v>44</v>
      </c>
      <c r="I1729" t="s">
        <v>53</v>
      </c>
      <c r="K1729" t="s">
        <v>72</v>
      </c>
      <c r="L1729">
        <v>162874.23000000001</v>
      </c>
      <c r="M1729">
        <v>149740.92000000001</v>
      </c>
      <c r="O1729">
        <v>9</v>
      </c>
      <c r="P1729">
        <v>222</v>
      </c>
      <c r="Q1729">
        <v>5</v>
      </c>
      <c r="R1729">
        <v>117</v>
      </c>
      <c r="S1729">
        <v>143.1</v>
      </c>
      <c r="T1729" t="s">
        <v>47</v>
      </c>
      <c r="U1729" s="3"/>
      <c r="V1729" s="3"/>
      <c r="W1729" s="3"/>
    </row>
    <row r="1730" spans="1:23">
      <c r="A1730" t="s">
        <v>3680</v>
      </c>
      <c r="B1730" t="s">
        <v>852</v>
      </c>
      <c r="C1730" t="s">
        <v>206</v>
      </c>
      <c r="D1730" s="2">
        <v>39897</v>
      </c>
      <c r="E1730" s="2">
        <v>45577</v>
      </c>
      <c r="G1730" t="s">
        <v>89</v>
      </c>
      <c r="H1730" t="s">
        <v>52</v>
      </c>
      <c r="I1730" t="s">
        <v>119</v>
      </c>
      <c r="J1730" t="s">
        <v>64</v>
      </c>
      <c r="K1730" t="s">
        <v>110</v>
      </c>
      <c r="L1730" t="s">
        <v>3681</v>
      </c>
      <c r="M1730">
        <v>3675.48</v>
      </c>
      <c r="N1730" t="s">
        <v>91</v>
      </c>
      <c r="O1730">
        <v>8</v>
      </c>
      <c r="P1730">
        <v>138</v>
      </c>
      <c r="Q1730">
        <v>5</v>
      </c>
      <c r="R1730" t="s">
        <v>2084</v>
      </c>
      <c r="S1730">
        <v>90.6</v>
      </c>
      <c r="T1730" t="s">
        <v>57</v>
      </c>
      <c r="U1730" s="3"/>
      <c r="V1730" s="3"/>
      <c r="W1730" s="3"/>
    </row>
    <row r="1731" spans="1:23">
      <c r="A1731" t="s">
        <v>3682</v>
      </c>
      <c r="B1731" t="s">
        <v>21</v>
      </c>
      <c r="C1731" t="s">
        <v>133</v>
      </c>
      <c r="D1731" s="2">
        <v>35148</v>
      </c>
      <c r="E1731" s="2">
        <v>45680</v>
      </c>
      <c r="F1731" s="2">
        <v>45693</v>
      </c>
      <c r="G1731" t="s">
        <v>161</v>
      </c>
      <c r="H1731" t="s">
        <v>78</v>
      </c>
      <c r="J1731" t="s">
        <v>46</v>
      </c>
      <c r="K1731" t="s">
        <v>27</v>
      </c>
      <c r="L1731" t="s">
        <v>3683</v>
      </c>
      <c r="M1731">
        <v>87130.01</v>
      </c>
      <c r="N1731" t="s">
        <v>73</v>
      </c>
      <c r="O1731">
        <v>13</v>
      </c>
      <c r="P1731" t="s">
        <v>3684</v>
      </c>
      <c r="Q1731">
        <v>1</v>
      </c>
      <c r="R1731">
        <v>162</v>
      </c>
      <c r="S1731">
        <v>206.5</v>
      </c>
      <c r="T1731" t="s">
        <v>37</v>
      </c>
      <c r="U1731" s="3"/>
      <c r="V1731" s="3"/>
      <c r="W1731" s="3"/>
    </row>
    <row r="1732" spans="1:23">
      <c r="A1732" t="s">
        <v>3685</v>
      </c>
      <c r="B1732" t="s">
        <v>806</v>
      </c>
      <c r="C1732" t="s">
        <v>133</v>
      </c>
      <c r="D1732" s="2">
        <v>23208</v>
      </c>
      <c r="E1732" s="2">
        <v>45598</v>
      </c>
      <c r="F1732" t="s">
        <v>271</v>
      </c>
      <c r="G1732" t="s">
        <v>43</v>
      </c>
      <c r="H1732" t="s">
        <v>118</v>
      </c>
      <c r="I1732" t="s">
        <v>45</v>
      </c>
      <c r="J1732" t="s">
        <v>97</v>
      </c>
      <c r="K1732" t="s">
        <v>120</v>
      </c>
      <c r="L1732">
        <v>178017.11</v>
      </c>
      <c r="M1732">
        <v>129720.91</v>
      </c>
      <c r="O1732">
        <v>17</v>
      </c>
      <c r="P1732">
        <v>156</v>
      </c>
      <c r="Q1732">
        <v>5</v>
      </c>
      <c r="R1732">
        <v>95</v>
      </c>
      <c r="S1732">
        <v>83.5</v>
      </c>
      <c r="T1732" t="s">
        <v>37</v>
      </c>
      <c r="U1732" s="3"/>
      <c r="V1732" s="3"/>
      <c r="W1732" s="3"/>
    </row>
    <row r="1733" spans="1:23">
      <c r="A1733" t="s">
        <v>3686</v>
      </c>
      <c r="B1733" t="s">
        <v>693</v>
      </c>
      <c r="D1733" s="2">
        <v>29093</v>
      </c>
      <c r="E1733" s="2">
        <v>45406</v>
      </c>
      <c r="F1733" s="2">
        <v>45422</v>
      </c>
      <c r="G1733" t="s">
        <v>141</v>
      </c>
      <c r="H1733" t="s">
        <v>52</v>
      </c>
      <c r="I1733" t="s">
        <v>79</v>
      </c>
      <c r="K1733" t="s">
        <v>55</v>
      </c>
      <c r="L1733" t="s">
        <v>3687</v>
      </c>
      <c r="M1733">
        <v>152038.85999999999</v>
      </c>
      <c r="N1733" t="s">
        <v>73</v>
      </c>
      <c r="O1733">
        <v>16</v>
      </c>
      <c r="R1733">
        <v>129</v>
      </c>
      <c r="S1733">
        <v>148.6</v>
      </c>
      <c r="T1733" t="s">
        <v>37</v>
      </c>
      <c r="U1733" s="3"/>
      <c r="V1733" s="3"/>
      <c r="W1733" s="3"/>
    </row>
    <row r="1734" spans="1:23">
      <c r="A1734" t="s">
        <v>3688</v>
      </c>
      <c r="B1734" t="s">
        <v>76</v>
      </c>
      <c r="C1734" t="s">
        <v>60</v>
      </c>
      <c r="D1734" t="s">
        <v>3689</v>
      </c>
      <c r="E1734" t="s">
        <v>2135</v>
      </c>
      <c r="F1734" s="2">
        <v>45755</v>
      </c>
      <c r="G1734" t="s">
        <v>161</v>
      </c>
      <c r="H1734" t="s">
        <v>95</v>
      </c>
      <c r="I1734" t="s">
        <v>25</v>
      </c>
      <c r="J1734" t="s">
        <v>34</v>
      </c>
      <c r="K1734" t="s">
        <v>286</v>
      </c>
      <c r="L1734">
        <v>25703.439999999999</v>
      </c>
      <c r="M1734">
        <v>22511.33</v>
      </c>
      <c r="N1734" t="s">
        <v>35</v>
      </c>
      <c r="O1734">
        <v>13</v>
      </c>
      <c r="P1734">
        <v>206</v>
      </c>
      <c r="Q1734">
        <v>4</v>
      </c>
      <c r="R1734">
        <v>148</v>
      </c>
      <c r="S1734">
        <v>77.8</v>
      </c>
      <c r="T1734" t="s">
        <v>37</v>
      </c>
      <c r="U1734" s="3"/>
      <c r="V1734" s="3"/>
      <c r="W1734" s="3"/>
    </row>
    <row r="1735" spans="1:23">
      <c r="A1735" t="s">
        <v>3690</v>
      </c>
      <c r="B1735" t="s">
        <v>345</v>
      </c>
      <c r="C1735" t="s">
        <v>50</v>
      </c>
      <c r="D1735" s="2">
        <v>20791</v>
      </c>
      <c r="E1735" s="2">
        <v>45176</v>
      </c>
      <c r="F1735" t="s">
        <v>3691</v>
      </c>
      <c r="G1735" t="s">
        <v>89</v>
      </c>
      <c r="H1735" t="s">
        <v>52</v>
      </c>
      <c r="I1735" t="s">
        <v>79</v>
      </c>
      <c r="L1735">
        <v>50993.07</v>
      </c>
      <c r="M1735">
        <v>46805.74</v>
      </c>
      <c r="N1735" t="s">
        <v>192</v>
      </c>
      <c r="O1735">
        <v>3</v>
      </c>
      <c r="P1735">
        <v>33</v>
      </c>
      <c r="Q1735">
        <v>1</v>
      </c>
      <c r="R1735">
        <v>190</v>
      </c>
      <c r="S1735">
        <v>142.6</v>
      </c>
      <c r="T1735" t="s">
        <v>37</v>
      </c>
      <c r="U1735" s="3"/>
      <c r="V1735" s="3"/>
      <c r="W1735" s="3"/>
    </row>
    <row r="1736" spans="1:23">
      <c r="A1736" t="s">
        <v>3692</v>
      </c>
      <c r="B1736" t="s">
        <v>986</v>
      </c>
      <c r="C1736" t="s">
        <v>60</v>
      </c>
      <c r="D1736" s="2">
        <v>35501</v>
      </c>
      <c r="E1736" t="s">
        <v>3693</v>
      </c>
      <c r="F1736" t="s">
        <v>3694</v>
      </c>
      <c r="G1736" t="s">
        <v>62</v>
      </c>
      <c r="H1736" t="s">
        <v>118</v>
      </c>
      <c r="I1736" t="s">
        <v>119</v>
      </c>
      <c r="J1736" t="s">
        <v>64</v>
      </c>
      <c r="K1736" t="s">
        <v>110</v>
      </c>
      <c r="L1736">
        <v>158702.75</v>
      </c>
      <c r="M1736">
        <v>131690.1</v>
      </c>
      <c r="N1736" t="s">
        <v>35</v>
      </c>
      <c r="O1736">
        <v>13</v>
      </c>
      <c r="P1736">
        <v>42</v>
      </c>
      <c r="Q1736">
        <v>2</v>
      </c>
      <c r="R1736">
        <v>98</v>
      </c>
      <c r="S1736">
        <v>240.7</v>
      </c>
      <c r="T1736" t="s">
        <v>37</v>
      </c>
      <c r="U1736" s="3"/>
      <c r="V1736" s="3"/>
      <c r="W1736" s="3"/>
    </row>
    <row r="1737" spans="1:23">
      <c r="A1737" t="s">
        <v>3695</v>
      </c>
      <c r="B1737" t="s">
        <v>1526</v>
      </c>
      <c r="C1737" t="s">
        <v>40</v>
      </c>
      <c r="D1737" s="2">
        <v>38252</v>
      </c>
      <c r="E1737" s="2">
        <v>45217</v>
      </c>
      <c r="F1737" s="2">
        <v>45228</v>
      </c>
      <c r="G1737" t="s">
        <v>109</v>
      </c>
      <c r="H1737" t="s">
        <v>113</v>
      </c>
      <c r="I1737" t="s">
        <v>25</v>
      </c>
      <c r="J1737" t="s">
        <v>46</v>
      </c>
      <c r="K1737" t="s">
        <v>55</v>
      </c>
      <c r="L1737">
        <v>174590.73</v>
      </c>
      <c r="M1737">
        <v>154566.31</v>
      </c>
      <c r="N1737" t="s">
        <v>192</v>
      </c>
      <c r="O1737">
        <v>11</v>
      </c>
      <c r="P1737">
        <v>89</v>
      </c>
      <c r="Q1737">
        <v>1</v>
      </c>
      <c r="R1737">
        <v>111</v>
      </c>
      <c r="S1737">
        <v>125.9</v>
      </c>
      <c r="T1737" t="s">
        <v>65</v>
      </c>
      <c r="U1737" s="3"/>
      <c r="V1737" s="3"/>
      <c r="W1737" s="3"/>
    </row>
    <row r="1738" spans="1:23">
      <c r="A1738" t="s">
        <v>3696</v>
      </c>
      <c r="B1738" t="s">
        <v>438</v>
      </c>
      <c r="C1738" t="s">
        <v>133</v>
      </c>
      <c r="D1738" s="2">
        <v>21563</v>
      </c>
      <c r="E1738" s="2">
        <v>45111</v>
      </c>
      <c r="F1738" s="2">
        <v>45118</v>
      </c>
      <c r="G1738" t="s">
        <v>141</v>
      </c>
      <c r="H1738" t="s">
        <v>124</v>
      </c>
      <c r="I1738" t="s">
        <v>25</v>
      </c>
      <c r="J1738" t="s">
        <v>80</v>
      </c>
      <c r="L1738">
        <v>28702.01</v>
      </c>
      <c r="M1738">
        <v>21300.81</v>
      </c>
      <c r="N1738" t="s">
        <v>192</v>
      </c>
      <c r="O1738">
        <v>7</v>
      </c>
      <c r="P1738">
        <v>113</v>
      </c>
      <c r="R1738">
        <v>125</v>
      </c>
      <c r="S1738">
        <v>128.4</v>
      </c>
      <c r="T1738" t="s">
        <v>47</v>
      </c>
      <c r="U1738" s="3"/>
      <c r="V1738" s="3"/>
      <c r="W1738" s="3"/>
    </row>
    <row r="1739" spans="1:23">
      <c r="A1739" t="s">
        <v>3697</v>
      </c>
      <c r="B1739" t="s">
        <v>857</v>
      </c>
      <c r="C1739" t="s">
        <v>30</v>
      </c>
      <c r="D1739" s="2">
        <v>38589</v>
      </c>
      <c r="E1739" s="2">
        <v>45821</v>
      </c>
      <c r="F1739" s="2">
        <v>45827</v>
      </c>
      <c r="G1739" t="s">
        <v>152</v>
      </c>
      <c r="H1739" t="s">
        <v>113</v>
      </c>
      <c r="I1739" t="s">
        <v>53</v>
      </c>
      <c r="K1739" t="s">
        <v>120</v>
      </c>
      <c r="L1739">
        <v>212627.14</v>
      </c>
      <c r="M1739">
        <v>143423.62</v>
      </c>
      <c r="O1739">
        <v>6</v>
      </c>
      <c r="P1739">
        <v>161</v>
      </c>
      <c r="Q1739">
        <v>2</v>
      </c>
      <c r="R1739">
        <v>171</v>
      </c>
      <c r="S1739">
        <v>77.900000000000006</v>
      </c>
      <c r="T1739" t="s">
        <v>106</v>
      </c>
      <c r="U1739" s="3"/>
      <c r="V1739" s="3"/>
      <c r="W1739" s="3"/>
    </row>
    <row r="1740" spans="1:23">
      <c r="A1740" t="s">
        <v>3698</v>
      </c>
      <c r="B1740" t="s">
        <v>1108</v>
      </c>
      <c r="C1740" t="s">
        <v>30</v>
      </c>
      <c r="D1740" s="2">
        <v>26526</v>
      </c>
      <c r="E1740" s="2">
        <v>45168</v>
      </c>
      <c r="F1740" t="s">
        <v>3699</v>
      </c>
      <c r="G1740" t="s">
        <v>141</v>
      </c>
      <c r="H1740" t="s">
        <v>32</v>
      </c>
      <c r="I1740" t="s">
        <v>33</v>
      </c>
      <c r="J1740" t="s">
        <v>46</v>
      </c>
      <c r="K1740" t="s">
        <v>27</v>
      </c>
      <c r="L1740">
        <v>51386.36</v>
      </c>
      <c r="M1740">
        <v>43147.94</v>
      </c>
      <c r="O1740">
        <v>8</v>
      </c>
      <c r="P1740">
        <v>196</v>
      </c>
      <c r="Q1740">
        <v>4</v>
      </c>
      <c r="R1740">
        <v>171</v>
      </c>
      <c r="S1740">
        <v>230</v>
      </c>
      <c r="T1740" t="s">
        <v>37</v>
      </c>
      <c r="U1740" s="3"/>
      <c r="V1740" s="3"/>
      <c r="W1740" s="3"/>
    </row>
    <row r="1741" spans="1:23">
      <c r="A1741" t="s">
        <v>3700</v>
      </c>
      <c r="B1741" t="s">
        <v>378</v>
      </c>
      <c r="C1741" t="s">
        <v>22</v>
      </c>
      <c r="D1741" s="2">
        <v>36458</v>
      </c>
      <c r="E1741" t="s">
        <v>3701</v>
      </c>
      <c r="F1741" s="2">
        <v>45534</v>
      </c>
      <c r="G1741" t="s">
        <v>105</v>
      </c>
      <c r="H1741" t="s">
        <v>113</v>
      </c>
      <c r="I1741" t="s">
        <v>96</v>
      </c>
      <c r="J1741" t="s">
        <v>179</v>
      </c>
      <c r="K1741" t="s">
        <v>55</v>
      </c>
      <c r="L1741">
        <v>49303.42</v>
      </c>
      <c r="M1741">
        <v>29713.57</v>
      </c>
      <c r="N1741" t="s">
        <v>91</v>
      </c>
      <c r="O1741">
        <v>14</v>
      </c>
      <c r="P1741">
        <v>12</v>
      </c>
      <c r="Q1741">
        <v>3</v>
      </c>
      <c r="R1741">
        <v>172</v>
      </c>
      <c r="S1741">
        <v>89</v>
      </c>
      <c r="T1741" t="s">
        <v>65</v>
      </c>
      <c r="U1741" s="3"/>
      <c r="V1741" s="3"/>
      <c r="W1741" s="3"/>
    </row>
    <row r="1742" spans="1:23">
      <c r="A1742" t="s">
        <v>3702</v>
      </c>
      <c r="B1742" t="s">
        <v>438</v>
      </c>
      <c r="C1742" t="s">
        <v>100</v>
      </c>
      <c r="D1742" s="2">
        <v>25378</v>
      </c>
      <c r="E1742" s="2">
        <v>45428</v>
      </c>
      <c r="F1742" s="2">
        <v>45435</v>
      </c>
      <c r="G1742" t="s">
        <v>43</v>
      </c>
      <c r="H1742" t="s">
        <v>95</v>
      </c>
      <c r="I1742" t="s">
        <v>53</v>
      </c>
      <c r="J1742" t="s">
        <v>97</v>
      </c>
      <c r="K1742" t="s">
        <v>161</v>
      </c>
      <c r="L1742">
        <v>194112.72</v>
      </c>
      <c r="M1742">
        <v>153667.59</v>
      </c>
      <c r="N1742" t="s">
        <v>73</v>
      </c>
      <c r="O1742">
        <v>7</v>
      </c>
      <c r="P1742">
        <v>192</v>
      </c>
      <c r="Q1742">
        <v>4</v>
      </c>
      <c r="R1742">
        <v>136</v>
      </c>
      <c r="U1742" s="3"/>
      <c r="V1742" s="3"/>
      <c r="W1742" s="3"/>
    </row>
    <row r="1743" spans="1:23">
      <c r="A1743" t="s">
        <v>3703</v>
      </c>
      <c r="B1743" t="s">
        <v>373</v>
      </c>
      <c r="C1743" t="s">
        <v>30</v>
      </c>
      <c r="D1743" s="2">
        <v>20000</v>
      </c>
      <c r="E1743" s="2">
        <v>45675</v>
      </c>
      <c r="F1743" s="2">
        <v>45690</v>
      </c>
      <c r="G1743" t="s">
        <v>1282</v>
      </c>
      <c r="H1743" t="s">
        <v>52</v>
      </c>
      <c r="I1743" t="s">
        <v>96</v>
      </c>
      <c r="J1743" t="s">
        <v>26</v>
      </c>
      <c r="K1743" t="s">
        <v>120</v>
      </c>
      <c r="L1743">
        <v>31011.97</v>
      </c>
      <c r="M1743">
        <v>25021.72</v>
      </c>
      <c r="N1743" t="s">
        <v>91</v>
      </c>
      <c r="O1743">
        <v>15</v>
      </c>
      <c r="P1743">
        <v>202</v>
      </c>
      <c r="R1743">
        <v>103</v>
      </c>
      <c r="S1743">
        <v>191</v>
      </c>
      <c r="T1743" t="s">
        <v>47</v>
      </c>
      <c r="U1743" s="3"/>
      <c r="V1743" s="3"/>
      <c r="W1743" s="3"/>
    </row>
    <row r="1744" spans="1:23">
      <c r="A1744" t="s">
        <v>3704</v>
      </c>
      <c r="B1744" t="s">
        <v>221</v>
      </c>
      <c r="C1744" t="s">
        <v>100</v>
      </c>
      <c r="D1744" s="2">
        <v>39370</v>
      </c>
      <c r="E1744" t="s">
        <v>3705</v>
      </c>
      <c r="F1744" s="2">
        <v>45674</v>
      </c>
      <c r="G1744" t="s">
        <v>77</v>
      </c>
      <c r="I1744" t="s">
        <v>53</v>
      </c>
      <c r="J1744" t="s">
        <v>26</v>
      </c>
      <c r="K1744" t="s">
        <v>161</v>
      </c>
      <c r="L1744">
        <v>218258.94</v>
      </c>
      <c r="M1744">
        <v>156995.01999999999</v>
      </c>
      <c r="N1744" t="s">
        <v>56</v>
      </c>
      <c r="O1744">
        <v>1</v>
      </c>
      <c r="P1744">
        <v>172</v>
      </c>
      <c r="R1744">
        <v>101</v>
      </c>
      <c r="S1744">
        <v>81.8</v>
      </c>
      <c r="U1744" s="3"/>
      <c r="V1744" s="3"/>
      <c r="W1744" s="3"/>
    </row>
    <row r="1745" spans="1:23">
      <c r="A1745" t="s">
        <v>3706</v>
      </c>
      <c r="B1745" t="s">
        <v>342</v>
      </c>
      <c r="C1745" t="s">
        <v>100</v>
      </c>
      <c r="D1745" s="2">
        <v>31074</v>
      </c>
      <c r="E1745" t="s">
        <v>3707</v>
      </c>
      <c r="F1745" s="2">
        <v>46010</v>
      </c>
      <c r="G1745" t="s">
        <v>94</v>
      </c>
      <c r="H1745" t="s">
        <v>90</v>
      </c>
      <c r="I1745" t="s">
        <v>79</v>
      </c>
      <c r="J1745" t="s">
        <v>34</v>
      </c>
      <c r="L1745">
        <v>105752.4</v>
      </c>
      <c r="M1745">
        <v>96075.3</v>
      </c>
      <c r="N1745" t="s">
        <v>35</v>
      </c>
      <c r="O1745">
        <v>6</v>
      </c>
      <c r="P1745" t="s">
        <v>3708</v>
      </c>
      <c r="Q1745">
        <v>2</v>
      </c>
      <c r="R1745">
        <v>129</v>
      </c>
      <c r="S1745">
        <v>116.8</v>
      </c>
      <c r="T1745" t="s">
        <v>106</v>
      </c>
      <c r="U1745" s="3"/>
      <c r="V1745" s="3"/>
      <c r="W1745" s="3"/>
    </row>
    <row r="1746" spans="1:23">
      <c r="A1746" t="s">
        <v>3709</v>
      </c>
      <c r="B1746" t="s">
        <v>270</v>
      </c>
      <c r="C1746" t="s">
        <v>22</v>
      </c>
      <c r="D1746" s="2">
        <v>21466</v>
      </c>
      <c r="E1746" s="2">
        <v>44989</v>
      </c>
      <c r="F1746" s="2">
        <v>45002</v>
      </c>
      <c r="G1746" t="s">
        <v>70</v>
      </c>
      <c r="H1746" t="s">
        <v>44</v>
      </c>
      <c r="I1746" t="s">
        <v>79</v>
      </c>
      <c r="J1746" t="s">
        <v>26</v>
      </c>
      <c r="K1746" t="s">
        <v>110</v>
      </c>
      <c r="L1746">
        <v>72118.69</v>
      </c>
      <c r="M1746">
        <v>61435.29</v>
      </c>
      <c r="N1746" t="s">
        <v>56</v>
      </c>
      <c r="O1746">
        <v>13</v>
      </c>
      <c r="P1746">
        <v>56</v>
      </c>
      <c r="R1746">
        <v>185</v>
      </c>
      <c r="S1746">
        <v>82</v>
      </c>
      <c r="T1746" t="s">
        <v>37</v>
      </c>
      <c r="U1746" s="3"/>
      <c r="V1746" s="3"/>
      <c r="W1746" s="3"/>
    </row>
    <row r="1747" spans="1:23">
      <c r="A1747" t="s">
        <v>3710</v>
      </c>
      <c r="B1747" t="s">
        <v>116</v>
      </c>
      <c r="C1747" t="s">
        <v>206</v>
      </c>
      <c r="D1747" s="2">
        <v>38873</v>
      </c>
      <c r="E1747" s="2">
        <v>45967</v>
      </c>
      <c r="F1747" s="2">
        <v>45983</v>
      </c>
      <c r="G1747" t="s">
        <v>62</v>
      </c>
      <c r="H1747" t="s">
        <v>113</v>
      </c>
      <c r="J1747" t="s">
        <v>46</v>
      </c>
      <c r="K1747" t="s">
        <v>72</v>
      </c>
      <c r="L1747">
        <v>204668.36</v>
      </c>
      <c r="N1747" t="s">
        <v>467</v>
      </c>
      <c r="O1747">
        <v>16</v>
      </c>
      <c r="P1747">
        <v>147</v>
      </c>
      <c r="R1747">
        <v>112</v>
      </c>
      <c r="S1747">
        <v>105.6</v>
      </c>
      <c r="T1747" t="s">
        <v>65</v>
      </c>
      <c r="U1747" s="3"/>
      <c r="V1747" s="3"/>
      <c r="W1747" s="3"/>
    </row>
    <row r="1748" spans="1:23">
      <c r="A1748" t="s">
        <v>3711</v>
      </c>
      <c r="B1748" t="s">
        <v>796</v>
      </c>
      <c r="C1748" t="s">
        <v>206</v>
      </c>
      <c r="D1748" t="s">
        <v>3712</v>
      </c>
      <c r="E1748" s="2">
        <v>45499</v>
      </c>
      <c r="F1748" s="2">
        <v>45511</v>
      </c>
      <c r="G1748" t="s">
        <v>31</v>
      </c>
      <c r="I1748" t="s">
        <v>25</v>
      </c>
      <c r="J1748" t="s">
        <v>46</v>
      </c>
      <c r="K1748" t="s">
        <v>27</v>
      </c>
      <c r="M1748">
        <v>86652.1</v>
      </c>
      <c r="N1748" t="s">
        <v>1048</v>
      </c>
      <c r="O1748">
        <v>12</v>
      </c>
      <c r="P1748">
        <v>103</v>
      </c>
      <c r="Q1748">
        <v>3</v>
      </c>
      <c r="R1748">
        <v>185</v>
      </c>
      <c r="S1748">
        <v>151.9</v>
      </c>
      <c r="T1748" t="s">
        <v>47</v>
      </c>
      <c r="U1748" s="3"/>
      <c r="V1748" s="3"/>
      <c r="W1748" s="3"/>
    </row>
    <row r="1749" spans="1:23">
      <c r="A1749" t="s">
        <v>3713</v>
      </c>
      <c r="B1749" t="s">
        <v>403</v>
      </c>
      <c r="D1749" s="2">
        <v>26243</v>
      </c>
      <c r="E1749" t="s">
        <v>1998</v>
      </c>
      <c r="F1749" s="2">
        <v>45696</v>
      </c>
      <c r="G1749" t="s">
        <v>77</v>
      </c>
      <c r="H1749" t="s">
        <v>106</v>
      </c>
      <c r="J1749" t="s">
        <v>80</v>
      </c>
      <c r="K1749" t="s">
        <v>27</v>
      </c>
      <c r="L1749">
        <v>28613.94</v>
      </c>
      <c r="M1749">
        <v>21387.07</v>
      </c>
      <c r="N1749" t="s">
        <v>73</v>
      </c>
      <c r="O1749">
        <v>13</v>
      </c>
      <c r="P1749">
        <v>97</v>
      </c>
      <c r="R1749">
        <v>182</v>
      </c>
      <c r="S1749">
        <v>229.7</v>
      </c>
      <c r="T1749" t="s">
        <v>37</v>
      </c>
      <c r="U1749" s="3"/>
      <c r="V1749" s="3"/>
      <c r="W1749" s="3"/>
    </row>
    <row r="1750" spans="1:23">
      <c r="A1750" t="s">
        <v>3714</v>
      </c>
      <c r="B1750" t="s">
        <v>139</v>
      </c>
      <c r="D1750" s="2">
        <v>32936</v>
      </c>
      <c r="E1750" t="s">
        <v>2635</v>
      </c>
      <c r="F1750" s="2">
        <v>45619</v>
      </c>
      <c r="G1750" t="s">
        <v>117</v>
      </c>
      <c r="H1750" t="s">
        <v>44</v>
      </c>
      <c r="I1750" t="s">
        <v>96</v>
      </c>
      <c r="J1750" t="s">
        <v>80</v>
      </c>
      <c r="K1750" t="s">
        <v>72</v>
      </c>
      <c r="L1750">
        <v>139415.67000000001</v>
      </c>
      <c r="M1750">
        <v>105734.39999999999</v>
      </c>
      <c r="N1750" t="s">
        <v>91</v>
      </c>
      <c r="O1750">
        <v>3</v>
      </c>
      <c r="P1750">
        <v>122</v>
      </c>
      <c r="Q1750">
        <v>2</v>
      </c>
      <c r="R1750">
        <v>119</v>
      </c>
      <c r="S1750">
        <v>131.5</v>
      </c>
      <c r="U1750" s="3"/>
      <c r="V1750" s="3"/>
      <c r="W1750" s="3"/>
    </row>
    <row r="1751" spans="1:23">
      <c r="A1751" t="s">
        <v>3715</v>
      </c>
      <c r="B1751" t="s">
        <v>898</v>
      </c>
      <c r="C1751" t="s">
        <v>30</v>
      </c>
      <c r="D1751" s="2">
        <v>22266</v>
      </c>
      <c r="E1751" s="2">
        <v>45363</v>
      </c>
      <c r="F1751" s="2">
        <v>45377</v>
      </c>
      <c r="G1751" t="s">
        <v>94</v>
      </c>
      <c r="H1751" t="s">
        <v>113</v>
      </c>
      <c r="I1751" t="s">
        <v>45</v>
      </c>
      <c r="J1751" t="s">
        <v>26</v>
      </c>
      <c r="K1751" t="s">
        <v>161</v>
      </c>
      <c r="L1751">
        <v>109039.11</v>
      </c>
      <c r="M1751">
        <v>76333.83</v>
      </c>
      <c r="O1751">
        <v>14</v>
      </c>
      <c r="P1751">
        <v>158</v>
      </c>
      <c r="Q1751">
        <v>3</v>
      </c>
      <c r="R1751">
        <v>160</v>
      </c>
      <c r="S1751">
        <v>149.9</v>
      </c>
      <c r="T1751" t="s">
        <v>37</v>
      </c>
      <c r="U1751" s="3"/>
      <c r="V1751" s="3"/>
      <c r="W1751" s="3"/>
    </row>
    <row r="1752" spans="1:23">
      <c r="A1752" t="s">
        <v>3716</v>
      </c>
      <c r="B1752" t="s">
        <v>1658</v>
      </c>
      <c r="C1752" t="s">
        <v>30</v>
      </c>
      <c r="D1752" s="2">
        <v>27321</v>
      </c>
      <c r="E1752" s="2">
        <v>45139</v>
      </c>
      <c r="F1752" s="2">
        <v>45144</v>
      </c>
      <c r="G1752" t="s">
        <v>89</v>
      </c>
      <c r="H1752" t="s">
        <v>63</v>
      </c>
      <c r="I1752" t="s">
        <v>79</v>
      </c>
      <c r="J1752" t="s">
        <v>64</v>
      </c>
      <c r="K1752" t="s">
        <v>120</v>
      </c>
      <c r="L1752">
        <v>84083.46</v>
      </c>
      <c r="M1752">
        <v>66206.710000000006</v>
      </c>
      <c r="N1752" t="s">
        <v>73</v>
      </c>
      <c r="O1752">
        <v>5</v>
      </c>
      <c r="P1752">
        <v>112</v>
      </c>
      <c r="Q1752">
        <v>5</v>
      </c>
      <c r="R1752">
        <v>163</v>
      </c>
      <c r="S1752">
        <v>114.9</v>
      </c>
      <c r="T1752" t="s">
        <v>37</v>
      </c>
      <c r="U1752" s="3"/>
      <c r="V1752" s="3"/>
      <c r="W1752" s="3"/>
    </row>
    <row r="1753" spans="1:23">
      <c r="A1753" t="s">
        <v>3717</v>
      </c>
      <c r="B1753" t="s">
        <v>249</v>
      </c>
      <c r="C1753" t="s">
        <v>133</v>
      </c>
      <c r="D1753" s="2">
        <v>34814</v>
      </c>
      <c r="E1753" t="s">
        <v>3718</v>
      </c>
      <c r="F1753" s="2">
        <v>45772</v>
      </c>
      <c r="G1753" t="s">
        <v>754</v>
      </c>
      <c r="H1753" t="s">
        <v>63</v>
      </c>
      <c r="I1753" t="s">
        <v>33</v>
      </c>
      <c r="J1753" t="s">
        <v>64</v>
      </c>
      <c r="K1753" t="s">
        <v>27</v>
      </c>
      <c r="L1753">
        <v>83021.070000000007</v>
      </c>
      <c r="M1753">
        <v>61716.55</v>
      </c>
      <c r="N1753" t="s">
        <v>73</v>
      </c>
      <c r="O1753">
        <v>8</v>
      </c>
      <c r="P1753">
        <v>173</v>
      </c>
      <c r="Q1753">
        <v>2</v>
      </c>
      <c r="R1753">
        <v>144</v>
      </c>
      <c r="S1753">
        <v>225.6</v>
      </c>
      <c r="T1753" t="s">
        <v>37</v>
      </c>
      <c r="U1753" s="3"/>
      <c r="V1753" s="3"/>
      <c r="W1753" s="3"/>
    </row>
    <row r="1754" spans="1:23">
      <c r="A1754" t="s">
        <v>3719</v>
      </c>
      <c r="B1754" t="s">
        <v>1727</v>
      </c>
      <c r="C1754" t="s">
        <v>50</v>
      </c>
      <c r="D1754" t="s">
        <v>3720</v>
      </c>
      <c r="E1754" s="2">
        <v>45334</v>
      </c>
      <c r="G1754" t="s">
        <v>141</v>
      </c>
      <c r="H1754" t="s">
        <v>44</v>
      </c>
      <c r="I1754" t="s">
        <v>119</v>
      </c>
      <c r="J1754" t="s">
        <v>34</v>
      </c>
      <c r="K1754" t="s">
        <v>120</v>
      </c>
      <c r="L1754">
        <v>185176.49</v>
      </c>
      <c r="M1754">
        <v>171710.44</v>
      </c>
      <c r="N1754" t="s">
        <v>73</v>
      </c>
      <c r="O1754">
        <v>1</v>
      </c>
      <c r="P1754">
        <v>36</v>
      </c>
      <c r="Q1754">
        <v>5</v>
      </c>
      <c r="R1754">
        <v>143</v>
      </c>
      <c r="S1754">
        <v>226.1</v>
      </c>
      <c r="U1754" s="3"/>
      <c r="V1754" s="3"/>
      <c r="W1754" s="3"/>
    </row>
    <row r="1755" spans="1:23">
      <c r="A1755" t="s">
        <v>3721</v>
      </c>
      <c r="B1755" t="s">
        <v>891</v>
      </c>
      <c r="C1755" t="s">
        <v>196</v>
      </c>
      <c r="D1755" s="2">
        <v>29201</v>
      </c>
      <c r="E1755" s="2">
        <v>45875</v>
      </c>
      <c r="F1755" s="2">
        <v>45892</v>
      </c>
      <c r="G1755" t="s">
        <v>23</v>
      </c>
      <c r="I1755" t="s">
        <v>25</v>
      </c>
      <c r="J1755" t="s">
        <v>34</v>
      </c>
      <c r="K1755" t="s">
        <v>55</v>
      </c>
      <c r="L1755">
        <v>249907.64</v>
      </c>
      <c r="M1755">
        <v>236959.2</v>
      </c>
      <c r="N1755" t="s">
        <v>192</v>
      </c>
      <c r="O1755">
        <v>17</v>
      </c>
      <c r="P1755">
        <v>226</v>
      </c>
      <c r="Q1755">
        <v>5</v>
      </c>
      <c r="R1755">
        <v>92</v>
      </c>
      <c r="S1755">
        <v>156.69999999999999</v>
      </c>
      <c r="T1755" t="s">
        <v>37</v>
      </c>
      <c r="U1755" s="3"/>
      <c r="V1755" s="3"/>
      <c r="W1755" s="3"/>
    </row>
    <row r="1756" spans="1:23">
      <c r="A1756" t="s">
        <v>3722</v>
      </c>
      <c r="B1756" t="s">
        <v>1700</v>
      </c>
      <c r="C1756" t="s">
        <v>30</v>
      </c>
      <c r="D1756" s="2">
        <v>26843</v>
      </c>
      <c r="E1756" s="2">
        <v>45355</v>
      </c>
      <c r="F1756" t="s">
        <v>983</v>
      </c>
      <c r="G1756" t="s">
        <v>109</v>
      </c>
      <c r="H1756" t="s">
        <v>32</v>
      </c>
      <c r="I1756" t="s">
        <v>96</v>
      </c>
      <c r="J1756" t="s">
        <v>26</v>
      </c>
      <c r="K1756" t="s">
        <v>55</v>
      </c>
      <c r="L1756" t="s">
        <v>3723</v>
      </c>
      <c r="M1756">
        <v>117239.41</v>
      </c>
      <c r="N1756" t="s">
        <v>91</v>
      </c>
      <c r="O1756">
        <v>5</v>
      </c>
      <c r="Q1756">
        <v>5</v>
      </c>
      <c r="R1756">
        <v>91</v>
      </c>
      <c r="S1756">
        <v>198.1</v>
      </c>
      <c r="T1756" t="s">
        <v>65</v>
      </c>
      <c r="U1756" s="3"/>
      <c r="V1756" s="3"/>
      <c r="W1756" s="3"/>
    </row>
    <row r="1757" spans="1:23">
      <c r="A1757" t="s">
        <v>3724</v>
      </c>
      <c r="B1757" t="s">
        <v>2249</v>
      </c>
      <c r="C1757" t="s">
        <v>84</v>
      </c>
      <c r="D1757" t="s">
        <v>3725</v>
      </c>
      <c r="E1757" s="2">
        <v>45370</v>
      </c>
      <c r="F1757" s="2">
        <v>45387</v>
      </c>
      <c r="G1757" t="s">
        <v>161</v>
      </c>
      <c r="I1757" t="s">
        <v>45</v>
      </c>
      <c r="L1757">
        <v>158772.65</v>
      </c>
      <c r="M1757">
        <v>133849.56</v>
      </c>
      <c r="N1757" t="s">
        <v>73</v>
      </c>
      <c r="O1757">
        <v>17</v>
      </c>
      <c r="P1757">
        <v>149</v>
      </c>
      <c r="Q1757">
        <v>2</v>
      </c>
      <c r="R1757">
        <v>154</v>
      </c>
      <c r="S1757">
        <v>182.6</v>
      </c>
      <c r="T1757" t="s">
        <v>47</v>
      </c>
      <c r="U1757" s="3"/>
      <c r="V1757" s="3"/>
      <c r="W1757" s="3"/>
    </row>
    <row r="1758" spans="1:23">
      <c r="A1758" t="s">
        <v>3726</v>
      </c>
      <c r="B1758" t="s">
        <v>147</v>
      </c>
      <c r="C1758" t="s">
        <v>84</v>
      </c>
      <c r="D1758" s="2">
        <v>19251</v>
      </c>
      <c r="E1758" s="2">
        <v>45827</v>
      </c>
      <c r="F1758" s="2">
        <v>45838</v>
      </c>
      <c r="G1758" t="s">
        <v>62</v>
      </c>
      <c r="H1758" t="s">
        <v>134</v>
      </c>
      <c r="I1758" t="s">
        <v>53</v>
      </c>
      <c r="J1758" t="s">
        <v>71</v>
      </c>
      <c r="K1758" t="s">
        <v>55</v>
      </c>
      <c r="L1758">
        <v>150282.63</v>
      </c>
      <c r="M1758">
        <v>120246.75</v>
      </c>
      <c r="N1758" t="s">
        <v>73</v>
      </c>
      <c r="O1758">
        <v>11</v>
      </c>
      <c r="P1758">
        <v>180</v>
      </c>
      <c r="R1758">
        <v>168</v>
      </c>
      <c r="S1758">
        <v>112.7</v>
      </c>
      <c r="T1758" t="s">
        <v>37</v>
      </c>
      <c r="U1758" s="3"/>
      <c r="V1758" s="3"/>
      <c r="W1758" s="3"/>
    </row>
    <row r="1759" spans="1:23">
      <c r="A1759" t="s">
        <v>3727</v>
      </c>
      <c r="B1759" t="s">
        <v>99</v>
      </c>
      <c r="C1759" t="s">
        <v>296</v>
      </c>
      <c r="D1759" s="2">
        <v>20921</v>
      </c>
      <c r="E1759" s="2">
        <v>45208</v>
      </c>
      <c r="F1759" s="2">
        <v>45224</v>
      </c>
      <c r="G1759" t="s">
        <v>43</v>
      </c>
      <c r="H1759" t="s">
        <v>78</v>
      </c>
      <c r="I1759" t="s">
        <v>53</v>
      </c>
      <c r="J1759" t="s">
        <v>46</v>
      </c>
      <c r="K1759" t="s">
        <v>72</v>
      </c>
      <c r="L1759">
        <v>87314.97</v>
      </c>
      <c r="M1759">
        <v>86069.47</v>
      </c>
      <c r="N1759" t="s">
        <v>192</v>
      </c>
      <c r="O1759">
        <v>16</v>
      </c>
      <c r="P1759">
        <v>113</v>
      </c>
      <c r="Q1759">
        <v>5</v>
      </c>
      <c r="R1759">
        <v>98</v>
      </c>
      <c r="S1759">
        <v>87.6</v>
      </c>
      <c r="T1759" t="s">
        <v>37</v>
      </c>
      <c r="U1759" s="3"/>
      <c r="V1759" s="3"/>
      <c r="W1759" s="3"/>
    </row>
    <row r="1760" spans="1:23">
      <c r="A1760" t="s">
        <v>3728</v>
      </c>
      <c r="B1760" t="s">
        <v>59</v>
      </c>
      <c r="C1760" t="s">
        <v>100</v>
      </c>
      <c r="D1760" s="2">
        <v>27837</v>
      </c>
      <c r="E1760" s="2">
        <v>45117</v>
      </c>
      <c r="F1760" t="s">
        <v>3729</v>
      </c>
      <c r="G1760" t="s">
        <v>94</v>
      </c>
      <c r="H1760" t="s">
        <v>278</v>
      </c>
      <c r="I1760" t="s">
        <v>119</v>
      </c>
      <c r="J1760" t="s">
        <v>179</v>
      </c>
      <c r="K1760" t="s">
        <v>72</v>
      </c>
      <c r="L1760">
        <v>48987.8</v>
      </c>
      <c r="M1760">
        <v>40203.08</v>
      </c>
      <c r="O1760">
        <v>7</v>
      </c>
      <c r="P1760">
        <v>187</v>
      </c>
      <c r="R1760">
        <v>129</v>
      </c>
      <c r="S1760">
        <v>258.39999999999998</v>
      </c>
      <c r="T1760" t="s">
        <v>37</v>
      </c>
      <c r="U1760" s="3"/>
      <c r="V1760" s="3"/>
      <c r="W1760" s="3"/>
    </row>
    <row r="1761" spans="1:23">
      <c r="A1761" t="s">
        <v>3730</v>
      </c>
      <c r="B1761" t="s">
        <v>280</v>
      </c>
      <c r="C1761" t="s">
        <v>106</v>
      </c>
      <c r="D1761" s="2">
        <v>31357</v>
      </c>
      <c r="E1761" s="2">
        <v>45143</v>
      </c>
      <c r="F1761" s="2">
        <v>45148</v>
      </c>
      <c r="G1761" t="s">
        <v>105</v>
      </c>
      <c r="H1761" t="s">
        <v>95</v>
      </c>
      <c r="J1761" t="s">
        <v>34</v>
      </c>
      <c r="K1761" t="s">
        <v>27</v>
      </c>
      <c r="L1761">
        <v>71675.11</v>
      </c>
      <c r="M1761">
        <v>69521.97</v>
      </c>
      <c r="N1761" t="s">
        <v>73</v>
      </c>
      <c r="O1761" t="s">
        <v>1036</v>
      </c>
      <c r="P1761">
        <v>94</v>
      </c>
      <c r="Q1761">
        <v>1</v>
      </c>
      <c r="R1761">
        <v>117</v>
      </c>
      <c r="S1761">
        <v>216.2</v>
      </c>
      <c r="T1761" t="s">
        <v>127</v>
      </c>
      <c r="U1761" s="3"/>
      <c r="V1761" s="3"/>
      <c r="W1761" s="3"/>
    </row>
    <row r="1762" spans="1:23">
      <c r="A1762" t="s">
        <v>3731</v>
      </c>
      <c r="B1762" t="s">
        <v>1748</v>
      </c>
      <c r="C1762" t="s">
        <v>206</v>
      </c>
      <c r="D1762" s="2">
        <v>36656</v>
      </c>
      <c r="E1762" s="2">
        <v>45908</v>
      </c>
      <c r="G1762" t="s">
        <v>109</v>
      </c>
      <c r="H1762" t="s">
        <v>52</v>
      </c>
      <c r="I1762" t="s">
        <v>53</v>
      </c>
      <c r="J1762" t="s">
        <v>46</v>
      </c>
      <c r="K1762" t="s">
        <v>55</v>
      </c>
      <c r="L1762">
        <v>186705.82</v>
      </c>
      <c r="M1762">
        <v>149256.35</v>
      </c>
      <c r="N1762" t="s">
        <v>35</v>
      </c>
      <c r="O1762">
        <v>16</v>
      </c>
      <c r="P1762">
        <v>218</v>
      </c>
      <c r="Q1762">
        <v>4</v>
      </c>
      <c r="R1762" t="s">
        <v>1401</v>
      </c>
      <c r="S1762">
        <v>234.1</v>
      </c>
      <c r="T1762" t="s">
        <v>37</v>
      </c>
      <c r="U1762" s="3"/>
      <c r="V1762" s="3"/>
      <c r="W1762" s="3"/>
    </row>
    <row r="1763" spans="1:23">
      <c r="A1763" t="s">
        <v>3732</v>
      </c>
      <c r="B1763" t="s">
        <v>768</v>
      </c>
      <c r="C1763" t="s">
        <v>60</v>
      </c>
      <c r="D1763" s="2">
        <v>40537</v>
      </c>
      <c r="E1763" s="2">
        <v>45014</v>
      </c>
      <c r="F1763" s="2">
        <v>45028</v>
      </c>
      <c r="G1763" t="s">
        <v>141</v>
      </c>
      <c r="H1763" t="s">
        <v>24</v>
      </c>
      <c r="I1763" t="s">
        <v>45</v>
      </c>
      <c r="K1763" t="s">
        <v>161</v>
      </c>
      <c r="L1763">
        <v>60191.37</v>
      </c>
      <c r="M1763">
        <v>47585.55</v>
      </c>
      <c r="N1763" t="s">
        <v>35</v>
      </c>
      <c r="O1763">
        <v>14</v>
      </c>
      <c r="P1763">
        <v>179</v>
      </c>
      <c r="R1763">
        <v>148</v>
      </c>
      <c r="S1763">
        <v>118.6</v>
      </c>
      <c r="T1763" t="s">
        <v>81</v>
      </c>
      <c r="U1763" s="3"/>
      <c r="V1763" s="3"/>
      <c r="W1763" s="3"/>
    </row>
    <row r="1764" spans="1:23">
      <c r="A1764" t="s">
        <v>3733</v>
      </c>
      <c r="B1764" t="s">
        <v>3234</v>
      </c>
      <c r="D1764" s="2">
        <v>35531</v>
      </c>
      <c r="E1764" t="s">
        <v>3734</v>
      </c>
      <c r="F1764" s="2">
        <v>45979</v>
      </c>
      <c r="G1764" t="s">
        <v>141</v>
      </c>
      <c r="H1764" t="s">
        <v>52</v>
      </c>
      <c r="J1764" t="s">
        <v>80</v>
      </c>
      <c r="K1764" t="s">
        <v>55</v>
      </c>
      <c r="L1764" t="s">
        <v>3735</v>
      </c>
      <c r="M1764">
        <v>163097.38</v>
      </c>
      <c r="N1764" t="s">
        <v>192</v>
      </c>
      <c r="O1764">
        <v>6</v>
      </c>
      <c r="P1764">
        <v>239</v>
      </c>
      <c r="Q1764">
        <v>1</v>
      </c>
      <c r="R1764">
        <v>117</v>
      </c>
      <c r="S1764">
        <v>85.1</v>
      </c>
      <c r="T1764" t="s">
        <v>37</v>
      </c>
      <c r="U1764" s="3"/>
      <c r="V1764" s="3"/>
      <c r="W1764" s="3"/>
    </row>
    <row r="1765" spans="1:23">
      <c r="A1765" t="s">
        <v>3736</v>
      </c>
      <c r="B1765" t="s">
        <v>1678</v>
      </c>
      <c r="C1765" t="s">
        <v>84</v>
      </c>
      <c r="D1765" t="s">
        <v>3737</v>
      </c>
      <c r="E1765" t="s">
        <v>3738</v>
      </c>
      <c r="F1765" t="s">
        <v>3739</v>
      </c>
      <c r="G1765" t="s">
        <v>31</v>
      </c>
      <c r="H1765" t="s">
        <v>32</v>
      </c>
      <c r="I1765" t="s">
        <v>119</v>
      </c>
      <c r="J1765" t="s">
        <v>34</v>
      </c>
      <c r="K1765" t="s">
        <v>55</v>
      </c>
      <c r="L1765">
        <v>175891.20000000001</v>
      </c>
      <c r="M1765">
        <v>121243.76</v>
      </c>
      <c r="N1765" t="s">
        <v>56</v>
      </c>
      <c r="O1765">
        <v>17</v>
      </c>
      <c r="P1765">
        <v>79</v>
      </c>
      <c r="Q1765">
        <v>2</v>
      </c>
      <c r="R1765">
        <v>148</v>
      </c>
      <c r="S1765">
        <v>244.3</v>
      </c>
      <c r="T1765" t="s">
        <v>37</v>
      </c>
      <c r="U1765" s="3"/>
      <c r="V1765" s="3"/>
      <c r="W1765" s="3"/>
    </row>
    <row r="1766" spans="1:23">
      <c r="A1766" t="s">
        <v>3740</v>
      </c>
      <c r="B1766" t="s">
        <v>607</v>
      </c>
      <c r="C1766" t="s">
        <v>133</v>
      </c>
      <c r="D1766" s="2">
        <v>31014</v>
      </c>
      <c r="E1766" s="2">
        <v>45345</v>
      </c>
      <c r="F1766" t="s">
        <v>3741</v>
      </c>
      <c r="G1766" t="s">
        <v>141</v>
      </c>
      <c r="H1766" t="s">
        <v>95</v>
      </c>
      <c r="I1766" t="s">
        <v>79</v>
      </c>
      <c r="J1766" t="s">
        <v>34</v>
      </c>
      <c r="K1766" t="s">
        <v>183</v>
      </c>
      <c r="L1766">
        <v>131255.54999999999</v>
      </c>
      <c r="M1766">
        <v>107559.93</v>
      </c>
      <c r="N1766" t="s">
        <v>91</v>
      </c>
      <c r="O1766">
        <v>5</v>
      </c>
      <c r="P1766">
        <v>174</v>
      </c>
      <c r="R1766">
        <v>128</v>
      </c>
      <c r="S1766">
        <v>97.8</v>
      </c>
      <c r="T1766" t="s">
        <v>37</v>
      </c>
      <c r="U1766" s="3"/>
      <c r="V1766" s="3"/>
      <c r="W1766" s="3"/>
    </row>
    <row r="1767" spans="1:23">
      <c r="A1767" t="s">
        <v>3742</v>
      </c>
      <c r="B1767" t="s">
        <v>1537</v>
      </c>
      <c r="C1767" t="s">
        <v>206</v>
      </c>
      <c r="D1767" s="2">
        <v>27939</v>
      </c>
      <c r="E1767" s="2">
        <v>45121</v>
      </c>
      <c r="F1767" t="s">
        <v>3743</v>
      </c>
      <c r="G1767" t="s">
        <v>62</v>
      </c>
      <c r="I1767" t="s">
        <v>96</v>
      </c>
      <c r="K1767" t="s">
        <v>110</v>
      </c>
      <c r="L1767">
        <v>94956.71</v>
      </c>
      <c r="M1767">
        <v>64581.73</v>
      </c>
      <c r="N1767" t="s">
        <v>56</v>
      </c>
      <c r="O1767">
        <v>8</v>
      </c>
      <c r="P1767">
        <v>187</v>
      </c>
      <c r="Q1767">
        <v>4</v>
      </c>
      <c r="R1767">
        <v>178</v>
      </c>
      <c r="S1767">
        <v>83.4</v>
      </c>
      <c r="T1767" t="s">
        <v>37</v>
      </c>
      <c r="U1767" s="3"/>
      <c r="V1767" s="3"/>
      <c r="W1767" s="3"/>
    </row>
    <row r="1768" spans="1:23">
      <c r="A1768" t="s">
        <v>3744</v>
      </c>
      <c r="B1768" t="s">
        <v>3745</v>
      </c>
      <c r="C1768" t="s">
        <v>30</v>
      </c>
      <c r="D1768" s="2">
        <v>29772</v>
      </c>
      <c r="E1768" t="s">
        <v>3746</v>
      </c>
      <c r="F1768" s="2">
        <v>45166</v>
      </c>
      <c r="G1768" t="s">
        <v>754</v>
      </c>
      <c r="H1768" t="s">
        <v>63</v>
      </c>
      <c r="I1768" t="s">
        <v>79</v>
      </c>
      <c r="J1768" t="s">
        <v>26</v>
      </c>
      <c r="K1768" t="s">
        <v>161</v>
      </c>
      <c r="L1768">
        <v>248268.65</v>
      </c>
      <c r="M1768">
        <v>162070.6</v>
      </c>
      <c r="N1768" t="s">
        <v>91</v>
      </c>
      <c r="O1768">
        <v>7</v>
      </c>
      <c r="P1768">
        <v>222</v>
      </c>
      <c r="Q1768">
        <v>2</v>
      </c>
      <c r="R1768">
        <v>134</v>
      </c>
      <c r="S1768">
        <v>210.8</v>
      </c>
      <c r="U1768" s="3"/>
      <c r="V1768" s="3"/>
      <c r="W1768" s="3"/>
    </row>
    <row r="1769" spans="1:23">
      <c r="A1769" t="s">
        <v>3747</v>
      </c>
      <c r="B1769" t="s">
        <v>771</v>
      </c>
      <c r="C1769" t="s">
        <v>84</v>
      </c>
      <c r="D1769" s="2">
        <v>36330</v>
      </c>
      <c r="E1769" s="2">
        <v>45014</v>
      </c>
      <c r="G1769" t="s">
        <v>70</v>
      </c>
      <c r="H1769" t="s">
        <v>24</v>
      </c>
      <c r="I1769" t="s">
        <v>53</v>
      </c>
      <c r="J1769" t="s">
        <v>71</v>
      </c>
      <c r="K1769" t="s">
        <v>27</v>
      </c>
      <c r="L1769">
        <v>28240.43</v>
      </c>
      <c r="M1769">
        <v>20052.02</v>
      </c>
      <c r="O1769">
        <v>10</v>
      </c>
      <c r="P1769">
        <v>60</v>
      </c>
      <c r="Q1769">
        <v>4</v>
      </c>
      <c r="R1769">
        <v>181</v>
      </c>
      <c r="S1769">
        <v>117.8</v>
      </c>
      <c r="T1769" t="s">
        <v>47</v>
      </c>
      <c r="U1769" s="3"/>
      <c r="V1769" s="3"/>
      <c r="W1769" s="3"/>
    </row>
    <row r="1770" spans="1:23">
      <c r="A1770" t="s">
        <v>3748</v>
      </c>
      <c r="B1770" t="s">
        <v>2270</v>
      </c>
      <c r="C1770" t="s">
        <v>30</v>
      </c>
      <c r="D1770" s="2">
        <v>21971</v>
      </c>
      <c r="E1770" t="s">
        <v>3749</v>
      </c>
      <c r="F1770" t="s">
        <v>2381</v>
      </c>
      <c r="G1770" t="s">
        <v>141</v>
      </c>
      <c r="I1770" t="s">
        <v>96</v>
      </c>
      <c r="J1770" t="s">
        <v>97</v>
      </c>
      <c r="K1770" t="s">
        <v>110</v>
      </c>
      <c r="L1770">
        <v>240550.48</v>
      </c>
      <c r="N1770" t="s">
        <v>56</v>
      </c>
      <c r="O1770">
        <v>16</v>
      </c>
      <c r="P1770">
        <v>30</v>
      </c>
      <c r="Q1770">
        <v>1</v>
      </c>
      <c r="R1770">
        <v>103</v>
      </c>
      <c r="S1770">
        <v>164.1</v>
      </c>
      <c r="T1770" t="s">
        <v>37</v>
      </c>
      <c r="U1770" s="3"/>
      <c r="V1770" s="3"/>
      <c r="W1770" s="3"/>
    </row>
    <row r="1771" spans="1:23">
      <c r="A1771" t="s">
        <v>3750</v>
      </c>
      <c r="B1771" t="s">
        <v>972</v>
      </c>
      <c r="C1771" t="s">
        <v>60</v>
      </c>
      <c r="D1771" s="2">
        <v>24778</v>
      </c>
      <c r="E1771" s="2">
        <v>45489</v>
      </c>
      <c r="F1771" s="2">
        <v>45502</v>
      </c>
      <c r="G1771" t="s">
        <v>117</v>
      </c>
      <c r="H1771" t="s">
        <v>134</v>
      </c>
      <c r="I1771" t="s">
        <v>119</v>
      </c>
      <c r="J1771" t="s">
        <v>26</v>
      </c>
      <c r="K1771" t="s">
        <v>55</v>
      </c>
      <c r="L1771">
        <v>153556.54</v>
      </c>
      <c r="M1771">
        <v>109629.31</v>
      </c>
      <c r="N1771" t="s">
        <v>73</v>
      </c>
      <c r="O1771">
        <v>13</v>
      </c>
      <c r="P1771">
        <v>28</v>
      </c>
      <c r="Q1771">
        <v>5</v>
      </c>
      <c r="R1771">
        <v>134</v>
      </c>
      <c r="S1771">
        <v>162</v>
      </c>
      <c r="T1771" t="s">
        <v>37</v>
      </c>
      <c r="U1771" s="3"/>
      <c r="V1771" s="3"/>
      <c r="W1771" s="3"/>
    </row>
    <row r="1772" spans="1:23">
      <c r="A1772" t="s">
        <v>3751</v>
      </c>
      <c r="B1772" t="s">
        <v>728</v>
      </c>
      <c r="C1772" t="s">
        <v>60</v>
      </c>
      <c r="D1772" s="2">
        <v>20016</v>
      </c>
      <c r="E1772" s="2">
        <v>45326</v>
      </c>
      <c r="F1772" s="2">
        <v>45329</v>
      </c>
      <c r="G1772" t="s">
        <v>370</v>
      </c>
      <c r="H1772" t="s">
        <v>153</v>
      </c>
      <c r="J1772" t="s">
        <v>166</v>
      </c>
      <c r="K1772" t="s">
        <v>110</v>
      </c>
      <c r="L1772" t="s">
        <v>3752</v>
      </c>
      <c r="M1772">
        <v>141623.65</v>
      </c>
      <c r="N1772" t="s">
        <v>192</v>
      </c>
      <c r="O1772">
        <v>3</v>
      </c>
      <c r="Q1772">
        <v>3</v>
      </c>
      <c r="R1772">
        <v>111</v>
      </c>
      <c r="S1772">
        <v>192.9</v>
      </c>
      <c r="T1772" t="s">
        <v>37</v>
      </c>
      <c r="U1772" s="3"/>
      <c r="V1772" s="3"/>
      <c r="W1772" s="3"/>
    </row>
    <row r="1773" spans="1:23">
      <c r="A1773" t="s">
        <v>3753</v>
      </c>
      <c r="B1773" t="s">
        <v>298</v>
      </c>
      <c r="C1773" t="s">
        <v>84</v>
      </c>
      <c r="D1773" s="2">
        <v>32887</v>
      </c>
      <c r="E1773" t="s">
        <v>3754</v>
      </c>
      <c r="F1773" s="2">
        <v>45528</v>
      </c>
      <c r="G1773" t="s">
        <v>105</v>
      </c>
      <c r="K1773" t="s">
        <v>27</v>
      </c>
      <c r="L1773">
        <v>24200.65</v>
      </c>
      <c r="M1773">
        <v>17955.55</v>
      </c>
      <c r="N1773" t="s">
        <v>56</v>
      </c>
      <c r="O1773">
        <v>14</v>
      </c>
      <c r="P1773">
        <v>170</v>
      </c>
      <c r="Q1773">
        <v>5</v>
      </c>
      <c r="R1773">
        <v>166</v>
      </c>
      <c r="S1773">
        <v>193.7</v>
      </c>
      <c r="T1773" t="s">
        <v>37</v>
      </c>
      <c r="U1773" s="3"/>
      <c r="V1773" s="3"/>
      <c r="W1773" s="3"/>
    </row>
    <row r="1774" spans="1:23">
      <c r="A1774" t="s">
        <v>3755</v>
      </c>
      <c r="B1774" t="s">
        <v>354</v>
      </c>
      <c r="C1774" t="s">
        <v>50</v>
      </c>
      <c r="D1774" s="2">
        <v>27024</v>
      </c>
      <c r="E1774" s="2">
        <v>45932</v>
      </c>
      <c r="F1774" s="2">
        <v>45950</v>
      </c>
      <c r="H1774" t="s">
        <v>44</v>
      </c>
      <c r="I1774" t="s">
        <v>119</v>
      </c>
      <c r="J1774" t="s">
        <v>34</v>
      </c>
      <c r="K1774" t="s">
        <v>161</v>
      </c>
      <c r="L1774">
        <v>177030.44</v>
      </c>
      <c r="M1774">
        <v>162468.82</v>
      </c>
      <c r="N1774" t="s">
        <v>409</v>
      </c>
      <c r="O1774">
        <v>18</v>
      </c>
      <c r="P1774">
        <v>59</v>
      </c>
      <c r="Q1774">
        <v>1</v>
      </c>
      <c r="R1774">
        <v>164</v>
      </c>
      <c r="S1774">
        <v>97.2</v>
      </c>
      <c r="U1774" s="3"/>
      <c r="V1774" s="3"/>
      <c r="W1774" s="3"/>
    </row>
    <row r="1775" spans="1:23">
      <c r="A1775" t="s">
        <v>3756</v>
      </c>
      <c r="B1775" t="s">
        <v>444</v>
      </c>
      <c r="C1775" t="s">
        <v>22</v>
      </c>
      <c r="D1775" s="2">
        <v>35908</v>
      </c>
      <c r="E1775" t="s">
        <v>3757</v>
      </c>
      <c r="F1775" s="2">
        <v>45692</v>
      </c>
      <c r="H1775" t="s">
        <v>63</v>
      </c>
      <c r="J1775" t="s">
        <v>34</v>
      </c>
      <c r="K1775" t="s">
        <v>106</v>
      </c>
      <c r="L1775">
        <v>60022.53</v>
      </c>
      <c r="M1775">
        <v>55882.69</v>
      </c>
      <c r="N1775" t="s">
        <v>56</v>
      </c>
      <c r="O1775">
        <v>1</v>
      </c>
      <c r="P1775">
        <v>43</v>
      </c>
      <c r="Q1775">
        <v>4</v>
      </c>
      <c r="R1775">
        <v>144</v>
      </c>
      <c r="S1775">
        <v>103.7</v>
      </c>
      <c r="U1775" s="3"/>
      <c r="V1775" s="3"/>
      <c r="W1775" s="3"/>
    </row>
    <row r="1776" spans="1:23">
      <c r="A1776" t="s">
        <v>3758</v>
      </c>
      <c r="B1776" t="s">
        <v>143</v>
      </c>
      <c r="C1776" t="s">
        <v>84</v>
      </c>
      <c r="D1776" s="2">
        <v>36511</v>
      </c>
      <c r="E1776" s="2">
        <v>45804</v>
      </c>
      <c r="F1776" s="2">
        <v>45813</v>
      </c>
      <c r="G1776" t="s">
        <v>77</v>
      </c>
      <c r="H1776" t="s">
        <v>113</v>
      </c>
      <c r="I1776" t="s">
        <v>45</v>
      </c>
      <c r="K1776" t="s">
        <v>27</v>
      </c>
      <c r="L1776">
        <v>151743.29999999999</v>
      </c>
      <c r="M1776">
        <v>127402.7</v>
      </c>
      <c r="N1776" t="s">
        <v>1048</v>
      </c>
      <c r="O1776">
        <v>9</v>
      </c>
      <c r="P1776">
        <v>159</v>
      </c>
      <c r="Q1776">
        <v>4</v>
      </c>
      <c r="R1776">
        <v>174</v>
      </c>
      <c r="S1776">
        <v>235.9</v>
      </c>
      <c r="U1776" s="3"/>
      <c r="V1776" s="3"/>
      <c r="W1776" s="3"/>
    </row>
    <row r="1777" spans="1:23">
      <c r="A1777" t="s">
        <v>3759</v>
      </c>
      <c r="B1777" t="s">
        <v>799</v>
      </c>
      <c r="C1777" t="s">
        <v>50</v>
      </c>
      <c r="D1777" t="s">
        <v>3760</v>
      </c>
      <c r="E1777" t="s">
        <v>3761</v>
      </c>
      <c r="F1777" t="s">
        <v>3762</v>
      </c>
      <c r="G1777" t="s">
        <v>43</v>
      </c>
      <c r="H1777" t="s">
        <v>95</v>
      </c>
      <c r="I1777" t="s">
        <v>33</v>
      </c>
      <c r="J1777" t="s">
        <v>34</v>
      </c>
      <c r="L1777">
        <v>88776.67</v>
      </c>
      <c r="M1777">
        <v>56037.87</v>
      </c>
      <c r="N1777" t="s">
        <v>91</v>
      </c>
      <c r="O1777" t="s">
        <v>1857</v>
      </c>
      <c r="Q1777">
        <v>1</v>
      </c>
      <c r="R1777">
        <v>152</v>
      </c>
      <c r="S1777">
        <v>223.6</v>
      </c>
      <c r="U1777" s="3"/>
      <c r="V1777" s="3"/>
      <c r="W1777" s="3"/>
    </row>
    <row r="1778" spans="1:23">
      <c r="A1778" t="s">
        <v>3763</v>
      </c>
      <c r="B1778" t="s">
        <v>1293</v>
      </c>
      <c r="C1778" t="s">
        <v>133</v>
      </c>
      <c r="D1778" t="s">
        <v>3764</v>
      </c>
      <c r="E1778" s="2">
        <v>45519</v>
      </c>
      <c r="F1778" t="s">
        <v>3765</v>
      </c>
      <c r="H1778" t="s">
        <v>78</v>
      </c>
      <c r="I1778" t="s">
        <v>119</v>
      </c>
      <c r="J1778" t="s">
        <v>179</v>
      </c>
      <c r="K1778" t="s">
        <v>120</v>
      </c>
      <c r="L1778">
        <v>136442.69</v>
      </c>
      <c r="M1778">
        <v>96721.58</v>
      </c>
      <c r="N1778" t="s">
        <v>192</v>
      </c>
      <c r="O1778">
        <v>6</v>
      </c>
      <c r="P1778">
        <v>189</v>
      </c>
      <c r="Q1778">
        <v>3</v>
      </c>
      <c r="R1778">
        <v>142</v>
      </c>
      <c r="S1778">
        <v>195.9</v>
      </c>
      <c r="T1778" t="s">
        <v>37</v>
      </c>
      <c r="U1778" s="3"/>
      <c r="V1778" s="3"/>
      <c r="W1778" s="3"/>
    </row>
    <row r="1779" spans="1:23">
      <c r="A1779" t="s">
        <v>3766</v>
      </c>
      <c r="B1779" t="s">
        <v>314</v>
      </c>
      <c r="D1779" s="2">
        <v>29269</v>
      </c>
      <c r="E1779" s="2">
        <v>45065</v>
      </c>
      <c r="F1779" s="2">
        <v>45067</v>
      </c>
      <c r="G1779" t="s">
        <v>117</v>
      </c>
      <c r="H1779" t="s">
        <v>32</v>
      </c>
      <c r="I1779" t="s">
        <v>96</v>
      </c>
      <c r="J1779" t="s">
        <v>34</v>
      </c>
      <c r="K1779" t="s">
        <v>161</v>
      </c>
      <c r="L1779">
        <v>126590.92</v>
      </c>
      <c r="M1779">
        <v>110332.67</v>
      </c>
      <c r="O1779">
        <v>2</v>
      </c>
      <c r="P1779">
        <v>63</v>
      </c>
      <c r="Q1779">
        <v>4</v>
      </c>
      <c r="R1779">
        <v>94</v>
      </c>
      <c r="S1779">
        <v>138.69999999999999</v>
      </c>
      <c r="U1779" s="3"/>
      <c r="V1779" s="3"/>
      <c r="W1779" s="3"/>
    </row>
    <row r="1780" spans="1:23">
      <c r="A1780" t="s">
        <v>3767</v>
      </c>
      <c r="B1780" t="s">
        <v>760</v>
      </c>
      <c r="C1780" t="s">
        <v>100</v>
      </c>
      <c r="D1780" s="2">
        <v>27184</v>
      </c>
      <c r="E1780" s="2">
        <v>46008</v>
      </c>
      <c r="F1780" t="s">
        <v>3768</v>
      </c>
      <c r="G1780" t="s">
        <v>117</v>
      </c>
      <c r="H1780" t="s">
        <v>52</v>
      </c>
      <c r="I1780" t="s">
        <v>79</v>
      </c>
      <c r="J1780" t="s">
        <v>34</v>
      </c>
      <c r="K1780" t="s">
        <v>161</v>
      </c>
      <c r="L1780">
        <v>22562.84</v>
      </c>
      <c r="M1780">
        <v>19722.09</v>
      </c>
      <c r="N1780" t="s">
        <v>192</v>
      </c>
      <c r="O1780">
        <v>18</v>
      </c>
      <c r="P1780">
        <v>10</v>
      </c>
      <c r="Q1780">
        <v>4</v>
      </c>
      <c r="R1780">
        <v>120</v>
      </c>
      <c r="S1780">
        <v>249.4</v>
      </c>
      <c r="T1780" t="s">
        <v>37</v>
      </c>
      <c r="U1780" s="3"/>
      <c r="V1780" s="3"/>
      <c r="W1780" s="3"/>
    </row>
    <row r="1781" spans="1:23">
      <c r="A1781" t="s">
        <v>3769</v>
      </c>
      <c r="B1781" t="s">
        <v>1667</v>
      </c>
      <c r="C1781" t="s">
        <v>396</v>
      </c>
      <c r="D1781" s="2">
        <v>40140</v>
      </c>
      <c r="E1781" s="2">
        <v>45539</v>
      </c>
      <c r="F1781" s="2">
        <v>45547</v>
      </c>
      <c r="G1781" t="s">
        <v>31</v>
      </c>
      <c r="I1781" t="s">
        <v>119</v>
      </c>
      <c r="J1781" t="s">
        <v>64</v>
      </c>
      <c r="K1781" t="s">
        <v>161</v>
      </c>
      <c r="L1781">
        <v>194257.87</v>
      </c>
      <c r="M1781">
        <v>137554.95000000001</v>
      </c>
      <c r="N1781" t="s">
        <v>192</v>
      </c>
      <c r="O1781">
        <v>8</v>
      </c>
      <c r="P1781">
        <v>164</v>
      </c>
      <c r="R1781">
        <v>144</v>
      </c>
      <c r="S1781">
        <v>152.4</v>
      </c>
      <c r="U1781" s="3"/>
      <c r="V1781" s="3"/>
      <c r="W1781" s="3"/>
    </row>
    <row r="1782" spans="1:23">
      <c r="A1782" t="s">
        <v>3770</v>
      </c>
      <c r="B1782" t="s">
        <v>1097</v>
      </c>
      <c r="D1782" t="s">
        <v>3771</v>
      </c>
      <c r="E1782" t="s">
        <v>3772</v>
      </c>
      <c r="F1782" s="2">
        <v>45399</v>
      </c>
      <c r="G1782" t="s">
        <v>501</v>
      </c>
      <c r="H1782" t="s">
        <v>86</v>
      </c>
      <c r="I1782" t="s">
        <v>79</v>
      </c>
      <c r="J1782" t="s">
        <v>71</v>
      </c>
      <c r="L1782">
        <v>155608.99</v>
      </c>
      <c r="M1782">
        <v>107929.49</v>
      </c>
      <c r="N1782" t="s">
        <v>106</v>
      </c>
      <c r="O1782">
        <v>10</v>
      </c>
      <c r="P1782" t="s">
        <v>299</v>
      </c>
      <c r="R1782">
        <v>153</v>
      </c>
      <c r="S1782">
        <v>207.1</v>
      </c>
      <c r="T1782" t="s">
        <v>37</v>
      </c>
      <c r="U1782" s="3"/>
      <c r="V1782" s="3"/>
      <c r="W1782" s="3"/>
    </row>
    <row r="1783" spans="1:23">
      <c r="A1783" t="s">
        <v>3773</v>
      </c>
      <c r="B1783" t="s">
        <v>3774</v>
      </c>
      <c r="C1783" t="s">
        <v>133</v>
      </c>
      <c r="D1783" t="s">
        <v>3775</v>
      </c>
      <c r="E1783" s="2">
        <v>45205</v>
      </c>
      <c r="F1783" s="2">
        <v>45220</v>
      </c>
      <c r="G1783" t="s">
        <v>31</v>
      </c>
      <c r="H1783" t="s">
        <v>24</v>
      </c>
      <c r="J1783" t="s">
        <v>34</v>
      </c>
      <c r="K1783" t="s">
        <v>72</v>
      </c>
      <c r="L1783" t="s">
        <v>3776</v>
      </c>
      <c r="N1783" t="s">
        <v>35</v>
      </c>
      <c r="O1783" t="s">
        <v>1170</v>
      </c>
      <c r="P1783">
        <v>233</v>
      </c>
      <c r="Q1783">
        <v>4</v>
      </c>
      <c r="R1783">
        <v>178</v>
      </c>
      <c r="S1783">
        <v>177</v>
      </c>
      <c r="T1783" t="s">
        <v>37</v>
      </c>
      <c r="U1783" s="3"/>
      <c r="V1783" s="3"/>
      <c r="W1783" s="3"/>
    </row>
    <row r="1784" spans="1:23">
      <c r="A1784" t="s">
        <v>3777</v>
      </c>
      <c r="B1784" t="s">
        <v>241</v>
      </c>
      <c r="C1784" t="s">
        <v>133</v>
      </c>
      <c r="D1784" s="2">
        <v>29765</v>
      </c>
      <c r="E1784" s="2">
        <v>44940</v>
      </c>
      <c r="G1784" t="s">
        <v>117</v>
      </c>
      <c r="I1784" t="s">
        <v>33</v>
      </c>
      <c r="J1784" t="s">
        <v>46</v>
      </c>
      <c r="K1784" t="s">
        <v>72</v>
      </c>
      <c r="L1784">
        <v>93072.15</v>
      </c>
      <c r="M1784">
        <v>91060.17</v>
      </c>
      <c r="N1784" t="s">
        <v>73</v>
      </c>
      <c r="O1784">
        <v>2</v>
      </c>
      <c r="P1784">
        <v>61</v>
      </c>
      <c r="Q1784">
        <v>3</v>
      </c>
      <c r="R1784">
        <v>108</v>
      </c>
      <c r="S1784">
        <v>234.7</v>
      </c>
      <c r="T1784" t="s">
        <v>65</v>
      </c>
      <c r="U1784" s="3"/>
      <c r="V1784" s="3"/>
      <c r="W1784" s="3"/>
    </row>
    <row r="1785" spans="1:23">
      <c r="A1785" t="s">
        <v>3778</v>
      </c>
      <c r="B1785" t="s">
        <v>1471</v>
      </c>
      <c r="D1785" s="2">
        <v>31584</v>
      </c>
      <c r="E1785" s="2">
        <v>45101</v>
      </c>
      <c r="F1785" t="s">
        <v>3779</v>
      </c>
      <c r="G1785" t="s">
        <v>117</v>
      </c>
      <c r="H1785" t="s">
        <v>86</v>
      </c>
      <c r="I1785" t="s">
        <v>45</v>
      </c>
      <c r="J1785" t="s">
        <v>179</v>
      </c>
      <c r="K1785" t="s">
        <v>72</v>
      </c>
      <c r="L1785">
        <v>61520.89</v>
      </c>
      <c r="M1785">
        <v>48912.15</v>
      </c>
      <c r="N1785" t="s">
        <v>35</v>
      </c>
      <c r="O1785">
        <v>15</v>
      </c>
      <c r="P1785">
        <v>154</v>
      </c>
      <c r="Q1785">
        <v>5</v>
      </c>
      <c r="R1785">
        <v>165</v>
      </c>
      <c r="S1785">
        <v>243.3</v>
      </c>
      <c r="T1785" t="s">
        <v>37</v>
      </c>
      <c r="U1785" s="3"/>
      <c r="V1785" s="3"/>
      <c r="W1785" s="3"/>
    </row>
    <row r="1786" spans="1:23">
      <c r="A1786" t="s">
        <v>3780</v>
      </c>
      <c r="B1786" t="s">
        <v>850</v>
      </c>
      <c r="C1786" t="s">
        <v>60</v>
      </c>
      <c r="D1786" s="2">
        <v>30538</v>
      </c>
      <c r="E1786" s="2">
        <v>45011</v>
      </c>
      <c r="F1786" s="2">
        <v>45028</v>
      </c>
      <c r="G1786" t="s">
        <v>114</v>
      </c>
      <c r="H1786" t="s">
        <v>32</v>
      </c>
      <c r="I1786" t="s">
        <v>45</v>
      </c>
      <c r="J1786" t="s">
        <v>179</v>
      </c>
      <c r="L1786">
        <v>172491.87</v>
      </c>
      <c r="M1786">
        <v>145686.76</v>
      </c>
      <c r="N1786" t="s">
        <v>192</v>
      </c>
      <c r="O1786">
        <v>17</v>
      </c>
      <c r="P1786">
        <v>63</v>
      </c>
      <c r="R1786">
        <v>108</v>
      </c>
      <c r="S1786">
        <v>83.2</v>
      </c>
      <c r="T1786" t="s">
        <v>65</v>
      </c>
      <c r="U1786" s="3"/>
      <c r="V1786" s="3"/>
      <c r="W1786" s="3"/>
    </row>
    <row r="1787" spans="1:23">
      <c r="A1787" t="s">
        <v>3781</v>
      </c>
      <c r="B1787" t="s">
        <v>986</v>
      </c>
      <c r="C1787" t="s">
        <v>816</v>
      </c>
      <c r="D1787" s="2">
        <v>19515</v>
      </c>
      <c r="E1787" s="2">
        <v>45080</v>
      </c>
      <c r="F1787" s="2">
        <v>45097</v>
      </c>
      <c r="G1787" t="s">
        <v>105</v>
      </c>
      <c r="H1787" t="s">
        <v>1783</v>
      </c>
      <c r="I1787" t="s">
        <v>25</v>
      </c>
      <c r="J1787" t="s">
        <v>64</v>
      </c>
      <c r="K1787" t="s">
        <v>55</v>
      </c>
      <c r="L1787">
        <v>234081.58</v>
      </c>
      <c r="M1787">
        <v>145655.60999999999</v>
      </c>
      <c r="N1787" t="s">
        <v>73</v>
      </c>
      <c r="O1787">
        <v>17</v>
      </c>
      <c r="P1787">
        <v>29</v>
      </c>
      <c r="Q1787">
        <v>3</v>
      </c>
      <c r="R1787">
        <v>173</v>
      </c>
      <c r="S1787">
        <v>147.6</v>
      </c>
      <c r="T1787" t="s">
        <v>65</v>
      </c>
      <c r="U1787" s="3"/>
      <c r="V1787" s="3"/>
      <c r="W1787" s="3"/>
    </row>
    <row r="1788" spans="1:23">
      <c r="A1788" t="s">
        <v>3782</v>
      </c>
      <c r="B1788" t="s">
        <v>1101</v>
      </c>
      <c r="C1788" t="s">
        <v>22</v>
      </c>
      <c r="D1788" s="2">
        <v>28906</v>
      </c>
      <c r="E1788" s="2">
        <v>45309</v>
      </c>
      <c r="F1788" s="2">
        <v>45325</v>
      </c>
      <c r="G1788" t="s">
        <v>1282</v>
      </c>
      <c r="H1788" t="s">
        <v>113</v>
      </c>
      <c r="I1788" t="s">
        <v>119</v>
      </c>
      <c r="K1788" t="s">
        <v>55</v>
      </c>
      <c r="L1788" t="s">
        <v>3783</v>
      </c>
      <c r="M1788">
        <v>110629.01</v>
      </c>
      <c r="N1788" t="s">
        <v>35</v>
      </c>
      <c r="O1788">
        <v>16</v>
      </c>
      <c r="P1788">
        <v>14</v>
      </c>
      <c r="Q1788">
        <v>5</v>
      </c>
      <c r="R1788">
        <v>141</v>
      </c>
      <c r="S1788">
        <v>142.30000000000001</v>
      </c>
      <c r="T1788" t="s">
        <v>47</v>
      </c>
      <c r="U1788" s="3"/>
      <c r="V1788" s="3"/>
      <c r="W1788" s="3"/>
    </row>
    <row r="1789" spans="1:23">
      <c r="A1789" t="s">
        <v>3784</v>
      </c>
      <c r="B1789" t="s">
        <v>762</v>
      </c>
      <c r="C1789" t="s">
        <v>100</v>
      </c>
      <c r="D1789" s="2">
        <v>39601</v>
      </c>
      <c r="E1789" s="2">
        <v>45781</v>
      </c>
      <c r="F1789" s="2">
        <v>45794</v>
      </c>
      <c r="H1789" t="s">
        <v>134</v>
      </c>
      <c r="I1789" t="s">
        <v>79</v>
      </c>
      <c r="J1789" t="s">
        <v>179</v>
      </c>
      <c r="L1789">
        <v>211993.95</v>
      </c>
      <c r="M1789">
        <v>150246.07999999999</v>
      </c>
      <c r="N1789" t="s">
        <v>73</v>
      </c>
      <c r="O1789">
        <v>13</v>
      </c>
      <c r="P1789">
        <v>94</v>
      </c>
      <c r="Q1789">
        <v>1</v>
      </c>
      <c r="R1789">
        <v>155</v>
      </c>
      <c r="S1789">
        <v>232</v>
      </c>
      <c r="U1789" s="3"/>
      <c r="V1789" s="3"/>
      <c r="W1789" s="3"/>
    </row>
    <row r="1790" spans="1:23">
      <c r="A1790" t="s">
        <v>3785</v>
      </c>
      <c r="B1790" t="s">
        <v>93</v>
      </c>
      <c r="C1790" t="s">
        <v>22</v>
      </c>
      <c r="D1790" s="2">
        <v>23594</v>
      </c>
      <c r="E1790" s="2">
        <v>45012</v>
      </c>
      <c r="F1790" t="s">
        <v>3786</v>
      </c>
      <c r="G1790" t="s">
        <v>62</v>
      </c>
      <c r="H1790" t="s">
        <v>52</v>
      </c>
      <c r="I1790" t="s">
        <v>79</v>
      </c>
      <c r="J1790" t="s">
        <v>179</v>
      </c>
      <c r="K1790" t="s">
        <v>161</v>
      </c>
      <c r="L1790">
        <v>149141.22</v>
      </c>
      <c r="M1790">
        <v>110577.13</v>
      </c>
      <c r="N1790" t="s">
        <v>192</v>
      </c>
      <c r="O1790">
        <v>7</v>
      </c>
      <c r="P1790">
        <v>113</v>
      </c>
      <c r="Q1790">
        <v>5</v>
      </c>
      <c r="R1790">
        <v>153</v>
      </c>
      <c r="S1790">
        <v>83.5</v>
      </c>
      <c r="T1790" t="s">
        <v>65</v>
      </c>
      <c r="U1790" s="3"/>
      <c r="V1790" s="3"/>
      <c r="W1790" s="3"/>
    </row>
    <row r="1791" spans="1:23">
      <c r="A1791" t="s">
        <v>3787</v>
      </c>
      <c r="B1791" t="s">
        <v>652</v>
      </c>
      <c r="C1791" t="s">
        <v>206</v>
      </c>
      <c r="D1791" s="2">
        <v>22968</v>
      </c>
      <c r="E1791" s="2">
        <v>45150</v>
      </c>
      <c r="F1791" s="2">
        <v>45158</v>
      </c>
      <c r="G1791" t="s">
        <v>70</v>
      </c>
      <c r="H1791" t="s">
        <v>86</v>
      </c>
      <c r="I1791" t="s">
        <v>25</v>
      </c>
      <c r="K1791" t="s">
        <v>27</v>
      </c>
      <c r="L1791">
        <v>226795.19</v>
      </c>
      <c r="M1791">
        <v>157783.46</v>
      </c>
      <c r="N1791" t="s">
        <v>35</v>
      </c>
      <c r="O1791">
        <v>8</v>
      </c>
      <c r="P1791">
        <v>72</v>
      </c>
      <c r="Q1791">
        <v>5</v>
      </c>
      <c r="R1791">
        <v>110</v>
      </c>
      <c r="S1791">
        <v>117.5</v>
      </c>
      <c r="T1791" t="s">
        <v>37</v>
      </c>
      <c r="U1791" s="3"/>
      <c r="V1791" s="3"/>
      <c r="W1791" s="3"/>
    </row>
    <row r="1792" spans="1:23">
      <c r="A1792" t="s">
        <v>3788</v>
      </c>
      <c r="B1792" t="s">
        <v>1408</v>
      </c>
      <c r="C1792" t="s">
        <v>30</v>
      </c>
      <c r="D1792" s="2">
        <v>36040</v>
      </c>
      <c r="E1792" t="s">
        <v>3789</v>
      </c>
      <c r="G1792" t="s">
        <v>152</v>
      </c>
      <c r="H1792" t="s">
        <v>153</v>
      </c>
      <c r="I1792" t="s">
        <v>119</v>
      </c>
      <c r="J1792" t="s">
        <v>64</v>
      </c>
      <c r="K1792" t="s">
        <v>55</v>
      </c>
      <c r="L1792" t="s">
        <v>3790</v>
      </c>
      <c r="M1792">
        <v>141554.96</v>
      </c>
      <c r="N1792" t="s">
        <v>73</v>
      </c>
      <c r="O1792">
        <v>18</v>
      </c>
      <c r="P1792">
        <v>184</v>
      </c>
      <c r="Q1792">
        <v>4</v>
      </c>
      <c r="R1792">
        <v>159</v>
      </c>
      <c r="S1792">
        <v>92</v>
      </c>
      <c r="T1792" t="s">
        <v>37</v>
      </c>
      <c r="U1792" s="3"/>
      <c r="V1792" s="3"/>
      <c r="W1792" s="3"/>
    </row>
    <row r="1793" spans="1:23">
      <c r="A1793" t="s">
        <v>3791</v>
      </c>
      <c r="B1793" t="s">
        <v>229</v>
      </c>
      <c r="C1793" t="s">
        <v>459</v>
      </c>
      <c r="D1793" s="2">
        <v>32868</v>
      </c>
      <c r="E1793" s="2">
        <v>45487</v>
      </c>
      <c r="F1793" t="s">
        <v>3792</v>
      </c>
      <c r="G1793" t="s">
        <v>89</v>
      </c>
      <c r="H1793" t="s">
        <v>95</v>
      </c>
      <c r="I1793" t="s">
        <v>33</v>
      </c>
      <c r="J1793" t="s">
        <v>46</v>
      </c>
      <c r="K1793" t="s">
        <v>72</v>
      </c>
      <c r="L1793">
        <v>168252.21</v>
      </c>
      <c r="M1793">
        <v>142267.63</v>
      </c>
      <c r="N1793" t="s">
        <v>73</v>
      </c>
      <c r="O1793">
        <v>4</v>
      </c>
      <c r="P1793">
        <v>220</v>
      </c>
      <c r="Q1793">
        <v>2</v>
      </c>
      <c r="R1793">
        <v>127</v>
      </c>
      <c r="S1793">
        <v>121.5</v>
      </c>
      <c r="T1793" t="s">
        <v>37</v>
      </c>
      <c r="U1793" s="3"/>
      <c r="V1793" s="3"/>
      <c r="W1793" s="3"/>
    </row>
    <row r="1794" spans="1:23">
      <c r="A1794" t="s">
        <v>3793</v>
      </c>
      <c r="B1794" t="s">
        <v>464</v>
      </c>
      <c r="C1794" t="s">
        <v>50</v>
      </c>
      <c r="D1794" s="2">
        <v>25011</v>
      </c>
      <c r="E1794" s="2">
        <v>45608</v>
      </c>
      <c r="F1794" s="2">
        <v>45616</v>
      </c>
      <c r="G1794" t="s">
        <v>141</v>
      </c>
      <c r="H1794" t="s">
        <v>113</v>
      </c>
      <c r="I1794" t="s">
        <v>79</v>
      </c>
      <c r="J1794" t="s">
        <v>80</v>
      </c>
      <c r="K1794" t="s">
        <v>161</v>
      </c>
      <c r="L1794">
        <v>125662.29</v>
      </c>
      <c r="M1794">
        <v>98806.3</v>
      </c>
      <c r="N1794" t="s">
        <v>1048</v>
      </c>
      <c r="O1794">
        <v>8</v>
      </c>
      <c r="P1794" t="s">
        <v>2596</v>
      </c>
      <c r="Q1794">
        <v>5</v>
      </c>
      <c r="R1794">
        <v>169</v>
      </c>
      <c r="S1794">
        <v>183.9</v>
      </c>
      <c r="T1794" t="s">
        <v>47</v>
      </c>
      <c r="U1794" s="3"/>
      <c r="V1794" s="3"/>
      <c r="W1794" s="3"/>
    </row>
    <row r="1795" spans="1:23">
      <c r="A1795" t="s">
        <v>3794</v>
      </c>
      <c r="B1795" t="s">
        <v>3015</v>
      </c>
      <c r="C1795" t="s">
        <v>22</v>
      </c>
      <c r="D1795" s="2">
        <v>32816</v>
      </c>
      <c r="E1795" s="2">
        <v>46005</v>
      </c>
      <c r="F1795" s="2">
        <v>46018</v>
      </c>
      <c r="G1795" t="s">
        <v>43</v>
      </c>
      <c r="H1795" t="s">
        <v>124</v>
      </c>
      <c r="I1795" t="s">
        <v>45</v>
      </c>
      <c r="J1795" t="s">
        <v>34</v>
      </c>
      <c r="K1795" t="s">
        <v>120</v>
      </c>
      <c r="L1795" t="s">
        <v>3795</v>
      </c>
      <c r="M1795">
        <v>48605.47</v>
      </c>
      <c r="N1795" t="s">
        <v>73</v>
      </c>
      <c r="O1795">
        <v>13</v>
      </c>
      <c r="P1795">
        <v>20</v>
      </c>
      <c r="Q1795">
        <v>5</v>
      </c>
      <c r="R1795">
        <v>186</v>
      </c>
      <c r="T1795" t="s">
        <v>37</v>
      </c>
      <c r="U1795" s="3"/>
      <c r="V1795" s="3"/>
      <c r="W1795" s="3"/>
    </row>
    <row r="1796" spans="1:23">
      <c r="A1796" t="s">
        <v>3796</v>
      </c>
      <c r="B1796" t="s">
        <v>93</v>
      </c>
      <c r="C1796" t="s">
        <v>100</v>
      </c>
      <c r="D1796" s="2">
        <v>25338</v>
      </c>
      <c r="E1796" s="2">
        <v>45319</v>
      </c>
      <c r="F1796" s="2">
        <v>45334</v>
      </c>
      <c r="G1796" t="s">
        <v>62</v>
      </c>
      <c r="H1796" t="s">
        <v>86</v>
      </c>
      <c r="I1796" t="s">
        <v>33</v>
      </c>
      <c r="J1796" t="s">
        <v>34</v>
      </c>
      <c r="K1796" t="s">
        <v>72</v>
      </c>
      <c r="L1796">
        <v>191504.46</v>
      </c>
      <c r="M1796">
        <v>169107.05</v>
      </c>
      <c r="N1796" t="s">
        <v>73</v>
      </c>
      <c r="O1796">
        <v>15</v>
      </c>
      <c r="P1796">
        <v>227</v>
      </c>
      <c r="Q1796">
        <v>4</v>
      </c>
      <c r="R1796">
        <v>161</v>
      </c>
      <c r="S1796">
        <v>100.5</v>
      </c>
      <c r="T1796" t="s">
        <v>47</v>
      </c>
      <c r="U1796" s="3"/>
      <c r="V1796" s="3"/>
      <c r="W1796" s="3"/>
    </row>
    <row r="1797" spans="1:23">
      <c r="A1797" t="s">
        <v>3797</v>
      </c>
      <c r="B1797" t="s">
        <v>2033</v>
      </c>
      <c r="C1797" t="s">
        <v>133</v>
      </c>
      <c r="D1797" s="2">
        <v>30538</v>
      </c>
      <c r="E1797" s="2">
        <v>45842</v>
      </c>
      <c r="G1797" t="s">
        <v>77</v>
      </c>
      <c r="H1797" t="s">
        <v>86</v>
      </c>
      <c r="J1797" t="s">
        <v>97</v>
      </c>
      <c r="K1797" t="s">
        <v>55</v>
      </c>
      <c r="L1797">
        <v>144739.79999999999</v>
      </c>
      <c r="M1797">
        <v>100556.66</v>
      </c>
      <c r="N1797" t="s">
        <v>35</v>
      </c>
      <c r="O1797">
        <v>9</v>
      </c>
      <c r="P1797">
        <v>129</v>
      </c>
      <c r="Q1797">
        <v>5</v>
      </c>
      <c r="R1797">
        <v>142</v>
      </c>
      <c r="S1797">
        <v>134.9</v>
      </c>
      <c r="T1797" t="s">
        <v>37</v>
      </c>
      <c r="U1797" s="3"/>
      <c r="V1797" s="3"/>
      <c r="W1797" s="3"/>
    </row>
    <row r="1798" spans="1:23">
      <c r="A1798" t="s">
        <v>3798</v>
      </c>
      <c r="B1798" t="s">
        <v>155</v>
      </c>
      <c r="C1798" t="s">
        <v>60</v>
      </c>
      <c r="D1798" s="2">
        <v>24880</v>
      </c>
      <c r="E1798" s="2">
        <v>45191</v>
      </c>
      <c r="F1798" s="2">
        <v>45208</v>
      </c>
      <c r="G1798" t="s">
        <v>94</v>
      </c>
      <c r="H1798" t="s">
        <v>538</v>
      </c>
      <c r="I1798" t="s">
        <v>96</v>
      </c>
      <c r="J1798" t="s">
        <v>179</v>
      </c>
      <c r="K1798" t="s">
        <v>161</v>
      </c>
      <c r="L1798">
        <v>19001.509999999998</v>
      </c>
      <c r="M1798">
        <v>17211.490000000002</v>
      </c>
      <c r="N1798" t="s">
        <v>192</v>
      </c>
      <c r="O1798">
        <v>17</v>
      </c>
      <c r="P1798">
        <v>27</v>
      </c>
      <c r="R1798">
        <v>96</v>
      </c>
      <c r="S1798">
        <v>239.2</v>
      </c>
      <c r="U1798" s="3"/>
      <c r="V1798" s="3"/>
      <c r="W1798" s="3"/>
    </row>
    <row r="1799" spans="1:23">
      <c r="A1799" t="s">
        <v>3799</v>
      </c>
      <c r="B1799" t="s">
        <v>909</v>
      </c>
      <c r="D1799" s="2">
        <v>20589</v>
      </c>
      <c r="E1799" t="s">
        <v>3800</v>
      </c>
      <c r="F1799" s="2">
        <v>45163</v>
      </c>
      <c r="G1799" t="s">
        <v>109</v>
      </c>
      <c r="H1799" t="s">
        <v>52</v>
      </c>
      <c r="I1799" t="s">
        <v>119</v>
      </c>
      <c r="J1799" t="s">
        <v>34</v>
      </c>
      <c r="K1799" t="s">
        <v>161</v>
      </c>
      <c r="L1799" t="s">
        <v>3801</v>
      </c>
      <c r="M1799">
        <v>46314.65</v>
      </c>
      <c r="N1799" t="s">
        <v>91</v>
      </c>
      <c r="O1799">
        <v>13</v>
      </c>
      <c r="P1799">
        <v>137</v>
      </c>
      <c r="Q1799">
        <v>5</v>
      </c>
      <c r="R1799">
        <v>90</v>
      </c>
      <c r="S1799">
        <v>207.5</v>
      </c>
      <c r="T1799" t="s">
        <v>37</v>
      </c>
      <c r="U1799" s="3"/>
      <c r="V1799" s="3"/>
      <c r="W1799" s="3"/>
    </row>
    <row r="1800" spans="1:23">
      <c r="A1800" t="s">
        <v>3802</v>
      </c>
      <c r="B1800" t="s">
        <v>607</v>
      </c>
      <c r="C1800" t="s">
        <v>816</v>
      </c>
      <c r="D1800" s="2">
        <v>31932</v>
      </c>
      <c r="E1800" s="2">
        <v>45499</v>
      </c>
      <c r="F1800" t="s">
        <v>3803</v>
      </c>
      <c r="G1800" t="s">
        <v>70</v>
      </c>
      <c r="H1800" t="s">
        <v>86</v>
      </c>
      <c r="J1800" t="s">
        <v>361</v>
      </c>
      <c r="K1800" t="s">
        <v>55</v>
      </c>
      <c r="L1800">
        <v>97455.94</v>
      </c>
      <c r="M1800">
        <v>96160.52</v>
      </c>
      <c r="N1800" t="s">
        <v>73</v>
      </c>
      <c r="O1800">
        <v>12</v>
      </c>
      <c r="P1800">
        <v>124</v>
      </c>
      <c r="Q1800">
        <v>3</v>
      </c>
      <c r="R1800">
        <v>166</v>
      </c>
      <c r="S1800">
        <v>144.9</v>
      </c>
      <c r="U1800" s="3"/>
      <c r="V1800" s="3"/>
      <c r="W1800" s="3"/>
    </row>
    <row r="1801" spans="1:23">
      <c r="A1801" t="s">
        <v>3804</v>
      </c>
      <c r="B1801" t="s">
        <v>1230</v>
      </c>
      <c r="C1801" t="s">
        <v>133</v>
      </c>
      <c r="D1801" s="2">
        <v>37549</v>
      </c>
      <c r="E1801" s="2">
        <v>44991</v>
      </c>
      <c r="F1801" s="2">
        <v>45006</v>
      </c>
      <c r="G1801" t="s">
        <v>70</v>
      </c>
      <c r="H1801" t="s">
        <v>538</v>
      </c>
      <c r="I1801" t="s">
        <v>79</v>
      </c>
      <c r="J1801" t="s">
        <v>663</v>
      </c>
      <c r="K1801" t="s">
        <v>120</v>
      </c>
      <c r="L1801">
        <v>64558.43</v>
      </c>
      <c r="M1801">
        <v>49763.62</v>
      </c>
      <c r="N1801" t="s">
        <v>467</v>
      </c>
      <c r="O1801">
        <v>15</v>
      </c>
      <c r="Q1801">
        <v>1</v>
      </c>
      <c r="R1801">
        <v>138</v>
      </c>
      <c r="S1801">
        <v>197.6</v>
      </c>
      <c r="T1801" t="s">
        <v>65</v>
      </c>
      <c r="U1801" s="3"/>
      <c r="V1801" s="3"/>
      <c r="W1801" s="3"/>
    </row>
    <row r="1802" spans="1:23">
      <c r="A1802" t="s">
        <v>3805</v>
      </c>
      <c r="B1802" t="s">
        <v>314</v>
      </c>
      <c r="C1802" t="s">
        <v>60</v>
      </c>
      <c r="D1802" s="2">
        <v>37109</v>
      </c>
      <c r="E1802" t="s">
        <v>3806</v>
      </c>
      <c r="F1802" s="2">
        <v>45274</v>
      </c>
      <c r="G1802" t="s">
        <v>94</v>
      </c>
      <c r="I1802" t="s">
        <v>79</v>
      </c>
      <c r="K1802" t="s">
        <v>55</v>
      </c>
      <c r="L1802">
        <v>214633.89</v>
      </c>
      <c r="M1802">
        <v>167095.91</v>
      </c>
      <c r="N1802" t="s">
        <v>73</v>
      </c>
      <c r="O1802">
        <v>7</v>
      </c>
      <c r="P1802">
        <v>58</v>
      </c>
      <c r="Q1802">
        <v>3</v>
      </c>
      <c r="R1802">
        <v>173</v>
      </c>
      <c r="S1802">
        <v>143.30000000000001</v>
      </c>
      <c r="T1802" t="s">
        <v>37</v>
      </c>
      <c r="U1802" s="3"/>
      <c r="V1802" s="3"/>
      <c r="W1802" s="3"/>
    </row>
    <row r="1803" spans="1:23">
      <c r="A1803" t="s">
        <v>3807</v>
      </c>
      <c r="B1803" t="s">
        <v>321</v>
      </c>
      <c r="C1803" t="s">
        <v>50</v>
      </c>
      <c r="D1803" s="2">
        <v>38461</v>
      </c>
      <c r="E1803" t="s">
        <v>3808</v>
      </c>
      <c r="F1803" t="s">
        <v>3809</v>
      </c>
      <c r="H1803" t="s">
        <v>63</v>
      </c>
      <c r="I1803" t="s">
        <v>33</v>
      </c>
      <c r="J1803" t="s">
        <v>80</v>
      </c>
      <c r="K1803" t="s">
        <v>55</v>
      </c>
      <c r="L1803">
        <v>170069.06</v>
      </c>
      <c r="M1803">
        <v>160342.12</v>
      </c>
      <c r="N1803" t="s">
        <v>192</v>
      </c>
      <c r="O1803">
        <v>7</v>
      </c>
      <c r="P1803">
        <v>155</v>
      </c>
      <c r="Q1803">
        <v>4</v>
      </c>
      <c r="R1803">
        <v>127</v>
      </c>
      <c r="S1803">
        <v>97.6</v>
      </c>
      <c r="T1803" t="s">
        <v>37</v>
      </c>
      <c r="U1803" s="3"/>
      <c r="V1803" s="3"/>
      <c r="W1803" s="3"/>
    </row>
    <row r="1804" spans="1:23">
      <c r="A1804" t="s">
        <v>3810</v>
      </c>
      <c r="B1804" t="s">
        <v>556</v>
      </c>
      <c r="C1804" t="s">
        <v>30</v>
      </c>
      <c r="D1804" s="2">
        <v>24894</v>
      </c>
      <c r="E1804" s="2">
        <v>45068</v>
      </c>
      <c r="F1804" s="2">
        <v>45071</v>
      </c>
      <c r="G1804" t="s">
        <v>43</v>
      </c>
      <c r="H1804" t="s">
        <v>63</v>
      </c>
      <c r="I1804" t="s">
        <v>79</v>
      </c>
      <c r="J1804" t="s">
        <v>71</v>
      </c>
      <c r="K1804" t="s">
        <v>55</v>
      </c>
      <c r="L1804">
        <v>180003.38</v>
      </c>
      <c r="M1804">
        <v>151994.74</v>
      </c>
      <c r="N1804" t="s">
        <v>192</v>
      </c>
      <c r="O1804">
        <v>3</v>
      </c>
      <c r="P1804">
        <v>45</v>
      </c>
      <c r="Q1804">
        <v>5</v>
      </c>
      <c r="R1804">
        <v>126</v>
      </c>
      <c r="S1804">
        <v>238.2</v>
      </c>
      <c r="T1804" t="s">
        <v>47</v>
      </c>
      <c r="U1804" s="3"/>
      <c r="V1804" s="3"/>
      <c r="W1804" s="3"/>
    </row>
    <row r="1805" spans="1:23">
      <c r="A1805" t="s">
        <v>3811</v>
      </c>
      <c r="B1805" t="s">
        <v>565</v>
      </c>
      <c r="C1805" t="s">
        <v>84</v>
      </c>
      <c r="D1805" s="2">
        <v>33522</v>
      </c>
      <c r="E1805" s="2">
        <v>45542</v>
      </c>
      <c r="F1805" s="2">
        <v>45554</v>
      </c>
      <c r="G1805" t="s">
        <v>2268</v>
      </c>
      <c r="H1805" t="s">
        <v>118</v>
      </c>
      <c r="I1805" t="s">
        <v>53</v>
      </c>
      <c r="J1805" t="s">
        <v>54</v>
      </c>
      <c r="L1805">
        <v>83194.58</v>
      </c>
      <c r="M1805">
        <v>59738.68</v>
      </c>
      <c r="O1805">
        <v>12</v>
      </c>
      <c r="P1805">
        <v>227</v>
      </c>
      <c r="R1805" t="s">
        <v>3812</v>
      </c>
      <c r="S1805">
        <v>103.4</v>
      </c>
      <c r="T1805" t="s">
        <v>65</v>
      </c>
      <c r="U1805" s="3"/>
      <c r="V1805" s="3"/>
      <c r="W1805" s="3"/>
    </row>
    <row r="1806" spans="1:23">
      <c r="A1806" t="s">
        <v>3813</v>
      </c>
      <c r="B1806" t="s">
        <v>350</v>
      </c>
      <c r="C1806" t="s">
        <v>100</v>
      </c>
      <c r="D1806" s="2">
        <v>28351</v>
      </c>
      <c r="E1806" t="s">
        <v>3814</v>
      </c>
      <c r="F1806" s="2">
        <v>45806</v>
      </c>
      <c r="G1806" t="s">
        <v>152</v>
      </c>
      <c r="H1806" t="s">
        <v>86</v>
      </c>
      <c r="I1806" t="s">
        <v>33</v>
      </c>
      <c r="J1806" t="s">
        <v>179</v>
      </c>
      <c r="K1806" t="s">
        <v>72</v>
      </c>
      <c r="L1806">
        <v>21873.55</v>
      </c>
      <c r="M1806">
        <v>19428.580000000002</v>
      </c>
      <c r="O1806">
        <v>12</v>
      </c>
      <c r="P1806">
        <v>67</v>
      </c>
      <c r="Q1806">
        <v>4</v>
      </c>
      <c r="R1806">
        <v>172</v>
      </c>
      <c r="S1806">
        <v>214.4</v>
      </c>
      <c r="U1806" s="3"/>
      <c r="V1806" s="3"/>
      <c r="W1806" s="3"/>
    </row>
    <row r="1807" spans="1:23">
      <c r="A1807" t="s">
        <v>3815</v>
      </c>
      <c r="B1807" t="s">
        <v>3816</v>
      </c>
      <c r="C1807" t="s">
        <v>206</v>
      </c>
      <c r="D1807" s="2">
        <v>25128</v>
      </c>
      <c r="E1807" s="2">
        <v>46005</v>
      </c>
      <c r="F1807" s="2">
        <v>46013</v>
      </c>
      <c r="G1807" t="s">
        <v>89</v>
      </c>
      <c r="H1807" t="s">
        <v>86</v>
      </c>
      <c r="I1807" t="s">
        <v>53</v>
      </c>
      <c r="J1807" t="s">
        <v>46</v>
      </c>
      <c r="K1807" t="s">
        <v>120</v>
      </c>
      <c r="L1807">
        <v>39796.03</v>
      </c>
      <c r="M1807">
        <v>30425.62</v>
      </c>
      <c r="N1807" t="s">
        <v>192</v>
      </c>
      <c r="O1807">
        <v>8</v>
      </c>
      <c r="Q1807">
        <v>4</v>
      </c>
      <c r="R1807">
        <v>133</v>
      </c>
      <c r="S1807">
        <v>201</v>
      </c>
      <c r="T1807" t="s">
        <v>65</v>
      </c>
      <c r="U1807" s="3"/>
      <c r="V1807" s="3"/>
      <c r="W1807" s="3"/>
    </row>
    <row r="1808" spans="1:23">
      <c r="A1808" t="s">
        <v>3817</v>
      </c>
      <c r="B1808" t="s">
        <v>458</v>
      </c>
      <c r="D1808" s="2">
        <v>37249</v>
      </c>
      <c r="E1808" s="2">
        <v>45237</v>
      </c>
      <c r="F1808" s="2">
        <v>45246</v>
      </c>
      <c r="G1808" t="s">
        <v>105</v>
      </c>
      <c r="H1808" t="s">
        <v>32</v>
      </c>
      <c r="I1808" t="s">
        <v>119</v>
      </c>
      <c r="J1808" t="s">
        <v>34</v>
      </c>
      <c r="K1808" t="s">
        <v>110</v>
      </c>
      <c r="L1808">
        <v>223137.18</v>
      </c>
      <c r="M1808">
        <v>192715.29</v>
      </c>
      <c r="N1808" t="s">
        <v>192</v>
      </c>
      <c r="O1808">
        <v>9</v>
      </c>
      <c r="P1808">
        <v>175</v>
      </c>
      <c r="Q1808">
        <v>2</v>
      </c>
      <c r="R1808">
        <v>94</v>
      </c>
      <c r="S1808">
        <v>222.2</v>
      </c>
      <c r="T1808" t="s">
        <v>37</v>
      </c>
      <c r="U1808" s="3"/>
      <c r="V1808" s="3"/>
      <c r="W1808" s="3"/>
    </row>
    <row r="1809" spans="1:23">
      <c r="A1809" t="s">
        <v>3818</v>
      </c>
      <c r="B1809" t="s">
        <v>624</v>
      </c>
      <c r="C1809" t="s">
        <v>60</v>
      </c>
      <c r="D1809" t="s">
        <v>3819</v>
      </c>
      <c r="E1809" t="s">
        <v>3820</v>
      </c>
      <c r="F1809" s="2">
        <v>45138</v>
      </c>
      <c r="G1809" t="s">
        <v>62</v>
      </c>
      <c r="H1809" t="s">
        <v>134</v>
      </c>
      <c r="I1809" t="s">
        <v>45</v>
      </c>
      <c r="J1809" t="s">
        <v>97</v>
      </c>
      <c r="K1809" t="s">
        <v>72</v>
      </c>
      <c r="L1809" t="s">
        <v>3821</v>
      </c>
      <c r="M1809">
        <v>65630.75</v>
      </c>
      <c r="N1809" t="s">
        <v>73</v>
      </c>
      <c r="O1809">
        <v>9</v>
      </c>
      <c r="P1809">
        <v>80</v>
      </c>
      <c r="Q1809">
        <v>5</v>
      </c>
      <c r="R1809">
        <v>130</v>
      </c>
      <c r="S1809">
        <v>108.6</v>
      </c>
      <c r="T1809" t="s">
        <v>37</v>
      </c>
      <c r="U1809" s="3"/>
      <c r="V1809" s="3"/>
      <c r="W1809" s="3"/>
    </row>
    <row r="1810" spans="1:23">
      <c r="A1810" t="s">
        <v>3822</v>
      </c>
      <c r="B1810" t="s">
        <v>2507</v>
      </c>
      <c r="C1810" t="s">
        <v>40</v>
      </c>
      <c r="D1810" s="2">
        <v>33049</v>
      </c>
      <c r="E1810" s="2">
        <v>45132</v>
      </c>
      <c r="F1810" s="2">
        <v>45139</v>
      </c>
      <c r="G1810" t="s">
        <v>89</v>
      </c>
      <c r="H1810" t="s">
        <v>44</v>
      </c>
      <c r="I1810" t="s">
        <v>53</v>
      </c>
      <c r="J1810" t="s">
        <v>80</v>
      </c>
      <c r="K1810" t="s">
        <v>27</v>
      </c>
      <c r="L1810">
        <v>226826.33</v>
      </c>
      <c r="M1810">
        <v>174648.36</v>
      </c>
      <c r="N1810" t="s">
        <v>35</v>
      </c>
      <c r="O1810">
        <v>7</v>
      </c>
      <c r="P1810">
        <v>53</v>
      </c>
      <c r="Q1810">
        <v>5</v>
      </c>
      <c r="R1810">
        <v>135</v>
      </c>
      <c r="S1810">
        <v>220.7</v>
      </c>
      <c r="T1810" t="s">
        <v>37</v>
      </c>
      <c r="U1810" s="3"/>
      <c r="V1810" s="3"/>
      <c r="W1810" s="3"/>
    </row>
    <row r="1811" spans="1:23">
      <c r="A1811" t="s">
        <v>3823</v>
      </c>
      <c r="B1811" t="s">
        <v>2177</v>
      </c>
      <c r="D1811" s="2">
        <v>34946</v>
      </c>
      <c r="E1811" s="2">
        <v>45652</v>
      </c>
      <c r="F1811" t="s">
        <v>2035</v>
      </c>
      <c r="G1811" t="s">
        <v>62</v>
      </c>
      <c r="H1811" t="s">
        <v>32</v>
      </c>
      <c r="J1811" t="s">
        <v>34</v>
      </c>
      <c r="K1811" t="s">
        <v>27</v>
      </c>
      <c r="L1811" t="s">
        <v>3824</v>
      </c>
      <c r="M1811">
        <v>142785.18</v>
      </c>
      <c r="N1811" t="s">
        <v>35</v>
      </c>
      <c r="O1811">
        <v>10</v>
      </c>
      <c r="P1811">
        <v>6</v>
      </c>
      <c r="Q1811">
        <v>3</v>
      </c>
      <c r="R1811">
        <v>117</v>
      </c>
      <c r="T1811" t="s">
        <v>65</v>
      </c>
      <c r="U1811" s="3"/>
      <c r="V1811" s="3"/>
      <c r="W1811" s="3"/>
    </row>
    <row r="1812" spans="1:23">
      <c r="A1812" t="s">
        <v>3825</v>
      </c>
      <c r="B1812" t="s">
        <v>451</v>
      </c>
      <c r="D1812" t="s">
        <v>3826</v>
      </c>
      <c r="E1812" s="2">
        <v>45372</v>
      </c>
      <c r="F1812" s="2">
        <v>45389</v>
      </c>
      <c r="G1812" t="s">
        <v>117</v>
      </c>
      <c r="H1812" t="s">
        <v>113</v>
      </c>
      <c r="I1812" t="s">
        <v>33</v>
      </c>
      <c r="K1812" t="s">
        <v>55</v>
      </c>
      <c r="L1812">
        <v>74372.03</v>
      </c>
      <c r="M1812">
        <v>52977.53</v>
      </c>
      <c r="N1812" t="s">
        <v>73</v>
      </c>
      <c r="O1812">
        <v>17</v>
      </c>
      <c r="P1812">
        <v>104</v>
      </c>
      <c r="Q1812">
        <v>2</v>
      </c>
      <c r="R1812">
        <v>112</v>
      </c>
      <c r="S1812">
        <v>114.6</v>
      </c>
      <c r="U1812" s="3"/>
      <c r="V1812" s="3"/>
      <c r="W1812" s="3"/>
    </row>
    <row r="1813" spans="1:23">
      <c r="A1813" t="s">
        <v>3827</v>
      </c>
      <c r="B1813" t="s">
        <v>845</v>
      </c>
      <c r="C1813" t="s">
        <v>50</v>
      </c>
      <c r="D1813" s="2">
        <v>23107</v>
      </c>
      <c r="E1813" s="2">
        <v>45896</v>
      </c>
      <c r="F1813" s="2">
        <v>45898</v>
      </c>
      <c r="G1813" t="s">
        <v>70</v>
      </c>
      <c r="I1813" t="s">
        <v>79</v>
      </c>
      <c r="J1813" t="s">
        <v>34</v>
      </c>
      <c r="K1813" t="s">
        <v>27</v>
      </c>
      <c r="L1813">
        <v>240791.26</v>
      </c>
      <c r="M1813">
        <v>179833.72</v>
      </c>
      <c r="N1813" t="s">
        <v>56</v>
      </c>
      <c r="O1813">
        <v>2</v>
      </c>
      <c r="P1813" t="s">
        <v>2125</v>
      </c>
      <c r="R1813" t="s">
        <v>2084</v>
      </c>
      <c r="S1813">
        <v>224.6</v>
      </c>
      <c r="U1813" s="3"/>
      <c r="V1813" s="3"/>
      <c r="W1813" s="3"/>
    </row>
    <row r="1814" spans="1:23">
      <c r="A1814" t="s">
        <v>3828</v>
      </c>
      <c r="B1814" t="s">
        <v>150</v>
      </c>
      <c r="C1814" t="s">
        <v>206</v>
      </c>
      <c r="D1814" s="2">
        <v>23297</v>
      </c>
      <c r="E1814" s="2">
        <v>45671</v>
      </c>
      <c r="F1814" t="s">
        <v>3829</v>
      </c>
      <c r="G1814" t="s">
        <v>161</v>
      </c>
      <c r="H1814" t="s">
        <v>24</v>
      </c>
      <c r="I1814" t="s">
        <v>119</v>
      </c>
      <c r="J1814" t="s">
        <v>46</v>
      </c>
      <c r="K1814" t="s">
        <v>55</v>
      </c>
      <c r="L1814">
        <v>111139.48</v>
      </c>
      <c r="M1814">
        <v>99903.74</v>
      </c>
      <c r="N1814" t="s">
        <v>467</v>
      </c>
      <c r="O1814">
        <v>10</v>
      </c>
      <c r="P1814">
        <v>57</v>
      </c>
      <c r="Q1814">
        <v>1</v>
      </c>
      <c r="R1814">
        <v>174</v>
      </c>
      <c r="S1814">
        <v>216.8</v>
      </c>
      <c r="T1814" t="s">
        <v>37</v>
      </c>
      <c r="U1814" s="3"/>
      <c r="V1814" s="3"/>
      <c r="W1814" s="3"/>
    </row>
    <row r="1815" spans="1:23">
      <c r="A1815" t="s">
        <v>3830</v>
      </c>
      <c r="B1815" t="s">
        <v>737</v>
      </c>
      <c r="C1815" t="s">
        <v>100</v>
      </c>
      <c r="D1815" s="2">
        <v>24173</v>
      </c>
      <c r="E1815" s="2">
        <v>45131</v>
      </c>
      <c r="F1815" s="2">
        <v>45140</v>
      </c>
      <c r="G1815" t="s">
        <v>70</v>
      </c>
      <c r="H1815" t="s">
        <v>63</v>
      </c>
      <c r="I1815" t="s">
        <v>53</v>
      </c>
      <c r="J1815" t="s">
        <v>26</v>
      </c>
      <c r="K1815" t="s">
        <v>120</v>
      </c>
      <c r="L1815" t="s">
        <v>3831</v>
      </c>
      <c r="M1815">
        <v>36171.07</v>
      </c>
      <c r="N1815" t="s">
        <v>35</v>
      </c>
      <c r="O1815">
        <v>9</v>
      </c>
      <c r="P1815">
        <v>145</v>
      </c>
      <c r="Q1815">
        <v>4</v>
      </c>
      <c r="R1815">
        <v>95</v>
      </c>
      <c r="S1815">
        <v>150.6</v>
      </c>
      <c r="U1815" s="3"/>
      <c r="V1815" s="3"/>
      <c r="W1815" s="3"/>
    </row>
    <row r="1816" spans="1:23">
      <c r="A1816" t="s">
        <v>3832</v>
      </c>
      <c r="B1816" t="s">
        <v>436</v>
      </c>
      <c r="C1816" t="s">
        <v>151</v>
      </c>
      <c r="D1816" s="2">
        <v>24849</v>
      </c>
      <c r="E1816" s="2">
        <v>45049</v>
      </c>
      <c r="F1816" s="2">
        <v>45067</v>
      </c>
      <c r="G1816" t="s">
        <v>141</v>
      </c>
      <c r="H1816" t="s">
        <v>52</v>
      </c>
      <c r="I1816" t="s">
        <v>45</v>
      </c>
      <c r="J1816" t="s">
        <v>663</v>
      </c>
      <c r="K1816" t="s">
        <v>110</v>
      </c>
      <c r="L1816">
        <v>121101.74</v>
      </c>
      <c r="M1816">
        <v>110754.07</v>
      </c>
      <c r="N1816" t="s">
        <v>73</v>
      </c>
      <c r="O1816">
        <v>18</v>
      </c>
      <c r="P1816">
        <v>158</v>
      </c>
      <c r="Q1816">
        <v>4</v>
      </c>
      <c r="R1816">
        <v>118</v>
      </c>
      <c r="S1816">
        <v>218.9</v>
      </c>
      <c r="T1816" t="s">
        <v>127</v>
      </c>
      <c r="U1816" s="3"/>
      <c r="V1816" s="3"/>
      <c r="W1816" s="3"/>
    </row>
    <row r="1817" spans="1:23">
      <c r="A1817" t="s">
        <v>3833</v>
      </c>
      <c r="B1817" t="s">
        <v>1471</v>
      </c>
      <c r="C1817" t="s">
        <v>30</v>
      </c>
      <c r="D1817" s="2">
        <v>18388</v>
      </c>
      <c r="E1817" s="2">
        <v>45446</v>
      </c>
      <c r="F1817" s="2">
        <v>45447</v>
      </c>
      <c r="G1817" t="s">
        <v>161</v>
      </c>
      <c r="H1817" t="s">
        <v>32</v>
      </c>
      <c r="I1817" t="s">
        <v>96</v>
      </c>
      <c r="J1817" t="s">
        <v>71</v>
      </c>
      <c r="M1817">
        <v>24065.279999999999</v>
      </c>
      <c r="N1817" t="s">
        <v>192</v>
      </c>
      <c r="O1817">
        <v>1</v>
      </c>
      <c r="P1817">
        <v>151</v>
      </c>
      <c r="Q1817">
        <v>4</v>
      </c>
      <c r="R1817">
        <v>157</v>
      </c>
      <c r="S1817">
        <v>193.8</v>
      </c>
      <c r="U1817" s="3"/>
      <c r="V1817" s="3"/>
      <c r="W1817" s="3"/>
    </row>
    <row r="1818" spans="1:23">
      <c r="A1818" t="s">
        <v>3834</v>
      </c>
      <c r="B1818" t="s">
        <v>857</v>
      </c>
      <c r="C1818" t="s">
        <v>40</v>
      </c>
      <c r="D1818" t="s">
        <v>3835</v>
      </c>
      <c r="E1818" s="2">
        <v>45007</v>
      </c>
      <c r="G1818" t="s">
        <v>152</v>
      </c>
      <c r="H1818" t="s">
        <v>118</v>
      </c>
      <c r="K1818" t="s">
        <v>120</v>
      </c>
      <c r="L1818">
        <v>177218.54</v>
      </c>
      <c r="M1818">
        <v>132477.4</v>
      </c>
      <c r="N1818" t="s">
        <v>73</v>
      </c>
      <c r="O1818">
        <v>16</v>
      </c>
      <c r="P1818">
        <v>68</v>
      </c>
      <c r="Q1818">
        <v>5</v>
      </c>
      <c r="R1818">
        <v>102</v>
      </c>
      <c r="S1818">
        <v>227.9</v>
      </c>
      <c r="U1818" s="3"/>
      <c r="V1818" s="3"/>
      <c r="W1818" s="3"/>
    </row>
    <row r="1819" spans="1:23">
      <c r="A1819" t="s">
        <v>3836</v>
      </c>
      <c r="B1819" t="s">
        <v>470</v>
      </c>
      <c r="C1819" t="s">
        <v>84</v>
      </c>
      <c r="D1819" s="2">
        <v>27039</v>
      </c>
      <c r="E1819" s="2">
        <v>45409</v>
      </c>
      <c r="F1819" s="2">
        <v>45424</v>
      </c>
      <c r="G1819" t="s">
        <v>105</v>
      </c>
      <c r="H1819" t="s">
        <v>95</v>
      </c>
      <c r="J1819" t="s">
        <v>97</v>
      </c>
      <c r="K1819" t="s">
        <v>27</v>
      </c>
      <c r="L1819">
        <v>192739.48</v>
      </c>
      <c r="M1819">
        <v>161931.20000000001</v>
      </c>
      <c r="N1819" t="s">
        <v>91</v>
      </c>
      <c r="O1819">
        <v>15</v>
      </c>
      <c r="P1819">
        <v>131</v>
      </c>
      <c r="Q1819">
        <v>3</v>
      </c>
      <c r="R1819" t="s">
        <v>2430</v>
      </c>
      <c r="S1819">
        <v>200.1</v>
      </c>
      <c r="T1819" t="s">
        <v>65</v>
      </c>
      <c r="U1819" s="3"/>
      <c r="V1819" s="3"/>
      <c r="W1819" s="3"/>
    </row>
    <row r="1820" spans="1:23">
      <c r="A1820" t="s">
        <v>3837</v>
      </c>
      <c r="B1820" t="s">
        <v>972</v>
      </c>
      <c r="C1820" t="s">
        <v>100</v>
      </c>
      <c r="D1820" s="2">
        <v>19767</v>
      </c>
      <c r="E1820" s="2">
        <v>45114</v>
      </c>
      <c r="F1820" s="2">
        <v>45128</v>
      </c>
      <c r="G1820" t="s">
        <v>117</v>
      </c>
      <c r="H1820" t="s">
        <v>44</v>
      </c>
      <c r="I1820" t="s">
        <v>96</v>
      </c>
      <c r="J1820" t="s">
        <v>97</v>
      </c>
      <c r="K1820" t="s">
        <v>27</v>
      </c>
      <c r="L1820">
        <v>37401.370000000003</v>
      </c>
      <c r="M1820">
        <v>26377.360000000001</v>
      </c>
      <c r="N1820" t="s">
        <v>35</v>
      </c>
      <c r="O1820">
        <v>14</v>
      </c>
      <c r="P1820">
        <v>27</v>
      </c>
      <c r="Q1820">
        <v>5</v>
      </c>
      <c r="R1820">
        <v>128</v>
      </c>
      <c r="S1820">
        <v>237.8</v>
      </c>
      <c r="T1820" t="s">
        <v>37</v>
      </c>
      <c r="U1820" s="3"/>
      <c r="V1820" s="3"/>
      <c r="W1820" s="3"/>
    </row>
    <row r="1821" spans="1:23">
      <c r="A1821" t="s">
        <v>3838</v>
      </c>
      <c r="B1821" t="s">
        <v>857</v>
      </c>
      <c r="C1821" t="s">
        <v>206</v>
      </c>
      <c r="D1821" s="2">
        <v>20192</v>
      </c>
      <c r="E1821" s="2">
        <v>45553</v>
      </c>
      <c r="F1821" s="2">
        <v>45567</v>
      </c>
      <c r="G1821" t="s">
        <v>31</v>
      </c>
      <c r="H1821" t="s">
        <v>86</v>
      </c>
      <c r="I1821" t="s">
        <v>119</v>
      </c>
      <c r="J1821" t="s">
        <v>26</v>
      </c>
      <c r="K1821" t="s">
        <v>72</v>
      </c>
      <c r="L1821">
        <v>187354.99</v>
      </c>
      <c r="M1821">
        <v>149405.56</v>
      </c>
      <c r="N1821" t="s">
        <v>192</v>
      </c>
      <c r="O1821">
        <v>14</v>
      </c>
      <c r="P1821">
        <v>52</v>
      </c>
      <c r="R1821">
        <v>186</v>
      </c>
      <c r="S1821">
        <v>191.4</v>
      </c>
      <c r="T1821" t="s">
        <v>47</v>
      </c>
      <c r="U1821" s="3"/>
      <c r="V1821" s="3"/>
      <c r="W1821" s="3"/>
    </row>
    <row r="1822" spans="1:23">
      <c r="A1822" t="s">
        <v>3839</v>
      </c>
      <c r="B1822" t="s">
        <v>277</v>
      </c>
      <c r="C1822" t="s">
        <v>30</v>
      </c>
      <c r="D1822" s="2">
        <v>26526</v>
      </c>
      <c r="E1822" s="2">
        <v>45572</v>
      </c>
      <c r="F1822" s="2">
        <v>45590</v>
      </c>
      <c r="G1822" t="s">
        <v>141</v>
      </c>
      <c r="H1822" t="s">
        <v>86</v>
      </c>
      <c r="I1822" t="s">
        <v>119</v>
      </c>
      <c r="J1822" t="s">
        <v>54</v>
      </c>
      <c r="K1822" t="s">
        <v>120</v>
      </c>
      <c r="L1822">
        <v>32023.05</v>
      </c>
      <c r="M1822">
        <v>24464.76</v>
      </c>
      <c r="N1822" t="s">
        <v>56</v>
      </c>
      <c r="O1822">
        <v>18</v>
      </c>
      <c r="P1822">
        <v>179</v>
      </c>
      <c r="Q1822">
        <v>4</v>
      </c>
      <c r="R1822">
        <v>127</v>
      </c>
      <c r="S1822">
        <v>71.2</v>
      </c>
      <c r="T1822" t="s">
        <v>37</v>
      </c>
      <c r="U1822" s="3"/>
      <c r="V1822" s="3"/>
      <c r="W1822" s="3"/>
    </row>
    <row r="1823" spans="1:23">
      <c r="A1823" t="s">
        <v>3840</v>
      </c>
      <c r="B1823" t="s">
        <v>891</v>
      </c>
      <c r="C1823" t="s">
        <v>206</v>
      </c>
      <c r="D1823" s="2">
        <v>38869</v>
      </c>
      <c r="E1823" s="2">
        <v>45146</v>
      </c>
      <c r="F1823" t="s">
        <v>3841</v>
      </c>
      <c r="G1823" t="s">
        <v>77</v>
      </c>
      <c r="H1823" t="s">
        <v>113</v>
      </c>
      <c r="I1823" t="s">
        <v>25</v>
      </c>
      <c r="J1823" t="s">
        <v>80</v>
      </c>
      <c r="K1823" t="s">
        <v>27</v>
      </c>
      <c r="L1823">
        <v>163558.5</v>
      </c>
      <c r="M1823">
        <v>108121.54</v>
      </c>
      <c r="N1823" t="s">
        <v>192</v>
      </c>
      <c r="O1823">
        <v>13</v>
      </c>
      <c r="P1823">
        <v>31</v>
      </c>
      <c r="Q1823">
        <v>1</v>
      </c>
      <c r="R1823">
        <v>176</v>
      </c>
      <c r="S1823">
        <v>135.80000000000001</v>
      </c>
      <c r="T1823" t="s">
        <v>37</v>
      </c>
      <c r="U1823" s="3"/>
      <c r="V1823" s="3"/>
      <c r="W1823" s="3"/>
    </row>
    <row r="1824" spans="1:23">
      <c r="A1824" t="s">
        <v>3842</v>
      </c>
      <c r="B1824" t="s">
        <v>292</v>
      </c>
      <c r="C1824" t="s">
        <v>100</v>
      </c>
      <c r="D1824" s="2">
        <v>27255</v>
      </c>
      <c r="E1824" s="2">
        <v>45970</v>
      </c>
      <c r="F1824" t="s">
        <v>3843</v>
      </c>
      <c r="G1824" t="s">
        <v>43</v>
      </c>
      <c r="H1824" t="s">
        <v>226</v>
      </c>
      <c r="I1824" t="s">
        <v>96</v>
      </c>
      <c r="J1824" t="s">
        <v>34</v>
      </c>
      <c r="K1824" t="s">
        <v>27</v>
      </c>
      <c r="L1824">
        <v>121137.26</v>
      </c>
      <c r="M1824">
        <v>98838.34</v>
      </c>
      <c r="N1824" t="s">
        <v>91</v>
      </c>
      <c r="O1824">
        <v>16</v>
      </c>
      <c r="P1824">
        <v>136</v>
      </c>
      <c r="Q1824">
        <v>4</v>
      </c>
      <c r="R1824">
        <v>180</v>
      </c>
      <c r="S1824">
        <v>107</v>
      </c>
      <c r="T1824" t="s">
        <v>37</v>
      </c>
      <c r="U1824" s="3"/>
      <c r="V1824" s="3"/>
      <c r="W1824" s="3"/>
    </row>
    <row r="1825" spans="1:23">
      <c r="A1825" t="s">
        <v>3844</v>
      </c>
      <c r="B1825" t="s">
        <v>3484</v>
      </c>
      <c r="C1825" t="s">
        <v>30</v>
      </c>
      <c r="D1825" s="2">
        <v>33820</v>
      </c>
      <c r="E1825" s="2">
        <v>45715</v>
      </c>
      <c r="F1825" t="s">
        <v>3845</v>
      </c>
      <c r="G1825" t="s">
        <v>117</v>
      </c>
      <c r="H1825" t="s">
        <v>44</v>
      </c>
      <c r="I1825" t="s">
        <v>33</v>
      </c>
      <c r="J1825" t="s">
        <v>64</v>
      </c>
      <c r="K1825" t="s">
        <v>27</v>
      </c>
      <c r="L1825">
        <v>89579.03</v>
      </c>
      <c r="M1825">
        <v>82450.58</v>
      </c>
      <c r="N1825" t="s">
        <v>35</v>
      </c>
      <c r="O1825">
        <v>3</v>
      </c>
      <c r="P1825">
        <v>95</v>
      </c>
      <c r="Q1825">
        <v>4</v>
      </c>
      <c r="R1825">
        <v>105</v>
      </c>
      <c r="S1825">
        <v>255.2</v>
      </c>
      <c r="U1825" s="3"/>
      <c r="V1825" s="3"/>
      <c r="W1825" s="3"/>
    </row>
    <row r="1826" spans="1:23">
      <c r="A1826" t="s">
        <v>3846</v>
      </c>
      <c r="B1826" t="s">
        <v>288</v>
      </c>
      <c r="D1826" s="2">
        <v>25915</v>
      </c>
      <c r="E1826" s="2">
        <v>45073</v>
      </c>
      <c r="F1826" s="2">
        <v>45083</v>
      </c>
      <c r="G1826" t="s">
        <v>902</v>
      </c>
      <c r="H1826" t="s">
        <v>24</v>
      </c>
      <c r="I1826" t="s">
        <v>79</v>
      </c>
      <c r="J1826" t="s">
        <v>34</v>
      </c>
      <c r="K1826" t="s">
        <v>401</v>
      </c>
      <c r="L1826">
        <v>19808.919999999998</v>
      </c>
      <c r="M1826">
        <v>17521.07</v>
      </c>
      <c r="N1826" t="s">
        <v>35</v>
      </c>
      <c r="O1826">
        <v>10</v>
      </c>
      <c r="P1826">
        <v>163</v>
      </c>
      <c r="Q1826">
        <v>4</v>
      </c>
      <c r="R1826">
        <v>110</v>
      </c>
      <c r="S1826">
        <v>209</v>
      </c>
      <c r="T1826" t="s">
        <v>37</v>
      </c>
      <c r="U1826" s="3"/>
      <c r="V1826" s="3"/>
      <c r="W1826" s="3"/>
    </row>
    <row r="1827" spans="1:23">
      <c r="A1827" t="s">
        <v>3847</v>
      </c>
      <c r="B1827" t="s">
        <v>1590</v>
      </c>
      <c r="C1827" t="s">
        <v>60</v>
      </c>
      <c r="D1827" s="2">
        <v>19434</v>
      </c>
      <c r="E1827" s="2">
        <v>45362</v>
      </c>
      <c r="F1827" t="s">
        <v>3848</v>
      </c>
      <c r="G1827" t="s">
        <v>141</v>
      </c>
      <c r="H1827" t="s">
        <v>124</v>
      </c>
      <c r="I1827" t="s">
        <v>45</v>
      </c>
      <c r="J1827" t="s">
        <v>64</v>
      </c>
      <c r="K1827" t="s">
        <v>110</v>
      </c>
      <c r="L1827">
        <v>157268</v>
      </c>
      <c r="M1827">
        <v>140209.07999999999</v>
      </c>
      <c r="N1827" t="s">
        <v>192</v>
      </c>
      <c r="O1827">
        <v>1</v>
      </c>
      <c r="P1827">
        <v>218</v>
      </c>
      <c r="Q1827">
        <v>5</v>
      </c>
      <c r="R1827">
        <v>179</v>
      </c>
      <c r="S1827">
        <v>235.7</v>
      </c>
      <c r="T1827" t="s">
        <v>81</v>
      </c>
      <c r="U1827" s="3"/>
      <c r="V1827" s="3"/>
      <c r="W1827" s="3"/>
    </row>
    <row r="1828" spans="1:23">
      <c r="A1828" t="s">
        <v>3849</v>
      </c>
      <c r="B1828" t="s">
        <v>1119</v>
      </c>
      <c r="C1828" t="s">
        <v>50</v>
      </c>
      <c r="D1828" t="s">
        <v>3850</v>
      </c>
      <c r="E1828" s="2">
        <v>45172</v>
      </c>
      <c r="F1828" s="2">
        <v>45180</v>
      </c>
      <c r="G1828" t="s">
        <v>117</v>
      </c>
      <c r="H1828" t="s">
        <v>118</v>
      </c>
      <c r="J1828" t="s">
        <v>34</v>
      </c>
      <c r="K1828" t="s">
        <v>55</v>
      </c>
      <c r="M1828">
        <v>198367.61</v>
      </c>
      <c r="O1828" t="s">
        <v>236</v>
      </c>
      <c r="P1828">
        <v>174</v>
      </c>
      <c r="R1828">
        <v>167</v>
      </c>
      <c r="S1828">
        <v>99.9</v>
      </c>
      <c r="T1828" t="s">
        <v>37</v>
      </c>
      <c r="U1828" s="3"/>
      <c r="V1828" s="3"/>
      <c r="W1828" s="3"/>
    </row>
    <row r="1829" spans="1:23">
      <c r="A1829" t="s">
        <v>3851</v>
      </c>
      <c r="B1829" t="s">
        <v>1101</v>
      </c>
      <c r="C1829" t="s">
        <v>40</v>
      </c>
      <c r="D1829" s="2">
        <v>25345</v>
      </c>
      <c r="E1829" s="2">
        <v>45459</v>
      </c>
      <c r="F1829" s="2">
        <v>45476</v>
      </c>
      <c r="G1829" t="s">
        <v>77</v>
      </c>
      <c r="H1829" t="s">
        <v>44</v>
      </c>
      <c r="I1829" t="s">
        <v>45</v>
      </c>
      <c r="J1829" t="s">
        <v>179</v>
      </c>
      <c r="K1829" t="s">
        <v>120</v>
      </c>
      <c r="L1829">
        <v>224851.75</v>
      </c>
      <c r="M1829">
        <v>212714.1</v>
      </c>
      <c r="N1829" t="s">
        <v>56</v>
      </c>
      <c r="O1829">
        <v>17</v>
      </c>
      <c r="P1829">
        <v>102</v>
      </c>
      <c r="R1829">
        <v>98</v>
      </c>
      <c r="S1829">
        <v>128.80000000000001</v>
      </c>
      <c r="U1829" s="3"/>
      <c r="V1829" s="3"/>
      <c r="W1829" s="3"/>
    </row>
    <row r="1830" spans="1:23">
      <c r="A1830" t="s">
        <v>3852</v>
      </c>
      <c r="B1830" t="s">
        <v>485</v>
      </c>
      <c r="C1830" t="s">
        <v>100</v>
      </c>
      <c r="D1830" s="2">
        <v>31818</v>
      </c>
      <c r="E1830" s="2">
        <v>45099</v>
      </c>
      <c r="F1830" s="2">
        <v>45117</v>
      </c>
      <c r="G1830" t="s">
        <v>161</v>
      </c>
      <c r="H1830" t="s">
        <v>153</v>
      </c>
      <c r="K1830" t="s">
        <v>55</v>
      </c>
      <c r="L1830">
        <v>104027.2</v>
      </c>
      <c r="M1830">
        <v>73478.91</v>
      </c>
      <c r="N1830" t="s">
        <v>73</v>
      </c>
      <c r="O1830">
        <v>18</v>
      </c>
      <c r="P1830">
        <v>91</v>
      </c>
      <c r="Q1830">
        <v>1</v>
      </c>
      <c r="R1830">
        <v>148</v>
      </c>
      <c r="S1830">
        <v>213.1</v>
      </c>
      <c r="T1830" t="s">
        <v>65</v>
      </c>
      <c r="U1830" s="3"/>
      <c r="V1830" s="3"/>
      <c r="W1830" s="3"/>
    </row>
    <row r="1831" spans="1:23">
      <c r="A1831" t="s">
        <v>3853</v>
      </c>
      <c r="B1831" t="s">
        <v>3854</v>
      </c>
      <c r="C1831" t="s">
        <v>84</v>
      </c>
      <c r="D1831" s="2">
        <v>24785</v>
      </c>
      <c r="E1831" t="s">
        <v>3855</v>
      </c>
      <c r="F1831" s="2">
        <v>45169</v>
      </c>
      <c r="G1831" t="s">
        <v>43</v>
      </c>
      <c r="I1831" t="s">
        <v>45</v>
      </c>
      <c r="J1831" t="s">
        <v>34</v>
      </c>
      <c r="K1831" t="s">
        <v>27</v>
      </c>
      <c r="L1831">
        <v>202705.35</v>
      </c>
      <c r="M1831">
        <v>192420.09</v>
      </c>
      <c r="N1831" t="s">
        <v>192</v>
      </c>
      <c r="O1831">
        <v>14</v>
      </c>
      <c r="P1831">
        <v>138</v>
      </c>
      <c r="R1831">
        <v>188</v>
      </c>
      <c r="S1831">
        <v>132.80000000000001</v>
      </c>
      <c r="T1831" t="s">
        <v>37</v>
      </c>
      <c r="U1831" s="3"/>
      <c r="V1831" s="3"/>
      <c r="W1831" s="3"/>
    </row>
    <row r="1832" spans="1:23">
      <c r="A1832" t="s">
        <v>3856</v>
      </c>
      <c r="B1832" t="s">
        <v>1393</v>
      </c>
      <c r="C1832" t="s">
        <v>60</v>
      </c>
      <c r="D1832" s="2">
        <v>22490</v>
      </c>
      <c r="E1832" s="2">
        <v>45612</v>
      </c>
      <c r="F1832" s="2">
        <v>45621</v>
      </c>
      <c r="G1832" t="s">
        <v>105</v>
      </c>
      <c r="H1832" t="s">
        <v>124</v>
      </c>
      <c r="I1832" t="s">
        <v>119</v>
      </c>
      <c r="J1832" t="s">
        <v>64</v>
      </c>
      <c r="K1832" t="s">
        <v>55</v>
      </c>
      <c r="L1832">
        <v>54557.87</v>
      </c>
      <c r="M1832">
        <v>39559.97</v>
      </c>
      <c r="N1832" t="s">
        <v>73</v>
      </c>
      <c r="O1832">
        <v>9</v>
      </c>
      <c r="P1832">
        <v>115</v>
      </c>
      <c r="Q1832">
        <v>4</v>
      </c>
      <c r="R1832">
        <v>130</v>
      </c>
      <c r="S1832">
        <v>163.69999999999999</v>
      </c>
      <c r="T1832" t="s">
        <v>37</v>
      </c>
      <c r="U1832" s="3"/>
      <c r="V1832" s="3"/>
      <c r="W1832" s="3"/>
    </row>
    <row r="1833" spans="1:23">
      <c r="A1833" t="s">
        <v>3857</v>
      </c>
      <c r="B1833" t="s">
        <v>345</v>
      </c>
      <c r="C1833" t="s">
        <v>151</v>
      </c>
      <c r="D1833" s="2">
        <v>36166</v>
      </c>
      <c r="E1833" s="2">
        <v>45133</v>
      </c>
      <c r="F1833" s="2">
        <v>45144</v>
      </c>
      <c r="I1833" t="s">
        <v>119</v>
      </c>
      <c r="J1833" t="s">
        <v>26</v>
      </c>
      <c r="K1833" t="s">
        <v>183</v>
      </c>
      <c r="L1833" t="s">
        <v>3858</v>
      </c>
      <c r="M1833">
        <v>153266.76999999999</v>
      </c>
      <c r="N1833" t="s">
        <v>35</v>
      </c>
      <c r="O1833">
        <v>11</v>
      </c>
      <c r="P1833">
        <v>25</v>
      </c>
      <c r="Q1833">
        <v>2</v>
      </c>
      <c r="S1833">
        <v>87.8</v>
      </c>
      <c r="T1833" t="s">
        <v>37</v>
      </c>
      <c r="U1833" s="3"/>
      <c r="V1833" s="3"/>
      <c r="W1833" s="3"/>
    </row>
    <row r="1834" spans="1:23">
      <c r="A1834" t="s">
        <v>3859</v>
      </c>
      <c r="B1834" t="s">
        <v>568</v>
      </c>
      <c r="C1834" t="s">
        <v>84</v>
      </c>
      <c r="D1834" t="s">
        <v>3860</v>
      </c>
      <c r="E1834" s="2">
        <v>45423</v>
      </c>
      <c r="F1834" t="s">
        <v>3861</v>
      </c>
      <c r="G1834" t="s">
        <v>70</v>
      </c>
      <c r="H1834" t="s">
        <v>255</v>
      </c>
      <c r="I1834" t="s">
        <v>79</v>
      </c>
      <c r="J1834" t="s">
        <v>645</v>
      </c>
      <c r="K1834" t="s">
        <v>161</v>
      </c>
      <c r="L1834" t="s">
        <v>3862</v>
      </c>
      <c r="M1834">
        <v>138984.57</v>
      </c>
      <c r="O1834">
        <v>11</v>
      </c>
      <c r="P1834">
        <v>120</v>
      </c>
      <c r="Q1834">
        <v>2</v>
      </c>
      <c r="R1834">
        <v>140</v>
      </c>
      <c r="S1834">
        <v>176.6</v>
      </c>
      <c r="T1834" t="s">
        <v>47</v>
      </c>
      <c r="U1834" s="3"/>
      <c r="V1834" s="3"/>
      <c r="W1834" s="3"/>
    </row>
    <row r="1835" spans="1:23">
      <c r="A1835" t="s">
        <v>3863</v>
      </c>
      <c r="B1835" t="s">
        <v>93</v>
      </c>
      <c r="C1835" t="s">
        <v>206</v>
      </c>
      <c r="D1835" t="s">
        <v>3864</v>
      </c>
      <c r="E1835" s="2">
        <v>45108</v>
      </c>
      <c r="F1835" t="s">
        <v>3865</v>
      </c>
      <c r="G1835" t="s">
        <v>70</v>
      </c>
      <c r="H1835" t="s">
        <v>153</v>
      </c>
      <c r="I1835" t="s">
        <v>96</v>
      </c>
      <c r="J1835" t="s">
        <v>34</v>
      </c>
      <c r="K1835" t="s">
        <v>27</v>
      </c>
      <c r="L1835">
        <v>60067.07</v>
      </c>
      <c r="M1835">
        <v>59884.32</v>
      </c>
      <c r="N1835" t="s">
        <v>73</v>
      </c>
      <c r="O1835">
        <v>1</v>
      </c>
      <c r="P1835">
        <v>147</v>
      </c>
      <c r="Q1835">
        <v>1</v>
      </c>
      <c r="R1835">
        <v>113</v>
      </c>
      <c r="S1835">
        <v>259.60000000000002</v>
      </c>
      <c r="T1835" t="s">
        <v>47</v>
      </c>
      <c r="U1835" s="3"/>
      <c r="V1835" s="3"/>
      <c r="W1835" s="3"/>
    </row>
    <row r="1836" spans="1:23">
      <c r="A1836" t="s">
        <v>3866</v>
      </c>
      <c r="B1836" t="s">
        <v>2594</v>
      </c>
      <c r="C1836" t="s">
        <v>22</v>
      </c>
      <c r="D1836" s="2">
        <v>25403</v>
      </c>
      <c r="E1836" t="s">
        <v>3867</v>
      </c>
      <c r="F1836" s="2">
        <v>45896</v>
      </c>
      <c r="G1836" t="s">
        <v>109</v>
      </c>
      <c r="H1836" t="s">
        <v>124</v>
      </c>
      <c r="I1836" t="s">
        <v>119</v>
      </c>
      <c r="K1836" t="s">
        <v>55</v>
      </c>
      <c r="M1836">
        <v>91446.66</v>
      </c>
      <c r="O1836">
        <v>18</v>
      </c>
      <c r="P1836">
        <v>219</v>
      </c>
      <c r="Q1836">
        <v>1</v>
      </c>
      <c r="R1836">
        <v>187</v>
      </c>
      <c r="S1836">
        <v>74</v>
      </c>
      <c r="T1836" t="s">
        <v>37</v>
      </c>
      <c r="U1836" s="3"/>
      <c r="V1836" s="3"/>
      <c r="W1836" s="3"/>
    </row>
    <row r="1837" spans="1:23">
      <c r="A1837" t="s">
        <v>3868</v>
      </c>
      <c r="B1837" t="s">
        <v>1391</v>
      </c>
      <c r="C1837" t="s">
        <v>133</v>
      </c>
      <c r="D1837" s="2">
        <v>28699</v>
      </c>
      <c r="E1837" s="2">
        <v>45726</v>
      </c>
      <c r="F1837" s="2">
        <v>45729</v>
      </c>
      <c r="G1837" t="s">
        <v>43</v>
      </c>
      <c r="H1837" t="s">
        <v>153</v>
      </c>
      <c r="I1837" t="s">
        <v>33</v>
      </c>
      <c r="J1837" t="s">
        <v>34</v>
      </c>
      <c r="K1837" t="s">
        <v>55</v>
      </c>
      <c r="L1837">
        <v>172106.29</v>
      </c>
      <c r="M1837">
        <v>141740.24</v>
      </c>
      <c r="N1837" t="s">
        <v>192</v>
      </c>
      <c r="O1837">
        <v>3</v>
      </c>
      <c r="P1837">
        <v>73</v>
      </c>
      <c r="Q1837">
        <v>4</v>
      </c>
      <c r="R1837">
        <v>129</v>
      </c>
      <c r="S1837">
        <v>221.3</v>
      </c>
      <c r="T1837" t="s">
        <v>37</v>
      </c>
      <c r="U1837" s="3"/>
      <c r="V1837" s="3"/>
      <c r="W1837" s="3"/>
    </row>
    <row r="1838" spans="1:23">
      <c r="A1838" t="s">
        <v>3869</v>
      </c>
      <c r="B1838" t="s">
        <v>522</v>
      </c>
      <c r="C1838" t="s">
        <v>60</v>
      </c>
      <c r="D1838" s="2">
        <v>23506</v>
      </c>
      <c r="E1838" s="2">
        <v>45451</v>
      </c>
      <c r="F1838" s="2">
        <v>45453</v>
      </c>
      <c r="G1838" t="s">
        <v>77</v>
      </c>
      <c r="H1838" t="s">
        <v>124</v>
      </c>
      <c r="I1838" t="s">
        <v>96</v>
      </c>
      <c r="J1838" t="s">
        <v>34</v>
      </c>
      <c r="K1838" t="s">
        <v>55</v>
      </c>
      <c r="L1838">
        <v>189618.89</v>
      </c>
      <c r="M1838">
        <v>137451.42000000001</v>
      </c>
      <c r="N1838" t="s">
        <v>192</v>
      </c>
      <c r="O1838">
        <v>2</v>
      </c>
      <c r="P1838">
        <v>61</v>
      </c>
      <c r="Q1838">
        <v>4</v>
      </c>
      <c r="R1838">
        <v>115</v>
      </c>
      <c r="S1838">
        <v>193.5</v>
      </c>
      <c r="T1838" t="s">
        <v>37</v>
      </c>
      <c r="U1838" s="3"/>
      <c r="V1838" s="3"/>
      <c r="W1838" s="3"/>
    </row>
    <row r="1839" spans="1:23">
      <c r="A1839" t="s">
        <v>3870</v>
      </c>
      <c r="B1839" t="s">
        <v>895</v>
      </c>
      <c r="C1839" t="s">
        <v>100</v>
      </c>
      <c r="D1839" s="2">
        <v>19998</v>
      </c>
      <c r="E1839" t="s">
        <v>3269</v>
      </c>
      <c r="G1839" t="s">
        <v>70</v>
      </c>
      <c r="H1839" t="s">
        <v>134</v>
      </c>
      <c r="I1839" t="s">
        <v>79</v>
      </c>
      <c r="J1839" t="s">
        <v>186</v>
      </c>
      <c r="K1839" t="s">
        <v>72</v>
      </c>
      <c r="L1839">
        <v>230613.87</v>
      </c>
      <c r="M1839">
        <v>218005.06</v>
      </c>
      <c r="N1839" t="s">
        <v>91</v>
      </c>
      <c r="O1839">
        <v>15</v>
      </c>
      <c r="P1839">
        <v>39</v>
      </c>
      <c r="Q1839">
        <v>2</v>
      </c>
      <c r="R1839">
        <v>179</v>
      </c>
      <c r="S1839">
        <v>173.7</v>
      </c>
      <c r="T1839" t="s">
        <v>65</v>
      </c>
      <c r="U1839" s="3"/>
      <c r="V1839" s="3"/>
      <c r="W1839" s="3"/>
    </row>
    <row r="1840" spans="1:23">
      <c r="A1840" t="s">
        <v>3871</v>
      </c>
      <c r="B1840" t="s">
        <v>399</v>
      </c>
      <c r="C1840" t="s">
        <v>60</v>
      </c>
      <c r="D1840" s="2">
        <v>37813</v>
      </c>
      <c r="E1840" t="s">
        <v>2206</v>
      </c>
      <c r="F1840" s="2">
        <v>45734</v>
      </c>
      <c r="G1840" t="s">
        <v>31</v>
      </c>
      <c r="H1840" t="s">
        <v>538</v>
      </c>
      <c r="I1840" t="s">
        <v>33</v>
      </c>
      <c r="K1840" t="s">
        <v>120</v>
      </c>
      <c r="L1840">
        <v>80593.009999999995</v>
      </c>
      <c r="M1840">
        <v>63231.99</v>
      </c>
      <c r="N1840" t="s">
        <v>73</v>
      </c>
      <c r="O1840">
        <v>12</v>
      </c>
      <c r="P1840">
        <v>29</v>
      </c>
      <c r="Q1840">
        <v>5</v>
      </c>
      <c r="R1840">
        <v>148</v>
      </c>
      <c r="S1840">
        <v>216.9</v>
      </c>
      <c r="T1840" t="s">
        <v>37</v>
      </c>
      <c r="U1840" s="3"/>
      <c r="V1840" s="3"/>
      <c r="W1840" s="3"/>
    </row>
    <row r="1841" spans="1:23">
      <c r="A1841" t="s">
        <v>3872</v>
      </c>
      <c r="B1841" t="s">
        <v>392</v>
      </c>
      <c r="C1841" t="s">
        <v>307</v>
      </c>
      <c r="D1841" s="2">
        <v>29909</v>
      </c>
      <c r="E1841" t="s">
        <v>3873</v>
      </c>
      <c r="F1841" s="2">
        <v>45321</v>
      </c>
      <c r="G1841" t="s">
        <v>31</v>
      </c>
      <c r="I1841" t="s">
        <v>119</v>
      </c>
      <c r="J1841" t="s">
        <v>97</v>
      </c>
      <c r="K1841" t="s">
        <v>55</v>
      </c>
      <c r="L1841">
        <v>87935.79</v>
      </c>
      <c r="M1841">
        <v>60436.65</v>
      </c>
      <c r="N1841" t="s">
        <v>56</v>
      </c>
      <c r="O1841">
        <v>14</v>
      </c>
      <c r="P1841">
        <v>12</v>
      </c>
      <c r="Q1841">
        <v>4</v>
      </c>
      <c r="S1841">
        <v>136</v>
      </c>
      <c r="T1841" t="s">
        <v>37</v>
      </c>
      <c r="U1841" s="3"/>
      <c r="V1841" s="3"/>
      <c r="W1841" s="3"/>
    </row>
    <row r="1842" spans="1:23">
      <c r="A1842" t="s">
        <v>3874</v>
      </c>
      <c r="B1842" t="s">
        <v>495</v>
      </c>
      <c r="D1842" t="s">
        <v>3875</v>
      </c>
      <c r="E1842" s="2">
        <v>45942</v>
      </c>
      <c r="F1842" s="2">
        <v>45960</v>
      </c>
      <c r="G1842" t="s">
        <v>62</v>
      </c>
      <c r="I1842" t="s">
        <v>33</v>
      </c>
      <c r="J1842" t="s">
        <v>179</v>
      </c>
      <c r="K1842" t="s">
        <v>161</v>
      </c>
      <c r="L1842">
        <v>18475.57</v>
      </c>
      <c r="M1842">
        <v>14146.74</v>
      </c>
      <c r="N1842" t="s">
        <v>35</v>
      </c>
      <c r="O1842">
        <v>18</v>
      </c>
      <c r="P1842">
        <v>154</v>
      </c>
      <c r="R1842">
        <v>162</v>
      </c>
      <c r="S1842">
        <v>227</v>
      </c>
      <c r="T1842" t="s">
        <v>37</v>
      </c>
      <c r="U1842" s="3"/>
      <c r="V1842" s="3"/>
      <c r="W1842" s="3"/>
    </row>
    <row r="1843" spans="1:23">
      <c r="A1843" t="s">
        <v>3876</v>
      </c>
      <c r="B1843" t="s">
        <v>147</v>
      </c>
      <c r="C1843" t="s">
        <v>22</v>
      </c>
      <c r="D1843" t="s">
        <v>3877</v>
      </c>
      <c r="E1843" s="2">
        <v>45608</v>
      </c>
      <c r="F1843" s="2">
        <v>45609</v>
      </c>
      <c r="G1843" t="s">
        <v>105</v>
      </c>
      <c r="H1843" t="s">
        <v>32</v>
      </c>
      <c r="J1843" t="s">
        <v>179</v>
      </c>
      <c r="K1843" t="s">
        <v>161</v>
      </c>
      <c r="L1843">
        <v>168961.93</v>
      </c>
      <c r="M1843">
        <v>108564.73</v>
      </c>
      <c r="N1843" t="s">
        <v>35</v>
      </c>
      <c r="O1843">
        <v>1</v>
      </c>
      <c r="P1843">
        <v>88</v>
      </c>
      <c r="Q1843">
        <v>1</v>
      </c>
      <c r="R1843">
        <v>108</v>
      </c>
      <c r="S1843">
        <v>199.6</v>
      </c>
      <c r="T1843" t="s">
        <v>37</v>
      </c>
      <c r="U1843" s="3"/>
      <c r="V1843" s="3"/>
      <c r="W1843" s="3"/>
    </row>
    <row r="1844" spans="1:23">
      <c r="A1844" t="s">
        <v>3878</v>
      </c>
      <c r="B1844" t="s">
        <v>59</v>
      </c>
      <c r="C1844" t="s">
        <v>396</v>
      </c>
      <c r="D1844" s="2">
        <v>22832</v>
      </c>
      <c r="E1844" s="2">
        <v>45763</v>
      </c>
      <c r="G1844" t="s">
        <v>31</v>
      </c>
      <c r="H1844" t="s">
        <v>86</v>
      </c>
      <c r="I1844" t="s">
        <v>79</v>
      </c>
      <c r="J1844" t="s">
        <v>34</v>
      </c>
      <c r="K1844" t="s">
        <v>110</v>
      </c>
      <c r="L1844">
        <v>168762.79</v>
      </c>
      <c r="M1844">
        <v>154815.82</v>
      </c>
      <c r="N1844" t="s">
        <v>56</v>
      </c>
      <c r="O1844">
        <v>14</v>
      </c>
      <c r="P1844">
        <v>121</v>
      </c>
      <c r="R1844">
        <v>130</v>
      </c>
      <c r="S1844">
        <v>105.2</v>
      </c>
      <c r="T1844" t="s">
        <v>37</v>
      </c>
      <c r="U1844" s="3"/>
      <c r="V1844" s="3"/>
      <c r="W1844" s="3"/>
    </row>
    <row r="1845" spans="1:23">
      <c r="A1845" t="s">
        <v>3879</v>
      </c>
      <c r="B1845" t="s">
        <v>423</v>
      </c>
      <c r="C1845" t="s">
        <v>60</v>
      </c>
      <c r="D1845" s="2">
        <v>24285</v>
      </c>
      <c r="E1845" s="2">
        <v>45262</v>
      </c>
      <c r="F1845" s="2">
        <v>45277</v>
      </c>
      <c r="G1845" t="s">
        <v>77</v>
      </c>
      <c r="H1845" t="s">
        <v>24</v>
      </c>
      <c r="I1845" t="s">
        <v>119</v>
      </c>
      <c r="J1845" t="s">
        <v>166</v>
      </c>
      <c r="K1845" t="s">
        <v>120</v>
      </c>
      <c r="L1845">
        <v>198665.87</v>
      </c>
      <c r="M1845">
        <v>151241.51</v>
      </c>
      <c r="N1845" t="s">
        <v>794</v>
      </c>
      <c r="O1845">
        <v>15</v>
      </c>
      <c r="P1845">
        <v>91</v>
      </c>
      <c r="Q1845">
        <v>1</v>
      </c>
      <c r="R1845">
        <v>131</v>
      </c>
      <c r="S1845">
        <v>151.69999999999999</v>
      </c>
      <c r="T1845" t="s">
        <v>65</v>
      </c>
      <c r="U1845" s="3"/>
      <c r="V1845" s="3"/>
      <c r="W1845" s="3"/>
    </row>
    <row r="1846" spans="1:23">
      <c r="A1846" t="s">
        <v>3880</v>
      </c>
      <c r="B1846" t="s">
        <v>1044</v>
      </c>
      <c r="C1846" t="s">
        <v>50</v>
      </c>
      <c r="D1846" s="2">
        <v>38356</v>
      </c>
      <c r="E1846" s="2">
        <v>45389</v>
      </c>
      <c r="F1846" t="s">
        <v>3881</v>
      </c>
      <c r="G1846" t="s">
        <v>94</v>
      </c>
      <c r="H1846" t="s">
        <v>95</v>
      </c>
      <c r="J1846" t="s">
        <v>179</v>
      </c>
      <c r="K1846" t="s">
        <v>161</v>
      </c>
      <c r="L1846">
        <v>110963.88</v>
      </c>
      <c r="M1846">
        <v>105568.21</v>
      </c>
      <c r="N1846" t="s">
        <v>56</v>
      </c>
      <c r="O1846">
        <v>4</v>
      </c>
      <c r="P1846">
        <v>25</v>
      </c>
      <c r="Q1846">
        <v>5</v>
      </c>
      <c r="R1846" t="s">
        <v>677</v>
      </c>
      <c r="T1846" t="s">
        <v>47</v>
      </c>
      <c r="U1846" s="3"/>
      <c r="V1846" s="3"/>
      <c r="W1846" s="3"/>
    </row>
    <row r="1847" spans="1:23">
      <c r="A1847" t="s">
        <v>3882</v>
      </c>
      <c r="B1847" t="s">
        <v>93</v>
      </c>
      <c r="C1847" t="s">
        <v>84</v>
      </c>
      <c r="D1847" s="2">
        <v>28453</v>
      </c>
      <c r="E1847" t="s">
        <v>3883</v>
      </c>
      <c r="F1847" s="2">
        <v>45340</v>
      </c>
      <c r="G1847" t="s">
        <v>70</v>
      </c>
      <c r="H1847" t="s">
        <v>124</v>
      </c>
      <c r="I1847" t="s">
        <v>45</v>
      </c>
      <c r="J1847" t="s">
        <v>34</v>
      </c>
      <c r="K1847" t="s">
        <v>161</v>
      </c>
      <c r="L1847">
        <v>166641.59</v>
      </c>
      <c r="M1847">
        <v>154305.1</v>
      </c>
      <c r="N1847" t="s">
        <v>91</v>
      </c>
      <c r="O1847">
        <v>12</v>
      </c>
      <c r="P1847">
        <v>64</v>
      </c>
      <c r="Q1847">
        <v>1</v>
      </c>
      <c r="R1847">
        <v>154</v>
      </c>
      <c r="S1847">
        <v>195.6</v>
      </c>
      <c r="T1847" t="s">
        <v>81</v>
      </c>
      <c r="U1847" s="3"/>
      <c r="V1847" s="3"/>
      <c r="W1847" s="3"/>
    </row>
    <row r="1848" spans="1:23">
      <c r="A1848" t="s">
        <v>3884</v>
      </c>
      <c r="B1848" t="s">
        <v>752</v>
      </c>
      <c r="D1848" s="2">
        <v>25708</v>
      </c>
      <c r="E1848" s="2">
        <v>45719</v>
      </c>
      <c r="F1848" s="2">
        <v>45737</v>
      </c>
      <c r="G1848" t="s">
        <v>77</v>
      </c>
      <c r="H1848" t="s">
        <v>32</v>
      </c>
      <c r="I1848" t="s">
        <v>45</v>
      </c>
      <c r="K1848" t="s">
        <v>55</v>
      </c>
      <c r="L1848">
        <v>196000.48</v>
      </c>
      <c r="M1848">
        <v>161972.53</v>
      </c>
      <c r="N1848" t="s">
        <v>56</v>
      </c>
      <c r="O1848" t="s">
        <v>1857</v>
      </c>
      <c r="P1848">
        <v>5</v>
      </c>
      <c r="Q1848">
        <v>2</v>
      </c>
      <c r="R1848" t="s">
        <v>3885</v>
      </c>
      <c r="S1848">
        <v>235.4</v>
      </c>
      <c r="T1848" t="s">
        <v>37</v>
      </c>
      <c r="U1848" s="3"/>
      <c r="V1848" s="3"/>
      <c r="W1848" s="3"/>
    </row>
    <row r="1849" spans="1:23">
      <c r="A1849" t="s">
        <v>3886</v>
      </c>
      <c r="B1849" t="s">
        <v>898</v>
      </c>
      <c r="C1849" t="s">
        <v>459</v>
      </c>
      <c r="D1849" s="2">
        <v>34520</v>
      </c>
      <c r="E1849" t="s">
        <v>3887</v>
      </c>
      <c r="F1849" s="2">
        <v>45070</v>
      </c>
      <c r="G1849" t="s">
        <v>31</v>
      </c>
      <c r="H1849" t="s">
        <v>113</v>
      </c>
      <c r="I1849" t="s">
        <v>25</v>
      </c>
      <c r="J1849" t="s">
        <v>97</v>
      </c>
      <c r="K1849" t="s">
        <v>161</v>
      </c>
      <c r="L1849">
        <v>132851.59</v>
      </c>
      <c r="M1849">
        <v>111075.83</v>
      </c>
      <c r="N1849" t="s">
        <v>56</v>
      </c>
      <c r="O1849">
        <v>2</v>
      </c>
      <c r="P1849">
        <v>239</v>
      </c>
      <c r="Q1849">
        <v>5</v>
      </c>
      <c r="R1849">
        <v>137</v>
      </c>
      <c r="S1849">
        <v>74.400000000000006</v>
      </c>
      <c r="T1849" t="s">
        <v>37</v>
      </c>
      <c r="U1849" s="3"/>
      <c r="V1849" s="3"/>
      <c r="W1849" s="3"/>
    </row>
    <row r="1850" spans="1:23">
      <c r="A1850" t="s">
        <v>3888</v>
      </c>
      <c r="B1850" t="s">
        <v>261</v>
      </c>
      <c r="C1850" t="s">
        <v>50</v>
      </c>
      <c r="D1850" t="s">
        <v>3889</v>
      </c>
      <c r="E1850" t="s">
        <v>3890</v>
      </c>
      <c r="F1850" s="2">
        <v>45311</v>
      </c>
      <c r="G1850" t="s">
        <v>77</v>
      </c>
      <c r="H1850" t="s">
        <v>63</v>
      </c>
      <c r="J1850" t="s">
        <v>64</v>
      </c>
      <c r="K1850" t="s">
        <v>55</v>
      </c>
      <c r="M1850">
        <v>33030.69</v>
      </c>
      <c r="N1850" t="s">
        <v>106</v>
      </c>
      <c r="O1850" t="s">
        <v>723</v>
      </c>
      <c r="P1850">
        <v>54</v>
      </c>
      <c r="R1850">
        <v>93</v>
      </c>
      <c r="S1850">
        <v>92.3</v>
      </c>
      <c r="T1850" t="s">
        <v>47</v>
      </c>
      <c r="U1850" s="3"/>
      <c r="V1850" s="3"/>
      <c r="W1850" s="3"/>
    </row>
    <row r="1851" spans="1:23">
      <c r="A1851" t="s">
        <v>3891</v>
      </c>
      <c r="B1851" t="s">
        <v>565</v>
      </c>
      <c r="C1851" t="s">
        <v>60</v>
      </c>
      <c r="D1851" t="s">
        <v>3892</v>
      </c>
      <c r="E1851" t="s">
        <v>2885</v>
      </c>
      <c r="F1851" s="2">
        <v>45925</v>
      </c>
      <c r="G1851" t="s">
        <v>77</v>
      </c>
      <c r="H1851" t="s">
        <v>118</v>
      </c>
      <c r="I1851" t="s">
        <v>96</v>
      </c>
      <c r="J1851" t="s">
        <v>34</v>
      </c>
      <c r="K1851" t="s">
        <v>110</v>
      </c>
      <c r="L1851">
        <v>98522.01</v>
      </c>
      <c r="M1851">
        <v>70719.13</v>
      </c>
      <c r="N1851" t="s">
        <v>56</v>
      </c>
      <c r="O1851">
        <v>12</v>
      </c>
      <c r="P1851">
        <v>217</v>
      </c>
      <c r="Q1851">
        <v>3</v>
      </c>
      <c r="R1851">
        <v>125</v>
      </c>
      <c r="S1851">
        <v>92.2</v>
      </c>
      <c r="T1851" t="s">
        <v>65</v>
      </c>
      <c r="U1851" s="3"/>
      <c r="V1851" s="3"/>
      <c r="W1851" s="3"/>
    </row>
    <row r="1852" spans="1:23">
      <c r="A1852" t="s">
        <v>3893</v>
      </c>
      <c r="B1852" t="s">
        <v>864</v>
      </c>
      <c r="C1852" t="s">
        <v>50</v>
      </c>
      <c r="D1852" s="2">
        <v>30489</v>
      </c>
      <c r="E1852" s="2">
        <v>45826</v>
      </c>
      <c r="F1852" s="2">
        <v>45844</v>
      </c>
      <c r="H1852" t="s">
        <v>44</v>
      </c>
      <c r="I1852" t="s">
        <v>119</v>
      </c>
      <c r="J1852" t="s">
        <v>26</v>
      </c>
      <c r="K1852" t="s">
        <v>72</v>
      </c>
      <c r="L1852">
        <v>194492.92</v>
      </c>
      <c r="M1852">
        <v>131955.89000000001</v>
      </c>
      <c r="N1852" t="s">
        <v>192</v>
      </c>
      <c r="O1852">
        <v>18</v>
      </c>
      <c r="P1852">
        <v>40</v>
      </c>
      <c r="R1852">
        <v>162</v>
      </c>
      <c r="S1852">
        <v>116</v>
      </c>
      <c r="T1852" t="s">
        <v>37</v>
      </c>
      <c r="U1852" s="3"/>
      <c r="V1852" s="3"/>
      <c r="W1852" s="3"/>
    </row>
    <row r="1853" spans="1:23">
      <c r="A1853" t="s">
        <v>3894</v>
      </c>
      <c r="B1853" t="s">
        <v>922</v>
      </c>
      <c r="C1853" t="s">
        <v>22</v>
      </c>
      <c r="D1853" s="2">
        <v>32913</v>
      </c>
      <c r="E1853" s="2">
        <v>45509</v>
      </c>
      <c r="F1853" t="s">
        <v>2015</v>
      </c>
      <c r="G1853" t="s">
        <v>141</v>
      </c>
      <c r="H1853" t="s">
        <v>226</v>
      </c>
      <c r="J1853" t="s">
        <v>663</v>
      </c>
      <c r="K1853" t="s">
        <v>191</v>
      </c>
      <c r="L1853">
        <v>112624.07</v>
      </c>
      <c r="M1853">
        <v>99852.88</v>
      </c>
      <c r="N1853" t="s">
        <v>91</v>
      </c>
      <c r="O1853">
        <v>18</v>
      </c>
      <c r="P1853">
        <v>154</v>
      </c>
      <c r="R1853">
        <v>174</v>
      </c>
      <c r="S1853">
        <v>207</v>
      </c>
      <c r="T1853" t="s">
        <v>37</v>
      </c>
      <c r="U1853" s="3"/>
      <c r="V1853" s="3"/>
      <c r="W1853" s="3"/>
    </row>
    <row r="1854" spans="1:23">
      <c r="A1854" t="s">
        <v>3895</v>
      </c>
      <c r="B1854" t="s">
        <v>342</v>
      </c>
      <c r="C1854" t="s">
        <v>84</v>
      </c>
      <c r="D1854" s="2">
        <v>30216</v>
      </c>
      <c r="E1854" t="s">
        <v>3896</v>
      </c>
      <c r="F1854" s="2">
        <v>45724</v>
      </c>
      <c r="G1854" t="s">
        <v>70</v>
      </c>
      <c r="H1854" t="s">
        <v>44</v>
      </c>
      <c r="I1854" t="s">
        <v>53</v>
      </c>
      <c r="J1854" t="s">
        <v>179</v>
      </c>
      <c r="K1854" t="s">
        <v>110</v>
      </c>
      <c r="L1854">
        <v>84301.52</v>
      </c>
      <c r="M1854">
        <v>50813.13</v>
      </c>
      <c r="N1854" t="s">
        <v>192</v>
      </c>
      <c r="O1854">
        <v>15</v>
      </c>
      <c r="P1854">
        <v>215</v>
      </c>
      <c r="Q1854">
        <v>5</v>
      </c>
      <c r="R1854">
        <v>150</v>
      </c>
      <c r="S1854">
        <v>171.6</v>
      </c>
      <c r="T1854" t="s">
        <v>65</v>
      </c>
      <c r="U1854" s="3"/>
      <c r="V1854" s="3"/>
      <c r="W1854" s="3"/>
    </row>
    <row r="1855" spans="1:23">
      <c r="A1855" t="s">
        <v>3897</v>
      </c>
      <c r="B1855" t="s">
        <v>556</v>
      </c>
      <c r="C1855" t="s">
        <v>1149</v>
      </c>
      <c r="D1855" s="2">
        <v>19847</v>
      </c>
      <c r="E1855" s="2">
        <v>45405</v>
      </c>
      <c r="F1855" s="2">
        <v>45422</v>
      </c>
      <c r="G1855" t="s">
        <v>117</v>
      </c>
      <c r="H1855" t="s">
        <v>95</v>
      </c>
      <c r="K1855" t="s">
        <v>55</v>
      </c>
      <c r="M1855">
        <v>11382.46</v>
      </c>
      <c r="N1855" t="s">
        <v>794</v>
      </c>
      <c r="O1855">
        <v>17</v>
      </c>
      <c r="P1855">
        <v>115</v>
      </c>
      <c r="R1855">
        <v>144</v>
      </c>
      <c r="S1855">
        <v>129.80000000000001</v>
      </c>
      <c r="T1855" t="s">
        <v>37</v>
      </c>
      <c r="U1855" s="3"/>
      <c r="V1855" s="3"/>
      <c r="W1855" s="3"/>
    </row>
    <row r="1856" spans="1:23">
      <c r="A1856" t="s">
        <v>3898</v>
      </c>
      <c r="B1856" t="s">
        <v>1167</v>
      </c>
      <c r="C1856" t="s">
        <v>196</v>
      </c>
      <c r="D1856" s="2">
        <v>27026</v>
      </c>
      <c r="E1856" s="2">
        <v>45264</v>
      </c>
      <c r="F1856" s="2">
        <v>45270</v>
      </c>
      <c r="G1856" t="s">
        <v>161</v>
      </c>
      <c r="H1856" t="s">
        <v>153</v>
      </c>
      <c r="I1856" t="s">
        <v>53</v>
      </c>
      <c r="J1856" t="s">
        <v>71</v>
      </c>
      <c r="K1856" t="s">
        <v>401</v>
      </c>
      <c r="L1856">
        <v>248735.49</v>
      </c>
      <c r="M1856">
        <v>199101.44</v>
      </c>
      <c r="N1856" t="s">
        <v>91</v>
      </c>
      <c r="O1856">
        <v>6</v>
      </c>
      <c r="P1856">
        <v>181</v>
      </c>
      <c r="Q1856">
        <v>5</v>
      </c>
      <c r="R1856" t="s">
        <v>3495</v>
      </c>
      <c r="S1856">
        <v>162.4</v>
      </c>
      <c r="T1856" t="s">
        <v>37</v>
      </c>
      <c r="U1856" s="3"/>
      <c r="V1856" s="3"/>
      <c r="W1856" s="3"/>
    </row>
    <row r="1857" spans="1:23">
      <c r="A1857" t="s">
        <v>3899</v>
      </c>
      <c r="B1857" t="s">
        <v>332</v>
      </c>
      <c r="C1857" t="s">
        <v>133</v>
      </c>
      <c r="D1857" t="s">
        <v>3900</v>
      </c>
      <c r="E1857" s="2">
        <v>45496</v>
      </c>
      <c r="G1857" t="s">
        <v>31</v>
      </c>
      <c r="H1857" t="s">
        <v>78</v>
      </c>
      <c r="I1857" t="s">
        <v>96</v>
      </c>
      <c r="J1857" t="s">
        <v>34</v>
      </c>
      <c r="K1857" t="s">
        <v>27</v>
      </c>
      <c r="L1857">
        <v>243505.41</v>
      </c>
      <c r="M1857">
        <v>230030.4</v>
      </c>
      <c r="N1857" t="s">
        <v>56</v>
      </c>
      <c r="O1857">
        <v>17</v>
      </c>
      <c r="P1857">
        <v>90</v>
      </c>
      <c r="Q1857">
        <v>5</v>
      </c>
      <c r="R1857">
        <v>147</v>
      </c>
      <c r="S1857">
        <v>200</v>
      </c>
      <c r="T1857" t="s">
        <v>721</v>
      </c>
      <c r="U1857" s="3"/>
      <c r="V1857" s="3"/>
      <c r="W1857" s="3"/>
    </row>
    <row r="1858" spans="1:23">
      <c r="A1858" t="s">
        <v>3901</v>
      </c>
      <c r="B1858" t="s">
        <v>936</v>
      </c>
      <c r="C1858" t="s">
        <v>30</v>
      </c>
      <c r="D1858" t="s">
        <v>3902</v>
      </c>
      <c r="E1858" t="s">
        <v>3843</v>
      </c>
      <c r="F1858" s="2">
        <v>45994</v>
      </c>
      <c r="G1858" t="s">
        <v>89</v>
      </c>
      <c r="H1858" t="s">
        <v>376</v>
      </c>
      <c r="I1858" t="s">
        <v>25</v>
      </c>
      <c r="J1858" t="s">
        <v>64</v>
      </c>
      <c r="K1858" t="s">
        <v>161</v>
      </c>
      <c r="L1858">
        <v>69705.86</v>
      </c>
      <c r="M1858">
        <v>53625.13</v>
      </c>
      <c r="N1858" t="s">
        <v>73</v>
      </c>
      <c r="O1858">
        <v>8</v>
      </c>
      <c r="P1858">
        <v>197</v>
      </c>
      <c r="R1858">
        <v>116</v>
      </c>
      <c r="S1858">
        <v>96.3</v>
      </c>
      <c r="T1858" t="s">
        <v>37</v>
      </c>
      <c r="U1858" s="3"/>
      <c r="V1858" s="3"/>
      <c r="W1858" s="3"/>
    </row>
    <row r="1859" spans="1:23">
      <c r="A1859" t="s">
        <v>3903</v>
      </c>
      <c r="B1859" t="s">
        <v>515</v>
      </c>
      <c r="C1859" t="s">
        <v>22</v>
      </c>
      <c r="D1859" s="2">
        <v>26590</v>
      </c>
      <c r="E1859" s="2">
        <v>44986</v>
      </c>
      <c r="F1859" t="s">
        <v>3904</v>
      </c>
      <c r="H1859" t="s">
        <v>24</v>
      </c>
      <c r="I1859" t="s">
        <v>96</v>
      </c>
      <c r="J1859" t="s">
        <v>645</v>
      </c>
      <c r="K1859" t="s">
        <v>110</v>
      </c>
      <c r="L1859">
        <v>132303.35999999999</v>
      </c>
      <c r="M1859">
        <v>125015.17</v>
      </c>
      <c r="O1859">
        <v>2</v>
      </c>
      <c r="P1859">
        <v>42</v>
      </c>
      <c r="Q1859">
        <v>4</v>
      </c>
      <c r="R1859">
        <v>127</v>
      </c>
      <c r="S1859">
        <v>147</v>
      </c>
      <c r="T1859" t="s">
        <v>65</v>
      </c>
      <c r="U1859" s="3"/>
      <c r="V1859" s="3"/>
      <c r="W1859" s="3"/>
    </row>
    <row r="1860" spans="1:23">
      <c r="A1860" t="s">
        <v>3905</v>
      </c>
      <c r="B1860" t="s">
        <v>181</v>
      </c>
      <c r="C1860" t="s">
        <v>60</v>
      </c>
      <c r="D1860" s="2">
        <v>28994</v>
      </c>
      <c r="E1860" s="2">
        <v>45430</v>
      </c>
      <c r="F1860" s="2">
        <v>45432</v>
      </c>
      <c r="G1860" t="s">
        <v>161</v>
      </c>
      <c r="H1860" t="s">
        <v>113</v>
      </c>
      <c r="I1860" t="s">
        <v>33</v>
      </c>
      <c r="K1860" t="s">
        <v>120</v>
      </c>
      <c r="L1860">
        <v>36751.050000000003</v>
      </c>
      <c r="M1860">
        <v>36283.19</v>
      </c>
      <c r="N1860" t="s">
        <v>73</v>
      </c>
      <c r="O1860">
        <v>2</v>
      </c>
      <c r="P1860">
        <v>23</v>
      </c>
      <c r="Q1860">
        <v>5</v>
      </c>
      <c r="R1860">
        <v>173</v>
      </c>
      <c r="S1860">
        <v>88.3</v>
      </c>
      <c r="T1860" t="s">
        <v>47</v>
      </c>
      <c r="U1860" s="3"/>
      <c r="V1860" s="3"/>
      <c r="W1860" s="3"/>
    </row>
    <row r="1861" spans="1:23">
      <c r="A1861" t="s">
        <v>3906</v>
      </c>
      <c r="B1861" t="s">
        <v>427</v>
      </c>
      <c r="C1861" t="s">
        <v>84</v>
      </c>
      <c r="D1861" t="s">
        <v>3907</v>
      </c>
      <c r="E1861" s="2">
        <v>45902</v>
      </c>
      <c r="G1861" t="s">
        <v>152</v>
      </c>
      <c r="H1861" t="s">
        <v>78</v>
      </c>
      <c r="I1861" t="s">
        <v>25</v>
      </c>
      <c r="J1861" t="s">
        <v>80</v>
      </c>
      <c r="K1861" t="s">
        <v>27</v>
      </c>
      <c r="L1861">
        <v>46036.58</v>
      </c>
      <c r="M1861">
        <v>32450.38</v>
      </c>
      <c r="N1861" t="s">
        <v>56</v>
      </c>
      <c r="O1861">
        <v>12</v>
      </c>
      <c r="P1861">
        <v>126</v>
      </c>
      <c r="Q1861">
        <v>4</v>
      </c>
      <c r="R1861">
        <v>126</v>
      </c>
      <c r="S1861">
        <v>214.4</v>
      </c>
      <c r="T1861" t="s">
        <v>37</v>
      </c>
      <c r="U1861" s="3"/>
      <c r="V1861" s="3"/>
      <c r="W1861" s="3"/>
    </row>
    <row r="1862" spans="1:23">
      <c r="A1862" t="s">
        <v>3908</v>
      </c>
      <c r="B1862" t="s">
        <v>438</v>
      </c>
      <c r="C1862" t="s">
        <v>100</v>
      </c>
      <c r="D1862" s="2">
        <v>23642</v>
      </c>
      <c r="E1862" s="2">
        <v>45651</v>
      </c>
      <c r="F1862" s="2">
        <v>45660</v>
      </c>
      <c r="G1862" t="s">
        <v>31</v>
      </c>
      <c r="H1862" t="s">
        <v>1783</v>
      </c>
      <c r="J1862" t="s">
        <v>80</v>
      </c>
      <c r="K1862" t="s">
        <v>72</v>
      </c>
      <c r="L1862">
        <v>16143.48</v>
      </c>
      <c r="M1862">
        <v>13954.33</v>
      </c>
      <c r="N1862" t="s">
        <v>56</v>
      </c>
      <c r="O1862">
        <v>9</v>
      </c>
      <c r="P1862">
        <v>142</v>
      </c>
      <c r="Q1862">
        <v>3</v>
      </c>
      <c r="R1862">
        <v>99</v>
      </c>
      <c r="S1862">
        <v>188</v>
      </c>
      <c r="U1862" s="3"/>
      <c r="V1862" s="3"/>
      <c r="W1862" s="3"/>
    </row>
    <row r="1863" spans="1:23">
      <c r="A1863" t="s">
        <v>3909</v>
      </c>
      <c r="B1863" t="s">
        <v>419</v>
      </c>
      <c r="C1863" t="s">
        <v>84</v>
      </c>
      <c r="D1863" s="2">
        <v>32758</v>
      </c>
      <c r="E1863" t="s">
        <v>3910</v>
      </c>
      <c r="G1863" t="s">
        <v>89</v>
      </c>
      <c r="H1863" t="s">
        <v>52</v>
      </c>
      <c r="I1863" t="s">
        <v>96</v>
      </c>
      <c r="J1863" t="s">
        <v>197</v>
      </c>
      <c r="K1863" t="s">
        <v>110</v>
      </c>
      <c r="L1863">
        <v>34082.620000000003</v>
      </c>
      <c r="M1863">
        <v>28636.57</v>
      </c>
      <c r="O1863">
        <v>7</v>
      </c>
      <c r="P1863">
        <v>174</v>
      </c>
      <c r="Q1863">
        <v>4</v>
      </c>
      <c r="R1863">
        <v>147</v>
      </c>
      <c r="S1863">
        <v>241.6</v>
      </c>
      <c r="T1863" t="s">
        <v>37</v>
      </c>
      <c r="U1863" s="3"/>
      <c r="V1863" s="3"/>
      <c r="W1863" s="3"/>
    </row>
    <row r="1864" spans="1:23">
      <c r="A1864" t="s">
        <v>3911</v>
      </c>
      <c r="B1864" t="s">
        <v>1590</v>
      </c>
      <c r="C1864" t="s">
        <v>100</v>
      </c>
      <c r="D1864" t="s">
        <v>3912</v>
      </c>
      <c r="E1864" t="s">
        <v>3913</v>
      </c>
      <c r="F1864" s="2">
        <v>45794</v>
      </c>
      <c r="G1864" t="s">
        <v>94</v>
      </c>
      <c r="I1864" t="s">
        <v>25</v>
      </c>
      <c r="J1864" t="s">
        <v>97</v>
      </c>
      <c r="K1864" t="s">
        <v>161</v>
      </c>
      <c r="L1864">
        <v>76374.429999999993</v>
      </c>
      <c r="M1864">
        <v>68296.539999999994</v>
      </c>
      <c r="N1864" t="s">
        <v>192</v>
      </c>
      <c r="O1864">
        <v>17</v>
      </c>
      <c r="P1864">
        <v>86</v>
      </c>
      <c r="Q1864">
        <v>4</v>
      </c>
      <c r="R1864">
        <v>119</v>
      </c>
      <c r="S1864">
        <v>178.7</v>
      </c>
      <c r="T1864" t="s">
        <v>65</v>
      </c>
      <c r="U1864" s="3"/>
      <c r="V1864" s="3"/>
      <c r="W1864" s="3"/>
    </row>
    <row r="1865" spans="1:23">
      <c r="A1865" t="s">
        <v>3914</v>
      </c>
      <c r="B1865" t="s">
        <v>492</v>
      </c>
      <c r="C1865" t="s">
        <v>30</v>
      </c>
      <c r="D1865" t="s">
        <v>3915</v>
      </c>
      <c r="E1865" t="s">
        <v>3916</v>
      </c>
      <c r="G1865" t="s">
        <v>62</v>
      </c>
      <c r="H1865" t="s">
        <v>226</v>
      </c>
      <c r="I1865" t="s">
        <v>33</v>
      </c>
      <c r="K1865" t="s">
        <v>55</v>
      </c>
      <c r="L1865">
        <v>40766.980000000003</v>
      </c>
      <c r="M1865">
        <v>30790.38</v>
      </c>
      <c r="N1865" t="s">
        <v>192</v>
      </c>
      <c r="O1865">
        <v>12</v>
      </c>
      <c r="P1865">
        <v>195</v>
      </c>
      <c r="Q1865">
        <v>1</v>
      </c>
      <c r="R1865">
        <v>112</v>
      </c>
      <c r="S1865">
        <v>114.7</v>
      </c>
      <c r="T1865" t="s">
        <v>37</v>
      </c>
      <c r="U1865" s="3"/>
      <c r="V1865" s="3"/>
      <c r="W1865" s="3"/>
    </row>
    <row r="1866" spans="1:23">
      <c r="A1866" t="s">
        <v>3917</v>
      </c>
      <c r="B1866" t="s">
        <v>867</v>
      </c>
      <c r="C1866" t="s">
        <v>50</v>
      </c>
      <c r="D1866" t="s">
        <v>3918</v>
      </c>
      <c r="E1866" s="2">
        <v>44932</v>
      </c>
      <c r="F1866" s="2">
        <v>44936</v>
      </c>
      <c r="G1866" t="s">
        <v>43</v>
      </c>
      <c r="H1866" t="s">
        <v>113</v>
      </c>
      <c r="I1866" t="s">
        <v>96</v>
      </c>
      <c r="J1866" t="s">
        <v>80</v>
      </c>
      <c r="K1866" t="s">
        <v>120</v>
      </c>
      <c r="L1866">
        <v>186917.09</v>
      </c>
      <c r="M1866">
        <v>122639.86</v>
      </c>
      <c r="N1866" t="s">
        <v>162</v>
      </c>
      <c r="O1866">
        <v>4</v>
      </c>
      <c r="P1866">
        <v>110</v>
      </c>
      <c r="Q1866">
        <v>3</v>
      </c>
      <c r="R1866">
        <v>114</v>
      </c>
      <c r="S1866">
        <v>180.4</v>
      </c>
      <c r="T1866" t="s">
        <v>37</v>
      </c>
      <c r="U1866" s="3"/>
      <c r="V1866" s="3"/>
      <c r="W1866" s="3"/>
    </row>
    <row r="1867" spans="1:23">
      <c r="A1867" t="s">
        <v>3919</v>
      </c>
      <c r="B1867" t="s">
        <v>871</v>
      </c>
      <c r="C1867" t="s">
        <v>133</v>
      </c>
      <c r="D1867" s="2">
        <v>26394</v>
      </c>
      <c r="E1867" s="2">
        <v>45268</v>
      </c>
      <c r="F1867" t="s">
        <v>3920</v>
      </c>
      <c r="G1867" t="s">
        <v>94</v>
      </c>
      <c r="H1867" t="s">
        <v>118</v>
      </c>
      <c r="J1867" t="s">
        <v>34</v>
      </c>
      <c r="K1867" t="s">
        <v>120</v>
      </c>
      <c r="L1867">
        <v>246507.41</v>
      </c>
      <c r="M1867">
        <v>211686.05</v>
      </c>
      <c r="O1867">
        <v>2</v>
      </c>
      <c r="P1867">
        <v>140</v>
      </c>
      <c r="Q1867">
        <v>1</v>
      </c>
      <c r="R1867">
        <v>127</v>
      </c>
      <c r="S1867">
        <v>150.69999999999999</v>
      </c>
      <c r="T1867" t="s">
        <v>37</v>
      </c>
      <c r="U1867" s="3"/>
      <c r="V1867" s="3"/>
      <c r="W1867" s="3"/>
    </row>
    <row r="1868" spans="1:23">
      <c r="A1868" t="s">
        <v>3921</v>
      </c>
      <c r="B1868" t="s">
        <v>3922</v>
      </c>
      <c r="C1868" t="s">
        <v>40</v>
      </c>
      <c r="D1868" s="2">
        <v>39301</v>
      </c>
      <c r="E1868" s="2">
        <v>45017</v>
      </c>
      <c r="F1868" s="2">
        <v>45030</v>
      </c>
      <c r="G1868" t="s">
        <v>152</v>
      </c>
      <c r="H1868" t="s">
        <v>153</v>
      </c>
      <c r="I1868" t="s">
        <v>79</v>
      </c>
      <c r="J1868" t="s">
        <v>64</v>
      </c>
      <c r="K1868" t="s">
        <v>120</v>
      </c>
      <c r="L1868">
        <v>133886.15</v>
      </c>
      <c r="M1868">
        <v>96823.51</v>
      </c>
      <c r="N1868" t="s">
        <v>91</v>
      </c>
      <c r="O1868">
        <v>13</v>
      </c>
      <c r="P1868">
        <v>123</v>
      </c>
      <c r="Q1868">
        <v>4</v>
      </c>
      <c r="R1868">
        <v>189</v>
      </c>
      <c r="S1868">
        <v>77.400000000000006</v>
      </c>
      <c r="T1868" t="s">
        <v>37</v>
      </c>
      <c r="U1868" s="3"/>
      <c r="V1868" s="3"/>
      <c r="W1868" s="3"/>
    </row>
    <row r="1869" spans="1:23">
      <c r="A1869" t="s">
        <v>3923</v>
      </c>
      <c r="B1869" t="s">
        <v>438</v>
      </c>
      <c r="C1869" t="s">
        <v>206</v>
      </c>
      <c r="D1869" s="2">
        <v>36548</v>
      </c>
      <c r="E1869" s="2">
        <v>45642</v>
      </c>
      <c r="F1869" s="2">
        <v>45647</v>
      </c>
      <c r="G1869" t="s">
        <v>109</v>
      </c>
      <c r="H1869" t="s">
        <v>52</v>
      </c>
      <c r="I1869" t="s">
        <v>79</v>
      </c>
      <c r="K1869" t="s">
        <v>55</v>
      </c>
      <c r="L1869">
        <v>203876.74</v>
      </c>
      <c r="M1869">
        <v>159943.47</v>
      </c>
      <c r="O1869">
        <v>5</v>
      </c>
      <c r="P1869" t="s">
        <v>3924</v>
      </c>
      <c r="Q1869">
        <v>5</v>
      </c>
      <c r="R1869">
        <v>138</v>
      </c>
      <c r="S1869">
        <v>172</v>
      </c>
      <c r="T1869" t="s">
        <v>37</v>
      </c>
      <c r="U1869" s="3"/>
      <c r="V1869" s="3"/>
      <c r="W1869" s="3"/>
    </row>
    <row r="1870" spans="1:23">
      <c r="A1870" t="s">
        <v>3925</v>
      </c>
      <c r="B1870" t="s">
        <v>875</v>
      </c>
      <c r="C1870" t="s">
        <v>133</v>
      </c>
      <c r="D1870" s="2">
        <v>37959</v>
      </c>
      <c r="E1870" t="s">
        <v>3926</v>
      </c>
      <c r="F1870" s="2">
        <v>45375</v>
      </c>
      <c r="G1870" t="s">
        <v>77</v>
      </c>
      <c r="H1870" t="s">
        <v>95</v>
      </c>
      <c r="I1870" t="s">
        <v>96</v>
      </c>
      <c r="J1870" t="s">
        <v>34</v>
      </c>
      <c r="K1870" t="s">
        <v>72</v>
      </c>
      <c r="L1870">
        <v>183586.65</v>
      </c>
      <c r="M1870">
        <v>170254.19</v>
      </c>
      <c r="N1870" t="s">
        <v>192</v>
      </c>
      <c r="O1870">
        <v>15</v>
      </c>
      <c r="P1870">
        <v>66</v>
      </c>
      <c r="R1870">
        <v>112</v>
      </c>
      <c r="S1870">
        <v>106.2</v>
      </c>
      <c r="T1870" t="s">
        <v>47</v>
      </c>
      <c r="U1870" s="3"/>
      <c r="V1870" s="3"/>
      <c r="W1870" s="3"/>
    </row>
    <row r="1871" spans="1:23">
      <c r="A1871" t="s">
        <v>3927</v>
      </c>
      <c r="B1871" t="s">
        <v>932</v>
      </c>
      <c r="C1871" t="s">
        <v>100</v>
      </c>
      <c r="D1871" t="s">
        <v>3928</v>
      </c>
      <c r="E1871" t="s">
        <v>3929</v>
      </c>
      <c r="F1871" s="2">
        <v>45174</v>
      </c>
      <c r="G1871" t="s">
        <v>411</v>
      </c>
      <c r="H1871" t="s">
        <v>32</v>
      </c>
      <c r="I1871" t="s">
        <v>79</v>
      </c>
      <c r="J1871" t="s">
        <v>46</v>
      </c>
      <c r="K1871" t="s">
        <v>55</v>
      </c>
      <c r="L1871">
        <v>116800.38</v>
      </c>
      <c r="M1871">
        <v>110916.75</v>
      </c>
      <c r="N1871" t="s">
        <v>35</v>
      </c>
      <c r="O1871">
        <v>11</v>
      </c>
      <c r="P1871">
        <v>116</v>
      </c>
      <c r="Q1871">
        <v>2</v>
      </c>
      <c r="R1871">
        <v>95</v>
      </c>
      <c r="S1871">
        <v>202.7</v>
      </c>
      <c r="T1871" t="s">
        <v>37</v>
      </c>
      <c r="U1871" s="3"/>
      <c r="V1871" s="3"/>
      <c r="W1871" s="3"/>
    </row>
    <row r="1872" spans="1:23">
      <c r="A1872" t="s">
        <v>3930</v>
      </c>
      <c r="B1872" t="s">
        <v>565</v>
      </c>
      <c r="C1872" t="s">
        <v>100</v>
      </c>
      <c r="D1872" s="2">
        <v>25468</v>
      </c>
      <c r="E1872" t="s">
        <v>3931</v>
      </c>
      <c r="G1872" t="s">
        <v>43</v>
      </c>
      <c r="H1872" t="s">
        <v>118</v>
      </c>
      <c r="I1872" t="s">
        <v>79</v>
      </c>
      <c r="J1872" t="s">
        <v>80</v>
      </c>
      <c r="L1872">
        <v>23833.32</v>
      </c>
      <c r="M1872">
        <v>23619.84</v>
      </c>
      <c r="N1872" t="s">
        <v>326</v>
      </c>
      <c r="O1872">
        <v>10</v>
      </c>
      <c r="P1872">
        <v>93</v>
      </c>
      <c r="Q1872">
        <v>5</v>
      </c>
      <c r="R1872">
        <v>176</v>
      </c>
      <c r="S1872">
        <v>169.9</v>
      </c>
      <c r="U1872" s="3"/>
      <c r="V1872" s="3"/>
      <c r="W1872" s="3"/>
    </row>
    <row r="1873" spans="1:23">
      <c r="A1873" t="s">
        <v>3932</v>
      </c>
      <c r="B1873" t="s">
        <v>624</v>
      </c>
      <c r="C1873" t="s">
        <v>206</v>
      </c>
      <c r="D1873" s="2">
        <v>19687</v>
      </c>
      <c r="E1873" t="s">
        <v>3933</v>
      </c>
      <c r="F1873" s="2">
        <v>45511</v>
      </c>
      <c r="G1873" t="s">
        <v>89</v>
      </c>
      <c r="H1873" t="s">
        <v>113</v>
      </c>
      <c r="I1873" t="s">
        <v>119</v>
      </c>
      <c r="J1873" t="s">
        <v>179</v>
      </c>
      <c r="K1873" t="s">
        <v>120</v>
      </c>
      <c r="L1873">
        <v>28587.14</v>
      </c>
      <c r="M1873">
        <v>25422.66</v>
      </c>
      <c r="N1873" t="s">
        <v>56</v>
      </c>
      <c r="O1873">
        <v>9</v>
      </c>
      <c r="P1873">
        <v>27</v>
      </c>
      <c r="Q1873">
        <v>4</v>
      </c>
      <c r="R1873">
        <v>154</v>
      </c>
      <c r="S1873">
        <v>139.69999999999999</v>
      </c>
      <c r="U1873" s="3"/>
      <c r="V1873" s="3"/>
      <c r="W1873" s="3"/>
    </row>
    <row r="1874" spans="1:23">
      <c r="A1874" t="s">
        <v>3934</v>
      </c>
      <c r="B1874" t="s">
        <v>845</v>
      </c>
      <c r="C1874" t="s">
        <v>100</v>
      </c>
      <c r="D1874" s="2">
        <v>37855</v>
      </c>
      <c r="E1874" s="2">
        <v>45004</v>
      </c>
      <c r="G1874" t="s">
        <v>105</v>
      </c>
      <c r="H1874" t="s">
        <v>86</v>
      </c>
      <c r="I1874" t="s">
        <v>79</v>
      </c>
      <c r="J1874" t="s">
        <v>179</v>
      </c>
      <c r="K1874" t="s">
        <v>55</v>
      </c>
      <c r="L1874" t="s">
        <v>3935</v>
      </c>
      <c r="M1874">
        <v>71009.13</v>
      </c>
      <c r="N1874" t="s">
        <v>73</v>
      </c>
      <c r="O1874">
        <v>3</v>
      </c>
      <c r="P1874">
        <v>129</v>
      </c>
      <c r="Q1874">
        <v>2</v>
      </c>
      <c r="R1874">
        <v>113</v>
      </c>
      <c r="S1874">
        <v>159.9</v>
      </c>
      <c r="T1874" t="s">
        <v>47</v>
      </c>
      <c r="U1874" s="3"/>
      <c r="V1874" s="3"/>
      <c r="W1874" s="3"/>
    </row>
    <row r="1875" spans="1:23">
      <c r="A1875" t="s">
        <v>3936</v>
      </c>
      <c r="B1875" t="s">
        <v>647</v>
      </c>
      <c r="C1875" t="s">
        <v>133</v>
      </c>
      <c r="D1875" s="2">
        <v>28460</v>
      </c>
      <c r="E1875" t="s">
        <v>3041</v>
      </c>
      <c r="F1875" s="2">
        <v>45546</v>
      </c>
      <c r="G1875" t="s">
        <v>117</v>
      </c>
      <c r="I1875" t="s">
        <v>79</v>
      </c>
      <c r="J1875" t="s">
        <v>179</v>
      </c>
      <c r="K1875" t="s">
        <v>110</v>
      </c>
      <c r="L1875">
        <v>153654.45000000001</v>
      </c>
      <c r="M1875">
        <v>125269.37</v>
      </c>
      <c r="N1875" t="s">
        <v>192</v>
      </c>
      <c r="O1875">
        <v>4</v>
      </c>
      <c r="P1875">
        <v>226</v>
      </c>
      <c r="Q1875">
        <v>2</v>
      </c>
      <c r="R1875">
        <v>100</v>
      </c>
      <c r="S1875">
        <v>225.8</v>
      </c>
      <c r="T1875" t="s">
        <v>37</v>
      </c>
      <c r="U1875" s="3"/>
      <c r="V1875" s="3"/>
      <c r="W1875" s="3"/>
    </row>
    <row r="1876" spans="1:23">
      <c r="A1876" t="s">
        <v>3937</v>
      </c>
      <c r="B1876" t="s">
        <v>202</v>
      </c>
      <c r="C1876" t="s">
        <v>100</v>
      </c>
      <c r="D1876" s="2">
        <v>34522</v>
      </c>
      <c r="E1876" s="2">
        <v>45158</v>
      </c>
      <c r="F1876" t="s">
        <v>3208</v>
      </c>
      <c r="G1876" t="s">
        <v>62</v>
      </c>
      <c r="H1876" t="s">
        <v>1500</v>
      </c>
      <c r="I1876" t="s">
        <v>79</v>
      </c>
      <c r="K1876" t="s">
        <v>27</v>
      </c>
      <c r="L1876">
        <v>25875.37</v>
      </c>
      <c r="M1876">
        <v>18063.43</v>
      </c>
      <c r="N1876" t="s">
        <v>192</v>
      </c>
      <c r="O1876">
        <v>9</v>
      </c>
      <c r="P1876">
        <v>173</v>
      </c>
      <c r="R1876">
        <v>130</v>
      </c>
      <c r="S1876">
        <v>192.9</v>
      </c>
      <c r="T1876" t="s">
        <v>37</v>
      </c>
      <c r="U1876" s="3"/>
      <c r="V1876" s="3"/>
      <c r="W1876" s="3"/>
    </row>
    <row r="1877" spans="1:23">
      <c r="A1877" t="s">
        <v>3938</v>
      </c>
      <c r="B1877" t="s">
        <v>3939</v>
      </c>
      <c r="D1877" t="s">
        <v>3940</v>
      </c>
      <c r="E1877" t="s">
        <v>3941</v>
      </c>
      <c r="F1877" t="s">
        <v>3942</v>
      </c>
      <c r="G1877" t="s">
        <v>1282</v>
      </c>
      <c r="H1877" t="s">
        <v>24</v>
      </c>
      <c r="I1877" t="s">
        <v>45</v>
      </c>
      <c r="J1877" t="s">
        <v>46</v>
      </c>
      <c r="K1877" t="s">
        <v>161</v>
      </c>
      <c r="L1877" t="s">
        <v>3943</v>
      </c>
      <c r="M1877">
        <v>104395.45</v>
      </c>
      <c r="N1877" t="s">
        <v>794</v>
      </c>
      <c r="O1877">
        <v>17</v>
      </c>
      <c r="P1877">
        <v>146</v>
      </c>
      <c r="R1877">
        <v>137</v>
      </c>
      <c r="S1877">
        <v>147.1</v>
      </c>
      <c r="T1877" t="s">
        <v>47</v>
      </c>
      <c r="U1877" s="3"/>
      <c r="V1877" s="3"/>
      <c r="W1877" s="3"/>
    </row>
    <row r="1878" spans="1:23">
      <c r="A1878" t="s">
        <v>3944</v>
      </c>
      <c r="B1878" t="s">
        <v>524</v>
      </c>
      <c r="D1878" t="s">
        <v>3945</v>
      </c>
      <c r="E1878" t="s">
        <v>3946</v>
      </c>
      <c r="F1878" t="s">
        <v>3947</v>
      </c>
      <c r="G1878" t="s">
        <v>70</v>
      </c>
      <c r="H1878" t="s">
        <v>32</v>
      </c>
      <c r="I1878" t="s">
        <v>45</v>
      </c>
      <c r="J1878" t="s">
        <v>71</v>
      </c>
      <c r="K1878" t="s">
        <v>120</v>
      </c>
      <c r="L1878">
        <v>14153.06</v>
      </c>
      <c r="M1878">
        <v>12108.45</v>
      </c>
      <c r="N1878" t="s">
        <v>73</v>
      </c>
      <c r="O1878">
        <v>15</v>
      </c>
      <c r="P1878" t="s">
        <v>1822</v>
      </c>
      <c r="Q1878">
        <v>4</v>
      </c>
      <c r="R1878">
        <v>107</v>
      </c>
      <c r="S1878">
        <v>248.6</v>
      </c>
      <c r="T1878" t="s">
        <v>37</v>
      </c>
      <c r="U1878" s="3"/>
      <c r="V1878" s="3"/>
      <c r="W1878" s="3"/>
    </row>
    <row r="1879" spans="1:23">
      <c r="A1879" t="s">
        <v>3948</v>
      </c>
      <c r="B1879" t="s">
        <v>2270</v>
      </c>
      <c r="C1879" t="s">
        <v>100</v>
      </c>
      <c r="D1879" s="2">
        <v>28172</v>
      </c>
      <c r="E1879" t="s">
        <v>3949</v>
      </c>
      <c r="F1879" s="2">
        <v>45574</v>
      </c>
      <c r="G1879" t="s">
        <v>109</v>
      </c>
      <c r="H1879" t="s">
        <v>52</v>
      </c>
      <c r="K1879" t="s">
        <v>27</v>
      </c>
      <c r="L1879">
        <v>18922.29</v>
      </c>
      <c r="M1879">
        <v>16872.080000000002</v>
      </c>
      <c r="N1879" t="s">
        <v>73</v>
      </c>
      <c r="O1879">
        <v>11</v>
      </c>
      <c r="P1879">
        <v>6</v>
      </c>
      <c r="Q1879">
        <v>1</v>
      </c>
      <c r="S1879">
        <v>75.400000000000006</v>
      </c>
      <c r="T1879" t="s">
        <v>81</v>
      </c>
      <c r="U1879" s="3"/>
      <c r="V1879" s="3"/>
      <c r="W1879" s="3"/>
    </row>
    <row r="1880" spans="1:23">
      <c r="A1880" t="s">
        <v>3950</v>
      </c>
      <c r="B1880" t="s">
        <v>2389</v>
      </c>
      <c r="C1880" t="s">
        <v>100</v>
      </c>
      <c r="D1880" t="s">
        <v>3951</v>
      </c>
      <c r="E1880" s="2">
        <v>45258</v>
      </c>
      <c r="F1880" s="2">
        <v>45262</v>
      </c>
      <c r="G1880" t="s">
        <v>141</v>
      </c>
      <c r="H1880" t="s">
        <v>95</v>
      </c>
      <c r="I1880" t="s">
        <v>33</v>
      </c>
      <c r="K1880" t="s">
        <v>161</v>
      </c>
      <c r="L1880">
        <v>39623.910000000003</v>
      </c>
      <c r="M1880">
        <v>36954.29</v>
      </c>
      <c r="N1880" t="s">
        <v>192</v>
      </c>
      <c r="O1880">
        <v>4</v>
      </c>
      <c r="P1880" t="s">
        <v>2503</v>
      </c>
      <c r="Q1880">
        <v>5</v>
      </c>
      <c r="R1880">
        <v>121</v>
      </c>
      <c r="S1880">
        <v>192.6</v>
      </c>
      <c r="U1880" s="3"/>
      <c r="V1880" s="3"/>
      <c r="W1880" s="3"/>
    </row>
    <row r="1881" spans="1:23">
      <c r="A1881" t="s">
        <v>3952</v>
      </c>
      <c r="B1881" t="s">
        <v>541</v>
      </c>
      <c r="C1881" t="s">
        <v>100</v>
      </c>
      <c r="D1881" t="s">
        <v>3953</v>
      </c>
      <c r="E1881" t="s">
        <v>3954</v>
      </c>
      <c r="F1881" t="s">
        <v>3955</v>
      </c>
      <c r="G1881" t="s">
        <v>152</v>
      </c>
      <c r="H1881" t="s">
        <v>113</v>
      </c>
      <c r="I1881" t="s">
        <v>33</v>
      </c>
      <c r="J1881" t="s">
        <v>71</v>
      </c>
      <c r="K1881" t="s">
        <v>27</v>
      </c>
      <c r="L1881">
        <v>130047.43</v>
      </c>
      <c r="M1881">
        <v>110390.14</v>
      </c>
      <c r="N1881" t="s">
        <v>91</v>
      </c>
      <c r="O1881">
        <v>10</v>
      </c>
      <c r="P1881">
        <v>35</v>
      </c>
      <c r="Q1881">
        <v>3</v>
      </c>
      <c r="R1881">
        <v>179</v>
      </c>
      <c r="S1881">
        <v>197.9</v>
      </c>
      <c r="T1881" t="s">
        <v>37</v>
      </c>
      <c r="U1881" s="3"/>
      <c r="V1881" s="3"/>
      <c r="W1881" s="3"/>
    </row>
    <row r="1882" spans="1:23">
      <c r="A1882" t="s">
        <v>3956</v>
      </c>
      <c r="B1882" t="s">
        <v>591</v>
      </c>
      <c r="C1882" t="s">
        <v>151</v>
      </c>
      <c r="D1882" s="2">
        <v>21379</v>
      </c>
      <c r="E1882" s="2">
        <v>45769</v>
      </c>
      <c r="F1882" t="s">
        <v>2883</v>
      </c>
      <c r="H1882" t="s">
        <v>118</v>
      </c>
      <c r="I1882" t="s">
        <v>53</v>
      </c>
      <c r="J1882" t="s">
        <v>34</v>
      </c>
      <c r="L1882">
        <v>217649.91</v>
      </c>
      <c r="M1882">
        <v>130989.84</v>
      </c>
      <c r="N1882" t="s">
        <v>73</v>
      </c>
      <c r="O1882">
        <v>4</v>
      </c>
      <c r="P1882">
        <v>219</v>
      </c>
      <c r="R1882">
        <v>171</v>
      </c>
      <c r="S1882">
        <v>150.6</v>
      </c>
      <c r="T1882" t="s">
        <v>37</v>
      </c>
      <c r="U1882" s="3"/>
      <c r="V1882" s="3"/>
      <c r="W1882" s="3"/>
    </row>
    <row r="1883" spans="1:23">
      <c r="A1883" t="s">
        <v>3957</v>
      </c>
      <c r="B1883" t="s">
        <v>611</v>
      </c>
      <c r="C1883" t="s">
        <v>30</v>
      </c>
      <c r="D1883" s="2">
        <v>29334</v>
      </c>
      <c r="E1883" s="2">
        <v>45965</v>
      </c>
      <c r="G1883" t="s">
        <v>77</v>
      </c>
      <c r="H1883" t="s">
        <v>63</v>
      </c>
      <c r="I1883" t="s">
        <v>25</v>
      </c>
      <c r="J1883" t="s">
        <v>34</v>
      </c>
      <c r="K1883" t="s">
        <v>114</v>
      </c>
      <c r="L1883">
        <v>132308.32999999999</v>
      </c>
      <c r="M1883">
        <v>118640.46</v>
      </c>
      <c r="N1883" t="s">
        <v>91</v>
      </c>
      <c r="O1883">
        <v>1</v>
      </c>
      <c r="P1883">
        <v>68</v>
      </c>
      <c r="R1883">
        <v>120</v>
      </c>
      <c r="S1883">
        <v>229.2</v>
      </c>
      <c r="T1883" t="s">
        <v>47</v>
      </c>
      <c r="U1883" s="3"/>
      <c r="V1883" s="3"/>
      <c r="W1883" s="3"/>
    </row>
    <row r="1884" spans="1:23">
      <c r="A1884" t="s">
        <v>3958</v>
      </c>
      <c r="B1884" t="s">
        <v>845</v>
      </c>
      <c r="C1884" t="s">
        <v>84</v>
      </c>
      <c r="D1884" t="s">
        <v>3959</v>
      </c>
      <c r="E1884" t="s">
        <v>3960</v>
      </c>
      <c r="F1884" s="2">
        <v>45752</v>
      </c>
      <c r="G1884" t="s">
        <v>70</v>
      </c>
      <c r="H1884" t="s">
        <v>63</v>
      </c>
      <c r="I1884" t="s">
        <v>53</v>
      </c>
      <c r="J1884" t="s">
        <v>26</v>
      </c>
      <c r="K1884" t="s">
        <v>110</v>
      </c>
      <c r="L1884">
        <v>243330.07</v>
      </c>
      <c r="M1884">
        <v>180207.7</v>
      </c>
      <c r="O1884">
        <v>1</v>
      </c>
      <c r="P1884">
        <v>68</v>
      </c>
      <c r="Q1884">
        <v>4</v>
      </c>
      <c r="R1884">
        <v>90</v>
      </c>
      <c r="S1884">
        <v>191.3</v>
      </c>
      <c r="T1884" t="s">
        <v>37</v>
      </c>
      <c r="U1884" s="3"/>
      <c r="V1884" s="3"/>
      <c r="W1884" s="3"/>
    </row>
    <row r="1885" spans="1:23">
      <c r="A1885" t="s">
        <v>3961</v>
      </c>
      <c r="B1885" t="s">
        <v>1182</v>
      </c>
      <c r="C1885" t="s">
        <v>206</v>
      </c>
      <c r="D1885" s="2">
        <v>27692</v>
      </c>
      <c r="E1885" s="2">
        <v>45373</v>
      </c>
      <c r="F1885" s="2">
        <v>45375</v>
      </c>
      <c r="G1885" t="s">
        <v>89</v>
      </c>
      <c r="H1885" t="s">
        <v>86</v>
      </c>
      <c r="J1885" t="s">
        <v>179</v>
      </c>
      <c r="K1885" t="s">
        <v>72</v>
      </c>
      <c r="L1885">
        <v>111062.69</v>
      </c>
      <c r="M1885">
        <v>82568.27</v>
      </c>
      <c r="N1885" t="s">
        <v>73</v>
      </c>
      <c r="O1885">
        <v>2</v>
      </c>
      <c r="P1885">
        <v>22</v>
      </c>
      <c r="Q1885">
        <v>1</v>
      </c>
      <c r="R1885">
        <v>143</v>
      </c>
      <c r="S1885">
        <v>94.2</v>
      </c>
      <c r="U1885" s="3"/>
      <c r="V1885" s="3"/>
      <c r="W1885" s="3"/>
    </row>
    <row r="1886" spans="1:23">
      <c r="A1886" t="s">
        <v>3962</v>
      </c>
      <c r="B1886" t="s">
        <v>1464</v>
      </c>
      <c r="C1886" t="s">
        <v>30</v>
      </c>
      <c r="D1886" s="2">
        <v>29621</v>
      </c>
      <c r="E1886" t="s">
        <v>3963</v>
      </c>
      <c r="F1886" s="2">
        <v>45833</v>
      </c>
      <c r="G1886" t="s">
        <v>89</v>
      </c>
      <c r="H1886" t="s">
        <v>376</v>
      </c>
      <c r="I1886" t="s">
        <v>119</v>
      </c>
      <c r="K1886" t="s">
        <v>55</v>
      </c>
      <c r="L1886">
        <v>95840.07</v>
      </c>
      <c r="M1886">
        <v>72897.100000000006</v>
      </c>
      <c r="N1886" t="s">
        <v>192</v>
      </c>
      <c r="O1886">
        <v>6</v>
      </c>
      <c r="P1886">
        <v>100</v>
      </c>
      <c r="Q1886">
        <v>1</v>
      </c>
      <c r="R1886">
        <v>168</v>
      </c>
      <c r="S1886">
        <v>117.6</v>
      </c>
      <c r="T1886" t="s">
        <v>37</v>
      </c>
      <c r="U1886" s="3"/>
      <c r="V1886" s="3"/>
      <c r="W1886" s="3"/>
    </row>
    <row r="1887" spans="1:23">
      <c r="A1887" t="s">
        <v>3964</v>
      </c>
      <c r="B1887" t="s">
        <v>2008</v>
      </c>
      <c r="C1887" t="s">
        <v>30</v>
      </c>
      <c r="D1887" s="2">
        <v>28339</v>
      </c>
      <c r="E1887" t="s">
        <v>1671</v>
      </c>
      <c r="F1887" t="s">
        <v>3965</v>
      </c>
      <c r="G1887" t="s">
        <v>161</v>
      </c>
      <c r="H1887" t="s">
        <v>32</v>
      </c>
      <c r="I1887" t="s">
        <v>33</v>
      </c>
      <c r="J1887" t="s">
        <v>179</v>
      </c>
      <c r="K1887" t="s">
        <v>55</v>
      </c>
      <c r="L1887">
        <v>68771.460000000006</v>
      </c>
      <c r="M1887">
        <v>62908.26</v>
      </c>
      <c r="N1887" t="s">
        <v>73</v>
      </c>
      <c r="O1887">
        <v>3</v>
      </c>
      <c r="Q1887">
        <v>3</v>
      </c>
      <c r="R1887">
        <v>181</v>
      </c>
      <c r="S1887">
        <v>239.2</v>
      </c>
      <c r="T1887" t="s">
        <v>37</v>
      </c>
      <c r="U1887" s="3"/>
      <c r="V1887" s="3"/>
      <c r="W1887" s="3"/>
    </row>
    <row r="1888" spans="1:23">
      <c r="A1888" t="s">
        <v>3966</v>
      </c>
      <c r="B1888" t="s">
        <v>83</v>
      </c>
      <c r="C1888" t="s">
        <v>100</v>
      </c>
      <c r="D1888" s="2">
        <v>24884</v>
      </c>
      <c r="E1888" s="2">
        <v>45452</v>
      </c>
      <c r="F1888" s="2">
        <v>45455</v>
      </c>
      <c r="H1888" t="s">
        <v>63</v>
      </c>
      <c r="I1888" t="s">
        <v>119</v>
      </c>
      <c r="J1888" t="s">
        <v>71</v>
      </c>
      <c r="K1888" t="s">
        <v>161</v>
      </c>
      <c r="M1888">
        <v>82551.429999999993</v>
      </c>
      <c r="N1888" t="s">
        <v>192</v>
      </c>
      <c r="O1888">
        <v>3</v>
      </c>
      <c r="P1888" t="s">
        <v>3967</v>
      </c>
      <c r="Q1888">
        <v>4</v>
      </c>
      <c r="R1888">
        <v>133</v>
      </c>
      <c r="S1888">
        <v>139.19999999999999</v>
      </c>
      <c r="T1888" t="s">
        <v>37</v>
      </c>
      <c r="U1888" s="3"/>
      <c r="V1888" s="3"/>
      <c r="W1888" s="3"/>
    </row>
    <row r="1889" spans="1:23">
      <c r="A1889" t="s">
        <v>3968</v>
      </c>
      <c r="B1889" t="s">
        <v>394</v>
      </c>
      <c r="C1889" t="s">
        <v>50</v>
      </c>
      <c r="D1889" s="2">
        <v>18643</v>
      </c>
      <c r="E1889" t="s">
        <v>3969</v>
      </c>
      <c r="F1889" s="2">
        <v>45539</v>
      </c>
      <c r="G1889" t="s">
        <v>62</v>
      </c>
      <c r="H1889" t="s">
        <v>78</v>
      </c>
      <c r="I1889" t="s">
        <v>119</v>
      </c>
      <c r="J1889" t="s">
        <v>179</v>
      </c>
      <c r="K1889" t="s">
        <v>55</v>
      </c>
      <c r="L1889">
        <v>18414.560000000001</v>
      </c>
      <c r="M1889">
        <v>12036.87</v>
      </c>
      <c r="N1889" t="s">
        <v>192</v>
      </c>
      <c r="O1889">
        <v>9</v>
      </c>
      <c r="P1889">
        <v>98</v>
      </c>
      <c r="Q1889">
        <v>4</v>
      </c>
      <c r="R1889">
        <v>140</v>
      </c>
      <c r="S1889">
        <v>119.3</v>
      </c>
      <c r="T1889" t="s">
        <v>37</v>
      </c>
      <c r="U1889" s="3"/>
      <c r="V1889" s="3"/>
      <c r="W1889" s="3"/>
    </row>
    <row r="1890" spans="1:23">
      <c r="A1890" t="s">
        <v>3970</v>
      </c>
      <c r="B1890" t="s">
        <v>887</v>
      </c>
      <c r="D1890" t="s">
        <v>3971</v>
      </c>
      <c r="E1890" s="2">
        <v>45814</v>
      </c>
      <c r="F1890" s="2">
        <v>45823</v>
      </c>
      <c r="G1890" t="s">
        <v>161</v>
      </c>
      <c r="H1890" t="s">
        <v>113</v>
      </c>
      <c r="I1890" t="s">
        <v>119</v>
      </c>
      <c r="J1890" t="s">
        <v>80</v>
      </c>
      <c r="K1890" t="s">
        <v>161</v>
      </c>
      <c r="L1890">
        <v>88159.74</v>
      </c>
      <c r="M1890">
        <v>76806.720000000001</v>
      </c>
      <c r="N1890" t="s">
        <v>73</v>
      </c>
      <c r="O1890">
        <v>9</v>
      </c>
      <c r="P1890">
        <v>176</v>
      </c>
      <c r="Q1890">
        <v>5</v>
      </c>
      <c r="R1890">
        <v>115</v>
      </c>
      <c r="S1890">
        <v>253.1</v>
      </c>
      <c r="U1890" s="3"/>
      <c r="V1890" s="3"/>
      <c r="W1890" s="3"/>
    </row>
    <row r="1891" spans="1:23">
      <c r="A1891" t="s">
        <v>3972</v>
      </c>
      <c r="B1891" t="s">
        <v>438</v>
      </c>
      <c r="C1891" t="s">
        <v>206</v>
      </c>
      <c r="D1891" s="2">
        <v>20091</v>
      </c>
      <c r="E1891" s="2">
        <v>45539</v>
      </c>
      <c r="F1891" s="2">
        <v>45543</v>
      </c>
      <c r="G1891" t="s">
        <v>43</v>
      </c>
      <c r="H1891" t="s">
        <v>78</v>
      </c>
      <c r="I1891" t="s">
        <v>96</v>
      </c>
      <c r="J1891" t="s">
        <v>80</v>
      </c>
      <c r="K1891" t="s">
        <v>55</v>
      </c>
      <c r="L1891">
        <v>241578.14</v>
      </c>
      <c r="M1891">
        <v>223919.59</v>
      </c>
      <c r="N1891" t="s">
        <v>192</v>
      </c>
      <c r="O1891">
        <v>4</v>
      </c>
      <c r="P1891">
        <v>187</v>
      </c>
      <c r="Q1891">
        <v>1</v>
      </c>
      <c r="R1891" t="s">
        <v>1260</v>
      </c>
      <c r="S1891">
        <v>185.9</v>
      </c>
      <c r="T1891" t="s">
        <v>81</v>
      </c>
      <c r="U1891" s="3"/>
      <c r="V1891" s="3"/>
      <c r="W1891" s="3"/>
    </row>
    <row r="1892" spans="1:23">
      <c r="A1892" t="s">
        <v>3973</v>
      </c>
      <c r="B1892" t="s">
        <v>274</v>
      </c>
      <c r="C1892" t="s">
        <v>50</v>
      </c>
      <c r="D1892" s="2">
        <v>31872</v>
      </c>
      <c r="E1892" s="2">
        <v>45804</v>
      </c>
      <c r="F1892" s="2">
        <v>45816</v>
      </c>
      <c r="G1892" t="s">
        <v>70</v>
      </c>
      <c r="H1892" t="s">
        <v>255</v>
      </c>
      <c r="I1892" t="s">
        <v>33</v>
      </c>
      <c r="K1892" t="s">
        <v>55</v>
      </c>
      <c r="L1892">
        <v>44285.93</v>
      </c>
      <c r="M1892">
        <v>44001.71</v>
      </c>
      <c r="N1892" t="s">
        <v>91</v>
      </c>
      <c r="O1892">
        <v>12</v>
      </c>
      <c r="P1892">
        <v>195</v>
      </c>
      <c r="Q1892">
        <v>2</v>
      </c>
      <c r="R1892">
        <v>107</v>
      </c>
      <c r="S1892">
        <v>167.1</v>
      </c>
      <c r="U1892" s="3"/>
      <c r="V1892" s="3"/>
      <c r="W1892" s="3"/>
    </row>
    <row r="1893" spans="1:23">
      <c r="A1893" t="s">
        <v>3974</v>
      </c>
      <c r="B1893" t="s">
        <v>607</v>
      </c>
      <c r="C1893" t="s">
        <v>30</v>
      </c>
      <c r="D1893" s="2">
        <v>29862</v>
      </c>
      <c r="E1893" t="s">
        <v>3975</v>
      </c>
      <c r="F1893" s="2">
        <v>45952</v>
      </c>
      <c r="G1893" t="s">
        <v>141</v>
      </c>
      <c r="H1893" t="s">
        <v>153</v>
      </c>
      <c r="I1893" t="s">
        <v>79</v>
      </c>
      <c r="J1893" t="s">
        <v>179</v>
      </c>
      <c r="K1893" t="s">
        <v>120</v>
      </c>
      <c r="L1893">
        <v>124134.82</v>
      </c>
      <c r="M1893">
        <v>90428</v>
      </c>
      <c r="N1893" t="s">
        <v>73</v>
      </c>
      <c r="O1893">
        <v>15</v>
      </c>
      <c r="P1893">
        <v>41</v>
      </c>
      <c r="Q1893">
        <v>3</v>
      </c>
      <c r="R1893">
        <v>120</v>
      </c>
      <c r="S1893">
        <v>113.4</v>
      </c>
      <c r="U1893" s="3"/>
      <c r="V1893" s="3"/>
      <c r="W1893" s="3"/>
    </row>
    <row r="1894" spans="1:23">
      <c r="A1894" t="s">
        <v>3976</v>
      </c>
      <c r="B1894" t="s">
        <v>334</v>
      </c>
      <c r="C1894" t="s">
        <v>22</v>
      </c>
      <c r="D1894" s="2">
        <v>26660</v>
      </c>
      <c r="E1894" t="s">
        <v>3977</v>
      </c>
      <c r="F1894" t="s">
        <v>3978</v>
      </c>
      <c r="G1894" t="s">
        <v>31</v>
      </c>
      <c r="H1894" t="s">
        <v>24</v>
      </c>
      <c r="I1894" t="s">
        <v>96</v>
      </c>
      <c r="J1894" t="s">
        <v>26</v>
      </c>
      <c r="K1894" t="s">
        <v>120</v>
      </c>
      <c r="L1894">
        <v>68448.53</v>
      </c>
      <c r="M1894">
        <v>58493.47</v>
      </c>
      <c r="N1894" t="s">
        <v>192</v>
      </c>
      <c r="O1894">
        <v>9</v>
      </c>
      <c r="P1894">
        <v>28</v>
      </c>
      <c r="Q1894">
        <v>4</v>
      </c>
      <c r="R1894">
        <v>160</v>
      </c>
      <c r="S1894">
        <v>101.5</v>
      </c>
      <c r="U1894" s="3"/>
      <c r="V1894" s="3"/>
      <c r="W1894" s="3"/>
    </row>
    <row r="1895" spans="1:23">
      <c r="A1895" t="s">
        <v>3979</v>
      </c>
      <c r="B1895" t="s">
        <v>350</v>
      </c>
      <c r="C1895" t="s">
        <v>30</v>
      </c>
      <c r="D1895" s="2">
        <v>38301</v>
      </c>
      <c r="E1895" s="2">
        <v>45826</v>
      </c>
      <c r="F1895" s="2">
        <v>45834</v>
      </c>
      <c r="G1895" t="s">
        <v>31</v>
      </c>
      <c r="H1895" t="s">
        <v>124</v>
      </c>
      <c r="I1895" t="s">
        <v>45</v>
      </c>
      <c r="J1895" t="s">
        <v>97</v>
      </c>
      <c r="K1895" t="s">
        <v>55</v>
      </c>
      <c r="L1895">
        <v>239605.53</v>
      </c>
      <c r="M1895">
        <v>179132.74</v>
      </c>
      <c r="N1895" t="s">
        <v>91</v>
      </c>
      <c r="O1895">
        <v>8</v>
      </c>
      <c r="P1895">
        <v>115</v>
      </c>
      <c r="Q1895">
        <v>4</v>
      </c>
      <c r="R1895">
        <v>147</v>
      </c>
      <c r="S1895">
        <v>257.10000000000002</v>
      </c>
      <c r="T1895" t="s">
        <v>37</v>
      </c>
      <c r="U1895" s="3"/>
      <c r="V1895" s="3"/>
      <c r="W1895" s="3"/>
    </row>
    <row r="1896" spans="1:23">
      <c r="A1896" t="s">
        <v>3980</v>
      </c>
      <c r="B1896" t="s">
        <v>992</v>
      </c>
      <c r="C1896" t="s">
        <v>50</v>
      </c>
      <c r="D1896" s="2">
        <v>32517</v>
      </c>
      <c r="E1896" s="2">
        <v>45455</v>
      </c>
      <c r="F1896" s="2">
        <v>45470</v>
      </c>
      <c r="G1896" t="s">
        <v>161</v>
      </c>
      <c r="H1896" t="s">
        <v>32</v>
      </c>
      <c r="I1896" t="s">
        <v>79</v>
      </c>
      <c r="J1896" t="s">
        <v>71</v>
      </c>
      <c r="K1896" t="s">
        <v>449</v>
      </c>
      <c r="L1896">
        <v>55670.400000000001</v>
      </c>
      <c r="M1896">
        <v>40271.300000000003</v>
      </c>
      <c r="N1896" t="s">
        <v>35</v>
      </c>
      <c r="O1896">
        <v>15</v>
      </c>
      <c r="P1896">
        <v>93</v>
      </c>
      <c r="R1896">
        <v>165</v>
      </c>
      <c r="S1896">
        <v>126.9</v>
      </c>
      <c r="U1896" s="3"/>
      <c r="V1896" s="3"/>
      <c r="W1896" s="3"/>
    </row>
    <row r="1897" spans="1:23">
      <c r="A1897" t="s">
        <v>3981</v>
      </c>
      <c r="B1897" t="s">
        <v>553</v>
      </c>
      <c r="C1897" t="s">
        <v>50</v>
      </c>
      <c r="D1897" t="s">
        <v>3982</v>
      </c>
      <c r="E1897" s="2">
        <v>45682</v>
      </c>
      <c r="F1897" s="2">
        <v>45693</v>
      </c>
      <c r="G1897" t="s">
        <v>902</v>
      </c>
      <c r="H1897" t="s">
        <v>1500</v>
      </c>
      <c r="J1897" t="s">
        <v>34</v>
      </c>
      <c r="K1897" t="s">
        <v>55</v>
      </c>
      <c r="L1897">
        <v>81238.27</v>
      </c>
      <c r="M1897">
        <v>68908.740000000005</v>
      </c>
      <c r="O1897">
        <v>11</v>
      </c>
      <c r="P1897">
        <v>188</v>
      </c>
      <c r="R1897">
        <v>190</v>
      </c>
      <c r="T1897" t="s">
        <v>65</v>
      </c>
      <c r="U1897" s="3"/>
      <c r="V1897" s="3"/>
      <c r="W1897" s="3"/>
    </row>
    <row r="1898" spans="1:23">
      <c r="A1898" t="s">
        <v>3983</v>
      </c>
      <c r="B1898" t="s">
        <v>611</v>
      </c>
      <c r="C1898" t="s">
        <v>40</v>
      </c>
      <c r="D1898" s="2">
        <v>24408</v>
      </c>
      <c r="E1898" s="2">
        <v>45511</v>
      </c>
      <c r="F1898" s="2">
        <v>45529</v>
      </c>
      <c r="G1898" t="s">
        <v>62</v>
      </c>
      <c r="H1898" t="s">
        <v>44</v>
      </c>
      <c r="I1898" t="s">
        <v>96</v>
      </c>
      <c r="K1898" t="s">
        <v>55</v>
      </c>
      <c r="L1898">
        <v>241733.98</v>
      </c>
      <c r="M1898">
        <v>168824.13</v>
      </c>
      <c r="N1898" t="s">
        <v>1048</v>
      </c>
      <c r="O1898">
        <v>18</v>
      </c>
      <c r="P1898">
        <v>49</v>
      </c>
      <c r="R1898">
        <v>186</v>
      </c>
      <c r="U1898" s="3"/>
      <c r="V1898" s="3"/>
      <c r="W1898" s="3"/>
    </row>
    <row r="1899" spans="1:23">
      <c r="A1899" t="s">
        <v>3984</v>
      </c>
      <c r="B1899" t="s">
        <v>3985</v>
      </c>
      <c r="C1899" t="s">
        <v>133</v>
      </c>
      <c r="D1899" t="s">
        <v>3986</v>
      </c>
      <c r="E1899" s="2">
        <v>45300</v>
      </c>
      <c r="F1899" t="s">
        <v>1785</v>
      </c>
      <c r="G1899" t="s">
        <v>117</v>
      </c>
      <c r="I1899" t="s">
        <v>53</v>
      </c>
      <c r="J1899" t="s">
        <v>46</v>
      </c>
      <c r="K1899" t="s">
        <v>161</v>
      </c>
      <c r="L1899">
        <v>46291.66</v>
      </c>
      <c r="M1899">
        <v>32458.49</v>
      </c>
      <c r="N1899" t="s">
        <v>73</v>
      </c>
      <c r="O1899">
        <v>6</v>
      </c>
      <c r="P1899" t="s">
        <v>1294</v>
      </c>
      <c r="Q1899">
        <v>5</v>
      </c>
      <c r="S1899">
        <v>97.4</v>
      </c>
      <c r="U1899" s="3"/>
      <c r="V1899" s="3"/>
      <c r="W1899" s="3"/>
    </row>
    <row r="1900" spans="1:23">
      <c r="A1900" t="s">
        <v>3987</v>
      </c>
      <c r="B1900" t="s">
        <v>1426</v>
      </c>
      <c r="C1900" t="s">
        <v>133</v>
      </c>
      <c r="D1900" s="2">
        <v>18573</v>
      </c>
      <c r="E1900" s="2">
        <v>45273</v>
      </c>
      <c r="F1900" s="2">
        <v>45289</v>
      </c>
      <c r="G1900" t="s">
        <v>70</v>
      </c>
      <c r="H1900" t="s">
        <v>124</v>
      </c>
      <c r="I1900" t="s">
        <v>119</v>
      </c>
      <c r="J1900" t="s">
        <v>34</v>
      </c>
      <c r="K1900" t="s">
        <v>27</v>
      </c>
      <c r="L1900">
        <v>144113.54999999999</v>
      </c>
      <c r="M1900">
        <v>123019.24</v>
      </c>
      <c r="N1900" t="s">
        <v>56</v>
      </c>
      <c r="O1900" t="s">
        <v>1673</v>
      </c>
      <c r="P1900">
        <v>235</v>
      </c>
      <c r="R1900">
        <v>121</v>
      </c>
      <c r="S1900">
        <v>133.30000000000001</v>
      </c>
      <c r="T1900" t="s">
        <v>37</v>
      </c>
      <c r="U1900" s="3"/>
      <c r="V1900" s="3"/>
      <c r="W1900" s="3"/>
    </row>
    <row r="1901" spans="1:23">
      <c r="A1901" t="s">
        <v>3988</v>
      </c>
      <c r="B1901" t="s">
        <v>304</v>
      </c>
      <c r="C1901" t="s">
        <v>206</v>
      </c>
      <c r="D1901" s="2">
        <v>36407</v>
      </c>
      <c r="E1901" s="2">
        <v>45931</v>
      </c>
      <c r="F1901" s="2">
        <v>45935</v>
      </c>
      <c r="G1901" t="s">
        <v>152</v>
      </c>
      <c r="H1901" t="s">
        <v>134</v>
      </c>
      <c r="I1901" t="s">
        <v>119</v>
      </c>
      <c r="J1901" t="s">
        <v>54</v>
      </c>
      <c r="K1901" t="s">
        <v>55</v>
      </c>
      <c r="L1901" t="s">
        <v>3989</v>
      </c>
      <c r="M1901">
        <v>64050.25</v>
      </c>
      <c r="N1901" t="s">
        <v>192</v>
      </c>
      <c r="O1901">
        <v>4</v>
      </c>
      <c r="P1901">
        <v>233</v>
      </c>
      <c r="R1901">
        <v>164</v>
      </c>
      <c r="S1901">
        <v>140.1</v>
      </c>
      <c r="T1901" t="s">
        <v>37</v>
      </c>
      <c r="U1901" s="3"/>
      <c r="V1901" s="3"/>
      <c r="W1901" s="3"/>
    </row>
    <row r="1902" spans="1:23">
      <c r="A1902" t="s">
        <v>3990</v>
      </c>
      <c r="B1902" t="s">
        <v>132</v>
      </c>
      <c r="D1902" s="2">
        <v>34934</v>
      </c>
      <c r="E1902" t="s">
        <v>3991</v>
      </c>
      <c r="F1902" s="2">
        <v>45529</v>
      </c>
      <c r="G1902" t="s">
        <v>161</v>
      </c>
      <c r="H1902" t="s">
        <v>78</v>
      </c>
      <c r="J1902" t="s">
        <v>197</v>
      </c>
      <c r="K1902" t="s">
        <v>27</v>
      </c>
      <c r="L1902">
        <v>94886.89</v>
      </c>
      <c r="M1902">
        <v>82786.59</v>
      </c>
      <c r="O1902">
        <v>9</v>
      </c>
      <c r="P1902">
        <v>65</v>
      </c>
      <c r="Q1902">
        <v>4</v>
      </c>
      <c r="R1902">
        <v>127</v>
      </c>
      <c r="S1902">
        <v>228.2</v>
      </c>
      <c r="T1902" t="s">
        <v>37</v>
      </c>
      <c r="U1902" s="3"/>
      <c r="V1902" s="3"/>
      <c r="W1902" s="3"/>
    </row>
    <row r="1903" spans="1:23">
      <c r="A1903" t="s">
        <v>3992</v>
      </c>
      <c r="B1903" t="s">
        <v>59</v>
      </c>
      <c r="C1903" t="s">
        <v>100</v>
      </c>
      <c r="D1903" s="2">
        <v>24585</v>
      </c>
      <c r="E1903" s="2">
        <v>45204</v>
      </c>
      <c r="F1903" s="2">
        <v>45219</v>
      </c>
      <c r="G1903" t="s">
        <v>141</v>
      </c>
      <c r="H1903" t="s">
        <v>134</v>
      </c>
      <c r="J1903" t="s">
        <v>26</v>
      </c>
      <c r="L1903">
        <v>85464.57</v>
      </c>
      <c r="M1903">
        <v>69602.259999999995</v>
      </c>
      <c r="N1903" t="s">
        <v>73</v>
      </c>
      <c r="O1903" t="s">
        <v>1170</v>
      </c>
      <c r="P1903">
        <v>212</v>
      </c>
      <c r="Q1903">
        <v>5</v>
      </c>
      <c r="R1903">
        <v>176</v>
      </c>
      <c r="S1903">
        <v>188</v>
      </c>
      <c r="T1903" t="s">
        <v>37</v>
      </c>
      <c r="U1903" s="3"/>
      <c r="V1903" s="3"/>
      <c r="W1903" s="3"/>
    </row>
    <row r="1904" spans="1:23">
      <c r="A1904" t="s">
        <v>3993</v>
      </c>
      <c r="B1904" t="s">
        <v>1391</v>
      </c>
      <c r="C1904" t="s">
        <v>50</v>
      </c>
      <c r="D1904" s="2">
        <v>22749</v>
      </c>
      <c r="E1904" t="s">
        <v>3994</v>
      </c>
      <c r="F1904" s="2">
        <v>45395</v>
      </c>
      <c r="G1904" t="s">
        <v>161</v>
      </c>
      <c r="H1904" t="s">
        <v>113</v>
      </c>
      <c r="J1904" t="s">
        <v>97</v>
      </c>
      <c r="K1904" t="s">
        <v>55</v>
      </c>
      <c r="L1904">
        <v>52493.81</v>
      </c>
      <c r="M1904">
        <v>51827.12</v>
      </c>
      <c r="N1904" t="s">
        <v>192</v>
      </c>
      <c r="O1904">
        <v>12</v>
      </c>
      <c r="P1904">
        <v>197</v>
      </c>
      <c r="Q1904">
        <v>2</v>
      </c>
      <c r="R1904">
        <v>137</v>
      </c>
      <c r="S1904">
        <v>130.9</v>
      </c>
      <c r="U1904" s="3"/>
      <c r="V1904" s="3"/>
      <c r="W1904" s="3"/>
    </row>
    <row r="1905" spans="1:23">
      <c r="A1905" t="s">
        <v>3995</v>
      </c>
      <c r="B1905" t="s">
        <v>762</v>
      </c>
      <c r="C1905" t="s">
        <v>40</v>
      </c>
      <c r="D1905" t="s">
        <v>3996</v>
      </c>
      <c r="E1905" s="2">
        <v>45951</v>
      </c>
      <c r="F1905" s="2">
        <v>45962</v>
      </c>
      <c r="G1905" t="s">
        <v>117</v>
      </c>
      <c r="H1905" t="s">
        <v>153</v>
      </c>
      <c r="I1905" t="s">
        <v>33</v>
      </c>
      <c r="K1905" t="s">
        <v>55</v>
      </c>
      <c r="L1905">
        <v>39116.78</v>
      </c>
      <c r="M1905">
        <v>27128.84</v>
      </c>
      <c r="N1905" t="s">
        <v>192</v>
      </c>
      <c r="O1905">
        <v>11</v>
      </c>
      <c r="Q1905">
        <v>5</v>
      </c>
      <c r="S1905">
        <v>160.4</v>
      </c>
      <c r="T1905" t="s">
        <v>47</v>
      </c>
      <c r="U1905" s="3"/>
      <c r="V1905" s="3"/>
      <c r="W1905" s="3"/>
    </row>
    <row r="1906" spans="1:23">
      <c r="A1906" t="s">
        <v>3997</v>
      </c>
      <c r="B1906" t="s">
        <v>155</v>
      </c>
      <c r="C1906" t="s">
        <v>84</v>
      </c>
      <c r="D1906" t="s">
        <v>3998</v>
      </c>
      <c r="E1906" s="2">
        <v>45147</v>
      </c>
      <c r="F1906" s="2">
        <v>45148</v>
      </c>
      <c r="G1906" t="s">
        <v>94</v>
      </c>
      <c r="H1906" t="s">
        <v>95</v>
      </c>
      <c r="I1906" t="s">
        <v>53</v>
      </c>
      <c r="J1906" t="s">
        <v>97</v>
      </c>
      <c r="K1906" t="s">
        <v>120</v>
      </c>
      <c r="L1906">
        <v>70241.47</v>
      </c>
      <c r="M1906">
        <v>54125.33</v>
      </c>
      <c r="N1906" t="s">
        <v>73</v>
      </c>
      <c r="O1906">
        <v>1</v>
      </c>
      <c r="P1906">
        <v>103</v>
      </c>
      <c r="Q1906">
        <v>5</v>
      </c>
      <c r="R1906">
        <v>188</v>
      </c>
      <c r="S1906">
        <v>120.4</v>
      </c>
      <c r="T1906" t="s">
        <v>37</v>
      </c>
      <c r="U1906" s="3"/>
      <c r="V1906" s="3"/>
      <c r="W1906" s="3"/>
    </row>
    <row r="1907" spans="1:23">
      <c r="A1907" t="s">
        <v>3999</v>
      </c>
      <c r="B1907" t="s">
        <v>234</v>
      </c>
      <c r="C1907" t="s">
        <v>40</v>
      </c>
      <c r="D1907" s="2">
        <v>26447</v>
      </c>
      <c r="E1907" s="2">
        <v>45415</v>
      </c>
      <c r="F1907" s="2">
        <v>45428</v>
      </c>
      <c r="G1907" t="s">
        <v>70</v>
      </c>
      <c r="H1907" t="s">
        <v>24</v>
      </c>
      <c r="I1907" t="s">
        <v>45</v>
      </c>
      <c r="J1907" t="s">
        <v>71</v>
      </c>
      <c r="K1907" t="s">
        <v>55</v>
      </c>
      <c r="L1907">
        <v>93378.4</v>
      </c>
      <c r="M1907">
        <v>61669.37</v>
      </c>
      <c r="N1907" t="s">
        <v>56</v>
      </c>
      <c r="O1907">
        <v>13</v>
      </c>
      <c r="P1907">
        <v>157</v>
      </c>
      <c r="Q1907">
        <v>4</v>
      </c>
      <c r="R1907">
        <v>93</v>
      </c>
      <c r="S1907">
        <v>255.2</v>
      </c>
      <c r="T1907" t="s">
        <v>65</v>
      </c>
      <c r="U1907" s="3"/>
      <c r="V1907" s="3"/>
      <c r="W1907" s="3"/>
    </row>
    <row r="1908" spans="1:23">
      <c r="A1908" t="s">
        <v>4000</v>
      </c>
      <c r="B1908" t="s">
        <v>1206</v>
      </c>
      <c r="C1908" t="s">
        <v>296</v>
      </c>
      <c r="D1908" s="2">
        <v>20286</v>
      </c>
      <c r="E1908" t="s">
        <v>4001</v>
      </c>
      <c r="F1908" s="2">
        <v>45284</v>
      </c>
      <c r="G1908" t="s">
        <v>109</v>
      </c>
      <c r="H1908" t="s">
        <v>24</v>
      </c>
      <c r="I1908" t="s">
        <v>45</v>
      </c>
      <c r="J1908" t="s">
        <v>179</v>
      </c>
      <c r="K1908" t="s">
        <v>120</v>
      </c>
      <c r="L1908">
        <v>113121.47</v>
      </c>
      <c r="M1908">
        <v>90613.88</v>
      </c>
      <c r="N1908" t="s">
        <v>35</v>
      </c>
      <c r="O1908">
        <v>13</v>
      </c>
      <c r="Q1908">
        <v>1</v>
      </c>
      <c r="R1908">
        <v>173</v>
      </c>
      <c r="S1908">
        <v>249.8</v>
      </c>
      <c r="T1908" t="s">
        <v>65</v>
      </c>
      <c r="U1908" s="3"/>
      <c r="V1908" s="3"/>
      <c r="W1908" s="3"/>
    </row>
    <row r="1909" spans="1:23">
      <c r="A1909" t="s">
        <v>4002</v>
      </c>
      <c r="B1909" t="s">
        <v>895</v>
      </c>
      <c r="C1909" t="s">
        <v>133</v>
      </c>
      <c r="D1909" s="2">
        <v>30874</v>
      </c>
      <c r="E1909" t="s">
        <v>4003</v>
      </c>
      <c r="F1909" s="2">
        <v>45383</v>
      </c>
      <c r="G1909" t="s">
        <v>109</v>
      </c>
      <c r="H1909" t="s">
        <v>63</v>
      </c>
      <c r="I1909" t="s">
        <v>119</v>
      </c>
      <c r="J1909" t="s">
        <v>64</v>
      </c>
      <c r="K1909" t="s">
        <v>27</v>
      </c>
      <c r="L1909">
        <v>50935.62</v>
      </c>
      <c r="M1909">
        <v>36955.230000000003</v>
      </c>
      <c r="N1909" t="s">
        <v>56</v>
      </c>
      <c r="O1909">
        <v>16</v>
      </c>
      <c r="P1909">
        <v>98</v>
      </c>
      <c r="Q1909">
        <v>4</v>
      </c>
      <c r="S1909">
        <v>209.3</v>
      </c>
      <c r="T1909" t="s">
        <v>65</v>
      </c>
      <c r="U1909" s="3"/>
      <c r="V1909" s="3"/>
      <c r="W1909" s="3"/>
    </row>
    <row r="1910" spans="1:23">
      <c r="A1910" t="s">
        <v>4004</v>
      </c>
      <c r="B1910" t="s">
        <v>472</v>
      </c>
      <c r="C1910" t="s">
        <v>30</v>
      </c>
      <c r="D1910" s="2">
        <v>35025</v>
      </c>
      <c r="E1910" s="2">
        <v>45415</v>
      </c>
      <c r="G1910" t="s">
        <v>117</v>
      </c>
      <c r="H1910" t="s">
        <v>32</v>
      </c>
      <c r="I1910" t="s">
        <v>25</v>
      </c>
      <c r="J1910" t="s">
        <v>80</v>
      </c>
      <c r="K1910" t="s">
        <v>401</v>
      </c>
      <c r="L1910">
        <v>8162.39</v>
      </c>
      <c r="M1910">
        <v>6472.86</v>
      </c>
      <c r="N1910" t="s">
        <v>192</v>
      </c>
      <c r="O1910">
        <v>6</v>
      </c>
      <c r="P1910">
        <v>35</v>
      </c>
      <c r="R1910">
        <v>184</v>
      </c>
      <c r="S1910">
        <v>150.5</v>
      </c>
      <c r="T1910" t="s">
        <v>47</v>
      </c>
      <c r="U1910" s="3"/>
      <c r="V1910" s="3"/>
      <c r="W1910" s="3"/>
    </row>
    <row r="1911" spans="1:23">
      <c r="A1911" t="s">
        <v>4005</v>
      </c>
      <c r="B1911" t="s">
        <v>328</v>
      </c>
      <c r="C1911" t="s">
        <v>50</v>
      </c>
      <c r="D1911" s="2">
        <v>38035</v>
      </c>
      <c r="E1911" s="2">
        <v>44987</v>
      </c>
      <c r="F1911" s="2">
        <v>45002</v>
      </c>
      <c r="H1911" t="s">
        <v>44</v>
      </c>
      <c r="I1911" t="s">
        <v>96</v>
      </c>
      <c r="J1911" t="s">
        <v>97</v>
      </c>
      <c r="K1911" t="s">
        <v>72</v>
      </c>
      <c r="L1911">
        <v>67656.47</v>
      </c>
      <c r="M1911">
        <v>53374.17</v>
      </c>
      <c r="N1911" t="s">
        <v>192</v>
      </c>
      <c r="O1911">
        <v>15</v>
      </c>
      <c r="P1911">
        <v>184</v>
      </c>
      <c r="Q1911">
        <v>1</v>
      </c>
      <c r="R1911">
        <v>97</v>
      </c>
      <c r="S1911">
        <v>118.3</v>
      </c>
      <c r="U1911" s="3"/>
      <c r="V1911" s="3"/>
      <c r="W1911" s="3"/>
    </row>
    <row r="1912" spans="1:23">
      <c r="A1912" t="s">
        <v>4006</v>
      </c>
      <c r="B1912" t="s">
        <v>458</v>
      </c>
      <c r="C1912" t="s">
        <v>50</v>
      </c>
      <c r="D1912" t="s">
        <v>4007</v>
      </c>
      <c r="E1912" t="s">
        <v>4008</v>
      </c>
      <c r="F1912" s="2">
        <v>45066</v>
      </c>
      <c r="G1912" t="s">
        <v>117</v>
      </c>
      <c r="H1912" t="s">
        <v>24</v>
      </c>
      <c r="I1912" t="s">
        <v>33</v>
      </c>
      <c r="J1912" t="s">
        <v>663</v>
      </c>
      <c r="K1912" t="s">
        <v>110</v>
      </c>
      <c r="L1912">
        <v>9442.75</v>
      </c>
      <c r="M1912">
        <v>8388.44</v>
      </c>
      <c r="N1912" t="s">
        <v>192</v>
      </c>
      <c r="O1912" t="s">
        <v>343</v>
      </c>
      <c r="P1912">
        <v>90</v>
      </c>
      <c r="Q1912">
        <v>5</v>
      </c>
      <c r="R1912">
        <v>172</v>
      </c>
      <c r="S1912">
        <v>127.1</v>
      </c>
      <c r="T1912" t="s">
        <v>37</v>
      </c>
      <c r="U1912" s="3"/>
      <c r="V1912" s="3"/>
      <c r="W1912" s="3"/>
    </row>
    <row r="1913" spans="1:23">
      <c r="A1913" t="s">
        <v>4009</v>
      </c>
      <c r="B1913" t="s">
        <v>295</v>
      </c>
      <c r="D1913" s="2">
        <v>39023</v>
      </c>
      <c r="E1913" s="2">
        <v>45863</v>
      </c>
      <c r="F1913" t="s">
        <v>4010</v>
      </c>
      <c r="G1913" t="s">
        <v>43</v>
      </c>
      <c r="H1913" t="s">
        <v>32</v>
      </c>
      <c r="I1913" t="s">
        <v>119</v>
      </c>
      <c r="J1913" t="s">
        <v>97</v>
      </c>
      <c r="L1913">
        <v>212095.37</v>
      </c>
      <c r="M1913">
        <v>142287.18</v>
      </c>
      <c r="O1913">
        <v>13</v>
      </c>
      <c r="P1913">
        <v>8</v>
      </c>
      <c r="Q1913">
        <v>4</v>
      </c>
      <c r="R1913">
        <v>103</v>
      </c>
      <c r="S1913">
        <v>229.2</v>
      </c>
      <c r="T1913" t="s">
        <v>65</v>
      </c>
      <c r="U1913" s="3"/>
      <c r="V1913" s="3"/>
      <c r="W1913" s="3"/>
    </row>
    <row r="1914" spans="1:23">
      <c r="A1914" t="s">
        <v>4011</v>
      </c>
      <c r="B1914" t="s">
        <v>572</v>
      </c>
      <c r="C1914" t="s">
        <v>30</v>
      </c>
      <c r="D1914" s="2">
        <v>23530</v>
      </c>
      <c r="E1914" s="2">
        <v>45790</v>
      </c>
      <c r="G1914" t="s">
        <v>161</v>
      </c>
      <c r="H1914" t="s">
        <v>118</v>
      </c>
      <c r="I1914" t="s">
        <v>53</v>
      </c>
      <c r="J1914" t="s">
        <v>54</v>
      </c>
      <c r="K1914" t="s">
        <v>120</v>
      </c>
      <c r="L1914">
        <v>116231.4</v>
      </c>
      <c r="M1914">
        <v>91045.37</v>
      </c>
      <c r="N1914" t="s">
        <v>35</v>
      </c>
      <c r="O1914">
        <v>17</v>
      </c>
      <c r="P1914">
        <v>57</v>
      </c>
      <c r="Q1914">
        <v>4</v>
      </c>
      <c r="R1914">
        <v>135</v>
      </c>
      <c r="S1914">
        <v>104.2</v>
      </c>
      <c r="T1914" t="s">
        <v>37</v>
      </c>
      <c r="U1914" s="3"/>
      <c r="V1914" s="3"/>
      <c r="W1914" s="3"/>
    </row>
    <row r="1915" spans="1:23">
      <c r="A1915" t="s">
        <v>4012</v>
      </c>
      <c r="B1915" t="s">
        <v>363</v>
      </c>
      <c r="C1915" t="s">
        <v>100</v>
      </c>
      <c r="D1915" s="2">
        <v>26263</v>
      </c>
      <c r="E1915" s="2">
        <v>45459</v>
      </c>
      <c r="F1915" s="2">
        <v>45464</v>
      </c>
      <c r="H1915" t="s">
        <v>207</v>
      </c>
      <c r="I1915" t="s">
        <v>33</v>
      </c>
      <c r="J1915" t="s">
        <v>64</v>
      </c>
      <c r="K1915" t="s">
        <v>110</v>
      </c>
      <c r="L1915">
        <v>34182.800000000003</v>
      </c>
      <c r="M1915">
        <v>30553.73</v>
      </c>
      <c r="N1915" t="s">
        <v>35</v>
      </c>
      <c r="O1915">
        <v>5</v>
      </c>
      <c r="P1915">
        <v>222</v>
      </c>
      <c r="Q1915">
        <v>3</v>
      </c>
      <c r="R1915">
        <v>172</v>
      </c>
      <c r="S1915">
        <v>189.3</v>
      </c>
      <c r="T1915" t="s">
        <v>37</v>
      </c>
      <c r="U1915" s="3"/>
      <c r="V1915" s="3"/>
      <c r="W1915" s="3"/>
    </row>
    <row r="1916" spans="1:23">
      <c r="A1916" t="s">
        <v>4013</v>
      </c>
      <c r="B1916" t="s">
        <v>324</v>
      </c>
      <c r="C1916" t="s">
        <v>50</v>
      </c>
      <c r="D1916" s="2">
        <v>23471</v>
      </c>
      <c r="E1916" s="2">
        <v>45085</v>
      </c>
      <c r="F1916" s="2">
        <v>45096</v>
      </c>
      <c r="G1916" t="s">
        <v>31</v>
      </c>
      <c r="H1916" t="s">
        <v>95</v>
      </c>
      <c r="I1916" t="s">
        <v>45</v>
      </c>
      <c r="J1916" t="s">
        <v>46</v>
      </c>
      <c r="K1916" t="s">
        <v>161</v>
      </c>
      <c r="L1916">
        <v>212908.01</v>
      </c>
      <c r="M1916">
        <v>209773.33</v>
      </c>
      <c r="N1916" t="s">
        <v>73</v>
      </c>
      <c r="O1916">
        <v>11</v>
      </c>
      <c r="P1916">
        <v>194</v>
      </c>
      <c r="R1916">
        <v>148</v>
      </c>
      <c r="S1916">
        <v>134.5</v>
      </c>
      <c r="U1916" s="3"/>
      <c r="V1916" s="3"/>
      <c r="W1916" s="3"/>
    </row>
    <row r="1917" spans="1:23">
      <c r="A1917" t="s">
        <v>4014</v>
      </c>
      <c r="B1917" t="s">
        <v>251</v>
      </c>
      <c r="C1917" t="s">
        <v>50</v>
      </c>
      <c r="D1917" t="s">
        <v>4015</v>
      </c>
      <c r="E1917" s="2">
        <v>45056</v>
      </c>
      <c r="F1917" s="2">
        <v>45069</v>
      </c>
      <c r="G1917" t="s">
        <v>141</v>
      </c>
      <c r="H1917" t="s">
        <v>118</v>
      </c>
      <c r="I1917" t="s">
        <v>45</v>
      </c>
      <c r="J1917" t="s">
        <v>179</v>
      </c>
      <c r="K1917" t="s">
        <v>286</v>
      </c>
      <c r="L1917">
        <v>53854.25</v>
      </c>
      <c r="M1917">
        <v>40298.86</v>
      </c>
      <c r="O1917">
        <v>13</v>
      </c>
      <c r="P1917">
        <v>116</v>
      </c>
      <c r="R1917">
        <v>181</v>
      </c>
      <c r="S1917">
        <v>218.5</v>
      </c>
      <c r="T1917" t="s">
        <v>37</v>
      </c>
      <c r="U1917" s="3"/>
      <c r="V1917" s="3"/>
      <c r="W1917" s="3"/>
    </row>
    <row r="1918" spans="1:23">
      <c r="A1918" t="s">
        <v>4016</v>
      </c>
      <c r="B1918" t="s">
        <v>524</v>
      </c>
      <c r="C1918" t="s">
        <v>60</v>
      </c>
      <c r="D1918" s="2">
        <v>40333</v>
      </c>
      <c r="E1918" s="2">
        <v>45292</v>
      </c>
      <c r="F1918" t="s">
        <v>4017</v>
      </c>
      <c r="G1918" t="s">
        <v>94</v>
      </c>
      <c r="H1918" t="s">
        <v>153</v>
      </c>
      <c r="I1918" t="s">
        <v>45</v>
      </c>
      <c r="J1918" t="s">
        <v>71</v>
      </c>
      <c r="K1918" t="s">
        <v>72</v>
      </c>
      <c r="L1918">
        <v>6266.17</v>
      </c>
      <c r="M1918">
        <v>3852.93</v>
      </c>
      <c r="N1918" t="s">
        <v>73</v>
      </c>
      <c r="O1918">
        <v>4</v>
      </c>
      <c r="P1918" t="s">
        <v>582</v>
      </c>
      <c r="Q1918">
        <v>2</v>
      </c>
      <c r="R1918">
        <v>165</v>
      </c>
      <c r="S1918">
        <v>241.3</v>
      </c>
      <c r="T1918" t="s">
        <v>65</v>
      </c>
      <c r="U1918" s="3"/>
      <c r="V1918" s="3"/>
      <c r="W1918" s="3"/>
    </row>
    <row r="1919" spans="1:23">
      <c r="A1919" t="s">
        <v>4018</v>
      </c>
      <c r="B1919" t="s">
        <v>511</v>
      </c>
      <c r="C1919" t="s">
        <v>40</v>
      </c>
      <c r="D1919" t="s">
        <v>4019</v>
      </c>
      <c r="E1919" s="2">
        <v>45394</v>
      </c>
      <c r="F1919" t="s">
        <v>4020</v>
      </c>
      <c r="G1919" t="s">
        <v>31</v>
      </c>
      <c r="H1919" t="s">
        <v>32</v>
      </c>
      <c r="I1919" t="s">
        <v>96</v>
      </c>
      <c r="J1919" t="s">
        <v>26</v>
      </c>
      <c r="K1919" t="s">
        <v>110</v>
      </c>
      <c r="L1919">
        <v>158935.01999999999</v>
      </c>
      <c r="M1919">
        <v>121128.16</v>
      </c>
      <c r="N1919" t="s">
        <v>192</v>
      </c>
      <c r="O1919">
        <v>10</v>
      </c>
      <c r="P1919">
        <v>93</v>
      </c>
      <c r="Q1919">
        <v>3</v>
      </c>
      <c r="R1919">
        <v>116</v>
      </c>
      <c r="S1919">
        <v>258.89999999999998</v>
      </c>
      <c r="T1919" t="s">
        <v>37</v>
      </c>
      <c r="U1919" s="3"/>
      <c r="V1919" s="3"/>
      <c r="W1919" s="3"/>
    </row>
    <row r="1920" spans="1:23">
      <c r="A1920" t="s">
        <v>4021</v>
      </c>
      <c r="B1920" t="s">
        <v>932</v>
      </c>
      <c r="C1920" t="s">
        <v>50</v>
      </c>
      <c r="D1920" s="2">
        <v>39504</v>
      </c>
      <c r="E1920" s="2">
        <v>45851</v>
      </c>
      <c r="F1920" s="2">
        <v>45857</v>
      </c>
      <c r="G1920" t="s">
        <v>161</v>
      </c>
      <c r="H1920" t="s">
        <v>52</v>
      </c>
      <c r="I1920" t="s">
        <v>119</v>
      </c>
      <c r="J1920" t="s">
        <v>97</v>
      </c>
      <c r="K1920" t="s">
        <v>55</v>
      </c>
      <c r="L1920">
        <v>239746.55</v>
      </c>
      <c r="M1920">
        <v>161506.89000000001</v>
      </c>
      <c r="N1920" t="s">
        <v>91</v>
      </c>
      <c r="O1920">
        <v>6</v>
      </c>
      <c r="P1920">
        <v>197</v>
      </c>
      <c r="Q1920">
        <v>1</v>
      </c>
      <c r="R1920">
        <v>168</v>
      </c>
      <c r="S1920">
        <v>246.9</v>
      </c>
      <c r="T1920" t="s">
        <v>57</v>
      </c>
      <c r="U1920" s="3"/>
      <c r="V1920" s="3"/>
      <c r="W1920" s="3"/>
    </row>
    <row r="1921" spans="1:23">
      <c r="A1921" t="s">
        <v>4022</v>
      </c>
      <c r="B1921" t="s">
        <v>556</v>
      </c>
      <c r="C1921" t="s">
        <v>133</v>
      </c>
      <c r="D1921" t="s">
        <v>4023</v>
      </c>
      <c r="E1921" s="2">
        <v>45161</v>
      </c>
      <c r="F1921" s="2">
        <v>45162</v>
      </c>
      <c r="G1921" t="s">
        <v>70</v>
      </c>
      <c r="H1921" t="s">
        <v>44</v>
      </c>
      <c r="I1921" t="s">
        <v>79</v>
      </c>
      <c r="J1921" t="s">
        <v>179</v>
      </c>
      <c r="K1921" t="s">
        <v>55</v>
      </c>
      <c r="L1921">
        <v>14392.53</v>
      </c>
      <c r="M1921">
        <v>10877.61</v>
      </c>
      <c r="N1921" t="s">
        <v>192</v>
      </c>
      <c r="O1921">
        <v>1</v>
      </c>
      <c r="P1921">
        <v>16</v>
      </c>
      <c r="Q1921">
        <v>5</v>
      </c>
      <c r="R1921">
        <v>164</v>
      </c>
      <c r="S1921">
        <v>134.69999999999999</v>
      </c>
      <c r="T1921" t="s">
        <v>37</v>
      </c>
      <c r="U1921" s="3"/>
      <c r="V1921" s="3"/>
      <c r="W1921" s="3"/>
    </row>
    <row r="1922" spans="1:23">
      <c r="A1922" t="s">
        <v>4024</v>
      </c>
      <c r="B1922" t="s">
        <v>76</v>
      </c>
      <c r="D1922" s="2">
        <v>39165</v>
      </c>
      <c r="E1922" s="2">
        <v>44943</v>
      </c>
      <c r="F1922" s="2">
        <v>44949</v>
      </c>
      <c r="G1922" t="s">
        <v>94</v>
      </c>
      <c r="H1922" t="s">
        <v>124</v>
      </c>
      <c r="I1922" t="s">
        <v>96</v>
      </c>
      <c r="J1922" t="s">
        <v>71</v>
      </c>
      <c r="K1922" t="s">
        <v>72</v>
      </c>
      <c r="L1922">
        <v>133379.16</v>
      </c>
      <c r="M1922">
        <v>115247.07</v>
      </c>
      <c r="N1922" t="s">
        <v>192</v>
      </c>
      <c r="O1922">
        <v>6</v>
      </c>
      <c r="P1922">
        <v>10</v>
      </c>
      <c r="R1922">
        <v>188</v>
      </c>
      <c r="S1922">
        <v>259.5</v>
      </c>
      <c r="T1922" t="s">
        <v>37</v>
      </c>
      <c r="U1922" s="3"/>
      <c r="V1922" s="3"/>
      <c r="W1922" s="3"/>
    </row>
    <row r="1923" spans="1:23">
      <c r="A1923" t="s">
        <v>4025</v>
      </c>
      <c r="B1923" t="s">
        <v>527</v>
      </c>
      <c r="C1923" t="s">
        <v>40</v>
      </c>
      <c r="D1923" t="s">
        <v>4026</v>
      </c>
      <c r="E1923" s="2">
        <v>45532</v>
      </c>
      <c r="F1923" t="s">
        <v>4027</v>
      </c>
      <c r="G1923" t="s">
        <v>109</v>
      </c>
      <c r="H1923" t="s">
        <v>32</v>
      </c>
      <c r="I1923" t="s">
        <v>96</v>
      </c>
      <c r="K1923" t="s">
        <v>120</v>
      </c>
      <c r="L1923">
        <v>176590.03</v>
      </c>
      <c r="M1923">
        <v>173895.3</v>
      </c>
      <c r="O1923">
        <v>11</v>
      </c>
      <c r="P1923">
        <v>108</v>
      </c>
      <c r="Q1923">
        <v>1</v>
      </c>
      <c r="R1923">
        <v>183</v>
      </c>
      <c r="S1923">
        <v>166.8</v>
      </c>
      <c r="U1923" s="3"/>
      <c r="V1923" s="3"/>
      <c r="W1923" s="3"/>
    </row>
    <row r="1924" spans="1:23">
      <c r="A1924" t="s">
        <v>4028</v>
      </c>
      <c r="B1924" t="s">
        <v>1464</v>
      </c>
      <c r="C1924" t="s">
        <v>22</v>
      </c>
      <c r="D1924" s="2">
        <v>30493</v>
      </c>
      <c r="E1924" s="2">
        <v>45736</v>
      </c>
      <c r="F1924" s="2">
        <v>45746</v>
      </c>
      <c r="G1924" t="s">
        <v>105</v>
      </c>
      <c r="H1924" t="s">
        <v>52</v>
      </c>
      <c r="I1924" t="s">
        <v>96</v>
      </c>
      <c r="J1924" t="s">
        <v>97</v>
      </c>
      <c r="L1924">
        <v>31718.2</v>
      </c>
      <c r="M1924">
        <v>26612.86</v>
      </c>
      <c r="N1924" t="s">
        <v>35</v>
      </c>
      <c r="O1924">
        <v>10</v>
      </c>
      <c r="P1924">
        <v>163</v>
      </c>
      <c r="Q1924">
        <v>2</v>
      </c>
      <c r="R1924">
        <v>122</v>
      </c>
      <c r="S1924">
        <v>95.2</v>
      </c>
      <c r="U1924" s="3"/>
      <c r="V1924" s="3"/>
      <c r="W1924" s="3"/>
    </row>
    <row r="1925" spans="1:23">
      <c r="A1925" t="s">
        <v>4029</v>
      </c>
      <c r="B1925" t="s">
        <v>624</v>
      </c>
      <c r="D1925" s="2">
        <v>26459</v>
      </c>
      <c r="E1925" s="2">
        <v>45678</v>
      </c>
      <c r="F1925" s="2">
        <v>45683</v>
      </c>
      <c r="G1925" t="s">
        <v>31</v>
      </c>
      <c r="I1925" t="s">
        <v>33</v>
      </c>
      <c r="J1925" t="s">
        <v>80</v>
      </c>
      <c r="K1925" t="s">
        <v>55</v>
      </c>
      <c r="L1925">
        <v>111768.91</v>
      </c>
      <c r="M1925">
        <v>105870.89</v>
      </c>
      <c r="N1925" t="s">
        <v>91</v>
      </c>
      <c r="O1925">
        <v>5</v>
      </c>
      <c r="P1925">
        <v>208</v>
      </c>
      <c r="R1925">
        <v>146</v>
      </c>
      <c r="S1925">
        <v>191.3</v>
      </c>
      <c r="U1925" s="3"/>
      <c r="V1925" s="3"/>
      <c r="W1925" s="3"/>
    </row>
    <row r="1926" spans="1:23">
      <c r="A1926" t="s">
        <v>4030</v>
      </c>
      <c r="B1926" t="s">
        <v>673</v>
      </c>
      <c r="C1926" t="s">
        <v>206</v>
      </c>
      <c r="D1926" s="2">
        <v>26042</v>
      </c>
      <c r="E1926" s="2">
        <v>45164</v>
      </c>
      <c r="F1926" s="2">
        <v>45167</v>
      </c>
      <c r="G1926" t="s">
        <v>70</v>
      </c>
      <c r="H1926" t="s">
        <v>376</v>
      </c>
      <c r="I1926" t="s">
        <v>45</v>
      </c>
      <c r="J1926" t="s">
        <v>186</v>
      </c>
      <c r="K1926" t="s">
        <v>55</v>
      </c>
      <c r="L1926">
        <v>233325.06</v>
      </c>
      <c r="N1926" t="s">
        <v>73</v>
      </c>
      <c r="O1926">
        <v>3</v>
      </c>
      <c r="P1926">
        <v>149</v>
      </c>
      <c r="Q1926">
        <v>2</v>
      </c>
      <c r="R1926">
        <v>155</v>
      </c>
      <c r="S1926">
        <v>229.7</v>
      </c>
      <c r="T1926" t="s">
        <v>47</v>
      </c>
      <c r="U1926" s="3"/>
      <c r="V1926" s="3"/>
      <c r="W1926" s="3"/>
    </row>
    <row r="1927" spans="1:23">
      <c r="A1927" t="s">
        <v>4031</v>
      </c>
      <c r="B1927" t="s">
        <v>4032</v>
      </c>
      <c r="C1927" t="s">
        <v>30</v>
      </c>
      <c r="D1927" s="2">
        <v>21414</v>
      </c>
      <c r="E1927" s="2">
        <v>45610</v>
      </c>
      <c r="F1927" s="2">
        <v>45623</v>
      </c>
      <c r="G1927" t="s">
        <v>141</v>
      </c>
      <c r="H1927" t="s">
        <v>134</v>
      </c>
      <c r="I1927" t="s">
        <v>53</v>
      </c>
      <c r="J1927" t="s">
        <v>26</v>
      </c>
      <c r="K1927" t="s">
        <v>161</v>
      </c>
      <c r="L1927">
        <v>118696.07</v>
      </c>
      <c r="M1927">
        <v>93431.89</v>
      </c>
      <c r="N1927" t="s">
        <v>73</v>
      </c>
      <c r="O1927" t="s">
        <v>580</v>
      </c>
      <c r="P1927">
        <v>46</v>
      </c>
      <c r="R1927">
        <v>181</v>
      </c>
      <c r="S1927">
        <v>103.7</v>
      </c>
      <c r="T1927" t="s">
        <v>47</v>
      </c>
      <c r="U1927" s="3"/>
      <c r="V1927" s="3"/>
      <c r="W1927" s="3"/>
    </row>
    <row r="1928" spans="1:23">
      <c r="A1928" t="s">
        <v>4033</v>
      </c>
      <c r="B1928" t="s">
        <v>1167</v>
      </c>
      <c r="C1928" t="s">
        <v>816</v>
      </c>
      <c r="D1928" s="2">
        <v>24312</v>
      </c>
      <c r="E1928" s="2">
        <v>45362</v>
      </c>
      <c r="F1928" s="2">
        <v>45370</v>
      </c>
      <c r="G1928" t="s">
        <v>105</v>
      </c>
      <c r="H1928" t="s">
        <v>63</v>
      </c>
      <c r="I1928" t="s">
        <v>96</v>
      </c>
      <c r="J1928" t="s">
        <v>46</v>
      </c>
      <c r="K1928" t="s">
        <v>120</v>
      </c>
      <c r="L1928" t="s">
        <v>4034</v>
      </c>
      <c r="M1928">
        <v>147823.38</v>
      </c>
      <c r="N1928" t="s">
        <v>56</v>
      </c>
      <c r="O1928">
        <v>8</v>
      </c>
      <c r="P1928">
        <v>41</v>
      </c>
      <c r="Q1928">
        <v>3</v>
      </c>
      <c r="R1928">
        <v>99</v>
      </c>
      <c r="S1928">
        <v>242.4</v>
      </c>
      <c r="U1928" s="3"/>
      <c r="V1928" s="3"/>
      <c r="W1928" s="3"/>
    </row>
    <row r="1929" spans="1:23">
      <c r="A1929" t="s">
        <v>4035</v>
      </c>
      <c r="B1929" t="s">
        <v>1044</v>
      </c>
      <c r="C1929" t="s">
        <v>60</v>
      </c>
      <c r="D1929" s="2">
        <v>33302</v>
      </c>
      <c r="E1929" s="2">
        <v>45008</v>
      </c>
      <c r="F1929" s="2">
        <v>45014</v>
      </c>
      <c r="G1929" t="s">
        <v>109</v>
      </c>
      <c r="H1929" t="s">
        <v>52</v>
      </c>
      <c r="J1929" t="s">
        <v>34</v>
      </c>
      <c r="K1929" t="s">
        <v>110</v>
      </c>
      <c r="N1929" t="s">
        <v>192</v>
      </c>
      <c r="O1929">
        <v>6</v>
      </c>
      <c r="P1929">
        <v>214</v>
      </c>
      <c r="Q1929">
        <v>4</v>
      </c>
      <c r="R1929">
        <v>157</v>
      </c>
      <c r="S1929">
        <v>108.3</v>
      </c>
      <c r="T1929" t="s">
        <v>37</v>
      </c>
      <c r="U1929" s="3"/>
      <c r="V1929" s="3"/>
      <c r="W1929" s="3"/>
    </row>
    <row r="1930" spans="1:23">
      <c r="A1930" t="s">
        <v>4036</v>
      </c>
      <c r="B1930" t="s">
        <v>622</v>
      </c>
      <c r="C1930" t="s">
        <v>22</v>
      </c>
      <c r="D1930" t="s">
        <v>4037</v>
      </c>
      <c r="E1930" t="s">
        <v>3291</v>
      </c>
      <c r="F1930" t="s">
        <v>4038</v>
      </c>
      <c r="G1930" t="s">
        <v>117</v>
      </c>
      <c r="H1930" t="s">
        <v>63</v>
      </c>
      <c r="I1930" t="s">
        <v>25</v>
      </c>
      <c r="J1930" t="s">
        <v>26</v>
      </c>
      <c r="K1930" t="s">
        <v>161</v>
      </c>
      <c r="L1930">
        <v>37427.279999999999</v>
      </c>
      <c r="M1930">
        <v>30288.89</v>
      </c>
      <c r="N1930" t="s">
        <v>91</v>
      </c>
      <c r="O1930">
        <v>12</v>
      </c>
      <c r="P1930" t="s">
        <v>4039</v>
      </c>
      <c r="Q1930">
        <v>4</v>
      </c>
      <c r="R1930">
        <v>96</v>
      </c>
      <c r="S1930">
        <v>92.5</v>
      </c>
      <c r="T1930" t="s">
        <v>65</v>
      </c>
      <c r="U1930" s="3"/>
      <c r="V1930" s="3"/>
      <c r="W1930" s="3"/>
    </row>
    <row r="1931" spans="1:23">
      <c r="A1931" t="s">
        <v>4040</v>
      </c>
      <c r="B1931" t="s">
        <v>1302</v>
      </c>
      <c r="C1931" t="s">
        <v>133</v>
      </c>
      <c r="D1931" s="2">
        <v>23318</v>
      </c>
      <c r="E1931" t="s">
        <v>4041</v>
      </c>
      <c r="F1931" s="2">
        <v>45492</v>
      </c>
      <c r="G1931" t="s">
        <v>161</v>
      </c>
      <c r="H1931" t="s">
        <v>52</v>
      </c>
      <c r="I1931" t="s">
        <v>96</v>
      </c>
      <c r="J1931" t="s">
        <v>46</v>
      </c>
      <c r="K1931" t="s">
        <v>120</v>
      </c>
      <c r="L1931">
        <v>238238.98</v>
      </c>
      <c r="M1931">
        <v>171749.92</v>
      </c>
      <c r="N1931" t="s">
        <v>192</v>
      </c>
      <c r="O1931">
        <v>17</v>
      </c>
      <c r="P1931">
        <v>9</v>
      </c>
      <c r="Q1931">
        <v>5</v>
      </c>
      <c r="R1931">
        <v>137</v>
      </c>
      <c r="S1931">
        <v>130.9</v>
      </c>
      <c r="T1931" t="s">
        <v>47</v>
      </c>
      <c r="U1931" s="3"/>
      <c r="V1931" s="3"/>
      <c r="W1931" s="3"/>
    </row>
    <row r="1932" spans="1:23">
      <c r="A1932" t="s">
        <v>4042</v>
      </c>
      <c r="B1932" t="s">
        <v>1125</v>
      </c>
      <c r="C1932" t="s">
        <v>30</v>
      </c>
      <c r="D1932" s="2">
        <v>37539</v>
      </c>
      <c r="E1932" s="2">
        <v>45679</v>
      </c>
      <c r="F1932" s="2">
        <v>45680</v>
      </c>
      <c r="G1932" t="s">
        <v>89</v>
      </c>
      <c r="I1932" t="s">
        <v>45</v>
      </c>
      <c r="J1932" t="s">
        <v>34</v>
      </c>
      <c r="K1932" t="s">
        <v>110</v>
      </c>
      <c r="L1932">
        <v>15811.03</v>
      </c>
      <c r="M1932">
        <v>11773.51</v>
      </c>
      <c r="N1932" t="s">
        <v>1048</v>
      </c>
      <c r="O1932">
        <v>1</v>
      </c>
      <c r="P1932">
        <v>148</v>
      </c>
      <c r="S1932">
        <v>218.5</v>
      </c>
      <c r="T1932" t="s">
        <v>37</v>
      </c>
      <c r="U1932" s="3"/>
      <c r="V1932" s="3"/>
      <c r="W1932" s="3"/>
    </row>
    <row r="1933" spans="1:23">
      <c r="A1933" t="s">
        <v>4043</v>
      </c>
      <c r="B1933" t="s">
        <v>833</v>
      </c>
      <c r="C1933" t="s">
        <v>50</v>
      </c>
      <c r="D1933" t="s">
        <v>4044</v>
      </c>
      <c r="E1933" s="2">
        <v>46012</v>
      </c>
      <c r="F1933" s="2">
        <v>46024</v>
      </c>
      <c r="G1933" t="s">
        <v>109</v>
      </c>
      <c r="H1933" t="s">
        <v>153</v>
      </c>
      <c r="J1933" t="s">
        <v>179</v>
      </c>
      <c r="K1933" t="s">
        <v>27</v>
      </c>
      <c r="L1933">
        <v>80217.64</v>
      </c>
      <c r="M1933">
        <v>52051.96</v>
      </c>
      <c r="N1933" t="s">
        <v>192</v>
      </c>
      <c r="O1933">
        <v>12</v>
      </c>
      <c r="Q1933">
        <v>2</v>
      </c>
      <c r="R1933">
        <v>122</v>
      </c>
      <c r="S1933">
        <v>234.9</v>
      </c>
      <c r="T1933" t="s">
        <v>37</v>
      </c>
      <c r="U1933" s="3"/>
      <c r="V1933" s="3"/>
      <c r="W1933" s="3"/>
    </row>
    <row r="1934" spans="1:23">
      <c r="A1934" t="s">
        <v>4045</v>
      </c>
      <c r="B1934" t="s">
        <v>1658</v>
      </c>
      <c r="C1934" t="s">
        <v>60</v>
      </c>
      <c r="D1934" s="2">
        <v>33521</v>
      </c>
      <c r="E1934" s="2">
        <v>44936</v>
      </c>
      <c r="F1934" s="2">
        <v>44951</v>
      </c>
      <c r="G1934" t="s">
        <v>94</v>
      </c>
      <c r="H1934" t="s">
        <v>118</v>
      </c>
      <c r="J1934" t="s">
        <v>34</v>
      </c>
      <c r="K1934" t="s">
        <v>55</v>
      </c>
      <c r="L1934">
        <v>184211.38</v>
      </c>
      <c r="M1934">
        <v>158071.16</v>
      </c>
      <c r="N1934" t="s">
        <v>467</v>
      </c>
      <c r="O1934">
        <v>15</v>
      </c>
      <c r="P1934">
        <v>17</v>
      </c>
      <c r="Q1934">
        <v>5</v>
      </c>
      <c r="R1934">
        <v>155</v>
      </c>
      <c r="S1934">
        <v>140.19999999999999</v>
      </c>
      <c r="T1934" t="s">
        <v>37</v>
      </c>
      <c r="U1934" s="3"/>
      <c r="V1934" s="3"/>
      <c r="W1934" s="3"/>
    </row>
    <row r="1935" spans="1:23">
      <c r="A1935" t="s">
        <v>4046</v>
      </c>
      <c r="B1935" t="s">
        <v>93</v>
      </c>
      <c r="C1935" t="s">
        <v>40</v>
      </c>
      <c r="D1935" t="s">
        <v>4047</v>
      </c>
      <c r="E1935" s="2">
        <v>45976</v>
      </c>
      <c r="F1935" s="2">
        <v>45993</v>
      </c>
      <c r="H1935" t="s">
        <v>118</v>
      </c>
      <c r="I1935" t="s">
        <v>119</v>
      </c>
      <c r="J1935" t="s">
        <v>26</v>
      </c>
      <c r="L1935">
        <v>82509.039999999994</v>
      </c>
      <c r="M1935">
        <v>69209.789999999994</v>
      </c>
      <c r="N1935" t="s">
        <v>91</v>
      </c>
      <c r="O1935">
        <v>17</v>
      </c>
      <c r="P1935">
        <v>217</v>
      </c>
      <c r="Q1935">
        <v>3</v>
      </c>
      <c r="R1935">
        <v>107</v>
      </c>
      <c r="S1935">
        <v>182.4</v>
      </c>
      <c r="U1935" s="3"/>
      <c r="V1935" s="3"/>
      <c r="W1935" s="3"/>
    </row>
    <row r="1936" spans="1:23">
      <c r="A1936" t="s">
        <v>4048</v>
      </c>
      <c r="B1936" t="s">
        <v>877</v>
      </c>
      <c r="C1936" t="s">
        <v>156</v>
      </c>
      <c r="D1936" t="s">
        <v>4049</v>
      </c>
      <c r="E1936" s="2">
        <v>45561</v>
      </c>
      <c r="F1936" s="2">
        <v>45577</v>
      </c>
      <c r="G1936" t="s">
        <v>117</v>
      </c>
      <c r="H1936" t="s">
        <v>52</v>
      </c>
      <c r="I1936" t="s">
        <v>96</v>
      </c>
      <c r="J1936" t="s">
        <v>26</v>
      </c>
      <c r="K1936" t="s">
        <v>110</v>
      </c>
      <c r="L1936">
        <v>226185.29</v>
      </c>
      <c r="M1936">
        <v>191917.85</v>
      </c>
      <c r="N1936" t="s">
        <v>56</v>
      </c>
      <c r="O1936">
        <v>16</v>
      </c>
      <c r="P1936">
        <v>152</v>
      </c>
      <c r="Q1936">
        <v>3</v>
      </c>
      <c r="R1936">
        <v>188</v>
      </c>
      <c r="S1936">
        <v>251.4</v>
      </c>
      <c r="T1936" t="s">
        <v>37</v>
      </c>
      <c r="U1936" s="3"/>
      <c r="V1936" s="3"/>
      <c r="W1936" s="3"/>
    </row>
    <row r="1937" spans="1:23">
      <c r="A1937" t="s">
        <v>4050</v>
      </c>
      <c r="B1937" t="s">
        <v>455</v>
      </c>
      <c r="C1937" t="s">
        <v>30</v>
      </c>
      <c r="D1937" s="2">
        <v>36025</v>
      </c>
      <c r="E1937" s="2">
        <v>45630</v>
      </c>
      <c r="F1937" s="2">
        <v>45644</v>
      </c>
      <c r="G1937" t="s">
        <v>77</v>
      </c>
      <c r="H1937" t="s">
        <v>52</v>
      </c>
      <c r="I1937" t="s">
        <v>79</v>
      </c>
      <c r="J1937" t="s">
        <v>71</v>
      </c>
      <c r="K1937" t="s">
        <v>401</v>
      </c>
      <c r="L1937">
        <v>61046.93</v>
      </c>
      <c r="M1937">
        <v>54693</v>
      </c>
      <c r="N1937" t="s">
        <v>73</v>
      </c>
      <c r="O1937">
        <v>14</v>
      </c>
      <c r="P1937">
        <v>185</v>
      </c>
      <c r="Q1937">
        <v>2</v>
      </c>
      <c r="R1937">
        <v>102</v>
      </c>
      <c r="S1937">
        <v>251.9</v>
      </c>
      <c r="T1937" t="s">
        <v>37</v>
      </c>
      <c r="U1937" s="3"/>
      <c r="V1937" s="3"/>
      <c r="W1937" s="3"/>
    </row>
    <row r="1938" spans="1:23">
      <c r="A1938" t="s">
        <v>4051</v>
      </c>
      <c r="B1938" t="s">
        <v>553</v>
      </c>
      <c r="C1938" t="s">
        <v>100</v>
      </c>
      <c r="D1938" s="2">
        <v>22435</v>
      </c>
      <c r="E1938" t="s">
        <v>4052</v>
      </c>
      <c r="F1938" t="s">
        <v>4053</v>
      </c>
      <c r="G1938" t="s">
        <v>152</v>
      </c>
      <c r="H1938" t="s">
        <v>124</v>
      </c>
      <c r="I1938" t="s">
        <v>45</v>
      </c>
      <c r="J1938" t="s">
        <v>26</v>
      </c>
      <c r="K1938" t="s">
        <v>55</v>
      </c>
      <c r="L1938">
        <v>196774.38</v>
      </c>
      <c r="M1938">
        <v>159402.18</v>
      </c>
      <c r="N1938" t="s">
        <v>192</v>
      </c>
      <c r="O1938">
        <v>4</v>
      </c>
      <c r="P1938">
        <v>22</v>
      </c>
      <c r="Q1938">
        <v>5</v>
      </c>
      <c r="R1938">
        <v>99</v>
      </c>
      <c r="S1938">
        <v>80.099999999999994</v>
      </c>
      <c r="T1938" t="s">
        <v>37</v>
      </c>
      <c r="U1938" s="3"/>
      <c r="V1938" s="3"/>
      <c r="W1938" s="3"/>
    </row>
    <row r="1939" spans="1:23">
      <c r="A1939" t="s">
        <v>4054</v>
      </c>
      <c r="B1939" t="s">
        <v>829</v>
      </c>
      <c r="C1939" t="s">
        <v>22</v>
      </c>
      <c r="D1939" s="2">
        <v>38783</v>
      </c>
      <c r="E1939" s="2">
        <v>45952</v>
      </c>
      <c r="F1939" s="2">
        <v>45954</v>
      </c>
      <c r="G1939" t="s">
        <v>161</v>
      </c>
      <c r="H1939" t="s">
        <v>124</v>
      </c>
      <c r="I1939" t="s">
        <v>96</v>
      </c>
      <c r="J1939" t="s">
        <v>46</v>
      </c>
      <c r="K1939" t="s">
        <v>55</v>
      </c>
      <c r="L1939">
        <v>201407.47</v>
      </c>
      <c r="M1939">
        <v>135267.38</v>
      </c>
      <c r="O1939">
        <v>2</v>
      </c>
      <c r="P1939">
        <v>224</v>
      </c>
      <c r="R1939">
        <v>185</v>
      </c>
      <c r="S1939">
        <v>71.7</v>
      </c>
      <c r="T1939" t="s">
        <v>37</v>
      </c>
      <c r="U1939" s="3"/>
      <c r="V1939" s="3"/>
      <c r="W1939" s="3"/>
    </row>
    <row r="1940" spans="1:23">
      <c r="A1940" t="s">
        <v>4055</v>
      </c>
      <c r="B1940" t="s">
        <v>1727</v>
      </c>
      <c r="C1940" t="s">
        <v>206</v>
      </c>
      <c r="D1940" s="2">
        <v>19431</v>
      </c>
      <c r="E1940" s="2">
        <v>45148</v>
      </c>
      <c r="F1940" s="2">
        <v>45159</v>
      </c>
      <c r="G1940" t="s">
        <v>141</v>
      </c>
      <c r="H1940" t="s">
        <v>44</v>
      </c>
      <c r="I1940" t="s">
        <v>79</v>
      </c>
      <c r="J1940" t="s">
        <v>34</v>
      </c>
      <c r="K1940" t="s">
        <v>110</v>
      </c>
      <c r="L1940">
        <v>110502.3</v>
      </c>
      <c r="M1940">
        <v>69456.960000000006</v>
      </c>
      <c r="O1940">
        <v>11</v>
      </c>
      <c r="P1940">
        <v>225</v>
      </c>
      <c r="Q1940">
        <v>1</v>
      </c>
      <c r="R1940">
        <v>151</v>
      </c>
      <c r="S1940">
        <v>217.3</v>
      </c>
      <c r="T1940" t="s">
        <v>47</v>
      </c>
      <c r="U1940" s="3"/>
      <c r="V1940" s="3"/>
      <c r="W1940" s="3"/>
    </row>
    <row r="1941" spans="1:23">
      <c r="A1941" t="s">
        <v>4056</v>
      </c>
      <c r="B1941" t="s">
        <v>877</v>
      </c>
      <c r="C1941" t="s">
        <v>22</v>
      </c>
      <c r="D1941" s="2">
        <v>36138</v>
      </c>
      <c r="E1941" t="s">
        <v>4057</v>
      </c>
      <c r="F1941" s="2">
        <v>45652</v>
      </c>
      <c r="G1941" t="s">
        <v>105</v>
      </c>
      <c r="I1941" t="s">
        <v>25</v>
      </c>
      <c r="J1941" t="s">
        <v>64</v>
      </c>
      <c r="K1941" t="s">
        <v>110</v>
      </c>
      <c r="L1941">
        <v>45166.36</v>
      </c>
      <c r="M1941">
        <v>27108.49</v>
      </c>
      <c r="N1941" t="s">
        <v>35</v>
      </c>
      <c r="O1941">
        <v>8</v>
      </c>
      <c r="P1941">
        <v>56</v>
      </c>
      <c r="R1941">
        <v>182</v>
      </c>
      <c r="S1941">
        <v>259.5</v>
      </c>
      <c r="T1941" t="s">
        <v>37</v>
      </c>
      <c r="U1941" s="3"/>
      <c r="V1941" s="3"/>
      <c r="W1941" s="3"/>
    </row>
    <row r="1942" spans="1:23">
      <c r="A1942" t="s">
        <v>4058</v>
      </c>
      <c r="B1942" t="s">
        <v>277</v>
      </c>
      <c r="C1942" t="s">
        <v>22</v>
      </c>
      <c r="D1942" s="2">
        <v>20781</v>
      </c>
      <c r="E1942" s="2">
        <v>45527</v>
      </c>
      <c r="F1942" s="2">
        <v>45542</v>
      </c>
      <c r="G1942" t="s">
        <v>190</v>
      </c>
      <c r="H1942" t="s">
        <v>44</v>
      </c>
      <c r="J1942" t="s">
        <v>46</v>
      </c>
      <c r="K1942" t="s">
        <v>55</v>
      </c>
      <c r="L1942" t="s">
        <v>4059</v>
      </c>
      <c r="N1942" t="s">
        <v>192</v>
      </c>
      <c r="O1942">
        <v>15</v>
      </c>
      <c r="P1942">
        <v>167</v>
      </c>
      <c r="Q1942">
        <v>3</v>
      </c>
      <c r="R1942">
        <v>141</v>
      </c>
      <c r="T1942" t="s">
        <v>37</v>
      </c>
      <c r="U1942" s="3"/>
      <c r="V1942" s="3"/>
      <c r="W1942" s="3"/>
    </row>
    <row r="1943" spans="1:23">
      <c r="A1943" t="s">
        <v>4060</v>
      </c>
      <c r="B1943" t="s">
        <v>1678</v>
      </c>
      <c r="C1943" t="s">
        <v>84</v>
      </c>
      <c r="D1943" s="2">
        <v>18465</v>
      </c>
      <c r="E1943" s="2">
        <v>45913</v>
      </c>
      <c r="F1943" s="2">
        <v>45931</v>
      </c>
      <c r="G1943" t="s">
        <v>109</v>
      </c>
      <c r="H1943" t="s">
        <v>134</v>
      </c>
      <c r="I1943" t="s">
        <v>119</v>
      </c>
      <c r="J1943" t="s">
        <v>46</v>
      </c>
      <c r="K1943" t="s">
        <v>55</v>
      </c>
      <c r="L1943">
        <v>52626.34</v>
      </c>
      <c r="M1943">
        <v>35249.65</v>
      </c>
      <c r="N1943" t="s">
        <v>73</v>
      </c>
      <c r="O1943">
        <v>18</v>
      </c>
      <c r="P1943">
        <v>51</v>
      </c>
      <c r="Q1943">
        <v>3</v>
      </c>
      <c r="R1943">
        <v>105</v>
      </c>
      <c r="S1943">
        <v>94.3</v>
      </c>
      <c r="T1943" t="s">
        <v>37</v>
      </c>
      <c r="U1943" s="3"/>
      <c r="V1943" s="3"/>
      <c r="W1943" s="3"/>
    </row>
    <row r="1944" spans="1:23">
      <c r="A1944" t="s">
        <v>4061</v>
      </c>
      <c r="B1944" t="s">
        <v>261</v>
      </c>
      <c r="C1944" t="s">
        <v>60</v>
      </c>
      <c r="D1944" s="2">
        <v>23506</v>
      </c>
      <c r="E1944" s="2">
        <v>45210</v>
      </c>
      <c r="G1944" t="s">
        <v>70</v>
      </c>
      <c r="H1944" t="s">
        <v>134</v>
      </c>
      <c r="I1944" t="s">
        <v>25</v>
      </c>
      <c r="J1944" t="s">
        <v>186</v>
      </c>
      <c r="K1944" t="s">
        <v>110</v>
      </c>
      <c r="L1944" t="s">
        <v>4062</v>
      </c>
      <c r="M1944">
        <v>48992.73</v>
      </c>
      <c r="N1944" t="s">
        <v>56</v>
      </c>
      <c r="O1944">
        <v>9</v>
      </c>
      <c r="P1944">
        <v>175</v>
      </c>
      <c r="Q1944">
        <v>2</v>
      </c>
      <c r="R1944">
        <v>122</v>
      </c>
      <c r="S1944">
        <v>213.9</v>
      </c>
      <c r="T1944" t="s">
        <v>37</v>
      </c>
      <c r="U1944" s="3"/>
      <c r="V1944" s="3"/>
      <c r="W1944" s="3"/>
    </row>
    <row r="1945" spans="1:23">
      <c r="A1945" t="s">
        <v>4063</v>
      </c>
      <c r="B1945" t="s">
        <v>1830</v>
      </c>
      <c r="D1945" s="2">
        <v>31627</v>
      </c>
      <c r="E1945" t="s">
        <v>3786</v>
      </c>
      <c r="F1945" s="2">
        <v>45036</v>
      </c>
      <c r="G1945" t="s">
        <v>70</v>
      </c>
      <c r="H1945" t="s">
        <v>95</v>
      </c>
      <c r="I1945" t="s">
        <v>79</v>
      </c>
      <c r="J1945" t="s">
        <v>80</v>
      </c>
      <c r="K1945" t="s">
        <v>120</v>
      </c>
      <c r="L1945">
        <v>38809.96</v>
      </c>
      <c r="M1945">
        <v>29959.98</v>
      </c>
      <c r="N1945" t="s">
        <v>192</v>
      </c>
      <c r="O1945">
        <v>17</v>
      </c>
      <c r="R1945">
        <v>186</v>
      </c>
      <c r="S1945">
        <v>201.6</v>
      </c>
      <c r="U1945" s="3"/>
      <c r="V1945" s="3"/>
      <c r="W1945" s="3"/>
    </row>
    <row r="1946" spans="1:23">
      <c r="A1946" t="s">
        <v>4064</v>
      </c>
      <c r="B1946" t="s">
        <v>1734</v>
      </c>
      <c r="D1946" s="2">
        <v>39773</v>
      </c>
      <c r="E1946" t="s">
        <v>977</v>
      </c>
      <c r="F1946" s="2">
        <v>45944</v>
      </c>
      <c r="G1946" t="s">
        <v>62</v>
      </c>
      <c r="H1946" t="s">
        <v>124</v>
      </c>
      <c r="I1946" t="s">
        <v>119</v>
      </c>
      <c r="K1946" t="s">
        <v>27</v>
      </c>
      <c r="L1946">
        <v>171518.23</v>
      </c>
      <c r="M1946">
        <v>123867.45</v>
      </c>
      <c r="N1946" t="s">
        <v>35</v>
      </c>
      <c r="O1946">
        <v>9</v>
      </c>
      <c r="P1946">
        <v>60</v>
      </c>
      <c r="R1946">
        <v>122</v>
      </c>
      <c r="S1946">
        <v>167.9</v>
      </c>
      <c r="T1946" t="s">
        <v>65</v>
      </c>
      <c r="U1946" s="3"/>
      <c r="V1946" s="3"/>
      <c r="W1946" s="3"/>
    </row>
    <row r="1947" spans="1:23">
      <c r="A1947" t="s">
        <v>4065</v>
      </c>
      <c r="B1947" t="s">
        <v>503</v>
      </c>
      <c r="C1947" t="s">
        <v>84</v>
      </c>
      <c r="D1947" s="2">
        <v>23763</v>
      </c>
      <c r="E1947" s="2">
        <v>45858</v>
      </c>
      <c r="F1947" t="s">
        <v>4066</v>
      </c>
      <c r="G1947" t="s">
        <v>43</v>
      </c>
      <c r="H1947" t="s">
        <v>153</v>
      </c>
      <c r="I1947" t="s">
        <v>79</v>
      </c>
      <c r="J1947" t="s">
        <v>645</v>
      </c>
      <c r="K1947" t="s">
        <v>106</v>
      </c>
      <c r="L1947">
        <v>190712.3</v>
      </c>
      <c r="M1947">
        <v>138466.06</v>
      </c>
      <c r="N1947" t="s">
        <v>73</v>
      </c>
      <c r="O1947">
        <v>16</v>
      </c>
      <c r="P1947">
        <v>137</v>
      </c>
      <c r="R1947">
        <v>152</v>
      </c>
      <c r="U1947" s="3"/>
      <c r="V1947" s="3"/>
      <c r="W1947" s="3"/>
    </row>
    <row r="1948" spans="1:23">
      <c r="A1948" t="s">
        <v>4067</v>
      </c>
      <c r="B1948" t="s">
        <v>679</v>
      </c>
      <c r="C1948" t="s">
        <v>816</v>
      </c>
      <c r="D1948" t="s">
        <v>4068</v>
      </c>
      <c r="E1948" s="2">
        <v>45595</v>
      </c>
      <c r="F1948" t="s">
        <v>4069</v>
      </c>
      <c r="G1948" t="s">
        <v>109</v>
      </c>
      <c r="H1948" t="s">
        <v>113</v>
      </c>
      <c r="J1948" t="s">
        <v>34</v>
      </c>
      <c r="L1948">
        <v>191110.32</v>
      </c>
      <c r="M1948">
        <v>129107.95</v>
      </c>
      <c r="N1948" t="s">
        <v>35</v>
      </c>
      <c r="O1948">
        <v>14</v>
      </c>
      <c r="P1948">
        <v>194</v>
      </c>
      <c r="R1948">
        <v>105</v>
      </c>
      <c r="S1948">
        <v>99.1</v>
      </c>
      <c r="U1948" s="3"/>
      <c r="V1948" s="3"/>
      <c r="W1948" s="3"/>
    </row>
    <row r="1949" spans="1:23">
      <c r="A1949" t="s">
        <v>4070</v>
      </c>
      <c r="B1949" t="s">
        <v>108</v>
      </c>
      <c r="C1949" t="s">
        <v>30</v>
      </c>
      <c r="D1949" t="s">
        <v>4071</v>
      </c>
      <c r="E1949" s="2">
        <v>45429</v>
      </c>
      <c r="F1949" s="2">
        <v>45444</v>
      </c>
      <c r="G1949" t="s">
        <v>161</v>
      </c>
      <c r="H1949" t="s">
        <v>32</v>
      </c>
      <c r="I1949" t="s">
        <v>25</v>
      </c>
      <c r="J1949" t="s">
        <v>26</v>
      </c>
      <c r="K1949" t="s">
        <v>27</v>
      </c>
      <c r="L1949">
        <v>30304.03</v>
      </c>
      <c r="M1949">
        <v>27013.57</v>
      </c>
      <c r="O1949">
        <v>15</v>
      </c>
      <c r="P1949">
        <v>90</v>
      </c>
      <c r="Q1949">
        <v>4</v>
      </c>
      <c r="R1949">
        <v>148</v>
      </c>
      <c r="S1949">
        <v>157.30000000000001</v>
      </c>
      <c r="T1949" t="s">
        <v>65</v>
      </c>
      <c r="U1949" s="3"/>
      <c r="V1949" s="3"/>
      <c r="W1949" s="3"/>
    </row>
    <row r="1950" spans="1:23">
      <c r="A1950" t="s">
        <v>4072</v>
      </c>
      <c r="B1950" t="s">
        <v>321</v>
      </c>
      <c r="C1950" t="s">
        <v>206</v>
      </c>
      <c r="D1950" s="2">
        <v>40232</v>
      </c>
      <c r="E1950" s="2">
        <v>45743</v>
      </c>
      <c r="F1950" s="2">
        <v>45759</v>
      </c>
      <c r="G1950" t="s">
        <v>89</v>
      </c>
      <c r="I1950" t="s">
        <v>25</v>
      </c>
      <c r="J1950" t="s">
        <v>80</v>
      </c>
      <c r="K1950" t="s">
        <v>55</v>
      </c>
      <c r="L1950">
        <v>6991.5</v>
      </c>
      <c r="M1950">
        <v>6943.42</v>
      </c>
      <c r="N1950" t="s">
        <v>35</v>
      </c>
      <c r="O1950">
        <v>16</v>
      </c>
      <c r="P1950">
        <v>197</v>
      </c>
      <c r="Q1950">
        <v>3</v>
      </c>
      <c r="R1950">
        <v>118</v>
      </c>
      <c r="S1950">
        <v>198.2</v>
      </c>
      <c r="U1950" s="3"/>
      <c r="V1950" s="3"/>
      <c r="W1950" s="3"/>
    </row>
    <row r="1951" spans="1:23">
      <c r="A1951" t="s">
        <v>4073</v>
      </c>
      <c r="B1951" t="s">
        <v>1471</v>
      </c>
      <c r="C1951" t="s">
        <v>100</v>
      </c>
      <c r="D1951" s="2">
        <v>19466</v>
      </c>
      <c r="E1951" s="2">
        <v>44947</v>
      </c>
      <c r="F1951" s="2">
        <v>44954</v>
      </c>
      <c r="G1951" t="s">
        <v>109</v>
      </c>
      <c r="H1951" t="s">
        <v>86</v>
      </c>
      <c r="I1951" t="s">
        <v>33</v>
      </c>
      <c r="J1951" t="s">
        <v>80</v>
      </c>
      <c r="L1951" t="s">
        <v>4074</v>
      </c>
      <c r="M1951">
        <v>81819.34</v>
      </c>
      <c r="N1951" t="s">
        <v>73</v>
      </c>
      <c r="O1951">
        <v>7</v>
      </c>
      <c r="P1951">
        <v>187</v>
      </c>
      <c r="Q1951">
        <v>5</v>
      </c>
      <c r="R1951">
        <v>178</v>
      </c>
      <c r="S1951">
        <v>75.5</v>
      </c>
      <c r="T1951" t="s">
        <v>65</v>
      </c>
      <c r="U1951" s="3"/>
      <c r="V1951" s="3"/>
      <c r="W1951" s="3"/>
    </row>
    <row r="1952" spans="1:23">
      <c r="A1952" t="s">
        <v>2246</v>
      </c>
      <c r="B1952" t="s">
        <v>1101</v>
      </c>
      <c r="D1952" s="2">
        <v>31189</v>
      </c>
      <c r="E1952" s="2">
        <v>45567</v>
      </c>
      <c r="F1952" s="2">
        <v>45578</v>
      </c>
      <c r="G1952" t="s">
        <v>31</v>
      </c>
      <c r="I1952" t="s">
        <v>79</v>
      </c>
      <c r="J1952" t="s">
        <v>80</v>
      </c>
      <c r="K1952" t="s">
        <v>120</v>
      </c>
      <c r="L1952">
        <v>187954.81</v>
      </c>
      <c r="M1952">
        <v>149924.20000000001</v>
      </c>
      <c r="N1952" t="s">
        <v>192</v>
      </c>
      <c r="O1952">
        <v>11</v>
      </c>
      <c r="P1952">
        <v>231</v>
      </c>
      <c r="Q1952">
        <v>5</v>
      </c>
      <c r="R1952">
        <v>105</v>
      </c>
      <c r="S1952">
        <v>218.8</v>
      </c>
      <c r="U1952" s="3"/>
      <c r="V1952" s="3"/>
      <c r="W1952" s="3"/>
    </row>
    <row r="1953" spans="1:23">
      <c r="A1953" t="s">
        <v>462</v>
      </c>
      <c r="B1953" t="s">
        <v>4075</v>
      </c>
      <c r="C1953" t="s">
        <v>30</v>
      </c>
      <c r="D1953" s="2">
        <v>27777</v>
      </c>
      <c r="E1953" t="s">
        <v>4076</v>
      </c>
      <c r="F1953" s="2">
        <v>44930</v>
      </c>
      <c r="G1953" t="s">
        <v>117</v>
      </c>
      <c r="H1953" t="s">
        <v>113</v>
      </c>
      <c r="I1953" t="s">
        <v>96</v>
      </c>
      <c r="J1953" t="s">
        <v>64</v>
      </c>
      <c r="L1953">
        <v>141677.31</v>
      </c>
      <c r="N1953" t="s">
        <v>467</v>
      </c>
      <c r="O1953">
        <v>3</v>
      </c>
      <c r="P1953" t="s">
        <v>4077</v>
      </c>
      <c r="Q1953">
        <v>5</v>
      </c>
      <c r="R1953">
        <v>96</v>
      </c>
      <c r="S1953">
        <v>225.2</v>
      </c>
      <c r="T1953" t="s">
        <v>348</v>
      </c>
      <c r="U1953" s="3"/>
      <c r="V1953" s="3"/>
      <c r="W1953" s="3"/>
    </row>
    <row r="1954" spans="1:23">
      <c r="A1954" t="s">
        <v>4078</v>
      </c>
      <c r="B1954" t="s">
        <v>2249</v>
      </c>
      <c r="C1954" t="s">
        <v>60</v>
      </c>
      <c r="D1954" s="2">
        <v>28197</v>
      </c>
      <c r="E1954" s="2">
        <v>45389</v>
      </c>
      <c r="F1954" s="2">
        <v>45391</v>
      </c>
      <c r="H1954" t="s">
        <v>153</v>
      </c>
      <c r="I1954" t="s">
        <v>79</v>
      </c>
      <c r="J1954" t="s">
        <v>71</v>
      </c>
      <c r="L1954">
        <v>87965.03</v>
      </c>
      <c r="M1954">
        <v>86710.12</v>
      </c>
      <c r="N1954" t="s">
        <v>35</v>
      </c>
      <c r="O1954">
        <v>2</v>
      </c>
      <c r="P1954">
        <v>62</v>
      </c>
      <c r="Q1954">
        <v>4</v>
      </c>
      <c r="R1954">
        <v>91</v>
      </c>
      <c r="S1954">
        <v>186.2</v>
      </c>
      <c r="U1954" s="3"/>
      <c r="V1954" s="3"/>
      <c r="W1954" s="3"/>
    </row>
    <row r="1955" spans="1:23">
      <c r="A1955" t="s">
        <v>595</v>
      </c>
      <c r="B1955" t="s">
        <v>332</v>
      </c>
      <c r="C1955" t="s">
        <v>84</v>
      </c>
      <c r="D1955" s="2">
        <v>40516</v>
      </c>
      <c r="E1955" s="2">
        <v>45304</v>
      </c>
      <c r="F1955" t="s">
        <v>4079</v>
      </c>
      <c r="G1955" t="s">
        <v>62</v>
      </c>
      <c r="H1955" t="s">
        <v>153</v>
      </c>
      <c r="I1955" t="s">
        <v>25</v>
      </c>
      <c r="J1955" t="s">
        <v>46</v>
      </c>
      <c r="K1955" t="s">
        <v>110</v>
      </c>
      <c r="L1955">
        <v>220332.65</v>
      </c>
      <c r="M1955">
        <v>206879.34</v>
      </c>
      <c r="N1955" t="s">
        <v>56</v>
      </c>
      <c r="O1955">
        <v>11</v>
      </c>
      <c r="P1955">
        <v>82</v>
      </c>
      <c r="R1955">
        <v>185</v>
      </c>
      <c r="S1955">
        <v>247.4</v>
      </c>
      <c r="U1955" s="3"/>
      <c r="V1955" s="3"/>
      <c r="W1955" s="3"/>
    </row>
    <row r="1956" spans="1:23">
      <c r="A1956" t="s">
        <v>4080</v>
      </c>
      <c r="B1956" t="s">
        <v>867</v>
      </c>
      <c r="C1956" t="s">
        <v>22</v>
      </c>
      <c r="D1956" s="2">
        <v>29769</v>
      </c>
      <c r="E1956" s="2">
        <v>45627</v>
      </c>
      <c r="F1956" s="2">
        <v>45641</v>
      </c>
      <c r="G1956" t="s">
        <v>31</v>
      </c>
      <c r="I1956" t="s">
        <v>119</v>
      </c>
      <c r="J1956" t="s">
        <v>34</v>
      </c>
      <c r="K1956" t="s">
        <v>120</v>
      </c>
      <c r="L1956">
        <v>23229.43</v>
      </c>
      <c r="M1956">
        <v>20194.95</v>
      </c>
      <c r="N1956" t="s">
        <v>56</v>
      </c>
      <c r="O1956">
        <v>14</v>
      </c>
      <c r="P1956">
        <v>145</v>
      </c>
      <c r="Q1956">
        <v>4</v>
      </c>
      <c r="R1956">
        <v>119</v>
      </c>
      <c r="S1956">
        <v>217</v>
      </c>
      <c r="T1956" t="s">
        <v>65</v>
      </c>
      <c r="U1956" s="3"/>
      <c r="V1956" s="3"/>
      <c r="W1956" s="3"/>
    </row>
    <row r="1957" spans="1:23">
      <c r="A1957" t="s">
        <v>651</v>
      </c>
      <c r="B1957" t="s">
        <v>652</v>
      </c>
      <c r="C1957" t="s">
        <v>60</v>
      </c>
      <c r="D1957" s="2">
        <v>37162</v>
      </c>
      <c r="E1957" s="2">
        <v>44994</v>
      </c>
      <c r="F1957" t="s">
        <v>4081</v>
      </c>
      <c r="G1957" t="s">
        <v>62</v>
      </c>
      <c r="H1957" t="s">
        <v>118</v>
      </c>
      <c r="I1957" t="s">
        <v>53</v>
      </c>
      <c r="J1957" t="s">
        <v>34</v>
      </c>
      <c r="K1957" t="s">
        <v>55</v>
      </c>
      <c r="L1957">
        <v>188808.42</v>
      </c>
      <c r="M1957">
        <v>167011.4</v>
      </c>
      <c r="N1957" t="s">
        <v>467</v>
      </c>
      <c r="O1957">
        <v>11</v>
      </c>
      <c r="P1957">
        <v>65</v>
      </c>
      <c r="R1957">
        <v>182</v>
      </c>
      <c r="S1957">
        <v>191.1</v>
      </c>
      <c r="T1957" t="s">
        <v>47</v>
      </c>
      <c r="U1957" s="3"/>
      <c r="V1957" s="3"/>
      <c r="W1957" s="3"/>
    </row>
    <row r="1958" spans="1:23">
      <c r="A1958" t="s">
        <v>2039</v>
      </c>
      <c r="B1958" t="s">
        <v>999</v>
      </c>
      <c r="C1958" t="s">
        <v>133</v>
      </c>
      <c r="D1958" s="2">
        <v>28082</v>
      </c>
      <c r="E1958" s="2">
        <v>44931</v>
      </c>
      <c r="F1958" s="2">
        <v>44936</v>
      </c>
      <c r="H1958" t="s">
        <v>118</v>
      </c>
      <c r="I1958" t="s">
        <v>45</v>
      </c>
      <c r="J1958" t="s">
        <v>80</v>
      </c>
      <c r="K1958" t="s">
        <v>55</v>
      </c>
      <c r="L1958">
        <v>231313.19</v>
      </c>
      <c r="M1958">
        <v>141884.26999999999</v>
      </c>
      <c r="N1958" t="s">
        <v>192</v>
      </c>
      <c r="O1958">
        <v>5</v>
      </c>
      <c r="P1958">
        <v>72</v>
      </c>
      <c r="Q1958">
        <v>3</v>
      </c>
      <c r="R1958">
        <v>180</v>
      </c>
      <c r="S1958">
        <v>211.2</v>
      </c>
      <c r="T1958" t="s">
        <v>37</v>
      </c>
      <c r="U1958" s="3"/>
      <c r="V1958" s="3"/>
      <c r="W1958" s="3"/>
    </row>
    <row r="1959" spans="1:23">
      <c r="A1959" t="s">
        <v>2845</v>
      </c>
      <c r="B1959" t="s">
        <v>992</v>
      </c>
      <c r="D1959" s="2">
        <v>22593</v>
      </c>
      <c r="E1959" s="2">
        <v>45026</v>
      </c>
      <c r="F1959" s="2">
        <v>45037</v>
      </c>
      <c r="H1959" t="s">
        <v>95</v>
      </c>
      <c r="I1959" t="s">
        <v>53</v>
      </c>
      <c r="J1959" t="s">
        <v>71</v>
      </c>
      <c r="K1959" t="s">
        <v>27</v>
      </c>
      <c r="L1959">
        <v>82759.759999999995</v>
      </c>
      <c r="M1959">
        <v>82701.22</v>
      </c>
      <c r="N1959" t="s">
        <v>56</v>
      </c>
      <c r="O1959">
        <v>11</v>
      </c>
      <c r="P1959">
        <v>11</v>
      </c>
      <c r="R1959">
        <v>101</v>
      </c>
      <c r="S1959">
        <v>96.7</v>
      </c>
      <c r="T1959" t="s">
        <v>37</v>
      </c>
      <c r="U1959" s="3"/>
      <c r="V1959" s="3"/>
      <c r="W1959" s="3"/>
    </row>
    <row r="1960" spans="1:23">
      <c r="A1960" t="s">
        <v>1411</v>
      </c>
      <c r="B1960" t="s">
        <v>116</v>
      </c>
      <c r="C1960" t="s">
        <v>100</v>
      </c>
      <c r="D1960" s="2">
        <v>39315</v>
      </c>
      <c r="E1960" t="s">
        <v>4082</v>
      </c>
      <c r="F1960" t="s">
        <v>4083</v>
      </c>
      <c r="G1960" t="s">
        <v>94</v>
      </c>
      <c r="H1960" t="s">
        <v>63</v>
      </c>
      <c r="I1960" t="s">
        <v>33</v>
      </c>
      <c r="J1960" t="s">
        <v>179</v>
      </c>
      <c r="L1960">
        <v>10266.43</v>
      </c>
      <c r="M1960">
        <v>8386.32</v>
      </c>
      <c r="N1960" t="s">
        <v>73</v>
      </c>
      <c r="O1960">
        <v>12</v>
      </c>
      <c r="P1960">
        <v>213</v>
      </c>
      <c r="S1960">
        <v>195.1</v>
      </c>
      <c r="T1960" t="s">
        <v>37</v>
      </c>
      <c r="U1960" s="3"/>
      <c r="V1960" s="3"/>
      <c r="W1960" s="3"/>
    </row>
    <row r="1961" spans="1:23">
      <c r="A1961" t="s">
        <v>4084</v>
      </c>
      <c r="B1961" t="s">
        <v>765</v>
      </c>
      <c r="C1961" t="s">
        <v>30</v>
      </c>
      <c r="D1961" s="2">
        <v>37442</v>
      </c>
      <c r="E1961" s="2">
        <v>45775</v>
      </c>
      <c r="F1961" t="s">
        <v>4085</v>
      </c>
      <c r="G1961" t="s">
        <v>105</v>
      </c>
      <c r="H1961" t="s">
        <v>63</v>
      </c>
      <c r="I1961" t="s">
        <v>33</v>
      </c>
      <c r="J1961" t="s">
        <v>71</v>
      </c>
      <c r="K1961" t="s">
        <v>27</v>
      </c>
      <c r="L1961">
        <v>60831.37</v>
      </c>
      <c r="M1961">
        <v>56538.69</v>
      </c>
      <c r="N1961" t="s">
        <v>56</v>
      </c>
      <c r="O1961">
        <v>16</v>
      </c>
      <c r="P1961">
        <v>106</v>
      </c>
      <c r="Q1961">
        <v>4</v>
      </c>
      <c r="S1961">
        <v>151.69999999999999</v>
      </c>
      <c r="T1961" t="s">
        <v>47</v>
      </c>
      <c r="U1961" s="3"/>
      <c r="V1961" s="3"/>
      <c r="W1961" s="3"/>
    </row>
    <row r="1962" spans="1:23">
      <c r="A1962" t="s">
        <v>3655</v>
      </c>
      <c r="B1962" t="s">
        <v>1464</v>
      </c>
      <c r="C1962" t="s">
        <v>40</v>
      </c>
      <c r="D1962" s="2">
        <v>37035</v>
      </c>
      <c r="E1962" s="2">
        <v>45578</v>
      </c>
      <c r="F1962" t="s">
        <v>4086</v>
      </c>
      <c r="G1962" t="s">
        <v>31</v>
      </c>
      <c r="H1962" t="s">
        <v>95</v>
      </c>
      <c r="I1962" t="s">
        <v>79</v>
      </c>
      <c r="J1962" t="s">
        <v>71</v>
      </c>
      <c r="K1962" t="s">
        <v>161</v>
      </c>
      <c r="L1962">
        <v>96279.4</v>
      </c>
      <c r="M1962">
        <v>92951.38</v>
      </c>
      <c r="O1962">
        <v>6</v>
      </c>
      <c r="P1962">
        <v>161</v>
      </c>
      <c r="Q1962">
        <v>4</v>
      </c>
      <c r="R1962">
        <v>93</v>
      </c>
      <c r="S1962">
        <v>117.5</v>
      </c>
      <c r="T1962" t="s">
        <v>37</v>
      </c>
      <c r="U1962" s="3"/>
      <c r="V1962" s="3"/>
      <c r="W1962" s="3"/>
    </row>
    <row r="1963" spans="1:23">
      <c r="A1963" t="s">
        <v>749</v>
      </c>
      <c r="B1963" t="s">
        <v>251</v>
      </c>
      <c r="C1963" t="s">
        <v>22</v>
      </c>
      <c r="D1963" s="2">
        <v>33306</v>
      </c>
      <c r="E1963" s="2">
        <v>45410</v>
      </c>
      <c r="F1963" s="2">
        <v>45423</v>
      </c>
      <c r="G1963" t="s">
        <v>62</v>
      </c>
      <c r="H1963" t="s">
        <v>86</v>
      </c>
      <c r="J1963" t="s">
        <v>80</v>
      </c>
      <c r="K1963" t="s">
        <v>183</v>
      </c>
      <c r="L1963">
        <v>199768.58</v>
      </c>
      <c r="M1963">
        <v>167655.35999999999</v>
      </c>
      <c r="N1963" t="s">
        <v>91</v>
      </c>
      <c r="O1963" t="s">
        <v>580</v>
      </c>
      <c r="P1963">
        <v>148</v>
      </c>
      <c r="Q1963">
        <v>4</v>
      </c>
      <c r="R1963">
        <v>144</v>
      </c>
      <c r="S1963">
        <v>192.9</v>
      </c>
      <c r="T1963" t="s">
        <v>37</v>
      </c>
      <c r="U1963" s="3"/>
      <c r="V1963" s="3"/>
      <c r="W1963" s="3"/>
    </row>
    <row r="1964" spans="1:23">
      <c r="A1964" t="s">
        <v>3035</v>
      </c>
      <c r="B1964" t="s">
        <v>3036</v>
      </c>
      <c r="C1964" t="s">
        <v>84</v>
      </c>
      <c r="D1964" s="2">
        <v>32207</v>
      </c>
      <c r="E1964" s="2">
        <v>45377</v>
      </c>
      <c r="F1964" s="2">
        <v>45389</v>
      </c>
      <c r="G1964" t="s">
        <v>62</v>
      </c>
      <c r="H1964" t="s">
        <v>160</v>
      </c>
      <c r="I1964" t="s">
        <v>119</v>
      </c>
      <c r="J1964" t="s">
        <v>64</v>
      </c>
      <c r="K1964" t="s">
        <v>110</v>
      </c>
      <c r="L1964">
        <v>123835.93</v>
      </c>
      <c r="M1964">
        <v>118992.45</v>
      </c>
      <c r="N1964" t="s">
        <v>162</v>
      </c>
      <c r="O1964">
        <v>12</v>
      </c>
      <c r="P1964">
        <v>234</v>
      </c>
      <c r="Q1964">
        <v>4</v>
      </c>
      <c r="R1964">
        <v>114</v>
      </c>
      <c r="S1964">
        <v>71.099999999999994</v>
      </c>
      <c r="U1964" s="3"/>
      <c r="V1964" s="3"/>
      <c r="W1964" s="3"/>
    </row>
    <row r="1965" spans="1:23">
      <c r="A1965" t="s">
        <v>2591</v>
      </c>
      <c r="B1965" t="s">
        <v>857</v>
      </c>
      <c r="C1965" t="s">
        <v>30</v>
      </c>
      <c r="D1965" s="2">
        <v>19132</v>
      </c>
      <c r="E1965" t="s">
        <v>4087</v>
      </c>
      <c r="F1965" t="s">
        <v>2720</v>
      </c>
      <c r="G1965" t="s">
        <v>94</v>
      </c>
      <c r="H1965" t="s">
        <v>44</v>
      </c>
      <c r="I1965" t="s">
        <v>96</v>
      </c>
      <c r="J1965" t="s">
        <v>361</v>
      </c>
      <c r="K1965" t="s">
        <v>449</v>
      </c>
      <c r="L1965">
        <v>249624.12</v>
      </c>
      <c r="M1965">
        <v>211948.49</v>
      </c>
      <c r="N1965" t="s">
        <v>56</v>
      </c>
      <c r="O1965">
        <v>8</v>
      </c>
      <c r="P1965">
        <v>75</v>
      </c>
      <c r="R1965">
        <v>101</v>
      </c>
      <c r="S1965">
        <v>91.4</v>
      </c>
      <c r="T1965" t="s">
        <v>37</v>
      </c>
      <c r="U1965" s="3"/>
      <c r="V1965" s="3"/>
      <c r="W1965" s="3"/>
    </row>
    <row r="1966" spans="1:23">
      <c r="A1966" t="s">
        <v>890</v>
      </c>
      <c r="B1966" t="s">
        <v>891</v>
      </c>
      <c r="C1966" t="s">
        <v>133</v>
      </c>
      <c r="D1966" s="2">
        <v>38619</v>
      </c>
      <c r="E1966" t="s">
        <v>853</v>
      </c>
      <c r="F1966" t="s">
        <v>3896</v>
      </c>
      <c r="G1966" t="s">
        <v>43</v>
      </c>
      <c r="H1966" t="s">
        <v>134</v>
      </c>
      <c r="I1966" t="s">
        <v>119</v>
      </c>
      <c r="J1966" t="s">
        <v>34</v>
      </c>
      <c r="K1966" t="s">
        <v>110</v>
      </c>
      <c r="L1966">
        <v>123663.9</v>
      </c>
      <c r="M1966">
        <v>104720.83</v>
      </c>
      <c r="N1966" t="s">
        <v>192</v>
      </c>
      <c r="O1966">
        <v>16</v>
      </c>
      <c r="P1966">
        <v>23</v>
      </c>
      <c r="Q1966">
        <v>4</v>
      </c>
      <c r="R1966">
        <v>94</v>
      </c>
      <c r="S1966">
        <v>258.60000000000002</v>
      </c>
      <c r="T1966" t="s">
        <v>37</v>
      </c>
      <c r="U1966" s="3"/>
      <c r="V1966" s="3"/>
      <c r="W1966" s="3"/>
    </row>
    <row r="1967" spans="1:23">
      <c r="A1967" t="s">
        <v>1991</v>
      </c>
      <c r="B1967" t="s">
        <v>679</v>
      </c>
      <c r="C1967" t="s">
        <v>206</v>
      </c>
      <c r="D1967" s="2">
        <v>21316</v>
      </c>
      <c r="E1967" s="2">
        <v>45240</v>
      </c>
      <c r="F1967" t="s">
        <v>4088</v>
      </c>
      <c r="G1967" t="s">
        <v>94</v>
      </c>
      <c r="H1967" t="s">
        <v>63</v>
      </c>
      <c r="I1967" t="s">
        <v>79</v>
      </c>
      <c r="K1967" t="s">
        <v>161</v>
      </c>
      <c r="L1967">
        <v>69399.7</v>
      </c>
      <c r="M1967">
        <v>54801.279999999999</v>
      </c>
      <c r="O1967">
        <v>18</v>
      </c>
      <c r="P1967">
        <v>239</v>
      </c>
      <c r="Q1967">
        <v>1</v>
      </c>
      <c r="R1967">
        <v>149</v>
      </c>
      <c r="S1967">
        <v>108.9</v>
      </c>
      <c r="T1967" t="s">
        <v>37</v>
      </c>
      <c r="U1967" s="3"/>
      <c r="V1967" s="3"/>
      <c r="W1967" s="3"/>
    </row>
    <row r="1968" spans="1:23">
      <c r="A1968" t="s">
        <v>3362</v>
      </c>
      <c r="B1968" t="s">
        <v>2594</v>
      </c>
      <c r="C1968" t="s">
        <v>50</v>
      </c>
      <c r="D1968" t="s">
        <v>4089</v>
      </c>
      <c r="E1968" s="2">
        <v>45784</v>
      </c>
      <c r="G1968" t="s">
        <v>161</v>
      </c>
      <c r="H1968" t="s">
        <v>118</v>
      </c>
      <c r="I1968" t="s">
        <v>53</v>
      </c>
      <c r="J1968" t="s">
        <v>80</v>
      </c>
      <c r="L1968">
        <v>49065.57</v>
      </c>
      <c r="M1968">
        <v>36304.1</v>
      </c>
      <c r="N1968" t="s">
        <v>73</v>
      </c>
      <c r="O1968">
        <v>2</v>
      </c>
      <c r="P1968">
        <v>81</v>
      </c>
      <c r="Q1968">
        <v>1</v>
      </c>
      <c r="R1968">
        <v>124</v>
      </c>
      <c r="S1968">
        <v>239.5</v>
      </c>
      <c r="T1968" t="s">
        <v>37</v>
      </c>
      <c r="U1968" s="3"/>
      <c r="V1968" s="3"/>
      <c r="W1968" s="3"/>
    </row>
    <row r="1969" spans="1:23">
      <c r="A1969" t="s">
        <v>4090</v>
      </c>
      <c r="B1969" t="s">
        <v>485</v>
      </c>
      <c r="C1969" t="s">
        <v>60</v>
      </c>
      <c r="D1969" s="2">
        <v>36023</v>
      </c>
      <c r="E1969" s="2">
        <v>45378</v>
      </c>
      <c r="F1969" s="2">
        <v>45394</v>
      </c>
      <c r="G1969" t="s">
        <v>105</v>
      </c>
      <c r="H1969" t="s">
        <v>538</v>
      </c>
      <c r="J1969" t="s">
        <v>34</v>
      </c>
      <c r="K1969" t="s">
        <v>161</v>
      </c>
      <c r="L1969">
        <v>18555.72</v>
      </c>
      <c r="M1969">
        <v>15459.59</v>
      </c>
      <c r="N1969" t="s">
        <v>990</v>
      </c>
      <c r="O1969">
        <v>16</v>
      </c>
      <c r="P1969">
        <v>126</v>
      </c>
      <c r="Q1969">
        <v>4</v>
      </c>
      <c r="R1969">
        <v>133</v>
      </c>
      <c r="S1969">
        <v>130.9</v>
      </c>
      <c r="T1969" t="s">
        <v>37</v>
      </c>
      <c r="U1969" s="3"/>
      <c r="V1969" s="3"/>
      <c r="W1969" s="3"/>
    </row>
    <row r="1970" spans="1:23">
      <c r="A1970" t="s">
        <v>2397</v>
      </c>
      <c r="B1970" t="s">
        <v>999</v>
      </c>
      <c r="C1970" t="s">
        <v>30</v>
      </c>
      <c r="D1970" s="2">
        <v>20491</v>
      </c>
      <c r="E1970" s="2">
        <v>45674</v>
      </c>
      <c r="F1970" s="2">
        <v>45692</v>
      </c>
      <c r="H1970" t="s">
        <v>124</v>
      </c>
      <c r="I1970" t="s">
        <v>45</v>
      </c>
      <c r="J1970" t="s">
        <v>80</v>
      </c>
      <c r="K1970" t="s">
        <v>110</v>
      </c>
      <c r="L1970">
        <v>10080.73</v>
      </c>
      <c r="M1970">
        <v>8698.7800000000007</v>
      </c>
      <c r="N1970" t="s">
        <v>192</v>
      </c>
      <c r="O1970">
        <v>18</v>
      </c>
      <c r="P1970">
        <v>97</v>
      </c>
      <c r="Q1970">
        <v>4</v>
      </c>
      <c r="R1970">
        <v>121</v>
      </c>
      <c r="S1970">
        <v>76.099999999999994</v>
      </c>
      <c r="T1970" t="s">
        <v>37</v>
      </c>
      <c r="U1970" s="3"/>
      <c r="V1970" s="3"/>
      <c r="W1970" s="3"/>
    </row>
    <row r="1971" spans="1:23">
      <c r="A1971" t="s">
        <v>4040</v>
      </c>
      <c r="B1971" t="s">
        <v>1302</v>
      </c>
      <c r="C1971" t="s">
        <v>133</v>
      </c>
      <c r="D1971" s="2">
        <v>23318</v>
      </c>
      <c r="E1971" s="2">
        <v>45475</v>
      </c>
      <c r="F1971" s="2">
        <v>45492</v>
      </c>
      <c r="G1971" t="s">
        <v>161</v>
      </c>
      <c r="H1971" t="s">
        <v>52</v>
      </c>
      <c r="I1971" t="s">
        <v>96</v>
      </c>
      <c r="J1971" t="s">
        <v>46</v>
      </c>
      <c r="K1971" t="s">
        <v>120</v>
      </c>
      <c r="L1971">
        <v>238238.98</v>
      </c>
      <c r="M1971">
        <v>171749.92</v>
      </c>
      <c r="N1971" t="s">
        <v>162</v>
      </c>
      <c r="O1971">
        <v>17</v>
      </c>
      <c r="P1971">
        <v>9</v>
      </c>
      <c r="Q1971">
        <v>5</v>
      </c>
      <c r="R1971">
        <v>137</v>
      </c>
      <c r="S1971">
        <v>130.9</v>
      </c>
      <c r="T1971" t="s">
        <v>721</v>
      </c>
      <c r="U1971" s="3"/>
      <c r="V1971" s="3"/>
      <c r="W1971" s="3"/>
    </row>
    <row r="1972" spans="1:23">
      <c r="A1972" t="s">
        <v>4072</v>
      </c>
      <c r="B1972" t="s">
        <v>321</v>
      </c>
      <c r="C1972" t="s">
        <v>459</v>
      </c>
      <c r="D1972" s="2">
        <v>40232</v>
      </c>
      <c r="E1972" s="2">
        <v>45743</v>
      </c>
      <c r="F1972" s="2">
        <v>45759</v>
      </c>
      <c r="G1972" t="s">
        <v>89</v>
      </c>
      <c r="I1972" t="s">
        <v>25</v>
      </c>
      <c r="J1972" t="s">
        <v>80</v>
      </c>
      <c r="K1972" t="s">
        <v>55</v>
      </c>
      <c r="L1972">
        <v>6991.5</v>
      </c>
      <c r="M1972">
        <v>6943.42</v>
      </c>
      <c r="N1972" t="s">
        <v>35</v>
      </c>
      <c r="O1972">
        <v>16</v>
      </c>
      <c r="P1972">
        <v>197</v>
      </c>
      <c r="Q1972">
        <v>3</v>
      </c>
      <c r="R1972">
        <v>118</v>
      </c>
      <c r="S1972">
        <v>198.2</v>
      </c>
      <c r="U1972" s="3"/>
      <c r="V1972" s="3"/>
      <c r="W1972" s="3"/>
    </row>
    <row r="1973" spans="1:23">
      <c r="A1973" t="s">
        <v>3063</v>
      </c>
      <c r="B1973" t="s">
        <v>607</v>
      </c>
      <c r="C1973" t="s">
        <v>100</v>
      </c>
      <c r="D1973" t="s">
        <v>4091</v>
      </c>
      <c r="E1973" s="2">
        <v>45777</v>
      </c>
      <c r="F1973" t="s">
        <v>1577</v>
      </c>
      <c r="G1973" t="s">
        <v>70</v>
      </c>
      <c r="H1973" t="s">
        <v>124</v>
      </c>
      <c r="I1973" t="s">
        <v>33</v>
      </c>
      <c r="J1973" t="s">
        <v>46</v>
      </c>
      <c r="K1973" t="s">
        <v>27</v>
      </c>
      <c r="L1973">
        <v>98561.34</v>
      </c>
      <c r="M1973">
        <v>85338.07</v>
      </c>
      <c r="N1973" t="s">
        <v>73</v>
      </c>
      <c r="O1973">
        <v>15</v>
      </c>
      <c r="P1973">
        <v>205</v>
      </c>
      <c r="Q1973">
        <v>1</v>
      </c>
      <c r="R1973">
        <v>113</v>
      </c>
      <c r="S1973">
        <v>161.9</v>
      </c>
      <c r="T1973" t="s">
        <v>37</v>
      </c>
      <c r="U1973" s="3"/>
      <c r="V1973" s="3"/>
      <c r="W1973" s="3"/>
    </row>
    <row r="1974" spans="1:23">
      <c r="A1974" t="s">
        <v>570</v>
      </c>
      <c r="B1974" t="s">
        <v>244</v>
      </c>
      <c r="C1974" t="s">
        <v>60</v>
      </c>
      <c r="D1974" t="s">
        <v>4092</v>
      </c>
      <c r="E1974" s="2">
        <v>45777</v>
      </c>
      <c r="F1974" s="2">
        <v>45781</v>
      </c>
      <c r="G1974" t="s">
        <v>117</v>
      </c>
      <c r="H1974" t="s">
        <v>1012</v>
      </c>
      <c r="J1974" t="s">
        <v>34</v>
      </c>
      <c r="K1974" t="s">
        <v>72</v>
      </c>
      <c r="L1974">
        <v>220998.94</v>
      </c>
      <c r="M1974">
        <v>207239.21</v>
      </c>
      <c r="O1974">
        <v>4</v>
      </c>
      <c r="P1974">
        <v>145</v>
      </c>
      <c r="Q1974">
        <v>4</v>
      </c>
      <c r="R1974">
        <v>154</v>
      </c>
      <c r="S1974">
        <v>134.1</v>
      </c>
      <c r="T1974" t="s">
        <v>47</v>
      </c>
      <c r="U1974" s="3"/>
      <c r="V1974" s="3"/>
      <c r="W1974" s="3"/>
    </row>
    <row r="1975" spans="1:23">
      <c r="A1975" t="s">
        <v>2417</v>
      </c>
      <c r="B1975" t="s">
        <v>406</v>
      </c>
      <c r="C1975" t="s">
        <v>84</v>
      </c>
      <c r="D1975" s="2">
        <v>23301</v>
      </c>
      <c r="E1975" t="s">
        <v>2418</v>
      </c>
      <c r="F1975" s="2">
        <v>45603</v>
      </c>
      <c r="G1975" t="s">
        <v>117</v>
      </c>
      <c r="H1975" t="s">
        <v>153</v>
      </c>
      <c r="I1975" t="s">
        <v>79</v>
      </c>
      <c r="J1975" t="s">
        <v>46</v>
      </c>
      <c r="K1975" t="s">
        <v>55</v>
      </c>
      <c r="L1975">
        <v>127804.69</v>
      </c>
      <c r="M1975">
        <v>106733.77</v>
      </c>
      <c r="N1975" t="s">
        <v>73</v>
      </c>
      <c r="O1975">
        <v>2</v>
      </c>
      <c r="P1975">
        <v>198</v>
      </c>
      <c r="Q1975">
        <v>4</v>
      </c>
      <c r="R1975">
        <v>176</v>
      </c>
      <c r="S1975">
        <v>164.4</v>
      </c>
      <c r="T1975" t="s">
        <v>37</v>
      </c>
      <c r="U1975" s="3"/>
      <c r="V1975" s="3"/>
      <c r="W1975" s="3"/>
    </row>
    <row r="1976" spans="1:23">
      <c r="A1976" t="s">
        <v>3232</v>
      </c>
      <c r="B1976" t="s">
        <v>895</v>
      </c>
      <c r="C1976" t="s">
        <v>60</v>
      </c>
      <c r="D1976" t="s">
        <v>4093</v>
      </c>
      <c r="E1976" s="2">
        <v>45964</v>
      </c>
      <c r="F1976" s="2">
        <v>45979</v>
      </c>
      <c r="H1976" t="s">
        <v>312</v>
      </c>
      <c r="I1976" t="s">
        <v>25</v>
      </c>
      <c r="J1976" t="s">
        <v>34</v>
      </c>
      <c r="K1976" t="s">
        <v>55</v>
      </c>
      <c r="L1976">
        <v>193997.99</v>
      </c>
      <c r="M1976">
        <v>144985.13</v>
      </c>
      <c r="N1976" t="s">
        <v>73</v>
      </c>
      <c r="O1976">
        <v>15</v>
      </c>
      <c r="P1976">
        <v>110</v>
      </c>
      <c r="Q1976">
        <v>4</v>
      </c>
      <c r="R1976">
        <v>137</v>
      </c>
      <c r="S1976">
        <v>226</v>
      </c>
      <c r="T1976" t="s">
        <v>37</v>
      </c>
      <c r="U1976" s="3"/>
      <c r="V1976" s="3"/>
      <c r="W1976" s="3"/>
    </row>
    <row r="1977" spans="1:23">
      <c r="A1977" t="s">
        <v>3387</v>
      </c>
      <c r="B1977" t="s">
        <v>1305</v>
      </c>
      <c r="C1977" t="s">
        <v>133</v>
      </c>
      <c r="D1977" s="2">
        <v>34207</v>
      </c>
      <c r="E1977" t="s">
        <v>4094</v>
      </c>
      <c r="F1977" s="2">
        <v>45096</v>
      </c>
      <c r="G1977" t="s">
        <v>70</v>
      </c>
      <c r="H1977" t="s">
        <v>52</v>
      </c>
      <c r="I1977" t="s">
        <v>79</v>
      </c>
      <c r="J1977" t="s">
        <v>80</v>
      </c>
      <c r="K1977" t="s">
        <v>120</v>
      </c>
      <c r="L1977">
        <v>37356.300000000003</v>
      </c>
      <c r="M1977">
        <v>33439.49</v>
      </c>
      <c r="N1977" t="s">
        <v>192</v>
      </c>
      <c r="O1977">
        <v>12</v>
      </c>
      <c r="P1977">
        <v>129</v>
      </c>
      <c r="R1977">
        <v>109</v>
      </c>
      <c r="S1977">
        <v>134</v>
      </c>
      <c r="T1977" t="s">
        <v>37</v>
      </c>
      <c r="U1977" s="3"/>
      <c r="V1977" s="3"/>
      <c r="W1977" s="3"/>
    </row>
    <row r="1978" spans="1:23">
      <c r="A1978" t="s">
        <v>2279</v>
      </c>
      <c r="B1978" t="s">
        <v>553</v>
      </c>
      <c r="D1978" s="2">
        <v>31221</v>
      </c>
      <c r="E1978" s="2">
        <v>45581</v>
      </c>
      <c r="F1978" s="2">
        <v>45592</v>
      </c>
      <c r="G1978" t="s">
        <v>89</v>
      </c>
      <c r="H1978" t="s">
        <v>153</v>
      </c>
      <c r="I1978" t="s">
        <v>45</v>
      </c>
      <c r="J1978" t="s">
        <v>34</v>
      </c>
      <c r="K1978" t="s">
        <v>120</v>
      </c>
      <c r="L1978">
        <v>234860.44</v>
      </c>
      <c r="M1978">
        <v>214701.29</v>
      </c>
      <c r="N1978" t="s">
        <v>192</v>
      </c>
      <c r="O1978">
        <v>11</v>
      </c>
      <c r="P1978">
        <v>108</v>
      </c>
      <c r="Q1978">
        <v>1</v>
      </c>
      <c r="R1978">
        <v>105</v>
      </c>
      <c r="T1978" t="s">
        <v>721</v>
      </c>
      <c r="U1978" s="3"/>
      <c r="V1978" s="3"/>
      <c r="W1978" s="3"/>
    </row>
    <row r="1979" spans="1:23">
      <c r="A1979" t="s">
        <v>3125</v>
      </c>
      <c r="B1979" t="s">
        <v>503</v>
      </c>
      <c r="C1979" t="s">
        <v>100</v>
      </c>
      <c r="D1979" t="s">
        <v>4095</v>
      </c>
      <c r="E1979" s="2">
        <v>45805</v>
      </c>
      <c r="F1979" t="s">
        <v>4096</v>
      </c>
      <c r="G1979" t="s">
        <v>31</v>
      </c>
      <c r="H1979" t="s">
        <v>32</v>
      </c>
      <c r="I1979" t="s">
        <v>33</v>
      </c>
      <c r="J1979" t="s">
        <v>71</v>
      </c>
      <c r="K1979" t="s">
        <v>27</v>
      </c>
      <c r="L1979">
        <v>25252.42</v>
      </c>
      <c r="M1979">
        <v>23670.29</v>
      </c>
      <c r="O1979">
        <v>4</v>
      </c>
      <c r="P1979">
        <v>132</v>
      </c>
      <c r="R1979">
        <v>114</v>
      </c>
      <c r="S1979">
        <v>97.4</v>
      </c>
      <c r="T1979" t="s">
        <v>65</v>
      </c>
      <c r="U1979" s="3"/>
      <c r="V1979" s="3"/>
      <c r="W1979" s="3"/>
    </row>
    <row r="1980" spans="1:23">
      <c r="A1980" t="s">
        <v>430</v>
      </c>
      <c r="B1980" t="s">
        <v>390</v>
      </c>
      <c r="C1980" t="s">
        <v>60</v>
      </c>
      <c r="D1980" s="2">
        <v>19867</v>
      </c>
      <c r="E1980" s="2">
        <v>45964</v>
      </c>
      <c r="F1980" t="s">
        <v>3366</v>
      </c>
      <c r="H1980" t="s">
        <v>95</v>
      </c>
      <c r="I1980" t="s">
        <v>25</v>
      </c>
      <c r="J1980" t="s">
        <v>97</v>
      </c>
      <c r="K1980" t="s">
        <v>161</v>
      </c>
      <c r="L1980">
        <v>50208.95</v>
      </c>
      <c r="M1980">
        <v>47753.38</v>
      </c>
      <c r="N1980" t="s">
        <v>91</v>
      </c>
      <c r="O1980">
        <v>13</v>
      </c>
      <c r="P1980">
        <v>68</v>
      </c>
      <c r="Q1980">
        <v>1</v>
      </c>
      <c r="R1980">
        <v>148</v>
      </c>
      <c r="S1980">
        <v>79.599999999999994</v>
      </c>
      <c r="T1980" t="s">
        <v>65</v>
      </c>
      <c r="U1980" s="3"/>
      <c r="V1980" s="3"/>
      <c r="W1980" s="3"/>
    </row>
    <row r="1981" spans="1:23">
      <c r="A1981" t="s">
        <v>3225</v>
      </c>
      <c r="B1981" t="s">
        <v>147</v>
      </c>
      <c r="C1981" t="s">
        <v>50</v>
      </c>
      <c r="D1981" s="2">
        <v>36284</v>
      </c>
      <c r="E1981" s="2">
        <v>45393</v>
      </c>
      <c r="F1981" s="2">
        <v>45410</v>
      </c>
      <c r="G1981" t="s">
        <v>370</v>
      </c>
      <c r="H1981" t="s">
        <v>86</v>
      </c>
      <c r="I1981" t="s">
        <v>79</v>
      </c>
      <c r="J1981" t="s">
        <v>64</v>
      </c>
      <c r="K1981" t="s">
        <v>110</v>
      </c>
      <c r="L1981">
        <v>132589.54999999999</v>
      </c>
      <c r="M1981">
        <v>117321.12</v>
      </c>
      <c r="N1981" t="s">
        <v>192</v>
      </c>
      <c r="O1981">
        <v>17</v>
      </c>
      <c r="P1981">
        <v>210</v>
      </c>
      <c r="Q1981">
        <v>4</v>
      </c>
      <c r="R1981">
        <v>158</v>
      </c>
      <c r="S1981">
        <v>196.6</v>
      </c>
      <c r="T1981" t="s">
        <v>57</v>
      </c>
      <c r="U1981" s="3"/>
      <c r="V1981" s="3"/>
      <c r="W1981" s="3"/>
    </row>
    <row r="1982" spans="1:23">
      <c r="A1982" t="s">
        <v>748</v>
      </c>
      <c r="B1982" t="s">
        <v>515</v>
      </c>
      <c r="C1982" t="s">
        <v>206</v>
      </c>
      <c r="D1982" s="2">
        <v>33853</v>
      </c>
      <c r="E1982" s="2">
        <v>44965</v>
      </c>
      <c r="F1982" s="2">
        <v>44982</v>
      </c>
      <c r="G1982" t="s">
        <v>117</v>
      </c>
      <c r="H1982" t="s">
        <v>32</v>
      </c>
      <c r="I1982" t="s">
        <v>45</v>
      </c>
      <c r="J1982" t="s">
        <v>34</v>
      </c>
      <c r="K1982" t="s">
        <v>72</v>
      </c>
      <c r="L1982">
        <v>68814.149999999994</v>
      </c>
      <c r="M1982">
        <v>50292.37</v>
      </c>
      <c r="N1982" t="s">
        <v>1048</v>
      </c>
      <c r="O1982">
        <v>17</v>
      </c>
      <c r="P1982">
        <v>162</v>
      </c>
      <c r="Q1982">
        <v>4</v>
      </c>
      <c r="R1982">
        <v>162</v>
      </c>
      <c r="S1982">
        <v>208.1</v>
      </c>
      <c r="T1982" t="s">
        <v>37</v>
      </c>
      <c r="U1982" s="3"/>
      <c r="V1982" s="3"/>
      <c r="W1982" s="3"/>
    </row>
    <row r="1983" spans="1:23">
      <c r="A1983" t="s">
        <v>1781</v>
      </c>
      <c r="B1983" t="s">
        <v>363</v>
      </c>
      <c r="C1983" t="s">
        <v>50</v>
      </c>
      <c r="D1983" t="s">
        <v>4097</v>
      </c>
      <c r="E1983" t="s">
        <v>4098</v>
      </c>
      <c r="F1983" s="2">
        <v>45434</v>
      </c>
      <c r="H1983" t="s">
        <v>134</v>
      </c>
      <c r="I1983" t="s">
        <v>79</v>
      </c>
      <c r="J1983" t="s">
        <v>80</v>
      </c>
      <c r="K1983" t="s">
        <v>55</v>
      </c>
      <c r="L1983">
        <v>147233.82999999999</v>
      </c>
      <c r="M1983">
        <v>100148.91</v>
      </c>
      <c r="N1983" t="s">
        <v>192</v>
      </c>
      <c r="O1983">
        <v>3</v>
      </c>
      <c r="P1983">
        <v>93</v>
      </c>
      <c r="Q1983">
        <v>2</v>
      </c>
      <c r="R1983" t="s">
        <v>4099</v>
      </c>
      <c r="S1983">
        <v>142.19999999999999</v>
      </c>
      <c r="T1983" t="s">
        <v>47</v>
      </c>
      <c r="U1983" s="3"/>
      <c r="V1983" s="3"/>
      <c r="W1983" s="3"/>
    </row>
    <row r="1984" spans="1:23">
      <c r="A1984" t="s">
        <v>1300</v>
      </c>
      <c r="B1984" t="s">
        <v>4100</v>
      </c>
      <c r="C1984" t="s">
        <v>60</v>
      </c>
      <c r="D1984" s="2">
        <v>32650</v>
      </c>
      <c r="E1984" t="s">
        <v>1523</v>
      </c>
      <c r="F1984" s="2">
        <v>45738</v>
      </c>
      <c r="G1984" t="s">
        <v>70</v>
      </c>
      <c r="H1984" t="s">
        <v>113</v>
      </c>
      <c r="I1984" t="s">
        <v>45</v>
      </c>
      <c r="J1984" t="s">
        <v>46</v>
      </c>
      <c r="K1984" t="s">
        <v>110</v>
      </c>
      <c r="L1984">
        <v>74856.490000000005</v>
      </c>
      <c r="N1984" t="s">
        <v>192</v>
      </c>
      <c r="O1984">
        <v>5</v>
      </c>
      <c r="P1984">
        <v>209</v>
      </c>
      <c r="R1984">
        <v>92</v>
      </c>
      <c r="S1984">
        <v>188.2</v>
      </c>
      <c r="T1984" t="s">
        <v>37</v>
      </c>
      <c r="U1984" s="3"/>
      <c r="V1984" s="3"/>
      <c r="W1984" s="3"/>
    </row>
    <row r="1985" spans="1:23">
      <c r="A1985" t="s">
        <v>3251</v>
      </c>
      <c r="B1985" t="s">
        <v>850</v>
      </c>
      <c r="C1985" t="s">
        <v>100</v>
      </c>
      <c r="D1985" s="2">
        <v>33385</v>
      </c>
      <c r="E1985" t="s">
        <v>3252</v>
      </c>
      <c r="F1985" s="2">
        <v>45951</v>
      </c>
      <c r="G1985" t="s">
        <v>161</v>
      </c>
      <c r="H1985" t="s">
        <v>118</v>
      </c>
      <c r="I1985" t="s">
        <v>79</v>
      </c>
      <c r="J1985" t="s">
        <v>26</v>
      </c>
      <c r="K1985" t="s">
        <v>110</v>
      </c>
      <c r="L1985">
        <v>215194.17</v>
      </c>
      <c r="M1985">
        <v>165230.59</v>
      </c>
      <c r="N1985" t="s">
        <v>35</v>
      </c>
      <c r="O1985">
        <v>11</v>
      </c>
      <c r="P1985">
        <v>17</v>
      </c>
      <c r="Q1985">
        <v>3</v>
      </c>
      <c r="R1985">
        <v>104</v>
      </c>
      <c r="S1985">
        <v>222.5</v>
      </c>
      <c r="T1985" t="s">
        <v>37</v>
      </c>
      <c r="U1985" s="3"/>
      <c r="V1985" s="3"/>
      <c r="W1985" s="3"/>
    </row>
    <row r="1986" spans="1:23">
      <c r="A1986" t="s">
        <v>2682</v>
      </c>
      <c r="B1986" t="s">
        <v>2033</v>
      </c>
      <c r="C1986" t="s">
        <v>396</v>
      </c>
      <c r="D1986" s="2">
        <v>28626</v>
      </c>
      <c r="E1986" s="2">
        <v>45850</v>
      </c>
      <c r="F1986" s="2">
        <v>45858</v>
      </c>
      <c r="G1986" t="s">
        <v>117</v>
      </c>
      <c r="H1986" t="s">
        <v>118</v>
      </c>
      <c r="I1986" t="s">
        <v>119</v>
      </c>
      <c r="J1986" t="s">
        <v>64</v>
      </c>
      <c r="K1986" t="s">
        <v>55</v>
      </c>
      <c r="L1986">
        <v>78456.5</v>
      </c>
      <c r="M1986">
        <v>54409.82</v>
      </c>
      <c r="N1986" t="s">
        <v>192</v>
      </c>
      <c r="O1986">
        <v>8</v>
      </c>
      <c r="P1986">
        <v>103</v>
      </c>
      <c r="R1986">
        <v>186</v>
      </c>
      <c r="S1986">
        <v>93.6</v>
      </c>
      <c r="T1986" t="s">
        <v>65</v>
      </c>
      <c r="U1986" s="3"/>
      <c r="V1986" s="3"/>
      <c r="W1986" s="3"/>
    </row>
    <row r="1987" spans="1:23">
      <c r="A1987" t="s">
        <v>4101</v>
      </c>
      <c r="B1987" t="s">
        <v>879</v>
      </c>
      <c r="C1987" t="s">
        <v>22</v>
      </c>
      <c r="D1987" t="s">
        <v>2625</v>
      </c>
      <c r="E1987" s="2">
        <v>45523</v>
      </c>
      <c r="F1987" t="s">
        <v>4102</v>
      </c>
      <c r="G1987" t="s">
        <v>77</v>
      </c>
      <c r="H1987" t="s">
        <v>90</v>
      </c>
      <c r="I1987" t="s">
        <v>25</v>
      </c>
      <c r="J1987" t="s">
        <v>106</v>
      </c>
      <c r="K1987" t="s">
        <v>388</v>
      </c>
      <c r="L1987">
        <v>4948</v>
      </c>
      <c r="M1987">
        <v>4750.38</v>
      </c>
      <c r="N1987" t="s">
        <v>56</v>
      </c>
      <c r="O1987">
        <v>9</v>
      </c>
      <c r="P1987" t="s">
        <v>4103</v>
      </c>
      <c r="R1987">
        <v>121</v>
      </c>
      <c r="S1987">
        <v>220.5</v>
      </c>
      <c r="T1987" t="s">
        <v>348</v>
      </c>
      <c r="U1987" s="3"/>
      <c r="V1987" s="3"/>
      <c r="W1987" s="3"/>
    </row>
    <row r="1988" spans="1:23">
      <c r="A1988" t="s">
        <v>3076</v>
      </c>
      <c r="B1988" t="s">
        <v>684</v>
      </c>
      <c r="C1988" t="s">
        <v>206</v>
      </c>
      <c r="D1988" t="s">
        <v>4104</v>
      </c>
      <c r="E1988" t="s">
        <v>2822</v>
      </c>
      <c r="F1988" s="2">
        <v>45575</v>
      </c>
      <c r="G1988" t="s">
        <v>152</v>
      </c>
      <c r="H1988" t="s">
        <v>1500</v>
      </c>
      <c r="I1988" t="s">
        <v>25</v>
      </c>
      <c r="L1988">
        <v>162771.71</v>
      </c>
      <c r="M1988">
        <v>136986.06</v>
      </c>
      <c r="N1988" t="s">
        <v>73</v>
      </c>
      <c r="O1988">
        <v>16</v>
      </c>
      <c r="P1988">
        <v>35</v>
      </c>
      <c r="R1988">
        <v>119</v>
      </c>
      <c r="S1988">
        <v>193.9</v>
      </c>
      <c r="T1988" t="s">
        <v>37</v>
      </c>
      <c r="U1988" s="3"/>
      <c r="V1988" s="3"/>
      <c r="W1988" s="3"/>
    </row>
    <row r="1989" spans="1:23">
      <c r="A1989" t="s">
        <v>2263</v>
      </c>
      <c r="B1989" t="s">
        <v>108</v>
      </c>
      <c r="C1989" t="s">
        <v>40</v>
      </c>
      <c r="D1989" s="2">
        <v>37976</v>
      </c>
      <c r="E1989" s="2">
        <v>45168</v>
      </c>
      <c r="F1989" t="s">
        <v>4105</v>
      </c>
      <c r="G1989" t="s">
        <v>105</v>
      </c>
      <c r="I1989" t="s">
        <v>96</v>
      </c>
      <c r="J1989" t="s">
        <v>106</v>
      </c>
      <c r="L1989">
        <v>103049.14</v>
      </c>
      <c r="M1989">
        <v>74358.45</v>
      </c>
      <c r="N1989" t="s">
        <v>192</v>
      </c>
      <c r="O1989">
        <v>16</v>
      </c>
      <c r="P1989">
        <v>96</v>
      </c>
      <c r="Q1989">
        <v>4</v>
      </c>
      <c r="R1989">
        <v>129</v>
      </c>
      <c r="S1989">
        <v>238.5</v>
      </c>
      <c r="T1989" t="s">
        <v>37</v>
      </c>
      <c r="U1989" s="3"/>
      <c r="V1989" s="3"/>
      <c r="W1989" s="3"/>
    </row>
    <row r="1990" spans="1:23">
      <c r="A1990" t="s">
        <v>1469</v>
      </c>
      <c r="B1990" t="s">
        <v>1061</v>
      </c>
      <c r="C1990" t="s">
        <v>30</v>
      </c>
      <c r="D1990" s="2">
        <v>39467</v>
      </c>
      <c r="E1990" s="2">
        <v>45364</v>
      </c>
      <c r="F1990" s="2">
        <v>45377</v>
      </c>
      <c r="G1990" t="s">
        <v>70</v>
      </c>
      <c r="H1990" t="s">
        <v>63</v>
      </c>
      <c r="I1990" t="s">
        <v>53</v>
      </c>
      <c r="J1990" t="s">
        <v>179</v>
      </c>
      <c r="K1990" t="s">
        <v>161</v>
      </c>
      <c r="L1990">
        <v>21372.36</v>
      </c>
      <c r="M1990">
        <v>13873.79</v>
      </c>
      <c r="N1990" t="s">
        <v>73</v>
      </c>
      <c r="O1990">
        <v>13</v>
      </c>
      <c r="P1990" t="s">
        <v>3083</v>
      </c>
      <c r="R1990">
        <v>171</v>
      </c>
      <c r="S1990">
        <v>216.7</v>
      </c>
      <c r="T1990" t="s">
        <v>65</v>
      </c>
      <c r="U1990" s="3"/>
      <c r="V1990" s="3"/>
      <c r="W1990" s="3"/>
    </row>
    <row r="1991" spans="1:23">
      <c r="A1991" t="s">
        <v>4106</v>
      </c>
      <c r="B1991" t="s">
        <v>1101</v>
      </c>
      <c r="D1991" s="2">
        <v>31189</v>
      </c>
      <c r="E1991" s="2">
        <v>45567</v>
      </c>
      <c r="F1991" s="2">
        <v>45578</v>
      </c>
      <c r="G1991" t="s">
        <v>31</v>
      </c>
      <c r="I1991" t="s">
        <v>79</v>
      </c>
      <c r="J1991" t="s">
        <v>80</v>
      </c>
      <c r="K1991" t="s">
        <v>120</v>
      </c>
      <c r="L1991">
        <v>187954.81</v>
      </c>
      <c r="M1991">
        <v>149924.20000000001</v>
      </c>
      <c r="N1991" t="s">
        <v>192</v>
      </c>
      <c r="O1991">
        <v>11</v>
      </c>
      <c r="P1991">
        <v>231</v>
      </c>
      <c r="Q1991">
        <v>5</v>
      </c>
      <c r="R1991">
        <v>105</v>
      </c>
      <c r="S1991">
        <v>218.8</v>
      </c>
      <c r="U1991" s="3"/>
      <c r="V1991" s="3"/>
      <c r="W1991" s="3"/>
    </row>
    <row r="1992" spans="1:23">
      <c r="A1992" t="s">
        <v>3592</v>
      </c>
      <c r="B1992" t="s">
        <v>980</v>
      </c>
      <c r="C1992" t="s">
        <v>30</v>
      </c>
      <c r="D1992" s="2">
        <v>22693</v>
      </c>
      <c r="E1992" s="2">
        <v>45885</v>
      </c>
      <c r="F1992" s="2">
        <v>45901</v>
      </c>
      <c r="G1992" t="s">
        <v>31</v>
      </c>
      <c r="I1992" t="s">
        <v>53</v>
      </c>
      <c r="J1992" t="s">
        <v>97</v>
      </c>
      <c r="K1992" t="s">
        <v>120</v>
      </c>
      <c r="L1992">
        <v>38418.589999999997</v>
      </c>
      <c r="M1992">
        <v>34727.26</v>
      </c>
      <c r="N1992" t="s">
        <v>1048</v>
      </c>
      <c r="O1992">
        <v>16</v>
      </c>
      <c r="P1992">
        <v>38</v>
      </c>
      <c r="Q1992">
        <v>2</v>
      </c>
      <c r="R1992">
        <v>181</v>
      </c>
      <c r="S1992">
        <v>220.9</v>
      </c>
      <c r="T1992" t="s">
        <v>37</v>
      </c>
      <c r="U1992" s="3"/>
      <c r="V1992" s="3"/>
      <c r="W1992" s="3"/>
    </row>
    <row r="1993" spans="1:23">
      <c r="A1993" t="s">
        <v>215</v>
      </c>
      <c r="B1993" t="s">
        <v>926</v>
      </c>
      <c r="C1993" t="s">
        <v>60</v>
      </c>
      <c r="D1993" s="2">
        <v>36070</v>
      </c>
      <c r="E1993" s="2">
        <v>45094</v>
      </c>
      <c r="F1993" s="2">
        <v>45103</v>
      </c>
      <c r="G1993" t="s">
        <v>43</v>
      </c>
      <c r="J1993" t="s">
        <v>34</v>
      </c>
      <c r="K1993" t="s">
        <v>161</v>
      </c>
      <c r="L1993">
        <v>70108.789999999994</v>
      </c>
      <c r="M1993">
        <v>46323.03</v>
      </c>
      <c r="O1993">
        <v>9</v>
      </c>
      <c r="P1993">
        <v>115</v>
      </c>
      <c r="Q1993">
        <v>2</v>
      </c>
      <c r="R1993" t="s">
        <v>904</v>
      </c>
      <c r="S1993">
        <v>198.9</v>
      </c>
      <c r="T1993" t="s">
        <v>37</v>
      </c>
      <c r="U1993" s="3"/>
      <c r="V1993" s="3"/>
      <c r="W1993" s="3"/>
    </row>
    <row r="1994" spans="1:23">
      <c r="A1994" t="s">
        <v>1812</v>
      </c>
      <c r="B1994" t="s">
        <v>292</v>
      </c>
      <c r="C1994" t="s">
        <v>84</v>
      </c>
      <c r="D1994" s="2">
        <v>37680</v>
      </c>
      <c r="E1994" s="2">
        <v>45797</v>
      </c>
      <c r="F1994" s="2">
        <v>45813</v>
      </c>
      <c r="G1994" t="s">
        <v>43</v>
      </c>
      <c r="H1994" t="s">
        <v>86</v>
      </c>
      <c r="I1994" t="s">
        <v>25</v>
      </c>
      <c r="J1994" t="s">
        <v>179</v>
      </c>
      <c r="K1994" t="s">
        <v>120</v>
      </c>
      <c r="L1994">
        <v>8206.77</v>
      </c>
      <c r="M1994">
        <v>6978.24</v>
      </c>
      <c r="N1994" t="s">
        <v>192</v>
      </c>
      <c r="O1994">
        <v>16</v>
      </c>
      <c r="P1994">
        <v>155</v>
      </c>
      <c r="R1994">
        <v>125</v>
      </c>
      <c r="S1994">
        <v>200</v>
      </c>
      <c r="T1994" t="s">
        <v>47</v>
      </c>
      <c r="U1994" s="3"/>
      <c r="V1994" s="3"/>
      <c r="W1994" s="3"/>
    </row>
    <row r="1995" spans="1:23">
      <c r="A1995" t="s">
        <v>3357</v>
      </c>
      <c r="B1995" t="s">
        <v>221</v>
      </c>
      <c r="C1995" t="s">
        <v>100</v>
      </c>
      <c r="D1995" t="s">
        <v>4107</v>
      </c>
      <c r="E1995" s="2">
        <v>45730</v>
      </c>
      <c r="F1995" s="2">
        <v>45737</v>
      </c>
      <c r="G1995" t="s">
        <v>161</v>
      </c>
      <c r="H1995" t="s">
        <v>86</v>
      </c>
      <c r="I1995" t="s">
        <v>25</v>
      </c>
      <c r="J1995" t="s">
        <v>80</v>
      </c>
      <c r="K1995" t="s">
        <v>55</v>
      </c>
      <c r="L1995">
        <v>37747.360000000001</v>
      </c>
      <c r="M1995">
        <v>26498.66</v>
      </c>
      <c r="N1995" t="s">
        <v>56</v>
      </c>
      <c r="O1995">
        <v>7</v>
      </c>
      <c r="P1995">
        <v>180</v>
      </c>
      <c r="R1995">
        <v>143</v>
      </c>
      <c r="S1995">
        <v>127.6</v>
      </c>
      <c r="T1995" t="s">
        <v>37</v>
      </c>
      <c r="U1995" s="3"/>
      <c r="V1995" s="3"/>
      <c r="W1995" s="3"/>
    </row>
    <row r="1996" spans="1:23">
      <c r="A1996" t="s">
        <v>1482</v>
      </c>
      <c r="B1996" t="s">
        <v>139</v>
      </c>
      <c r="C1996" t="s">
        <v>133</v>
      </c>
      <c r="D1996" s="2">
        <v>39247</v>
      </c>
      <c r="E1996" s="2">
        <v>45168</v>
      </c>
      <c r="F1996" s="2">
        <v>45173</v>
      </c>
      <c r="G1996" t="s">
        <v>117</v>
      </c>
      <c r="H1996" t="s">
        <v>118</v>
      </c>
      <c r="I1996" t="s">
        <v>79</v>
      </c>
      <c r="J1996" t="s">
        <v>46</v>
      </c>
      <c r="K1996" t="s">
        <v>120</v>
      </c>
      <c r="L1996">
        <v>9910.1200000000008</v>
      </c>
      <c r="M1996">
        <v>8144.82</v>
      </c>
      <c r="N1996" t="s">
        <v>56</v>
      </c>
      <c r="O1996">
        <v>5</v>
      </c>
      <c r="Q1996">
        <v>5</v>
      </c>
      <c r="R1996">
        <v>159</v>
      </c>
      <c r="S1996">
        <v>198.5</v>
      </c>
      <c r="T1996" t="s">
        <v>37</v>
      </c>
      <c r="U1996" s="3"/>
      <c r="V1996" s="3"/>
      <c r="W1996" s="3"/>
    </row>
    <row r="1997" spans="1:23">
      <c r="A1997" t="s">
        <v>4108</v>
      </c>
      <c r="B1997" t="s">
        <v>545</v>
      </c>
      <c r="C1997" t="s">
        <v>50</v>
      </c>
      <c r="D1997" s="2">
        <v>35720</v>
      </c>
      <c r="E1997" t="s">
        <v>4109</v>
      </c>
      <c r="F1997" s="2">
        <v>45863</v>
      </c>
      <c r="G1997" t="s">
        <v>106</v>
      </c>
      <c r="H1997" t="s">
        <v>24</v>
      </c>
      <c r="J1997" t="s">
        <v>80</v>
      </c>
      <c r="L1997">
        <v>166350.57999999999</v>
      </c>
      <c r="M1997">
        <v>128701.74</v>
      </c>
      <c r="N1997" t="s">
        <v>73</v>
      </c>
      <c r="O1997">
        <v>14</v>
      </c>
      <c r="P1997">
        <v>25</v>
      </c>
      <c r="Q1997">
        <v>4</v>
      </c>
      <c r="R1997">
        <v>111</v>
      </c>
      <c r="S1997">
        <v>145.4</v>
      </c>
      <c r="T1997" t="s">
        <v>37</v>
      </c>
      <c r="U1997" s="3"/>
      <c r="V1997" s="3"/>
      <c r="W1997" s="3"/>
    </row>
    <row r="1998" spans="1:23">
      <c r="A1998" t="s">
        <v>2706</v>
      </c>
      <c r="B1998" t="s">
        <v>1153</v>
      </c>
      <c r="C1998" t="s">
        <v>40</v>
      </c>
      <c r="D1998" s="2">
        <v>32988</v>
      </c>
      <c r="E1998" s="2">
        <v>45250</v>
      </c>
      <c r="F1998" s="2">
        <v>45251</v>
      </c>
      <c r="G1998" t="s">
        <v>105</v>
      </c>
      <c r="H1998" t="s">
        <v>86</v>
      </c>
      <c r="I1998" t="s">
        <v>96</v>
      </c>
      <c r="J1998" t="s">
        <v>97</v>
      </c>
      <c r="K1998" t="s">
        <v>27</v>
      </c>
      <c r="L1998">
        <v>62331.040000000001</v>
      </c>
      <c r="M1998">
        <v>49284.42</v>
      </c>
      <c r="N1998" t="s">
        <v>192</v>
      </c>
      <c r="O1998">
        <v>1</v>
      </c>
      <c r="P1998">
        <v>15</v>
      </c>
      <c r="R1998">
        <v>150</v>
      </c>
      <c r="S1998">
        <v>143.1</v>
      </c>
      <c r="T1998" t="s">
        <v>65</v>
      </c>
      <c r="U1998" s="3"/>
      <c r="V1998" s="3"/>
      <c r="W1998" s="3"/>
    </row>
    <row r="1999" spans="1:23">
      <c r="A1999" t="s">
        <v>471</v>
      </c>
      <c r="B1999" t="s">
        <v>472</v>
      </c>
      <c r="C1999" t="s">
        <v>50</v>
      </c>
      <c r="D1999" s="2">
        <v>35051</v>
      </c>
      <c r="E1999" s="2">
        <v>45372</v>
      </c>
      <c r="F1999" t="s">
        <v>473</v>
      </c>
      <c r="G1999" t="s">
        <v>31</v>
      </c>
      <c r="H1999" t="s">
        <v>44</v>
      </c>
      <c r="I1999" t="s">
        <v>119</v>
      </c>
      <c r="J1999" t="s">
        <v>97</v>
      </c>
      <c r="K1999" t="s">
        <v>401</v>
      </c>
      <c r="L1999">
        <v>245380.54</v>
      </c>
      <c r="M1999">
        <v>207020.39</v>
      </c>
      <c r="N1999" t="s">
        <v>73</v>
      </c>
      <c r="O1999">
        <v>7</v>
      </c>
      <c r="P1999">
        <v>50</v>
      </c>
      <c r="R1999">
        <v>159</v>
      </c>
      <c r="S1999">
        <v>201.9</v>
      </c>
      <c r="T1999" t="s">
        <v>65</v>
      </c>
      <c r="U1999" s="3"/>
      <c r="V1999" s="3"/>
      <c r="W1999" s="3"/>
    </row>
    <row r="2000" spans="1:23">
      <c r="A2000" t="s">
        <v>2726</v>
      </c>
      <c r="B2000" t="s">
        <v>21</v>
      </c>
      <c r="C2000" t="s">
        <v>30</v>
      </c>
      <c r="D2000" s="2">
        <v>26723</v>
      </c>
      <c r="E2000" s="2">
        <v>45019</v>
      </c>
      <c r="F2000" s="2">
        <v>45020</v>
      </c>
      <c r="G2000" t="s">
        <v>23</v>
      </c>
      <c r="H2000" t="s">
        <v>24</v>
      </c>
      <c r="I2000" t="s">
        <v>33</v>
      </c>
      <c r="J2000" t="s">
        <v>179</v>
      </c>
      <c r="K2000" t="s">
        <v>161</v>
      </c>
      <c r="L2000">
        <v>158179.03</v>
      </c>
      <c r="M2000">
        <v>120181.79</v>
      </c>
      <c r="O2000">
        <v>1</v>
      </c>
      <c r="P2000">
        <v>65</v>
      </c>
      <c r="Q2000">
        <v>5</v>
      </c>
      <c r="R2000">
        <v>136</v>
      </c>
      <c r="S2000">
        <v>133.5</v>
      </c>
      <c r="U2000" s="3"/>
      <c r="V2000" s="3"/>
      <c r="W2000" s="3"/>
    </row>
    <row r="2001" spans="1:23">
      <c r="A2001" t="s">
        <v>3548</v>
      </c>
      <c r="B2001" t="s">
        <v>88</v>
      </c>
      <c r="C2001" t="s">
        <v>60</v>
      </c>
      <c r="D2001" s="2">
        <v>18707</v>
      </c>
      <c r="E2001" t="s">
        <v>4110</v>
      </c>
      <c r="F2001" s="2">
        <v>45097</v>
      </c>
      <c r="G2001" t="s">
        <v>43</v>
      </c>
      <c r="H2001" t="s">
        <v>63</v>
      </c>
      <c r="I2001" t="s">
        <v>33</v>
      </c>
      <c r="J2001" t="s">
        <v>80</v>
      </c>
      <c r="K2001" t="s">
        <v>120</v>
      </c>
      <c r="L2001">
        <v>180451.02</v>
      </c>
      <c r="M2001">
        <v>128088.72</v>
      </c>
      <c r="N2001" t="s">
        <v>91</v>
      </c>
      <c r="O2001">
        <v>15</v>
      </c>
      <c r="P2001">
        <v>165</v>
      </c>
      <c r="Q2001">
        <v>5</v>
      </c>
      <c r="R2001">
        <v>152</v>
      </c>
      <c r="S2001">
        <v>168</v>
      </c>
      <c r="T2001" t="s">
        <v>37</v>
      </c>
      <c r="U2001" s="3"/>
      <c r="V2001" s="3"/>
      <c r="W2001" s="3"/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27A5B5-77E1-4375-B6EC-52A6242D66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Healthcare</vt:lpstr>
      <vt:lpstr>Business Problem</vt:lpstr>
      <vt:lpstr>Doctor</vt:lpstr>
      <vt:lpstr>Department</vt:lpstr>
      <vt:lpstr>Patient</vt:lpstr>
      <vt:lpstr>Admission</vt:lpstr>
      <vt:lpstr>Insurance</vt:lpstr>
      <vt:lpstr>Payment</vt:lpstr>
      <vt:lpstr>Raw_Healthcare_Data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Patan Akthar Zamal</cp:lastModifiedBy>
  <dcterms:created xsi:type="dcterms:W3CDTF">2026-09-21T16:37:43Z</dcterms:created>
  <dcterms:modified xsi:type="dcterms:W3CDTF">2026-09-28T10:38:35Z</dcterms:modified>
</cp:coreProperties>
</file>